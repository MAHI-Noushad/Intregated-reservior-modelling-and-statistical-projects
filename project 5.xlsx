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CI-determination" sheetId="2" r:id="rId1"/>
    <sheet name="n-value determinatio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2" l="1"/>
  <c r="Q21" i="1" l="1"/>
  <c r="P21" i="1"/>
  <c r="O21" i="1"/>
  <c r="J35" i="2"/>
  <c r="F35" i="2"/>
  <c r="F12" i="2"/>
  <c r="G45" i="2" s="1"/>
  <c r="G46" i="2" l="1"/>
  <c r="G38" i="2"/>
  <c r="G39" i="2"/>
  <c r="G47" i="2"/>
  <c r="G40" i="2"/>
  <c r="G48" i="2"/>
  <c r="G41" i="2"/>
  <c r="G49" i="2"/>
  <c r="G35" i="2"/>
  <c r="G42" i="2"/>
  <c r="G43" i="2"/>
  <c r="G36" i="2"/>
  <c r="G44" i="2"/>
  <c r="G37" i="2"/>
  <c r="G24" i="2"/>
  <c r="G16" i="2"/>
  <c r="G22" i="2"/>
  <c r="G12" i="2"/>
  <c r="G15" i="2"/>
  <c r="G21" i="2"/>
  <c r="G19" i="2"/>
  <c r="G26" i="2"/>
  <c r="G18" i="2"/>
  <c r="G23" i="2"/>
  <c r="G14" i="2"/>
  <c r="G13" i="2"/>
  <c r="G20" i="2"/>
  <c r="G25" i="2"/>
  <c r="G17" i="2"/>
  <c r="H12" i="2" l="1"/>
  <c r="M12" i="2" s="1"/>
  <c r="H35" i="2"/>
  <c r="I35" i="2" s="1"/>
  <c r="I12" i="2" l="1"/>
  <c r="L12" i="2" s="1"/>
  <c r="K35" i="2"/>
  <c r="L35" i="2"/>
  <c r="N9" i="1"/>
  <c r="O9" i="1" s="1"/>
  <c r="P9" i="1" s="1"/>
  <c r="Q9" i="1" s="1"/>
  <c r="R9" i="1" s="1"/>
  <c r="M21" i="1"/>
  <c r="N21" i="1" s="1"/>
  <c r="K12" i="2" l="1"/>
  <c r="S9" i="1"/>
  <c r="M22" i="1" l="1"/>
  <c r="N22" i="1" s="1"/>
  <c r="O22" i="1" s="1"/>
  <c r="P22" i="1" s="1"/>
  <c r="Q22" i="1" s="1"/>
  <c r="R21" i="1"/>
  <c r="M23" i="1" l="1"/>
  <c r="N23" i="1" s="1"/>
  <c r="O23" i="1" s="1"/>
  <c r="P23" i="1" s="1"/>
  <c r="Q23" i="1" s="1"/>
  <c r="R22" i="1"/>
  <c r="M24" i="1" l="1"/>
  <c r="N24" i="1" s="1"/>
  <c r="O24" i="1" s="1"/>
  <c r="P24" i="1" s="1"/>
  <c r="Q24" i="1" s="1"/>
  <c r="R24" i="1" s="1"/>
  <c r="R23" i="1"/>
</calcChain>
</file>

<file path=xl/sharedStrings.xml><?xml version="1.0" encoding="utf-8"?>
<sst xmlns="http://schemas.openxmlformats.org/spreadsheetml/2006/main" count="45" uniqueCount="26">
  <si>
    <t>s</t>
  </si>
  <si>
    <t>n</t>
  </si>
  <si>
    <t>B</t>
  </si>
  <si>
    <t>z</t>
  </si>
  <si>
    <t>df</t>
  </si>
  <si>
    <t>t</t>
  </si>
  <si>
    <t>using goalseek</t>
  </si>
  <si>
    <t>1st guess based on normal distribution</t>
  </si>
  <si>
    <t>t-distribution</t>
  </si>
  <si>
    <t xml:space="preserve"> α</t>
  </si>
  <si>
    <t>xi</t>
  </si>
  <si>
    <t>x_avg</t>
  </si>
  <si>
    <t>xi-x_avg</t>
  </si>
  <si>
    <t>Standard Error</t>
  </si>
  <si>
    <r>
      <t>Z</t>
    </r>
    <r>
      <rPr>
        <b/>
        <vertAlign val="subscript"/>
        <sz val="11"/>
        <color theme="1"/>
        <rFont val="Calibri"/>
        <family val="2"/>
        <scheme val="minor"/>
      </rPr>
      <t>0.025</t>
    </r>
  </si>
  <si>
    <r>
      <t>x_avg+(Z</t>
    </r>
    <r>
      <rPr>
        <b/>
        <vertAlign val="subscript"/>
        <sz val="11"/>
        <color theme="1"/>
        <rFont val="Calibri"/>
        <family val="2"/>
        <scheme val="minor"/>
      </rPr>
      <t>0.025</t>
    </r>
    <r>
      <rPr>
        <b/>
        <sz val="11"/>
        <color theme="1"/>
        <rFont val="Calibri"/>
        <family val="2"/>
        <scheme val="minor"/>
      </rPr>
      <t>*Standard error)</t>
    </r>
  </si>
  <si>
    <r>
      <t>x_avg-(Z</t>
    </r>
    <r>
      <rPr>
        <b/>
        <vertAlign val="subscript"/>
        <sz val="11"/>
        <color theme="1"/>
        <rFont val="Calibri"/>
        <family val="2"/>
        <scheme val="minor"/>
      </rPr>
      <t>0.025</t>
    </r>
    <r>
      <rPr>
        <b/>
        <sz val="11"/>
        <color theme="1"/>
        <rFont val="Calibri"/>
        <family val="2"/>
        <scheme val="minor"/>
      </rPr>
      <t>*Standard error)</t>
    </r>
  </si>
  <si>
    <t>SL</t>
  </si>
  <si>
    <t>For Normal Distribution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</si>
  <si>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0.025</t>
    </r>
  </si>
  <si>
    <r>
      <t>x_avg+(t</t>
    </r>
    <r>
      <rPr>
        <b/>
        <vertAlign val="subscript"/>
        <sz val="11"/>
        <color theme="1"/>
        <rFont val="Calibri"/>
        <family val="2"/>
        <scheme val="minor"/>
      </rPr>
      <t>0.025</t>
    </r>
    <r>
      <rPr>
        <b/>
        <sz val="11"/>
        <color theme="1"/>
        <rFont val="Calibri"/>
        <family val="2"/>
        <scheme val="minor"/>
      </rPr>
      <t>*Standard error)</t>
    </r>
  </si>
  <si>
    <r>
      <t>x_avg-(t</t>
    </r>
    <r>
      <rPr>
        <b/>
        <vertAlign val="subscript"/>
        <sz val="11"/>
        <color theme="1"/>
        <rFont val="Calibri"/>
        <family val="2"/>
        <scheme val="minor"/>
      </rPr>
      <t>0.025</t>
    </r>
    <r>
      <rPr>
        <b/>
        <sz val="11"/>
        <color theme="1"/>
        <rFont val="Calibri"/>
        <family val="2"/>
        <scheme val="minor"/>
      </rPr>
      <t>*Standard error)</t>
    </r>
  </si>
  <si>
    <t>For t-Distribution</t>
  </si>
  <si>
    <t>CI</t>
  </si>
  <si>
    <t>n(initial)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</si>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</sst>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4" borderId="35" applyNumberFormat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2" borderId="1" xfId="1" applyAlignment="1">
      <alignment horizontal="center"/>
    </xf>
    <xf numFmtId="0" fontId="1" fillId="2" borderId="27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4" fillId="4" borderId="35" xfId="2" applyAlignment="1">
      <alignment horizontal="center"/>
    </xf>
    <xf numFmtId="0" fontId="4" fillId="4" borderId="35" xfId="2" applyAlignment="1">
      <alignment horizontal="center" vertical="center"/>
    </xf>
  </cellXfs>
  <cellStyles count="3">
    <cellStyle name="Check Cell" xfId="1" builtinId="23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137160</xdr:colOff>
      <xdr:row>4</xdr:row>
      <xdr:rowOff>99060</xdr:rowOff>
    </xdr:from>
    <xdr:ext cx="1524000" cy="670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5387340" y="830580"/>
              <a:ext cx="1524000" cy="67056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2800" b="0" i="1">
                      <a:latin typeface="Cambria Math" panose="02040503050406030204" pitchFamily="18" charset="0"/>
                    </a:rPr>
                    <m:t>𝑛</m:t>
                  </m:r>
                  <m:r>
                    <a:rPr lang="en-US" sz="2800" b="0" i="1">
                      <a:latin typeface="Cambria Math" panose="02040503050406030204" pitchFamily="18" charset="0"/>
                    </a:rPr>
                    <m:t>=(</m:t>
                  </m:r>
                  <m:f>
                    <m:fPr>
                      <m:ctrlPr>
                        <a:rPr lang="en-US" sz="28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2800" b="0" i="1">
                          <a:latin typeface="Cambria Math" panose="02040503050406030204" pitchFamily="18" charset="0"/>
                        </a:rPr>
                        <m:t>𝑧𝑠</m:t>
                      </m:r>
                    </m:num>
                    <m:den>
                      <m:r>
                        <a:rPr lang="en-US" sz="2800" b="0" i="1">
                          <a:latin typeface="Cambria Math" panose="02040503050406030204" pitchFamily="18" charset="0"/>
                        </a:rPr>
                        <m:t>𝐵</m:t>
                      </m:r>
                    </m:den>
                  </m:f>
                </m:oMath>
              </a14:m>
              <a:r>
                <a:rPr lang="en-US" sz="2800"/>
                <a:t>)</a:t>
              </a:r>
              <a:r>
                <a:rPr lang="en-US" sz="2400" baseline="30000"/>
                <a:t>2</a:t>
              </a:r>
              <a:endParaRPr lang="en-US" sz="24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5387340" y="830580"/>
              <a:ext cx="1524000" cy="67056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2800" b="0" i="0">
                  <a:latin typeface="Cambria Math" panose="02040503050406030204" pitchFamily="18" charset="0"/>
                </a:rPr>
                <a:t>𝑛=(𝑧𝑠/𝐵</a:t>
              </a:r>
              <a:r>
                <a:rPr lang="en-US" sz="2800"/>
                <a:t>)</a:t>
              </a:r>
              <a:r>
                <a:rPr lang="en-US" sz="2400" baseline="30000"/>
                <a:t>2</a:t>
              </a:r>
              <a:endParaRPr lang="en-US" sz="24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556260</xdr:colOff>
      <xdr:row>10</xdr:row>
      <xdr:rowOff>144780</xdr:rowOff>
    </xdr:from>
    <xdr:ext cx="1516380" cy="7391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6042660" y="2011680"/>
              <a:ext cx="1516380" cy="73914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14:m>
                <m:oMath xmlns:m="http://schemas.openxmlformats.org/officeDocument/2006/math">
                  <m:r>
                    <a:rPr lang="en-US" sz="2800" b="0" i="1">
                      <a:latin typeface="Cambria Math" panose="02040503050406030204" pitchFamily="18" charset="0"/>
                    </a:rPr>
                    <m:t>𝑛</m:t>
                  </m:r>
                  <m:r>
                    <a:rPr lang="en-US" sz="2800" b="0" i="1">
                      <a:latin typeface="Cambria Math" panose="02040503050406030204" pitchFamily="18" charset="0"/>
                    </a:rPr>
                    <m:t>=(</m:t>
                  </m:r>
                  <m:f>
                    <m:fPr>
                      <m:ctrlPr>
                        <a:rPr lang="en-US" sz="28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2800" b="0" i="1">
                          <a:latin typeface="Cambria Math" panose="02040503050406030204" pitchFamily="18" charset="0"/>
                        </a:rPr>
                        <m:t>𝑡𝑠</m:t>
                      </m:r>
                    </m:num>
                    <m:den>
                      <m:r>
                        <a:rPr lang="en-US" sz="2800" b="0" i="1">
                          <a:latin typeface="Cambria Math" panose="02040503050406030204" pitchFamily="18" charset="0"/>
                        </a:rPr>
                        <m:t>𝐵</m:t>
                      </m:r>
                    </m:den>
                  </m:f>
                </m:oMath>
              </a14:m>
              <a:r>
                <a:rPr lang="en-US" sz="2800"/>
                <a:t>)</a:t>
              </a:r>
              <a:r>
                <a:rPr lang="en-US" sz="2400" baseline="30000"/>
                <a:t>2</a:t>
              </a:r>
              <a:endParaRPr lang="en-US" sz="24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6042660" y="2011680"/>
              <a:ext cx="1516380" cy="739140"/>
            </a:xfrm>
            <a:prstGeom prst="rect">
              <a:avLst/>
            </a:prstGeom>
            <a:solidFill>
              <a:schemeClr val="bg2">
                <a:lumMod val="9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2800" b="0" i="0">
                  <a:latin typeface="Cambria Math" panose="02040503050406030204" pitchFamily="18" charset="0"/>
                </a:rPr>
                <a:t>𝑛=(𝑡𝑠/𝐵</a:t>
              </a:r>
              <a:r>
                <a:rPr lang="en-US" sz="2800"/>
                <a:t>)</a:t>
              </a:r>
              <a:r>
                <a:rPr lang="en-US" sz="2400" baseline="30000"/>
                <a:t>2</a:t>
              </a:r>
              <a:endParaRPr lang="en-US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M49"/>
  <sheetViews>
    <sheetView tabSelected="1" topLeftCell="A28" workbookViewId="0">
      <selection activeCell="J24" sqref="J24"/>
    </sheetView>
  </sheetViews>
  <sheetFormatPr defaultRowHeight="14.4" x14ac:dyDescent="0.3"/>
  <cols>
    <col min="1" max="4" width="8.88671875" style="15"/>
    <col min="5" max="5" width="13.77734375" style="15" customWidth="1"/>
    <col min="6" max="6" width="11.5546875" style="15" customWidth="1"/>
    <col min="7" max="7" width="15.6640625" style="15" customWidth="1"/>
    <col min="8" max="8" width="11.5546875" style="15" bestFit="1" customWidth="1"/>
    <col min="9" max="10" width="8.88671875" style="15"/>
    <col min="11" max="11" width="29.6640625" style="15" customWidth="1"/>
    <col min="12" max="12" width="27" style="15" customWidth="1"/>
    <col min="13" max="16384" width="8.88671875" style="15"/>
  </cols>
  <sheetData>
    <row r="5" spans="4:13" ht="15" thickBot="1" x14ac:dyDescent="0.35"/>
    <row r="6" spans="4:13" ht="15" thickBot="1" x14ac:dyDescent="0.35">
      <c r="E6" s="33" t="s">
        <v>2</v>
      </c>
      <c r="F6" s="34">
        <f>1</f>
        <v>1</v>
      </c>
    </row>
    <row r="8" spans="4:13" ht="15" thickBot="1" x14ac:dyDescent="0.35"/>
    <row r="9" spans="4:13" ht="15.6" thickTop="1" thickBot="1" x14ac:dyDescent="0.35">
      <c r="D9" s="35" t="s">
        <v>18</v>
      </c>
      <c r="E9" s="35"/>
    </row>
    <row r="10" spans="4:13" ht="15.6" thickTop="1" thickBot="1" x14ac:dyDescent="0.35">
      <c r="K10" s="36" t="s">
        <v>23</v>
      </c>
      <c r="L10" s="36"/>
    </row>
    <row r="11" spans="4:13" ht="29.4" thickBot="1" x14ac:dyDescent="0.35">
      <c r="D11" s="28" t="s">
        <v>17</v>
      </c>
      <c r="E11" s="29" t="s">
        <v>10</v>
      </c>
      <c r="F11" s="30" t="s">
        <v>11</v>
      </c>
      <c r="G11" s="29" t="s">
        <v>12</v>
      </c>
      <c r="H11" s="29" t="s">
        <v>0</v>
      </c>
      <c r="I11" s="29" t="s">
        <v>13</v>
      </c>
      <c r="J11" s="29" t="s">
        <v>14</v>
      </c>
      <c r="K11" s="31" t="s">
        <v>15</v>
      </c>
      <c r="L11" s="31" t="s">
        <v>16</v>
      </c>
      <c r="M11" s="32" t="s">
        <v>24</v>
      </c>
    </row>
    <row r="12" spans="4:13" x14ac:dyDescent="0.3">
      <c r="D12" s="25">
        <v>1</v>
      </c>
      <c r="E12" s="26">
        <v>452.3</v>
      </c>
      <c r="F12" s="27">
        <f>AVERAGE(E12:E26)</f>
        <v>450.68666666666661</v>
      </c>
      <c r="G12" s="26">
        <f t="shared" ref="G12:G26" si="0">(E12-$F$12)^2</f>
        <v>2.6028444444446621</v>
      </c>
      <c r="H12" s="26">
        <f>SQRT(SUM(G12:G26)/(15-1))</f>
        <v>2.410650969186154</v>
      </c>
      <c r="I12" s="25">
        <f>H12/SQRT(15)</f>
        <v>0.62242740381178285</v>
      </c>
      <c r="J12" s="25">
        <v>1.96</v>
      </c>
      <c r="K12" s="25">
        <f>F12+(J12*I12)</f>
        <v>451.90662437813768</v>
      </c>
      <c r="L12" s="25">
        <f>F12-(J12*I12)</f>
        <v>449.46670895519554</v>
      </c>
      <c r="M12" s="25">
        <f>(J12*H12/F6)^2</f>
        <v>22.324452266666849</v>
      </c>
    </row>
    <row r="13" spans="4:13" x14ac:dyDescent="0.3">
      <c r="D13" s="23">
        <v>2</v>
      </c>
      <c r="E13" s="24">
        <v>448.7</v>
      </c>
      <c r="G13" s="24">
        <f t="shared" si="0"/>
        <v>3.9468444444442667</v>
      </c>
      <c r="H13" s="14"/>
    </row>
    <row r="14" spans="4:13" x14ac:dyDescent="0.3">
      <c r="D14" s="23">
        <v>3</v>
      </c>
      <c r="E14" s="24">
        <v>450.1</v>
      </c>
      <c r="G14" s="24">
        <f t="shared" si="0"/>
        <v>0.34417777777768527</v>
      </c>
      <c r="H14" s="14"/>
    </row>
    <row r="15" spans="4:13" x14ac:dyDescent="0.3">
      <c r="D15" s="23">
        <v>4</v>
      </c>
      <c r="E15" s="24">
        <v>453.5</v>
      </c>
      <c r="G15" s="24">
        <f t="shared" si="0"/>
        <v>7.9148444444447597</v>
      </c>
      <c r="H15" s="14"/>
    </row>
    <row r="16" spans="4:13" x14ac:dyDescent="0.3">
      <c r="D16" s="23">
        <v>5</v>
      </c>
      <c r="E16" s="24">
        <v>446.2</v>
      </c>
      <c r="G16" s="24">
        <f t="shared" si="0"/>
        <v>20.130177777777376</v>
      </c>
      <c r="H16" s="14"/>
    </row>
    <row r="17" spans="4:8" x14ac:dyDescent="0.3">
      <c r="D17" s="23">
        <v>6</v>
      </c>
      <c r="E17" s="24">
        <v>451.8</v>
      </c>
      <c r="G17" s="24">
        <f t="shared" si="0"/>
        <v>1.2395111111112613</v>
      </c>
      <c r="H17" s="14"/>
    </row>
    <row r="18" spans="4:8" x14ac:dyDescent="0.3">
      <c r="D18" s="23">
        <v>7</v>
      </c>
      <c r="E18" s="24">
        <v>449.4</v>
      </c>
      <c r="G18" s="24">
        <f t="shared" si="0"/>
        <v>1.6555111111110252</v>
      </c>
      <c r="H18" s="14"/>
    </row>
    <row r="19" spans="4:8" x14ac:dyDescent="0.3">
      <c r="D19" s="23">
        <v>8</v>
      </c>
      <c r="E19" s="24">
        <v>452.6</v>
      </c>
      <c r="G19" s="24">
        <f t="shared" si="0"/>
        <v>3.6608444444447459</v>
      </c>
      <c r="H19" s="14"/>
    </row>
    <row r="20" spans="4:8" x14ac:dyDescent="0.3">
      <c r="D20" s="23">
        <v>9</v>
      </c>
      <c r="E20" s="24">
        <v>455.1</v>
      </c>
      <c r="G20" s="24">
        <f t="shared" si="0"/>
        <v>19.477511111111806</v>
      </c>
      <c r="H20" s="14"/>
    </row>
    <row r="21" spans="4:8" x14ac:dyDescent="0.3">
      <c r="D21" s="23">
        <v>10</v>
      </c>
      <c r="E21" s="24">
        <v>449.8</v>
      </c>
      <c r="G21" s="24">
        <f t="shared" si="0"/>
        <v>0.78617777777765818</v>
      </c>
      <c r="H21" s="14"/>
    </row>
    <row r="22" spans="4:8" x14ac:dyDescent="0.3">
      <c r="D22" s="23">
        <v>11</v>
      </c>
      <c r="E22" s="24">
        <v>451.2</v>
      </c>
      <c r="G22" s="24">
        <f t="shared" si="0"/>
        <v>0.26351111111115705</v>
      </c>
      <c r="H22" s="14"/>
    </row>
    <row r="23" spans="4:8" x14ac:dyDescent="0.3">
      <c r="D23" s="23">
        <v>12</v>
      </c>
      <c r="E23" s="24">
        <v>447.9</v>
      </c>
      <c r="G23" s="24">
        <f t="shared" si="0"/>
        <v>7.765511111110925</v>
      </c>
      <c r="H23" s="14"/>
    </row>
    <row r="24" spans="4:8" x14ac:dyDescent="0.3">
      <c r="D24" s="23">
        <v>13</v>
      </c>
      <c r="E24" s="24">
        <v>453</v>
      </c>
      <c r="G24" s="24">
        <f t="shared" si="0"/>
        <v>5.3515111111113702</v>
      </c>
      <c r="H24" s="14"/>
    </row>
    <row r="25" spans="4:8" x14ac:dyDescent="0.3">
      <c r="D25" s="23">
        <v>14</v>
      </c>
      <c r="E25" s="24">
        <v>450.5</v>
      </c>
      <c r="G25" s="24">
        <f t="shared" si="0"/>
        <v>3.4844444444423507E-2</v>
      </c>
      <c r="H25" s="14"/>
    </row>
    <row r="26" spans="4:8" x14ac:dyDescent="0.3">
      <c r="D26" s="23">
        <v>15</v>
      </c>
      <c r="E26" s="24">
        <v>448.2</v>
      </c>
      <c r="G26" s="24">
        <f t="shared" si="0"/>
        <v>6.1835111111108887</v>
      </c>
      <c r="H26" s="14"/>
    </row>
    <row r="31" spans="4:8" ht="15" thickBot="1" x14ac:dyDescent="0.35"/>
    <row r="32" spans="4:8" ht="15.6" thickTop="1" thickBot="1" x14ac:dyDescent="0.35">
      <c r="D32" s="35" t="s">
        <v>22</v>
      </c>
      <c r="E32" s="35"/>
    </row>
    <row r="33" spans="4:12" ht="15.6" thickTop="1" thickBot="1" x14ac:dyDescent="0.35">
      <c r="K33" s="36" t="s">
        <v>23</v>
      </c>
      <c r="L33" s="36"/>
    </row>
    <row r="34" spans="4:12" ht="29.4" thickBot="1" x14ac:dyDescent="0.35">
      <c r="D34" s="28" t="s">
        <v>17</v>
      </c>
      <c r="E34" s="29" t="s">
        <v>10</v>
      </c>
      <c r="F34" s="30" t="s">
        <v>11</v>
      </c>
      <c r="G34" s="29" t="s">
        <v>12</v>
      </c>
      <c r="H34" s="29" t="s">
        <v>0</v>
      </c>
      <c r="I34" s="29" t="s">
        <v>13</v>
      </c>
      <c r="J34" s="29" t="s">
        <v>19</v>
      </c>
      <c r="K34" s="31" t="s">
        <v>20</v>
      </c>
      <c r="L34" s="32" t="s">
        <v>21</v>
      </c>
    </row>
    <row r="35" spans="4:12" x14ac:dyDescent="0.3">
      <c r="D35" s="25">
        <v>1</v>
      </c>
      <c r="E35" s="26">
        <v>452.3</v>
      </c>
      <c r="F35" s="27">
        <f>AVERAGE(E35:E49)</f>
        <v>450.68666666666661</v>
      </c>
      <c r="G35" s="26">
        <f t="shared" ref="G35:G49" si="1">(E35-$F$12)^2</f>
        <v>2.6028444444446621</v>
      </c>
      <c r="H35" s="26">
        <f>SQRT(SUM(G35:G49)/(15-1))</f>
        <v>2.410650969186154</v>
      </c>
      <c r="I35" s="25">
        <f>H35/SQRT(15)</f>
        <v>0.62242740381178285</v>
      </c>
      <c r="J35" s="25">
        <f>_xlfn.T.INV.2T(0.05,14)</f>
        <v>2.1447866879178044</v>
      </c>
      <c r="K35" s="25">
        <f>F35+(J35*I35)</f>
        <v>452.02164067655735</v>
      </c>
      <c r="L35" s="25">
        <f>F35-(J35*I35)</f>
        <v>449.35169265677587</v>
      </c>
    </row>
    <row r="36" spans="4:12" x14ac:dyDescent="0.3">
      <c r="D36" s="23">
        <v>2</v>
      </c>
      <c r="E36" s="24">
        <v>448.7</v>
      </c>
      <c r="G36" s="24">
        <f t="shared" si="1"/>
        <v>3.9468444444442667</v>
      </c>
      <c r="H36" s="14"/>
    </row>
    <row r="37" spans="4:12" x14ac:dyDescent="0.3">
      <c r="D37" s="23">
        <v>3</v>
      </c>
      <c r="E37" s="24">
        <v>450.1</v>
      </c>
      <c r="G37" s="24">
        <f t="shared" si="1"/>
        <v>0.34417777777768527</v>
      </c>
      <c r="H37" s="14"/>
    </row>
    <row r="38" spans="4:12" x14ac:dyDescent="0.3">
      <c r="D38" s="23">
        <v>4</v>
      </c>
      <c r="E38" s="24">
        <v>453.5</v>
      </c>
      <c r="G38" s="24">
        <f t="shared" si="1"/>
        <v>7.9148444444447597</v>
      </c>
      <c r="H38" s="14"/>
    </row>
    <row r="39" spans="4:12" x14ac:dyDescent="0.3">
      <c r="D39" s="23">
        <v>5</v>
      </c>
      <c r="E39" s="24">
        <v>446.2</v>
      </c>
      <c r="G39" s="24">
        <f t="shared" si="1"/>
        <v>20.130177777777376</v>
      </c>
      <c r="H39" s="14"/>
    </row>
    <row r="40" spans="4:12" x14ac:dyDescent="0.3">
      <c r="D40" s="23">
        <v>6</v>
      </c>
      <c r="E40" s="24">
        <v>451.8</v>
      </c>
      <c r="G40" s="24">
        <f t="shared" si="1"/>
        <v>1.2395111111112613</v>
      </c>
      <c r="H40" s="14"/>
    </row>
    <row r="41" spans="4:12" x14ac:dyDescent="0.3">
      <c r="D41" s="23">
        <v>7</v>
      </c>
      <c r="E41" s="24">
        <v>449.4</v>
      </c>
      <c r="G41" s="24">
        <f t="shared" si="1"/>
        <v>1.6555111111110252</v>
      </c>
      <c r="H41" s="14"/>
    </row>
    <row r="42" spans="4:12" x14ac:dyDescent="0.3">
      <c r="D42" s="23">
        <v>8</v>
      </c>
      <c r="E42" s="24">
        <v>452.6</v>
      </c>
      <c r="G42" s="24">
        <f t="shared" si="1"/>
        <v>3.6608444444447459</v>
      </c>
      <c r="H42" s="14"/>
    </row>
    <row r="43" spans="4:12" x14ac:dyDescent="0.3">
      <c r="D43" s="23">
        <v>9</v>
      </c>
      <c r="E43" s="24">
        <v>455.1</v>
      </c>
      <c r="G43" s="24">
        <f t="shared" si="1"/>
        <v>19.477511111111806</v>
      </c>
      <c r="H43" s="14"/>
    </row>
    <row r="44" spans="4:12" x14ac:dyDescent="0.3">
      <c r="D44" s="23">
        <v>10</v>
      </c>
      <c r="E44" s="24">
        <v>449.8</v>
      </c>
      <c r="G44" s="24">
        <f t="shared" si="1"/>
        <v>0.78617777777765818</v>
      </c>
      <c r="H44" s="14"/>
    </row>
    <row r="45" spans="4:12" x14ac:dyDescent="0.3">
      <c r="D45" s="23">
        <v>11</v>
      </c>
      <c r="E45" s="24">
        <v>451.2</v>
      </c>
      <c r="G45" s="24">
        <f t="shared" si="1"/>
        <v>0.26351111111115705</v>
      </c>
      <c r="H45" s="14"/>
    </row>
    <row r="46" spans="4:12" x14ac:dyDescent="0.3">
      <c r="D46" s="23">
        <v>12</v>
      </c>
      <c r="E46" s="24">
        <v>447.9</v>
      </c>
      <c r="G46" s="24">
        <f t="shared" si="1"/>
        <v>7.765511111110925</v>
      </c>
      <c r="H46" s="14"/>
    </row>
    <row r="47" spans="4:12" x14ac:dyDescent="0.3">
      <c r="D47" s="23">
        <v>13</v>
      </c>
      <c r="E47" s="24">
        <v>453</v>
      </c>
      <c r="G47" s="24">
        <f t="shared" si="1"/>
        <v>5.3515111111113702</v>
      </c>
      <c r="H47" s="14"/>
    </row>
    <row r="48" spans="4:12" x14ac:dyDescent="0.3">
      <c r="D48" s="23">
        <v>14</v>
      </c>
      <c r="E48" s="24">
        <v>450.5</v>
      </c>
      <c r="G48" s="24">
        <f t="shared" si="1"/>
        <v>3.4844444444423507E-2</v>
      </c>
      <c r="H48" s="14"/>
    </row>
    <row r="49" spans="4:8" x14ac:dyDescent="0.3">
      <c r="D49" s="23">
        <v>15</v>
      </c>
      <c r="E49" s="24">
        <v>448.2</v>
      </c>
      <c r="G49" s="24">
        <f t="shared" si="1"/>
        <v>6.1835111111108887</v>
      </c>
      <c r="H49" s="14"/>
    </row>
  </sheetData>
  <mergeCells count="4">
    <mergeCell ref="D9:E9"/>
    <mergeCell ref="D32:E32"/>
    <mergeCell ref="K33:L33"/>
    <mergeCell ref="K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S25"/>
  <sheetViews>
    <sheetView topLeftCell="D1" workbookViewId="0">
      <selection activeCell="Q13" sqref="Q13"/>
    </sheetView>
  </sheetViews>
  <sheetFormatPr defaultRowHeight="14.4" x14ac:dyDescent="0.3"/>
  <cols>
    <col min="1" max="18" width="8.88671875" style="1"/>
    <col min="19" max="19" width="13.6640625" style="1" customWidth="1"/>
    <col min="20" max="16384" width="8.88671875" style="1"/>
  </cols>
  <sheetData>
    <row r="7" spans="12:19" ht="15" thickBot="1" x14ac:dyDescent="0.35"/>
    <row r="8" spans="12:19" ht="15" thickBot="1" x14ac:dyDescent="0.35">
      <c r="L8" s="47" t="s">
        <v>6</v>
      </c>
      <c r="M8" s="47"/>
      <c r="N8" s="2" t="s">
        <v>1</v>
      </c>
      <c r="O8" s="20" t="s">
        <v>1</v>
      </c>
      <c r="P8" s="2" t="s">
        <v>4</v>
      </c>
      <c r="Q8" s="2" t="s">
        <v>5</v>
      </c>
      <c r="R8" s="2" t="s">
        <v>1</v>
      </c>
      <c r="S8" s="3" t="s">
        <v>25</v>
      </c>
    </row>
    <row r="9" spans="12:19" ht="15" thickBot="1" x14ac:dyDescent="0.35">
      <c r="L9" s="1" t="s">
        <v>1</v>
      </c>
      <c r="M9" s="2">
        <v>24.753997840477592</v>
      </c>
      <c r="N9" s="2">
        <f>M9</f>
        <v>24.753997840477592</v>
      </c>
      <c r="O9" s="43">
        <f>CEILING(N9,1)</f>
        <v>25</v>
      </c>
      <c r="P9" s="2">
        <f>O9-1</f>
        <v>24</v>
      </c>
      <c r="Q9" s="2">
        <f>_xlfn.T.INV.2T($G$21,P9)</f>
        <v>2.0638985616280254</v>
      </c>
      <c r="R9" s="2">
        <f>(Q9*$F$21/$H$21)^2</f>
        <v>24.753998840477593</v>
      </c>
      <c r="S9" s="2">
        <f>R9-N9</f>
        <v>1.0000000010279564E-6</v>
      </c>
    </row>
    <row r="17" spans="6:18" ht="15" thickBot="1" x14ac:dyDescent="0.35"/>
    <row r="18" spans="6:18" x14ac:dyDescent="0.3">
      <c r="F18" s="37" t="s">
        <v>7</v>
      </c>
      <c r="G18" s="38"/>
      <c r="H18" s="38"/>
      <c r="I18" s="38"/>
      <c r="J18" s="39"/>
      <c r="M18" s="48" t="s">
        <v>8</v>
      </c>
      <c r="N18" s="48"/>
      <c r="O18" s="48"/>
      <c r="P18" s="48"/>
      <c r="Q18" s="48"/>
      <c r="R18" s="48"/>
    </row>
    <row r="19" spans="6:18" ht="15" thickBot="1" x14ac:dyDescent="0.35">
      <c r="F19" s="40"/>
      <c r="G19" s="41"/>
      <c r="H19" s="41"/>
      <c r="I19" s="41"/>
      <c r="J19" s="42"/>
      <c r="M19" s="48"/>
      <c r="N19" s="48"/>
      <c r="O19" s="48"/>
      <c r="P19" s="48"/>
      <c r="Q19" s="48"/>
      <c r="R19" s="48"/>
    </row>
    <row r="20" spans="6:18" x14ac:dyDescent="0.3">
      <c r="F20" s="4" t="s">
        <v>0</v>
      </c>
      <c r="G20" s="5" t="s">
        <v>9</v>
      </c>
      <c r="H20" s="5" t="s">
        <v>2</v>
      </c>
      <c r="I20" s="5" t="s">
        <v>3</v>
      </c>
      <c r="J20" s="6" t="s">
        <v>1</v>
      </c>
      <c r="M20" s="16" t="s">
        <v>1</v>
      </c>
      <c r="N20" s="21" t="s">
        <v>1</v>
      </c>
      <c r="O20" s="18" t="s">
        <v>4</v>
      </c>
      <c r="P20" s="5" t="s">
        <v>5</v>
      </c>
      <c r="Q20" s="5" t="s">
        <v>1</v>
      </c>
      <c r="R20" s="6" t="s">
        <v>25</v>
      </c>
    </row>
    <row r="21" spans="6:18" ht="15" thickBot="1" x14ac:dyDescent="0.35">
      <c r="F21" s="7">
        <v>2.410650969186154</v>
      </c>
      <c r="G21" s="8">
        <v>0.05</v>
      </c>
      <c r="H21" s="8">
        <v>1</v>
      </c>
      <c r="I21" s="8">
        <v>1.96</v>
      </c>
      <c r="J21" s="9">
        <v>22.324449999999999</v>
      </c>
      <c r="M21" s="17">
        <f>J21</f>
        <v>22.324449999999999</v>
      </c>
      <c r="N21" s="22">
        <f>CEILING(M21,1)</f>
        <v>23</v>
      </c>
      <c r="O21" s="19">
        <f>N21-1</f>
        <v>22</v>
      </c>
      <c r="P21" s="10">
        <f>_xlfn.T.INV.2T($G$21,O21)</f>
        <v>2.0738730679040258</v>
      </c>
      <c r="Q21" s="10">
        <f>(P21*$F$21/$H$21)^2</f>
        <v>24.993841590425824</v>
      </c>
      <c r="R21" s="11">
        <f>Q21-M21</f>
        <v>2.6693915904258247</v>
      </c>
    </row>
    <row r="22" spans="6:18" x14ac:dyDescent="0.3">
      <c r="M22" s="17">
        <f>Q21</f>
        <v>24.993841590425824</v>
      </c>
      <c r="N22" s="22">
        <f t="shared" ref="N22:N24" si="0">CEILING(M22,1)</f>
        <v>25</v>
      </c>
      <c r="O22" s="19">
        <f>N22-1</f>
        <v>24</v>
      </c>
      <c r="P22" s="10">
        <f>_xlfn.T.INV.2T($G$21,O22)</f>
        <v>2.0638985616280254</v>
      </c>
      <c r="Q22" s="10">
        <f>(P22*$F$21/$H$21)^2</f>
        <v>24.753998840477593</v>
      </c>
      <c r="R22" s="11">
        <f>Q22-M22</f>
        <v>-0.23984274994823096</v>
      </c>
    </row>
    <row r="23" spans="6:18" ht="15" thickBot="1" x14ac:dyDescent="0.35">
      <c r="M23" s="44">
        <f>Q22</f>
        <v>24.753998840477593</v>
      </c>
      <c r="N23" s="45">
        <f t="shared" si="0"/>
        <v>25</v>
      </c>
      <c r="O23" s="12">
        <f>N23-1</f>
        <v>24</v>
      </c>
      <c r="P23" s="8">
        <f>_xlfn.T.INV.2T($G$21,O23)</f>
        <v>2.0638985616280254</v>
      </c>
      <c r="Q23" s="8">
        <f>(P23*$F$21/$H$21)^2</f>
        <v>24.753998840477593</v>
      </c>
      <c r="R23" s="9">
        <f>Q23-M23</f>
        <v>0</v>
      </c>
    </row>
    <row r="24" spans="6:18" ht="15" thickBot="1" x14ac:dyDescent="0.35">
      <c r="M24" s="46">
        <f>Q23</f>
        <v>24.753998840477593</v>
      </c>
      <c r="N24" s="43">
        <f t="shared" si="0"/>
        <v>25</v>
      </c>
      <c r="O24" s="12">
        <f>N24-1</f>
        <v>24</v>
      </c>
      <c r="P24" s="8">
        <f>_xlfn.T.INV.2T($G$21,O24)</f>
        <v>2.0638985616280254</v>
      </c>
      <c r="Q24" s="8">
        <f>(P24*$F$21/$H$21)^2</f>
        <v>24.753998840477593</v>
      </c>
      <c r="R24" s="9">
        <f>Q24-M24</f>
        <v>0</v>
      </c>
    </row>
    <row r="25" spans="6:18" x14ac:dyDescent="0.3">
      <c r="M25" s="13"/>
      <c r="N25" s="13"/>
      <c r="O25" s="13"/>
      <c r="P25" s="13"/>
      <c r="Q25" s="13"/>
      <c r="R25" s="13"/>
    </row>
  </sheetData>
  <mergeCells count="3">
    <mergeCell ref="F18:J19"/>
    <mergeCell ref="M18:R19"/>
    <mergeCell ref="L8:M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CI-determination</vt:lpstr>
      <vt:lpstr>n-value determination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2026-02-25T18:01:40Z</dcterms:modified>
</cp:coreProperties>
</file>