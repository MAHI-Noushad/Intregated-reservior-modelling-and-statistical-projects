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4_2\IRM\assignments\"/>
    </mc:Choice>
  </mc:AlternateContent>
  <bookViews>
    <workbookView xWindow="-108" yWindow="-108" windowWidth="23256" windowHeight="12720" activeTab="1"/>
  </bookViews>
  <sheets>
    <sheet name="Population-Sw" sheetId="1" r:id="rId1"/>
    <sheet name="Sampling-Sw" sheetId="2" r:id="rId2"/>
  </sheets>
  <definedNames>
    <definedName name="_xlnm._FilterDatabase" localSheetId="1" hidden="1">'Sampling-Sw'!$D$6:$H$2794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P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BA7" i="2" l="1"/>
  <c r="AZ7" i="2"/>
  <c r="AY7" i="2"/>
  <c r="AX7" i="2"/>
  <c r="BC8" i="2"/>
  <c r="AW26" i="2" l="1"/>
  <c r="AW24" i="2"/>
  <c r="AW22" i="2"/>
  <c r="AW20" i="2"/>
  <c r="AW18" i="2"/>
  <c r="AW16" i="2"/>
  <c r="AW14" i="2"/>
  <c r="AW12" i="2"/>
  <c r="AW10" i="2"/>
  <c r="AW8" i="2"/>
  <c r="H1710" i="2"/>
  <c r="H663" i="2"/>
  <c r="H1712" i="2"/>
  <c r="H881" i="2"/>
  <c r="H766" i="2"/>
  <c r="H962" i="2"/>
  <c r="H140" i="2"/>
  <c r="H1993" i="2"/>
  <c r="H1216" i="2"/>
  <c r="H1227" i="2"/>
  <c r="H2416" i="2"/>
  <c r="H902" i="2"/>
  <c r="H2142" i="2"/>
  <c r="H2217" i="2"/>
  <c r="H757" i="2"/>
  <c r="H2212" i="2"/>
  <c r="H682" i="2"/>
  <c r="H459" i="2"/>
  <c r="H300" i="2"/>
  <c r="H1506" i="2"/>
  <c r="H871" i="2"/>
  <c r="H2771" i="2"/>
  <c r="H410" i="2"/>
  <c r="H2323" i="2"/>
  <c r="H114" i="2"/>
  <c r="H439" i="2"/>
  <c r="H861" i="2"/>
  <c r="H45" i="2"/>
  <c r="H979" i="2"/>
  <c r="H2316" i="2"/>
  <c r="H1837" i="2"/>
  <c r="H2513" i="2"/>
  <c r="H2666" i="2"/>
  <c r="H1569" i="2"/>
  <c r="H1333" i="2"/>
  <c r="H113" i="2"/>
  <c r="H1511" i="2"/>
  <c r="H1962" i="2"/>
  <c r="H700" i="2"/>
  <c r="H803" i="2"/>
  <c r="H1841" i="2"/>
  <c r="H799" i="2"/>
  <c r="H1549" i="2"/>
  <c r="H90" i="2"/>
  <c r="H2730" i="2"/>
  <c r="H2130" i="2"/>
  <c r="H1098" i="2"/>
  <c r="H198" i="2"/>
  <c r="H517" i="2"/>
  <c r="H664" i="2"/>
  <c r="H485" i="2"/>
  <c r="H2646" i="2"/>
  <c r="H1820" i="2"/>
  <c r="H2624" i="2"/>
  <c r="H589" i="2"/>
  <c r="H1599" i="2"/>
  <c r="H896" i="2"/>
  <c r="H2536" i="2"/>
  <c r="H314" i="2"/>
  <c r="H349" i="2"/>
  <c r="H483" i="2"/>
  <c r="H1093" i="2"/>
  <c r="H2697" i="2"/>
  <c r="H2192" i="2"/>
  <c r="H2211" i="2"/>
  <c r="H2252" i="2"/>
  <c r="H505" i="2"/>
  <c r="H1036" i="2"/>
  <c r="H887" i="2"/>
  <c r="H1234" i="2"/>
  <c r="H535" i="2"/>
  <c r="H378" i="2"/>
  <c r="H1774" i="2"/>
  <c r="H2601" i="2"/>
  <c r="H1642" i="2"/>
  <c r="H94" i="2"/>
  <c r="H1223" i="2"/>
  <c r="H980" i="2"/>
  <c r="H747" i="2"/>
  <c r="H1374" i="2"/>
  <c r="H2258" i="2"/>
  <c r="H460" i="2"/>
  <c r="H713" i="2"/>
  <c r="H1999" i="2"/>
  <c r="H1394" i="2"/>
  <c r="H2519" i="2"/>
  <c r="H2710" i="2"/>
  <c r="H1756" i="2"/>
  <c r="H531" i="2"/>
  <c r="H1683" i="2"/>
  <c r="H486" i="2"/>
  <c r="H1337" i="2"/>
  <c r="H1413" i="2"/>
  <c r="H1427" i="2"/>
  <c r="H1454" i="2"/>
  <c r="H377" i="2"/>
  <c r="H736" i="2"/>
  <c r="H202" i="2"/>
  <c r="H2022" i="2"/>
  <c r="H1872" i="2"/>
  <c r="H1766" i="2"/>
  <c r="H2733" i="2"/>
  <c r="H1056" i="2"/>
  <c r="H586" i="2"/>
  <c r="H481" i="2"/>
  <c r="H1043" i="2"/>
  <c r="H2535" i="2"/>
  <c r="H1367" i="2"/>
  <c r="H2634" i="2"/>
  <c r="H1338" i="2"/>
  <c r="H2444" i="2"/>
  <c r="H1933" i="2"/>
  <c r="H1636" i="2"/>
  <c r="H1064" i="2"/>
  <c r="H1943" i="2"/>
  <c r="H621" i="2"/>
  <c r="H187" i="2"/>
  <c r="H2204" i="2"/>
  <c r="H1929" i="2"/>
  <c r="H2315" i="2"/>
  <c r="H778" i="2"/>
  <c r="H134" i="2"/>
  <c r="H411" i="2"/>
  <c r="H2098" i="2"/>
  <c r="H1038" i="2"/>
  <c r="H334" i="2"/>
  <c r="H2690" i="2"/>
  <c r="H238" i="2"/>
  <c r="H1051" i="2"/>
  <c r="H744" i="2"/>
  <c r="H234" i="2"/>
  <c r="H657" i="2"/>
  <c r="H652" i="2"/>
  <c r="H2638" i="2"/>
  <c r="H362" i="2"/>
  <c r="H1510" i="2"/>
  <c r="H2124" i="2"/>
  <c r="H322" i="2"/>
  <c r="H1533" i="2"/>
  <c r="H2012" i="2"/>
  <c r="H2453" i="2"/>
  <c r="H691" i="2"/>
  <c r="H1258" i="2"/>
  <c r="H2281" i="2"/>
  <c r="H1057" i="2"/>
  <c r="H520" i="2"/>
  <c r="H606" i="2"/>
  <c r="H1556" i="2"/>
  <c r="H1461" i="2"/>
  <c r="H2698" i="2"/>
  <c r="H2650" i="2"/>
  <c r="H1388" i="2"/>
  <c r="H1183" i="2"/>
  <c r="H2721" i="2"/>
  <c r="H416" i="2"/>
  <c r="H2302" i="2"/>
  <c r="H743" i="2"/>
  <c r="H2030" i="2"/>
  <c r="H2169" i="2"/>
  <c r="H2072" i="2"/>
  <c r="H739" i="2"/>
  <c r="H1127" i="2"/>
  <c r="H2033" i="2"/>
  <c r="H2627" i="2"/>
  <c r="H137" i="2"/>
  <c r="H1340" i="2"/>
  <c r="H2658" i="2"/>
  <c r="H1350" i="2"/>
  <c r="H903" i="2"/>
  <c r="H1164" i="2"/>
  <c r="H2463" i="2"/>
  <c r="H2410" i="2"/>
  <c r="H465" i="2"/>
  <c r="H787" i="2"/>
  <c r="H1748" i="2"/>
  <c r="H2674" i="2"/>
  <c r="H1620" i="2"/>
  <c r="H2664" i="2"/>
  <c r="H1779" i="2"/>
  <c r="H2084" i="2"/>
  <c r="H273" i="2"/>
  <c r="H2735" i="2"/>
  <c r="H1129" i="2"/>
  <c r="H147" i="2"/>
  <c r="H2707" i="2"/>
  <c r="H1879" i="2"/>
  <c r="H2041" i="2"/>
  <c r="H2476" i="2"/>
  <c r="H892" i="2"/>
  <c r="H72" i="2"/>
  <c r="H2642" i="2"/>
  <c r="H2544" i="2"/>
  <c r="H455" i="2"/>
  <c r="H2102" i="2"/>
  <c r="H1596" i="2"/>
  <c r="H175" i="2"/>
  <c r="H1563" i="2"/>
  <c r="H78" i="2"/>
  <c r="H329" i="2"/>
  <c r="H1758" i="2"/>
  <c r="H1541" i="2"/>
  <c r="H392" i="2"/>
  <c r="H22" i="2"/>
  <c r="H911" i="2"/>
  <c r="H1724" i="2"/>
  <c r="H1846" i="2"/>
  <c r="H1023" i="2"/>
  <c r="H1339" i="2"/>
  <c r="H451" i="2"/>
  <c r="H2527" i="2"/>
  <c r="H380" i="2"/>
  <c r="H1360" i="2"/>
  <c r="H2086" i="2"/>
  <c r="H895" i="2"/>
  <c r="H1236" i="2"/>
  <c r="H1877" i="2"/>
  <c r="H12" i="2"/>
  <c r="H83" i="2"/>
  <c r="H1529" i="2"/>
  <c r="H680" i="2"/>
  <c r="H29" i="2"/>
  <c r="H1539" i="2"/>
  <c r="H2754" i="2"/>
  <c r="H327" i="2"/>
  <c r="H2129" i="2"/>
  <c r="H2274" i="2"/>
  <c r="H846" i="2"/>
  <c r="H199" i="2"/>
  <c r="H347" i="2"/>
  <c r="H1444" i="2"/>
  <c r="H1143" i="2"/>
  <c r="H68" i="2"/>
  <c r="H1430" i="2"/>
  <c r="H1632" i="2"/>
  <c r="H1802" i="2"/>
  <c r="H240" i="2"/>
  <c r="H2616" i="2"/>
  <c r="H633" i="2"/>
  <c r="H960" i="2"/>
  <c r="H900" i="2"/>
  <c r="H731" i="2"/>
  <c r="H2199" i="2"/>
  <c r="H1816" i="2"/>
  <c r="H386" i="2"/>
  <c r="H1668" i="2"/>
  <c r="H513" i="2"/>
  <c r="H2442" i="2"/>
  <c r="H476" i="2"/>
  <c r="H2659" i="2"/>
  <c r="H651" i="2"/>
  <c r="H2054" i="2"/>
  <c r="H1186" i="2"/>
  <c r="H1199" i="2"/>
  <c r="H1489" i="2"/>
  <c r="H261" i="2"/>
  <c r="H2268" i="2"/>
  <c r="H1860" i="2"/>
  <c r="H1364" i="2"/>
  <c r="H2778" i="2"/>
  <c r="H1881" i="2"/>
  <c r="H2035" i="2"/>
  <c r="H126" i="2"/>
  <c r="H1022" i="2"/>
  <c r="H96" i="2"/>
  <c r="H1764" i="2"/>
  <c r="H2440" i="2"/>
  <c r="H560" i="2"/>
  <c r="H1505" i="2"/>
  <c r="H1604" i="2"/>
  <c r="H2341" i="2"/>
  <c r="H2195" i="2"/>
  <c r="H1179" i="2"/>
  <c r="H266" i="2"/>
  <c r="H2615" i="2"/>
  <c r="H1390" i="2"/>
  <c r="H2357" i="2"/>
  <c r="H1921" i="2"/>
  <c r="H993" i="2"/>
  <c r="H21" i="2"/>
  <c r="H687" i="2"/>
  <c r="H683" i="2"/>
  <c r="H431" i="2"/>
  <c r="H2255" i="2"/>
  <c r="H1495" i="2"/>
  <c r="H80" i="2"/>
  <c r="H498" i="2"/>
  <c r="H182" i="2"/>
  <c r="H1426" i="2"/>
  <c r="H1377" i="2"/>
  <c r="H2279" i="2"/>
  <c r="H1614" i="2"/>
  <c r="H1526" i="2"/>
  <c r="H1301" i="2"/>
  <c r="H447" i="2"/>
  <c r="H1808" i="2"/>
  <c r="H1959" i="2"/>
  <c r="H1484" i="2"/>
  <c r="H2133" i="2"/>
  <c r="H2285" i="2"/>
  <c r="H1323" i="2"/>
  <c r="H1727" i="2"/>
  <c r="H268" i="2"/>
  <c r="H737" i="2"/>
  <c r="H1679" i="2"/>
  <c r="H2461" i="2"/>
  <c r="H2565" i="2"/>
  <c r="H1386" i="2"/>
  <c r="H2180" i="2"/>
  <c r="H271" i="2"/>
  <c r="H2095" i="2"/>
  <c r="H2201" i="2"/>
  <c r="H1276" i="2"/>
  <c r="H2557" i="2"/>
  <c r="H1450" i="2"/>
  <c r="H2229" i="2"/>
  <c r="H1547" i="2"/>
  <c r="H1734" i="2"/>
  <c r="H56" i="2"/>
  <c r="H572" i="2"/>
  <c r="H1717" i="2"/>
  <c r="H839" i="2"/>
  <c r="H2034" i="2"/>
  <c r="H1197" i="2"/>
  <c r="H2766" i="2"/>
  <c r="H1060" i="2"/>
  <c r="H502" i="2"/>
  <c r="H1024" i="2"/>
  <c r="H2320" i="2"/>
  <c r="H446" i="2"/>
  <c r="H704" i="2"/>
  <c r="H1409" i="2"/>
  <c r="H1503" i="2"/>
  <c r="H974" i="2"/>
  <c r="H2112" i="2"/>
  <c r="H2790" i="2"/>
  <c r="H2137" i="2"/>
  <c r="H1646" i="2"/>
  <c r="H2150" i="2"/>
  <c r="H1128" i="2"/>
  <c r="H2408" i="2"/>
  <c r="H306" i="2"/>
  <c r="H1169" i="2"/>
  <c r="H1315" i="2"/>
  <c r="H1167" i="2"/>
  <c r="H950" i="2"/>
  <c r="H1558" i="2"/>
  <c r="H179" i="2"/>
  <c r="H2314" i="2"/>
  <c r="H1739" i="2"/>
  <c r="H1644" i="2"/>
  <c r="H2269" i="2"/>
  <c r="H917" i="2"/>
  <c r="H1967" i="2"/>
  <c r="H248" i="2"/>
  <c r="H1052" i="2"/>
  <c r="H2324" i="2"/>
  <c r="H1342" i="2"/>
  <c r="H161" i="2"/>
  <c r="H1482" i="2"/>
  <c r="H579" i="2"/>
  <c r="H2115" i="2"/>
  <c r="H705" i="2"/>
  <c r="H773" i="2"/>
  <c r="H611" i="2"/>
  <c r="H2737" i="2"/>
  <c r="H963" i="2"/>
  <c r="H1785" i="2"/>
  <c r="H667" i="2"/>
  <c r="H1858" i="2"/>
  <c r="H2632" i="2"/>
  <c r="H249" i="2"/>
  <c r="H2011" i="2"/>
  <c r="H868" i="2"/>
  <c r="H1102" i="2"/>
  <c r="H1220" i="2"/>
  <c r="H801" i="2"/>
  <c r="H2421" i="2"/>
  <c r="H1107" i="2"/>
  <c r="H59" i="2"/>
  <c r="H1092" i="2"/>
  <c r="H1912" i="2"/>
  <c r="H2570" i="2"/>
  <c r="H1587" i="2"/>
  <c r="H1697" i="2"/>
  <c r="H1283" i="2"/>
  <c r="H2010" i="2"/>
  <c r="H467" i="2"/>
  <c r="H1384" i="2"/>
  <c r="H975" i="2"/>
  <c r="H884" i="2"/>
  <c r="H1459" i="2"/>
  <c r="H207" i="2"/>
  <c r="H2026" i="2"/>
  <c r="H1803" i="2"/>
  <c r="H2004" i="2"/>
  <c r="H2568" i="2"/>
  <c r="H1007" i="2"/>
  <c r="H2701" i="2"/>
  <c r="H627" i="2"/>
  <c r="H2770" i="2"/>
  <c r="H2729" i="2"/>
  <c r="H2344" i="2"/>
  <c r="H530" i="2"/>
  <c r="H413" i="2"/>
  <c r="H395" i="2"/>
  <c r="H2213" i="2"/>
  <c r="H2262" i="2"/>
  <c r="H2435" i="2"/>
  <c r="H336" i="2"/>
  <c r="H2238" i="2"/>
  <c r="H2612" i="2"/>
  <c r="H1686" i="2"/>
  <c r="H712" i="2"/>
  <c r="H1776" i="2"/>
  <c r="H403" i="2"/>
  <c r="H2206" i="2"/>
  <c r="H2191" i="2"/>
  <c r="H521" i="2"/>
  <c r="H1875" i="2"/>
  <c r="H2621" i="2"/>
  <c r="H1931" i="2"/>
  <c r="H1955" i="2"/>
  <c r="H1543" i="2"/>
  <c r="H1150" i="2"/>
  <c r="H1414" i="2"/>
  <c r="H2071" i="2"/>
  <c r="H2221" i="2"/>
  <c r="H2328" i="2"/>
  <c r="H458" i="2"/>
  <c r="H557" i="2"/>
  <c r="H110" i="2"/>
  <c r="H16" i="2"/>
  <c r="H2696" i="2"/>
  <c r="H1416" i="2"/>
  <c r="H2261" i="2"/>
  <c r="H751" i="2"/>
  <c r="H138" i="2"/>
  <c r="H2449" i="2"/>
  <c r="H117" i="2"/>
  <c r="H372" i="2"/>
  <c r="H2594" i="2"/>
  <c r="H932" i="2"/>
  <c r="H294" i="2"/>
  <c r="H1437" i="2"/>
  <c r="H424" i="2"/>
  <c r="H2228" i="2"/>
  <c r="H43" i="2"/>
  <c r="H995" i="2"/>
  <c r="H276" i="2"/>
  <c r="H265" i="2"/>
  <c r="H1750" i="2"/>
  <c r="H938" i="2"/>
  <c r="H765" i="2"/>
  <c r="H1108" i="2"/>
  <c r="H316" i="2"/>
  <c r="H368" i="2"/>
  <c r="H583" i="2"/>
  <c r="H1613" i="2"/>
  <c r="H997" i="2"/>
  <c r="H1904" i="2"/>
  <c r="H287" i="2"/>
  <c r="H726" i="2"/>
  <c r="H2682" i="2"/>
  <c r="H1531" i="2"/>
  <c r="H646" i="2"/>
  <c r="H790" i="2"/>
  <c r="H2347" i="2"/>
  <c r="H1855" i="2"/>
  <c r="H848" i="2"/>
  <c r="H943" i="2"/>
  <c r="H1661" i="2"/>
  <c r="H345" i="2"/>
  <c r="H1285" i="2"/>
  <c r="H877" i="2"/>
  <c r="H961" i="2"/>
  <c r="H2019" i="2"/>
  <c r="H1336" i="2"/>
  <c r="H34" i="2"/>
  <c r="H189" i="2"/>
  <c r="H714" i="2"/>
  <c r="H2443" i="2"/>
  <c r="H2134" i="2"/>
  <c r="H1447" i="2"/>
  <c r="H2684" i="2"/>
  <c r="H2767" i="2"/>
  <c r="H936" i="2"/>
  <c r="H1886" i="2"/>
  <c r="H847" i="2"/>
  <c r="H412" i="2"/>
  <c r="H806" i="2"/>
  <c r="H2482" i="2"/>
  <c r="H2498" i="2"/>
  <c r="H588" i="2"/>
  <c r="H1047" i="2"/>
  <c r="H2549" i="2"/>
  <c r="H302" i="2"/>
  <c r="H1421" i="2"/>
  <c r="H1175" i="2"/>
  <c r="H811" i="2"/>
  <c r="H1504" i="2"/>
  <c r="H2467" i="2"/>
  <c r="H2412" i="2"/>
  <c r="H109" i="2"/>
  <c r="H1986" i="2"/>
  <c r="H753" i="2"/>
  <c r="H2750" i="2"/>
  <c r="H2099" i="2"/>
  <c r="H2036" i="2"/>
  <c r="H2272" i="2"/>
  <c r="H1746" i="2"/>
  <c r="H1584" i="2"/>
  <c r="H2460" i="2"/>
  <c r="H2388" i="2"/>
  <c r="H1626" i="2"/>
  <c r="H1375" i="2"/>
  <c r="H453" i="2"/>
  <c r="H2222" i="2"/>
  <c r="H487" i="2"/>
  <c r="H1760" i="2"/>
  <c r="H2207" i="2"/>
  <c r="H2683" i="2"/>
  <c r="H285" i="2"/>
  <c r="H1540" i="2"/>
  <c r="H1045" i="2"/>
  <c r="H1852" i="2"/>
  <c r="H2788" i="2"/>
  <c r="H1345" i="2"/>
  <c r="H1387" i="2"/>
  <c r="H1509" i="2"/>
  <c r="H390" i="2"/>
  <c r="H387" i="2"/>
  <c r="H1653" i="2"/>
  <c r="H2591" i="2"/>
  <c r="H602" i="2"/>
  <c r="H1873" i="2"/>
  <c r="H448" i="2"/>
  <c r="H511" i="2"/>
  <c r="H436" i="2"/>
  <c r="H2596" i="2"/>
  <c r="H488" i="2"/>
  <c r="H2563" i="2"/>
  <c r="H2734" i="2"/>
  <c r="H1383" i="2"/>
  <c r="H2040" i="2"/>
  <c r="H1600" i="2"/>
  <c r="H1084" i="2"/>
  <c r="H831" i="2"/>
  <c r="H1251" i="2"/>
  <c r="H1028" i="2"/>
  <c r="H597" i="2"/>
  <c r="H1535" i="2"/>
  <c r="H571" i="2"/>
  <c r="H2488" i="2"/>
  <c r="H2058" i="2"/>
  <c r="H1843" i="2"/>
  <c r="H1032" i="2"/>
  <c r="H472" i="2"/>
  <c r="H1328" i="2"/>
  <c r="H2673" i="2"/>
  <c r="H1196" i="2"/>
  <c r="H565" i="2"/>
  <c r="H940" i="2"/>
  <c r="H2424" i="2"/>
  <c r="H1711" i="2"/>
  <c r="H308" i="2"/>
  <c r="H2595" i="2"/>
  <c r="H2522" i="2"/>
  <c r="H1031" i="2"/>
  <c r="H1393" i="2"/>
  <c r="H122" i="2"/>
  <c r="H2665" i="2"/>
  <c r="H814" i="2"/>
  <c r="H985" i="2"/>
  <c r="H2310" i="2"/>
  <c r="H2419" i="2"/>
  <c r="H2713" i="2"/>
  <c r="H2407" i="2"/>
  <c r="H1408" i="2"/>
  <c r="H514" i="2"/>
  <c r="H1817" i="2"/>
  <c r="H143" i="2"/>
  <c r="H2742" i="2"/>
  <c r="H546" i="2"/>
  <c r="H2506" i="2"/>
  <c r="H2339" i="2"/>
  <c r="H1552" i="2"/>
  <c r="H1103" i="2"/>
  <c r="H2675" i="2"/>
  <c r="H2392" i="2"/>
  <c r="H2600" i="2"/>
  <c r="H250" i="2"/>
  <c r="H1160" i="2"/>
  <c r="H1217" i="2"/>
  <c r="H1185" i="2"/>
  <c r="H11" i="2"/>
  <c r="H1731" i="2"/>
  <c r="H1745" i="2"/>
  <c r="H1471" i="2"/>
  <c r="H116" i="2"/>
  <c r="H2776" i="2"/>
  <c r="H775" i="2"/>
  <c r="H1441" i="2"/>
  <c r="H1009" i="2"/>
  <c r="H405" i="2"/>
  <c r="H1918" i="2"/>
  <c r="H1623" i="2"/>
  <c r="H2227" i="2"/>
  <c r="H599" i="2"/>
  <c r="H2224" i="2"/>
  <c r="H2128" i="2"/>
  <c r="H2670" i="2"/>
  <c r="H538" i="2"/>
  <c r="H2363" i="2"/>
  <c r="H1928" i="2"/>
  <c r="H480" i="2"/>
  <c r="H2117" i="2"/>
  <c r="H1911" i="2"/>
  <c r="H666" i="2"/>
  <c r="H89" i="2"/>
  <c r="H304" i="2"/>
  <c r="H9" i="2"/>
  <c r="H2003" i="2"/>
  <c r="H1639" i="2"/>
  <c r="H641" i="2"/>
  <c r="H768" i="2"/>
  <c r="H1491" i="2"/>
  <c r="H905" i="2"/>
  <c r="H269" i="2"/>
  <c r="H478" i="2"/>
  <c r="H2518" i="2"/>
  <c r="H295" i="2"/>
  <c r="H2208" i="2"/>
  <c r="H291" i="2"/>
  <c r="H2546" i="2"/>
  <c r="H1582" i="2"/>
  <c r="H1845" i="2"/>
  <c r="H2547" i="2"/>
  <c r="H1862" i="2"/>
  <c r="H2550" i="2"/>
  <c r="H1954" i="2"/>
  <c r="H1673" i="2"/>
  <c r="H914" i="2"/>
  <c r="H2592" i="2"/>
  <c r="H1657" i="2"/>
  <c r="H1576" i="2"/>
  <c r="H311" i="2"/>
  <c r="H1704" i="2"/>
  <c r="H1781" i="2"/>
  <c r="H2064" i="2"/>
  <c r="H1656" i="2"/>
  <c r="H2381" i="2"/>
  <c r="H1090" i="2"/>
  <c r="H1859" i="2"/>
  <c r="H551" i="2"/>
  <c r="H1953" i="2"/>
  <c r="H1069" i="2"/>
  <c r="H88" i="2"/>
  <c r="H966" i="2"/>
  <c r="H1365" i="2"/>
  <c r="H286" i="2"/>
  <c r="H2020" i="2"/>
  <c r="H211" i="2"/>
  <c r="H1831" i="2"/>
  <c r="H1688" i="2"/>
  <c r="H148" i="2"/>
  <c r="H1625" i="2"/>
  <c r="H264" i="2"/>
  <c r="H1417" i="2"/>
  <c r="H794" i="2"/>
  <c r="H1977" i="2"/>
  <c r="H2430" i="2"/>
  <c r="H1835" i="2"/>
  <c r="H1099" i="2"/>
  <c r="H1081" i="2"/>
  <c r="H259" i="2"/>
  <c r="H1435" i="2"/>
  <c r="H1192" i="2"/>
  <c r="H1839" i="2"/>
  <c r="H2144" i="2"/>
  <c r="H816" i="2"/>
  <c r="H1006" i="2"/>
  <c r="H2348" i="2"/>
  <c r="H2172" i="2"/>
  <c r="H348" i="2"/>
  <c r="H2556" i="2"/>
  <c r="H2092" i="2"/>
  <c r="H91" i="2"/>
  <c r="H255" i="2"/>
  <c r="H1612" i="2"/>
  <c r="H2504" i="2"/>
  <c r="H2532" i="2"/>
  <c r="H1407" i="2"/>
  <c r="H2751" i="2"/>
  <c r="H934" i="2"/>
  <c r="H2417" i="2"/>
  <c r="H1291" i="2"/>
  <c r="H354" i="2"/>
  <c r="H1889" i="2"/>
  <c r="H1966" i="2"/>
  <c r="H2625" i="2"/>
  <c r="H523" i="2"/>
  <c r="H1836" i="2"/>
  <c r="H252" i="2"/>
  <c r="H217" i="2"/>
  <c r="H2452" i="2"/>
  <c r="H1429" i="2"/>
  <c r="H1554" i="2"/>
  <c r="H723" i="2"/>
  <c r="H2299" i="2"/>
  <c r="H2075" i="2"/>
  <c r="H493" i="2"/>
  <c r="H1046" i="2"/>
  <c r="H1012" i="2"/>
  <c r="H1939" i="2"/>
  <c r="H61" i="2"/>
  <c r="H809" i="2"/>
  <c r="H2660" i="2"/>
  <c r="H66" i="2"/>
  <c r="H2203" i="2"/>
  <c r="H862" i="2"/>
  <c r="H153" i="2"/>
  <c r="H2225" i="2"/>
  <c r="H1248" i="2"/>
  <c r="H98" i="2"/>
  <c r="H1645" i="2"/>
  <c r="H2667" i="2"/>
  <c r="H1137" i="2"/>
  <c r="H984" i="2"/>
  <c r="H796" i="2"/>
  <c r="H2077" i="2"/>
  <c r="H2641" i="2"/>
  <c r="H1115" i="2"/>
  <c r="H2234" i="2"/>
  <c r="H671" i="2"/>
  <c r="H600" i="2"/>
  <c r="H872" i="2"/>
  <c r="H1969" i="2"/>
  <c r="H2185" i="2"/>
  <c r="H1847" i="2"/>
  <c r="H2083" i="2"/>
  <c r="H886" i="2"/>
  <c r="H24" i="2"/>
  <c r="H1357" i="2"/>
  <c r="H1133" i="2"/>
  <c r="H442" i="2"/>
  <c r="H1204" i="2"/>
  <c r="H1707" i="2"/>
  <c r="H1519" i="2"/>
  <c r="H213" i="2"/>
  <c r="H609" i="2"/>
  <c r="H738" i="2"/>
  <c r="H1054" i="2"/>
  <c r="H2507" i="2"/>
  <c r="H195" i="2"/>
  <c r="H1485" i="2"/>
  <c r="H623" i="2"/>
  <c r="H51" i="2"/>
  <c r="H626" i="2"/>
  <c r="H1990" i="2"/>
  <c r="H2219" i="2"/>
  <c r="H554" i="2"/>
  <c r="H2306" i="2"/>
  <c r="H897" i="2"/>
  <c r="H2100" i="2"/>
  <c r="H2794" i="2"/>
  <c r="H1292" i="2"/>
  <c r="H107" i="2"/>
  <c r="H1883" i="2"/>
  <c r="H1965" i="2"/>
  <c r="H1472" i="2"/>
  <c r="H2181" i="2"/>
  <c r="H1016" i="2"/>
  <c r="H2164" i="2"/>
  <c r="H1329" i="2"/>
  <c r="H2379" i="2"/>
  <c r="H2327" i="2"/>
  <c r="H1664" i="2"/>
  <c r="H364" i="2"/>
  <c r="H2756" i="2"/>
  <c r="H1755" i="2"/>
  <c r="H653" i="2"/>
  <c r="H1261" i="2"/>
  <c r="H676" i="2"/>
  <c r="H1324" i="2"/>
  <c r="H1865" i="2"/>
  <c r="H2775" i="2"/>
  <c r="H2377" i="2"/>
  <c r="H208" i="2"/>
  <c r="H845" i="2"/>
  <c r="H1163" i="2"/>
  <c r="H165" i="2"/>
  <c r="H2583" i="2"/>
  <c r="H2629" i="2"/>
  <c r="H1815" i="2"/>
  <c r="H99" i="2"/>
  <c r="H986" i="2"/>
  <c r="H1498" i="2"/>
  <c r="H2785" i="2"/>
  <c r="H715" i="2"/>
  <c r="H2610" i="2"/>
  <c r="H324" i="2"/>
  <c r="H622" i="2"/>
  <c r="H2346" i="2"/>
  <c r="H1888" i="2"/>
  <c r="H827" i="2"/>
  <c r="H587" i="2"/>
  <c r="H2678" i="2"/>
  <c r="H1866" i="2"/>
  <c r="H1290" i="2"/>
  <c r="H1446" i="2"/>
  <c r="H1439" i="2"/>
  <c r="H2422" i="2"/>
  <c r="H1351" i="2"/>
  <c r="H2590" i="2"/>
  <c r="H2216" i="2"/>
  <c r="H1451" i="2"/>
  <c r="H2530" i="2"/>
  <c r="H1249" i="2"/>
  <c r="H1687" i="2"/>
  <c r="H366" i="2"/>
  <c r="H1370" i="2"/>
  <c r="H893" i="2"/>
  <c r="H1078" i="2"/>
  <c r="H644" i="2"/>
  <c r="H1652" i="2"/>
  <c r="H246" i="2"/>
  <c r="H2173" i="2"/>
  <c r="H1749" i="2"/>
  <c r="H1654" i="2"/>
  <c r="H2294" i="2"/>
  <c r="H1445" i="2"/>
  <c r="H396" i="2"/>
  <c r="H770" i="2"/>
  <c r="H2334" i="2"/>
  <c r="H218" i="2"/>
  <c r="H1935" i="2"/>
  <c r="H2433" i="2"/>
  <c r="H1796" i="2"/>
  <c r="H277" i="2"/>
  <c r="H2177" i="2"/>
  <c r="H1719" i="2"/>
  <c r="H2300" i="2"/>
  <c r="H1598" i="2"/>
  <c r="H1235" i="2"/>
  <c r="H2747" i="2"/>
  <c r="H454" i="2"/>
  <c r="H518" i="2"/>
  <c r="H2399" i="2"/>
  <c r="H2486" i="2"/>
  <c r="H20" i="2"/>
  <c r="H1768" i="2"/>
  <c r="H220" i="2"/>
  <c r="H136" i="2"/>
  <c r="H2604" i="2"/>
  <c r="H1602" i="2"/>
  <c r="H2510" i="2"/>
  <c r="H2015" i="2"/>
  <c r="H18" i="2"/>
  <c r="H1882" i="2"/>
  <c r="H1195" i="2"/>
  <c r="H543" i="2"/>
  <c r="H1983" i="2"/>
  <c r="H1418" i="2"/>
  <c r="H808" i="2"/>
  <c r="H2382" i="2"/>
  <c r="H825" i="2"/>
  <c r="H2499" i="2"/>
  <c r="H2358" i="2"/>
  <c r="H619" i="2"/>
  <c r="H2065" i="2"/>
  <c r="H256" i="2"/>
  <c r="H1473" i="2"/>
  <c r="H1867" i="2"/>
  <c r="H1819" i="2"/>
  <c r="H2617" i="2"/>
  <c r="H1040" i="2"/>
  <c r="H1226" i="2"/>
  <c r="H2655" i="2"/>
  <c r="H203" i="2"/>
  <c r="H758" i="2"/>
  <c r="H1791" i="2"/>
  <c r="H658" i="2"/>
  <c r="H2365" i="2"/>
  <c r="H1096" i="2"/>
  <c r="H912" i="2"/>
  <c r="H639" i="2"/>
  <c r="H351" i="2"/>
  <c r="H2132" i="2"/>
  <c r="H1148" i="2"/>
  <c r="H2353" i="2"/>
  <c r="H1772" i="2"/>
  <c r="H1296" i="2"/>
  <c r="H576" i="2"/>
  <c r="H1945" i="2"/>
  <c r="H124" i="2"/>
  <c r="H1089" i="2"/>
  <c r="H1238" i="2"/>
  <c r="H2603" i="2"/>
  <c r="H76" i="2"/>
  <c r="H1154" i="2"/>
  <c r="H760" i="2"/>
  <c r="H330" i="2"/>
  <c r="H604" i="2"/>
  <c r="H628" i="2"/>
  <c r="H1507" i="2"/>
  <c r="H1825" i="2"/>
  <c r="H2118" i="2"/>
  <c r="H1420" i="2"/>
  <c r="H361" i="2"/>
  <c r="H2763" i="2"/>
  <c r="H562" i="2"/>
  <c r="H2355" i="2"/>
  <c r="H1651" i="2"/>
  <c r="H2619" i="2"/>
  <c r="H1641" i="2"/>
  <c r="H210" i="2"/>
  <c r="H1571" i="2"/>
  <c r="H1595" i="2"/>
  <c r="H1263" i="2"/>
  <c r="H2663" i="2"/>
  <c r="H1293" i="2"/>
  <c r="H1670" i="2"/>
  <c r="H2426" i="2"/>
  <c r="H1732" i="2"/>
  <c r="H1736" i="2"/>
  <c r="H533" i="2"/>
  <c r="H2330" i="2"/>
  <c r="H2103" i="2"/>
  <c r="H1659" i="2"/>
  <c r="H656" i="2"/>
  <c r="H1245" i="2"/>
  <c r="H2740" i="2"/>
  <c r="H262" i="2"/>
  <c r="H44" i="2"/>
  <c r="H172" i="2"/>
  <c r="H748" i="2"/>
  <c r="H2131" i="2"/>
  <c r="H1272" i="2"/>
  <c r="H2774" i="2"/>
  <c r="H2245" i="2"/>
  <c r="H2431" i="2"/>
  <c r="H2609" i="2"/>
  <c r="H1721" i="2"/>
  <c r="H2135" i="2"/>
  <c r="H1048" i="2"/>
  <c r="H870" i="2"/>
  <c r="H2582" i="2"/>
  <c r="H1891" i="2"/>
  <c r="H69" i="2"/>
  <c r="H1210" i="2"/>
  <c r="H763" i="2"/>
  <c r="H2151" i="2"/>
  <c r="H2626" i="2"/>
  <c r="H492" i="2"/>
  <c r="H1548" i="2"/>
  <c r="H1662" i="2"/>
  <c r="H792" i="2"/>
  <c r="H2483" i="2"/>
  <c r="H1905" i="2"/>
  <c r="H360" i="2"/>
  <c r="H438" i="2"/>
  <c r="H616" i="2"/>
  <c r="H684" i="2"/>
  <c r="H1581" i="2"/>
  <c r="H2539" i="2"/>
  <c r="H1141" i="2"/>
  <c r="H2050" i="2"/>
  <c r="H142" i="2"/>
  <c r="H25" i="2"/>
  <c r="H1637" i="2"/>
  <c r="H1240" i="2"/>
  <c r="H1975" i="2"/>
  <c r="H2394" i="2"/>
  <c r="H462" i="2"/>
  <c r="H2428" i="2"/>
  <c r="H2533" i="2"/>
  <c r="H1212" i="2"/>
  <c r="H41" i="2"/>
  <c r="H2493" i="2"/>
  <c r="H2514" i="2"/>
  <c r="H1897" i="2"/>
  <c r="H1027" i="2"/>
  <c r="H2454" i="2"/>
  <c r="H1325" i="2"/>
  <c r="H2691" i="2"/>
  <c r="H2715" i="2"/>
  <c r="H2702" i="2"/>
  <c r="H1232" i="2"/>
  <c r="H2762" i="2"/>
  <c r="H2631" i="2"/>
  <c r="H1250" i="2"/>
  <c r="H1997" i="2"/>
  <c r="H2793" i="2"/>
  <c r="H1948" i="2"/>
  <c r="H779" i="2"/>
  <c r="H1104" i="2"/>
  <c r="H2551" i="2"/>
  <c r="H783" i="2"/>
  <c r="H353" i="2"/>
  <c r="H2676" i="2"/>
  <c r="H1140" i="2"/>
  <c r="H2739" i="2"/>
  <c r="H701" i="2"/>
  <c r="H1068" i="2"/>
  <c r="H2088" i="2"/>
  <c r="H1833" i="2"/>
  <c r="H1172" i="2"/>
  <c r="H2704" i="2"/>
  <c r="H84" i="2"/>
  <c r="H2397" i="2"/>
  <c r="H2322" i="2"/>
  <c r="H956" i="2"/>
  <c r="H1145" i="2"/>
  <c r="H1410" i="2"/>
  <c r="H1134" i="2"/>
  <c r="H160" i="2"/>
  <c r="H2457" i="2"/>
  <c r="H703" i="2"/>
  <c r="H2146" i="2"/>
  <c r="H104" i="2"/>
  <c r="H2409" i="2"/>
  <c r="H157" i="2"/>
  <c r="H1902" i="2"/>
  <c r="H1775" i="2"/>
  <c r="H928" i="2"/>
  <c r="H1528" i="2"/>
  <c r="H46" i="2"/>
  <c r="H578" i="2"/>
  <c r="H1403" i="2"/>
  <c r="H982" i="2"/>
  <c r="H2288" i="2"/>
  <c r="H542" i="2"/>
  <c r="H1218" i="2"/>
  <c r="H2360" i="2"/>
  <c r="H1433" i="2"/>
  <c r="H702" i="2"/>
  <c r="H1467" i="2"/>
  <c r="H1610" i="2"/>
  <c r="H1399" i="2"/>
  <c r="H328" i="2"/>
  <c r="H2623" i="2"/>
  <c r="H1041" i="2"/>
  <c r="H991" i="2"/>
  <c r="H2240" i="2"/>
  <c r="H1525" i="2"/>
  <c r="H2359" i="2"/>
  <c r="H2387" i="2"/>
  <c r="H2418" i="2"/>
  <c r="H1130" i="2"/>
  <c r="H939" i="2"/>
  <c r="H326" i="2"/>
  <c r="H2384" i="2"/>
  <c r="H2168" i="2"/>
  <c r="H695" i="2"/>
  <c r="H635" i="2"/>
  <c r="H1978" i="2"/>
  <c r="H504" i="2"/>
  <c r="H1564" i="2"/>
  <c r="H468" i="2"/>
  <c r="H573" i="2"/>
  <c r="H969" i="2"/>
  <c r="H310" i="2"/>
  <c r="H1701" i="2"/>
  <c r="H1848" i="2"/>
  <c r="H1118" i="2"/>
  <c r="H1300" i="2"/>
  <c r="H1790" i="2"/>
  <c r="H797" i="2"/>
  <c r="H2686" i="2"/>
  <c r="H1565" i="2"/>
  <c r="H1773" i="2"/>
  <c r="H1330" i="2"/>
  <c r="H1312" i="2"/>
  <c r="H1002" i="2"/>
  <c r="H850" i="2"/>
  <c r="H1262" i="2"/>
  <c r="H1976" i="2"/>
  <c r="H1189" i="2"/>
  <c r="H216" i="2"/>
  <c r="H1119" i="2"/>
  <c r="H2714" i="2"/>
  <c r="H1537" i="2"/>
  <c r="H7" i="2"/>
  <c r="H2372" i="2"/>
  <c r="H1996" i="2"/>
  <c r="H1159" i="2"/>
  <c r="H1950" i="2"/>
  <c r="H121" i="2"/>
  <c r="H2575" i="2"/>
  <c r="H1674" i="2"/>
  <c r="H1071" i="2"/>
  <c r="H101" i="2"/>
  <c r="H1211" i="2"/>
  <c r="H2441" i="2"/>
  <c r="H2524" i="2"/>
  <c r="H1730" i="2"/>
  <c r="H1591" i="2"/>
  <c r="H2738" i="2"/>
  <c r="H784" i="2"/>
  <c r="H1468" i="2"/>
  <c r="H2584" i="2"/>
  <c r="H2051" i="2"/>
  <c r="H2525" i="2"/>
  <c r="H2082" i="2"/>
  <c r="H2368" i="2"/>
  <c r="H2614" i="2"/>
  <c r="H1382" i="2"/>
  <c r="H1481" i="2"/>
  <c r="H915" i="2"/>
  <c r="H1566" i="2"/>
  <c r="H2056" i="2"/>
  <c r="H1991" i="2"/>
  <c r="H1279" i="2"/>
  <c r="H1842" i="2"/>
  <c r="H111" i="2"/>
  <c r="H2101" i="2"/>
  <c r="H1256" i="2"/>
  <c r="H1500" i="2"/>
  <c r="H785" i="2"/>
  <c r="H1035" i="2"/>
  <c r="H919" i="2"/>
  <c r="H2293" i="2"/>
  <c r="H1187" i="2"/>
  <c r="H681" i="2"/>
  <c r="H55" i="2"/>
  <c r="H1942" i="2"/>
  <c r="H954" i="2"/>
  <c r="H1849" i="2"/>
  <c r="H331" i="2"/>
  <c r="H1913" i="2"/>
  <c r="H2502" i="2"/>
  <c r="H2432" i="2"/>
  <c r="H2170" i="2"/>
  <c r="H315" i="2"/>
  <c r="H1243" i="2"/>
  <c r="H1161" i="2"/>
  <c r="H1961" i="2"/>
  <c r="H2606" i="2"/>
  <c r="H1299" i="2"/>
  <c r="H2464" i="2"/>
  <c r="H1346" i="2"/>
  <c r="H2332" i="2"/>
  <c r="H2311" i="2"/>
  <c r="H1985" i="2"/>
  <c r="H1412" i="2"/>
  <c r="H2110" i="2"/>
  <c r="H1063" i="2"/>
  <c r="H2490" i="2"/>
  <c r="H1647" i="2"/>
  <c r="H254" i="2"/>
  <c r="H2744" i="2"/>
  <c r="H150" i="2"/>
  <c r="H163" i="2"/>
  <c r="H1319" i="2"/>
  <c r="H1894" i="2"/>
  <c r="H176" i="2"/>
  <c r="H171" i="2"/>
  <c r="H1095" i="2"/>
  <c r="H2585" i="2"/>
  <c r="H2745" i="2"/>
  <c r="H209" i="2"/>
  <c r="H471" i="2"/>
  <c r="H274" i="2"/>
  <c r="H2385" i="2"/>
  <c r="H2276" i="2"/>
  <c r="H648" i="2"/>
  <c r="H1424" i="2"/>
  <c r="H836" i="2"/>
  <c r="H2791" i="2"/>
  <c r="H750" i="2"/>
  <c r="H926" i="2"/>
  <c r="H2552" i="2"/>
  <c r="H1621" i="2"/>
  <c r="H755" i="2"/>
  <c r="H2769" i="2"/>
  <c r="H2016" i="2"/>
  <c r="H337" i="2"/>
  <c r="H534" i="2"/>
  <c r="H2471" i="2"/>
  <c r="H922" i="2"/>
  <c r="H2553" i="2"/>
  <c r="H1585" i="2"/>
  <c r="H698" i="2"/>
  <c r="H62" i="2"/>
  <c r="H2023" i="2"/>
  <c r="H2126" i="2"/>
  <c r="H605" i="2"/>
  <c r="H840" i="2"/>
  <c r="H146" i="2"/>
  <c r="H2297" i="2"/>
  <c r="H920" i="2"/>
  <c r="H819" i="2"/>
  <c r="H2182" i="2"/>
  <c r="H2345" i="2"/>
  <c r="H869" i="2"/>
  <c r="H1363" i="2"/>
  <c r="H464" i="2"/>
  <c r="H167" i="2"/>
  <c r="H1033" i="2"/>
  <c r="H180" i="2"/>
  <c r="H2027" i="2"/>
  <c r="H1512" i="2"/>
  <c r="H191" i="2"/>
  <c r="H1044" i="2"/>
  <c r="H1970" i="2"/>
  <c r="H27" i="2"/>
  <c r="H226" i="2"/>
  <c r="H2779" i="2"/>
  <c r="H30" i="2"/>
  <c r="H769" i="2"/>
  <c r="H1059" i="2"/>
  <c r="H1878" i="2"/>
  <c r="H2145" i="2"/>
  <c r="H1353" i="2"/>
  <c r="H2567" i="2"/>
  <c r="H865" i="2"/>
  <c r="H320" i="2"/>
  <c r="H1559" i="2"/>
  <c r="H135" i="2"/>
  <c r="H1326" i="2"/>
  <c r="H429" i="2"/>
  <c r="H786" i="2"/>
  <c r="H1740" i="2"/>
  <c r="H2481" i="2"/>
  <c r="H1715" i="2"/>
  <c r="H289" i="2"/>
  <c r="H2002" i="2"/>
  <c r="H2446" i="2"/>
  <c r="H1260" i="2"/>
  <c r="H2309" i="2"/>
  <c r="H2640" i="2"/>
  <c r="H212" i="2"/>
  <c r="H1273" i="2"/>
  <c r="H1257" i="2"/>
  <c r="H1153" i="2"/>
  <c r="H346" i="2"/>
  <c r="H813" i="2"/>
  <c r="H1157" i="2"/>
  <c r="H1899" i="2"/>
  <c r="H525" i="2"/>
  <c r="H388" i="2"/>
  <c r="H1252" i="2"/>
  <c r="H1702" i="2"/>
  <c r="H898" i="2"/>
  <c r="H953" i="2"/>
  <c r="H2373" i="2"/>
  <c r="H470" i="2"/>
  <c r="H1705" i="2"/>
  <c r="H2244" i="2"/>
  <c r="H1728" i="2"/>
  <c r="H232" i="2"/>
  <c r="H2764" i="2"/>
  <c r="H441" i="2"/>
  <c r="H1520" i="2"/>
  <c r="H988" i="2"/>
  <c r="H1496" i="2"/>
  <c r="H1359" i="2"/>
  <c r="H2768" i="2"/>
  <c r="H1168" i="2"/>
  <c r="H283" i="2"/>
  <c r="H64" i="2"/>
  <c r="H1640" i="2"/>
  <c r="H1622" i="2"/>
  <c r="H937" i="2"/>
  <c r="H559" i="2"/>
  <c r="H2250" i="2"/>
  <c r="H1887" i="2"/>
  <c r="H270" i="2"/>
  <c r="H1546" i="2"/>
  <c r="H899" i="2"/>
  <c r="H1497" i="2"/>
  <c r="H2283" i="2"/>
  <c r="H2748" i="2"/>
  <c r="H1575" i="2"/>
  <c r="H1109" i="2"/>
  <c r="H1617" i="2"/>
  <c r="H1049" i="2"/>
  <c r="H791" i="2"/>
  <c r="H1689" i="2"/>
  <c r="H2508" i="2"/>
  <c r="H2396" i="2"/>
  <c r="H2633" i="2"/>
  <c r="H2032" i="2"/>
  <c r="H225" i="2"/>
  <c r="H566" i="2"/>
  <c r="H2484" i="2"/>
  <c r="H332" i="2"/>
  <c r="H2681" i="2"/>
  <c r="H662" i="2"/>
  <c r="H1270" i="2"/>
  <c r="H735" i="2"/>
  <c r="H788" i="2"/>
  <c r="H1385" i="2"/>
  <c r="H878" i="2"/>
  <c r="H1669" i="2"/>
  <c r="H1404" i="2"/>
  <c r="H1793" i="2"/>
  <c r="H620" i="2"/>
  <c r="H414" i="2"/>
  <c r="H1597" i="2"/>
  <c r="H118" i="2"/>
  <c r="H1949" i="2"/>
  <c r="H1448" i="2"/>
  <c r="H1352" i="2"/>
  <c r="H2073" i="2"/>
  <c r="H305" i="2"/>
  <c r="H1822" i="2"/>
  <c r="H725" i="2"/>
  <c r="H1518" i="2"/>
  <c r="H152" i="2"/>
  <c r="H1838" i="2"/>
  <c r="H1759" i="2"/>
  <c r="H2400" i="2"/>
  <c r="H1589" i="2"/>
  <c r="H1376" i="2"/>
  <c r="H1542" i="2"/>
  <c r="H1938" i="2"/>
  <c r="H1334" i="2"/>
  <c r="H2390" i="2"/>
  <c r="H1794" i="2"/>
  <c r="H422" i="2"/>
  <c r="H727" i="2"/>
  <c r="H141" i="2"/>
  <c r="H2024" i="2"/>
  <c r="H1577" i="2"/>
  <c r="H930" i="2"/>
  <c r="H1004" i="2"/>
  <c r="H512" i="2"/>
  <c r="H1615" i="2"/>
  <c r="H526" i="2"/>
  <c r="H2183" i="2"/>
  <c r="H625" i="2"/>
  <c r="H771" i="2"/>
  <c r="H236" i="2"/>
  <c r="H293" i="2"/>
  <c r="H2644" i="2"/>
  <c r="H1769" i="2"/>
  <c r="H1138" i="2"/>
  <c r="H2509" i="2"/>
  <c r="H2726" i="2"/>
  <c r="H399" i="2"/>
  <c r="H323" i="2"/>
  <c r="H381" i="2"/>
  <c r="H71" i="2"/>
  <c r="H2477" i="2"/>
  <c r="H643" i="2"/>
  <c r="H907" i="2"/>
  <c r="H258" i="2"/>
  <c r="H173" i="2"/>
  <c r="H540" i="2"/>
  <c r="H999" i="2"/>
  <c r="H1176" i="2"/>
  <c r="H563" i="2"/>
  <c r="H1671" i="2"/>
  <c r="H1635" i="2"/>
  <c r="H95" i="2"/>
  <c r="H1601" i="2"/>
  <c r="H1281" i="2"/>
  <c r="H674" i="2"/>
  <c r="H2637" i="2"/>
  <c r="H2420" i="2"/>
  <c r="H2109" i="2"/>
  <c r="H344" i="2"/>
  <c r="H443" i="2"/>
  <c r="H1761" i="2"/>
  <c r="H2061" i="2"/>
  <c r="H2039" i="2"/>
  <c r="H709" i="2"/>
  <c r="H2572" i="2"/>
  <c r="H2186" i="2"/>
  <c r="H389" i="2"/>
  <c r="H430" i="2"/>
  <c r="H181" i="2"/>
  <c r="H1681" i="2"/>
  <c r="H2196" i="2"/>
  <c r="H475" i="2"/>
  <c r="H812" i="2"/>
  <c r="H1856" i="2"/>
  <c r="H1397" i="2"/>
  <c r="H235" i="2"/>
  <c r="H1144" i="2"/>
  <c r="H1392" i="2"/>
  <c r="H660" i="2"/>
  <c r="H1650" i="2"/>
  <c r="H432" i="2"/>
  <c r="H223" i="2"/>
  <c r="H282" i="2"/>
  <c r="H1708" i="2"/>
  <c r="H732" i="2"/>
  <c r="H2114" i="2"/>
  <c r="H2540" i="2"/>
  <c r="H537" i="2"/>
  <c r="H1465" i="2"/>
  <c r="H2685" i="2"/>
  <c r="H717" i="2"/>
  <c r="H60" i="2"/>
  <c r="H1490" i="2"/>
  <c r="H1003" i="2"/>
  <c r="H2205" i="2"/>
  <c r="H921" i="2"/>
  <c r="H2247" i="2"/>
  <c r="H2662" i="2"/>
  <c r="H2063" i="2"/>
  <c r="H58" i="2"/>
  <c r="H532" i="2"/>
  <c r="H550" i="2"/>
  <c r="H1678" i="2"/>
  <c r="H400" i="2"/>
  <c r="H805" i="2"/>
  <c r="H2266" i="2"/>
  <c r="H434" i="2"/>
  <c r="H1029" i="2"/>
  <c r="H2602" i="2"/>
  <c r="H301" i="2"/>
  <c r="H2445" i="2"/>
  <c r="H1703" i="2"/>
  <c r="H802" i="2"/>
  <c r="H39" i="2"/>
  <c r="H2085" i="2"/>
  <c r="H923" i="2"/>
  <c r="H996" i="2"/>
  <c r="H1194" i="2"/>
  <c r="H38" i="2"/>
  <c r="H782" i="2"/>
  <c r="H2289" i="2"/>
  <c r="H1162" i="2"/>
  <c r="H119" i="2"/>
  <c r="H1795" i="2"/>
  <c r="H1800" i="2"/>
  <c r="H2469" i="2"/>
  <c r="H2581" i="2"/>
  <c r="H1146" i="2"/>
  <c r="H404" i="2"/>
  <c r="H2319" i="2"/>
  <c r="H1709" i="2"/>
  <c r="H2009" i="2"/>
  <c r="H384" i="2"/>
  <c r="H206" i="2"/>
  <c r="H2480" i="2"/>
  <c r="H1733" i="2"/>
  <c r="H859" i="2"/>
  <c r="H501" i="2"/>
  <c r="H1515" i="2"/>
  <c r="H696" i="2"/>
  <c r="H528" i="2"/>
  <c r="H418" i="2"/>
  <c r="H164" i="2"/>
  <c r="H707" i="2"/>
  <c r="H77" i="2"/>
  <c r="H2018" i="2"/>
  <c r="H1778" i="2"/>
  <c r="H690" i="2"/>
  <c r="H1502" i="2"/>
  <c r="H2566" i="2"/>
  <c r="H1314" i="2"/>
  <c r="H1607" i="2"/>
  <c r="H1532" i="2"/>
  <c r="H539" i="2"/>
  <c r="H1030" i="2"/>
  <c r="H2249" i="2"/>
  <c r="H1011" i="2"/>
  <c r="H382" i="2"/>
  <c r="H857" i="2"/>
  <c r="H355" i="2"/>
  <c r="H469" i="2"/>
  <c r="H1957" i="2"/>
  <c r="H835" i="2"/>
  <c r="H2046" i="2"/>
  <c r="H908" i="2"/>
  <c r="H957" i="2"/>
  <c r="H2278" i="2"/>
  <c r="H1666" i="2"/>
  <c r="H672" i="2"/>
  <c r="H2149" i="2"/>
  <c r="H1152" i="2"/>
  <c r="H2605" i="2"/>
  <c r="H1171" i="2"/>
  <c r="H2772" i="2"/>
  <c r="H385" i="2"/>
  <c r="H102" i="2"/>
  <c r="H13" i="2"/>
  <c r="H2282" i="2"/>
  <c r="H2693" i="2"/>
  <c r="H874" i="2"/>
  <c r="H2042" i="2"/>
  <c r="H2260" i="2"/>
  <c r="H1570" i="2"/>
  <c r="H2340" i="2"/>
  <c r="H108" i="2"/>
  <c r="H374" i="2"/>
  <c r="H1628" i="2"/>
  <c r="H798" i="2"/>
  <c r="H1675" i="2"/>
  <c r="H128" i="2"/>
  <c r="H2239" i="2"/>
  <c r="H1341" i="2"/>
  <c r="H2107" i="2"/>
  <c r="H913" i="2"/>
  <c r="H1259" i="2"/>
  <c r="H670" i="2"/>
  <c r="H2243" i="2"/>
  <c r="H1930" i="2"/>
  <c r="H685" i="2"/>
  <c r="H1181" i="2"/>
  <c r="H1202" i="2"/>
  <c r="H1267" i="2"/>
  <c r="H2669" i="2"/>
  <c r="H168" i="2"/>
  <c r="H466" i="2"/>
  <c r="H2523" i="2"/>
  <c r="H1660" i="2"/>
  <c r="H2171" i="2"/>
  <c r="H352" i="2"/>
  <c r="H854" i="2"/>
  <c r="H2127" i="2"/>
  <c r="H1271" i="2"/>
  <c r="H75" i="2"/>
  <c r="H1784" i="2"/>
  <c r="H580" i="2"/>
  <c r="H2122" i="2"/>
  <c r="H2044" i="2"/>
  <c r="H1422" i="2"/>
  <c r="H929" i="2"/>
  <c r="H1742" i="2"/>
  <c r="H2717" i="2"/>
  <c r="H284" i="2"/>
  <c r="H2025" i="2"/>
  <c r="H149" i="2"/>
  <c r="H369" i="2"/>
  <c r="H37" i="2"/>
  <c r="H2140" i="2"/>
  <c r="H1110" i="2"/>
  <c r="H740" i="2"/>
  <c r="H2512" i="2"/>
  <c r="H2162" i="2"/>
  <c r="H2689" i="2"/>
  <c r="H519" i="2"/>
  <c r="H1344" i="2"/>
  <c r="H32" i="2"/>
  <c r="H2753" i="2"/>
  <c r="H159" i="2"/>
  <c r="H2366" i="2"/>
  <c r="H631" i="2"/>
  <c r="H832" i="2"/>
  <c r="H2474" i="2"/>
  <c r="H952" i="2"/>
  <c r="H1368" i="2"/>
  <c r="H1331" i="2"/>
  <c r="H239" i="2"/>
  <c r="H1294" i="2"/>
  <c r="H81" i="2"/>
  <c r="H2657" i="2"/>
  <c r="H1479" i="2"/>
  <c r="H614" i="2"/>
  <c r="H2326" i="2"/>
  <c r="H1165" i="2"/>
  <c r="H2270" i="2"/>
  <c r="H1553" i="2"/>
  <c r="H1311" i="2"/>
  <c r="H780" i="2"/>
  <c r="H882" i="2"/>
  <c r="H2465" i="2"/>
  <c r="H522" i="2"/>
  <c r="H457" i="2"/>
  <c r="H2235" i="2"/>
  <c r="H2562" i="2"/>
  <c r="H139" i="2"/>
  <c r="H1207" i="2"/>
  <c r="H880" i="2"/>
  <c r="H741" i="2"/>
  <c r="H1462" i="2"/>
  <c r="H856" i="2"/>
  <c r="H267" i="2"/>
  <c r="H2718" i="2"/>
  <c r="H1493" i="2"/>
  <c r="H655" i="2"/>
  <c r="H2375" i="2"/>
  <c r="H2267" i="2"/>
  <c r="H2321" i="2"/>
  <c r="H1725" i="2"/>
  <c r="H1039" i="2"/>
  <c r="H2045" i="2"/>
  <c r="H40" i="2"/>
  <c r="H1106" i="2"/>
  <c r="H183" i="2"/>
  <c r="H2560" i="2"/>
  <c r="H222" i="2"/>
  <c r="H298" i="2"/>
  <c r="H2765" i="2"/>
  <c r="H2226" i="2"/>
  <c r="H642" i="2"/>
  <c r="H278" i="2"/>
  <c r="H767" i="2"/>
  <c r="H1743" i="2"/>
  <c r="H1246" i="2"/>
  <c r="H834" i="2"/>
  <c r="H1474" i="2"/>
  <c r="H1354" i="2"/>
  <c r="H2014" i="2"/>
  <c r="H2541" i="2"/>
  <c r="H1188" i="2"/>
  <c r="H772" i="2"/>
  <c r="H1286" i="2"/>
  <c r="H2573" i="2"/>
  <c r="H879" i="2"/>
  <c r="H2462" i="2"/>
  <c r="H342" i="2"/>
  <c r="H2313" i="2"/>
  <c r="H2398" i="2"/>
  <c r="H699" i="2"/>
  <c r="H2555" i="2"/>
  <c r="H184" i="2"/>
  <c r="H2242" i="2"/>
  <c r="H891" i="2"/>
  <c r="H92" i="2"/>
  <c r="H1713" i="2"/>
  <c r="H433" i="2"/>
  <c r="H1136" i="2"/>
  <c r="H1806" i="2"/>
  <c r="H1927" i="2"/>
  <c r="H2628" i="2"/>
  <c r="H1765" i="2"/>
  <c r="H1560" i="2"/>
  <c r="H1956" i="2"/>
  <c r="H2485" i="2"/>
  <c r="H1916" i="2"/>
  <c r="H356" i="2"/>
  <c r="H1814" i="2"/>
  <c r="H1618" i="2"/>
  <c r="H2000" i="2"/>
  <c r="H584" i="2"/>
  <c r="H340" i="2"/>
  <c r="H1754" i="2"/>
  <c r="H2123" i="2"/>
  <c r="H499" i="2"/>
  <c r="H14" i="2"/>
  <c r="H214" i="2"/>
  <c r="H1932" i="2"/>
  <c r="H1762" i="2"/>
  <c r="H2166" i="2"/>
  <c r="H2448" i="2"/>
  <c r="H1142" i="2"/>
  <c r="H1135" i="2"/>
  <c r="H2569" i="2"/>
  <c r="H885" i="2"/>
  <c r="H2230" i="2"/>
  <c r="H2668" i="2"/>
  <c r="H1747" i="2"/>
  <c r="H1544" i="2"/>
  <c r="H263" i="2"/>
  <c r="H1389" i="2"/>
  <c r="H1971" i="2"/>
  <c r="H509" i="2"/>
  <c r="H2494" i="2"/>
  <c r="H1348" i="2"/>
  <c r="H2257" i="2"/>
  <c r="H296" i="2"/>
  <c r="H729" i="2"/>
  <c r="H2214" i="2"/>
  <c r="H742" i="2"/>
  <c r="H983" i="2"/>
  <c r="H2057" i="2"/>
  <c r="H242" i="2"/>
  <c r="H2731" i="2"/>
  <c r="H177" i="2"/>
  <c r="H941" i="2"/>
  <c r="H568" i="2"/>
  <c r="H581" i="2"/>
  <c r="H574" i="2"/>
  <c r="H1284" i="2"/>
  <c r="H777" i="2"/>
  <c r="H1124" i="2"/>
  <c r="H1840" i="2"/>
  <c r="H2318" i="2"/>
  <c r="H2241" i="2"/>
  <c r="H668" i="2"/>
  <c r="H1869" i="2"/>
  <c r="H2782" i="2"/>
  <c r="H2125" i="2"/>
  <c r="H1079" i="2"/>
  <c r="H2067" i="2"/>
  <c r="H636" i="2"/>
  <c r="H2280" i="2"/>
  <c r="H2232" i="2"/>
  <c r="H1801" i="2"/>
  <c r="H204" i="2"/>
  <c r="H2105" i="2"/>
  <c r="H1177" i="2"/>
  <c r="H1488" i="2"/>
  <c r="H224" i="2"/>
  <c r="H2475" i="2"/>
  <c r="H541" i="2"/>
  <c r="H2404" i="2"/>
  <c r="H1475" i="2"/>
  <c r="H2653" i="2"/>
  <c r="H112" i="2"/>
  <c r="H1523" i="2"/>
  <c r="H2479" i="2"/>
  <c r="H1716" i="2"/>
  <c r="H1619" i="2"/>
  <c r="H867" i="2"/>
  <c r="H2093" i="2"/>
  <c r="H821" i="2"/>
  <c r="H638" i="2"/>
  <c r="H2758" i="2"/>
  <c r="H2005" i="2"/>
  <c r="H733" i="2"/>
  <c r="H19" i="2"/>
  <c r="H910" i="2"/>
  <c r="H1356" i="2"/>
  <c r="H2725" i="2"/>
  <c r="H1583" i="2"/>
  <c r="H2402" i="2"/>
  <c r="H48" i="2"/>
  <c r="H883" i="2"/>
  <c r="H185" i="2"/>
  <c r="H1008" i="2"/>
  <c r="H2531" i="2"/>
  <c r="H417" i="2"/>
  <c r="H419" i="2"/>
  <c r="H1682" i="2"/>
  <c r="H2588" i="2"/>
  <c r="H440" i="2"/>
  <c r="H2671" i="2"/>
  <c r="H1608" i="2"/>
  <c r="H2703" i="2"/>
  <c r="H2305" i="2"/>
  <c r="H229" i="2"/>
  <c r="H1087" i="2"/>
  <c r="H678" i="2"/>
  <c r="H1077" i="2"/>
  <c r="H575" i="2"/>
  <c r="H756" i="2"/>
  <c r="H100" i="2"/>
  <c r="H2356" i="2"/>
  <c r="H1372" i="2"/>
  <c r="H692" i="2"/>
  <c r="H1112" i="2"/>
  <c r="H781" i="2"/>
  <c r="H2576" i="2"/>
  <c r="H2620" i="2"/>
  <c r="H918" i="2"/>
  <c r="H545" i="2"/>
  <c r="H2648" i="2"/>
  <c r="H2472" i="2"/>
  <c r="H409" i="2"/>
  <c r="H1287" i="2"/>
  <c r="H2329" i="2"/>
  <c r="H2501" i="2"/>
  <c r="H795" i="2"/>
  <c r="H188" i="2"/>
  <c r="H2139" i="2"/>
  <c r="H2694" i="2"/>
  <c r="H2752" i="2"/>
  <c r="H1690" i="2"/>
  <c r="H35" i="2"/>
  <c r="H2538" i="2"/>
  <c r="H873" i="2"/>
  <c r="H123" i="2"/>
  <c r="H1457" i="2"/>
  <c r="H2438" i="2"/>
  <c r="H506" i="2"/>
  <c r="H463" i="2"/>
  <c r="H2643" i="2"/>
  <c r="H2047" i="2"/>
  <c r="H1695" i="2"/>
  <c r="H2558" i="2"/>
  <c r="H2096" i="2"/>
  <c r="H2184" i="2"/>
  <c r="H1586" i="2"/>
  <c r="H1562" i="2"/>
  <c r="H2528" i="2"/>
  <c r="H2456" i="2"/>
  <c r="H679" i="2"/>
  <c r="H1114" i="2"/>
  <c r="H8" i="2"/>
  <c r="H875" i="2"/>
  <c r="H350" i="2"/>
  <c r="H1922" i="2"/>
  <c r="H197" i="2"/>
  <c r="H63" i="2"/>
  <c r="H830" i="2"/>
  <c r="H1720" i="2"/>
  <c r="H2468" i="2"/>
  <c r="H1807" i="2"/>
  <c r="H335" i="2"/>
  <c r="H2053" i="2"/>
  <c r="H971" i="2"/>
  <c r="H1861" i="2"/>
  <c r="H1884" i="2"/>
  <c r="H15" i="2"/>
  <c r="H594" i="2"/>
  <c r="H2589" i="2"/>
  <c r="H630" i="2"/>
  <c r="H1741" i="2"/>
  <c r="H1900" i="2"/>
  <c r="H1696" i="2"/>
  <c r="H1121" i="2"/>
  <c r="H2727" i="2"/>
  <c r="H10" i="2"/>
  <c r="H2153" i="2"/>
  <c r="H1638" i="2"/>
  <c r="H319" i="2"/>
  <c r="H1810" i="2"/>
  <c r="H1297" i="2"/>
  <c r="H894" i="2"/>
  <c r="H1166" i="2"/>
  <c r="H2613" i="2"/>
  <c r="H86" i="2"/>
  <c r="H2478" i="2"/>
  <c r="H1629" i="2"/>
  <c r="H1844" i="2"/>
  <c r="H2723" i="2"/>
  <c r="H2161" i="2"/>
  <c r="H290" i="2"/>
  <c r="H1989" i="2"/>
  <c r="H694" i="2"/>
  <c r="H491" i="2"/>
  <c r="H724" i="2"/>
  <c r="H1214" i="2"/>
  <c r="H1973" i="2"/>
  <c r="H186" i="2"/>
  <c r="H2597" i="2"/>
  <c r="H2147" i="2"/>
  <c r="H456" i="2"/>
  <c r="H2447" i="2"/>
  <c r="H1085" i="2"/>
  <c r="H2719" i="2"/>
  <c r="H1551" i="2"/>
  <c r="H2728" i="2"/>
  <c r="H1305" i="2"/>
  <c r="H2237" i="2"/>
  <c r="H754" i="2"/>
  <c r="H1487" i="2"/>
  <c r="H1147" i="2"/>
  <c r="H989" i="2"/>
  <c r="H860" i="2"/>
  <c r="H1205" i="2"/>
  <c r="H449" i="2"/>
  <c r="H1278" i="2"/>
  <c r="H1823" i="2"/>
  <c r="H634" i="2"/>
  <c r="H1821" i="2"/>
  <c r="H1320" i="2"/>
  <c r="H237" i="2"/>
  <c r="H1111" i="2"/>
  <c r="H93" i="2"/>
  <c r="H661" i="2"/>
  <c r="H1925" i="2"/>
  <c r="H1812" i="2"/>
  <c r="H2079" i="2"/>
  <c r="H1763" i="2"/>
  <c r="H1616" i="2"/>
  <c r="H524" i="2"/>
  <c r="H582" i="2"/>
  <c r="H2571" i="2"/>
  <c r="H2511" i="2"/>
  <c r="H1783" i="2"/>
  <c r="H2155" i="2"/>
  <c r="H1998" i="2"/>
  <c r="H1318" i="2"/>
  <c r="H2108" i="2"/>
  <c r="H1155" i="2"/>
  <c r="H1402" i="2"/>
  <c r="H2787" i="2"/>
  <c r="H853" i="2"/>
  <c r="H426" i="2"/>
  <c r="H947" i="2"/>
  <c r="H1282" i="2"/>
  <c r="H844" i="2"/>
  <c r="H527" i="2"/>
  <c r="H1379" i="2"/>
  <c r="H569" i="2"/>
  <c r="H2179" i="2"/>
  <c r="H2517" i="2"/>
  <c r="H1203" i="2"/>
  <c r="H221" i="2"/>
  <c r="H190" i="2"/>
  <c r="H2094" i="2"/>
  <c r="H2415" i="2"/>
  <c r="H2554" i="2"/>
  <c r="H810" i="2"/>
  <c r="H1876" i="2"/>
  <c r="H1288" i="2"/>
  <c r="H31" i="2"/>
  <c r="H1025" i="2"/>
  <c r="H2724" i="2"/>
  <c r="H1694" i="2"/>
  <c r="H2336" i="2"/>
  <c r="H992" i="2"/>
  <c r="H761" i="2"/>
  <c r="H508" i="2"/>
  <c r="H1470" i="2"/>
  <c r="H2672" i="2"/>
  <c r="H837" i="2"/>
  <c r="H1067" i="2"/>
  <c r="H1789" i="2"/>
  <c r="H1737" i="2"/>
  <c r="H2732" i="2"/>
  <c r="H2789" i="2"/>
  <c r="H1469" i="2"/>
  <c r="H669" i="2"/>
  <c r="H1486" i="2"/>
  <c r="H1349" i="2"/>
  <c r="H339" i="2"/>
  <c r="H379" i="2"/>
  <c r="H2414" i="2"/>
  <c r="H2374" i="2"/>
  <c r="H1813" i="2"/>
  <c r="H2423" i="2"/>
  <c r="H1274" i="2"/>
  <c r="H558" i="2"/>
  <c r="H942" i="2"/>
  <c r="H2645" i="2"/>
  <c r="H1362" i="2"/>
  <c r="H1829" i="2"/>
  <c r="H2193" i="2"/>
  <c r="H1015" i="2"/>
  <c r="H1307" i="2"/>
  <c r="H1952" i="2"/>
  <c r="H193" i="2"/>
  <c r="H127" i="2"/>
  <c r="H2598" i="2"/>
  <c r="H2487" i="2"/>
  <c r="H994" i="2"/>
  <c r="H824" i="2"/>
  <c r="H2608" i="2"/>
  <c r="H721" i="2"/>
  <c r="H822" i="2"/>
  <c r="H132" i="2"/>
  <c r="H1091" i="2"/>
  <c r="H1456" i="2"/>
  <c r="H1828" i="2"/>
  <c r="H817" i="2"/>
  <c r="H1667" i="2"/>
  <c r="H924" i="2"/>
  <c r="H746" i="2"/>
  <c r="H1630" i="2"/>
  <c r="H909" i="2"/>
  <c r="H577" i="2"/>
  <c r="H1501" i="2"/>
  <c r="H2736" i="2"/>
  <c r="H2263" i="2"/>
  <c r="H2248" i="2"/>
  <c r="H2350" i="2"/>
  <c r="H1992" i="2"/>
  <c r="H2349" i="2"/>
  <c r="H2413" i="2"/>
  <c r="H650" i="2"/>
  <c r="H564" i="2"/>
  <c r="H2246" i="2"/>
  <c r="H74" i="2"/>
  <c r="H1126" i="2"/>
  <c r="H47" i="2"/>
  <c r="H397" i="2"/>
  <c r="H371" i="2"/>
  <c r="H370" i="2"/>
  <c r="H1191" i="2"/>
  <c r="H343" i="2"/>
  <c r="H544" i="2"/>
  <c r="H2429" i="2"/>
  <c r="H1355" i="2"/>
  <c r="H789" i="2"/>
  <c r="H2038" i="2"/>
  <c r="H272" i="2"/>
  <c r="H1568" i="2"/>
  <c r="H53" i="2"/>
  <c r="H613" i="2"/>
  <c r="H215" i="2"/>
  <c r="H1050" i="2"/>
  <c r="H1366" i="2"/>
  <c r="H1233" i="2"/>
  <c r="H2537" i="2"/>
  <c r="H2780" i="2"/>
  <c r="H1692" i="2"/>
  <c r="H1478" i="2"/>
  <c r="H2489" i="2"/>
  <c r="H1405" i="2"/>
  <c r="H2312" i="2"/>
  <c r="H1058" i="2"/>
  <c r="H851" i="2"/>
  <c r="H1082" i="2"/>
  <c r="H1516" i="2"/>
  <c r="H2197" i="2"/>
  <c r="H2307" i="2"/>
  <c r="H1094" i="2"/>
  <c r="H1449" i="2"/>
  <c r="H2496" i="2"/>
  <c r="H598" i="2"/>
  <c r="H1853" i="2"/>
  <c r="H1244" i="2"/>
  <c r="H299" i="2"/>
  <c r="H1870" i="2"/>
  <c r="H1557" i="2"/>
  <c r="H1198" i="2"/>
  <c r="H927" i="2"/>
  <c r="H1464" i="2"/>
  <c r="H632" i="2"/>
  <c r="H968" i="2"/>
  <c r="H1797" i="2"/>
  <c r="H1480" i="2"/>
  <c r="H1809" i="2"/>
  <c r="H192" i="2"/>
  <c r="H393" i="2"/>
  <c r="H482" i="2"/>
  <c r="H2630" i="2"/>
  <c r="H2529" i="2"/>
  <c r="H1517" i="2"/>
  <c r="H1665" i="2"/>
  <c r="H1206" i="2"/>
  <c r="H2380" i="2"/>
  <c r="H2716" i="2"/>
  <c r="H428" i="2"/>
  <c r="H1777" i="2"/>
  <c r="H1588" i="2"/>
  <c r="H1611" i="2"/>
  <c r="H241" i="2"/>
  <c r="H916" i="2"/>
  <c r="H1988" i="2"/>
  <c r="H1308" i="2"/>
  <c r="H1255" i="2"/>
  <c r="H318" i="2"/>
  <c r="H1851" i="2"/>
  <c r="H2097" i="2"/>
  <c r="H889" i="2"/>
  <c r="H2786" i="2"/>
  <c r="H1302" i="2"/>
  <c r="H2520" i="2"/>
  <c r="H2325" i="2"/>
  <c r="H1371" i="2"/>
  <c r="H450" i="2"/>
  <c r="H1915" i="2"/>
  <c r="H2466" i="2"/>
  <c r="H251" i="2"/>
  <c r="H2622" i="2"/>
  <c r="H1592" i="2"/>
  <c r="H2386" i="2"/>
  <c r="H367" i="2"/>
  <c r="H1594" i="2"/>
  <c r="H515" i="2"/>
  <c r="H155" i="2"/>
  <c r="H888" i="2"/>
  <c r="H2451" i="2"/>
  <c r="H1073" i="2"/>
  <c r="H1593" i="2"/>
  <c r="H1347" i="2"/>
  <c r="H1432" i="2"/>
  <c r="H1266" i="2"/>
  <c r="H1369" i="2"/>
  <c r="H2656" i="2"/>
  <c r="H2178" i="2"/>
  <c r="H1434" i="2"/>
  <c r="H394" i="2"/>
  <c r="H842" i="2"/>
  <c r="H2052" i="2"/>
  <c r="H479" i="2"/>
  <c r="H2699" i="2"/>
  <c r="H2048" i="2"/>
  <c r="H156" i="2"/>
  <c r="H2308" i="2"/>
  <c r="H2516" i="2"/>
  <c r="H445" i="2"/>
  <c r="H804" i="2"/>
  <c r="H2223" i="2"/>
  <c r="H2661" i="2"/>
  <c r="H408" i="2"/>
  <c r="H1787" i="2"/>
  <c r="H1857" i="2"/>
  <c r="H407" i="2"/>
  <c r="H2165" i="2"/>
  <c r="H1000" i="2"/>
  <c r="H2202" i="2"/>
  <c r="H1580" i="2"/>
  <c r="H1663" i="2"/>
  <c r="H1960" i="2"/>
  <c r="H970" i="2"/>
  <c r="H1132" i="2"/>
  <c r="H120" i="2"/>
  <c r="H1892" i="2"/>
  <c r="H654" i="2"/>
  <c r="H2116" i="2"/>
  <c r="H1494" i="2"/>
  <c r="H281" i="2"/>
  <c r="H375" i="2"/>
  <c r="H495" i="2"/>
  <c r="H693" i="2"/>
  <c r="H391" i="2"/>
  <c r="H570" i="2"/>
  <c r="H1974" i="2"/>
  <c r="H1522" i="2"/>
  <c r="H1017" i="2"/>
  <c r="H2611" i="2"/>
  <c r="H2369" i="2"/>
  <c r="H2578" i="2"/>
  <c r="H618" i="2"/>
  <c r="H1744" i="2"/>
  <c r="H2001" i="2"/>
  <c r="H1215" i="2"/>
  <c r="H2371" i="2"/>
  <c r="H1685" i="2"/>
  <c r="H1691" i="2"/>
  <c r="H1014" i="2"/>
  <c r="H54" i="2"/>
  <c r="H2303" i="2"/>
  <c r="H1676" i="2"/>
  <c r="H2154" i="2"/>
  <c r="H1735" i="2"/>
  <c r="H2692" i="2"/>
  <c r="H2068" i="2"/>
  <c r="H312" i="2"/>
  <c r="H591" i="2"/>
  <c r="H1396" i="2"/>
  <c r="H1672" i="2"/>
  <c r="H247" i="2"/>
  <c r="H1934" i="2"/>
  <c r="H998" i="2"/>
  <c r="H2017" i="2"/>
  <c r="H1438" i="2"/>
  <c r="H1277" i="2"/>
  <c r="H925" i="2"/>
  <c r="H2256" i="2"/>
  <c r="H1908" i="2"/>
  <c r="H1151" i="2"/>
  <c r="H510" i="2"/>
  <c r="H843" i="2"/>
  <c r="H1832" i="2"/>
  <c r="H2291" i="2"/>
  <c r="H1752" i="2"/>
  <c r="H1605" i="2"/>
  <c r="H2654" i="2"/>
  <c r="H1476" i="2"/>
  <c r="H2361" i="2"/>
  <c r="H2706" i="2"/>
  <c r="H473" i="2"/>
  <c r="H1693" i="2"/>
  <c r="H951" i="2"/>
  <c r="H722" i="2"/>
  <c r="H2074" i="2"/>
  <c r="H2695" i="2"/>
  <c r="H2587" i="2"/>
  <c r="H1208" i="2"/>
  <c r="H1180" i="2"/>
  <c r="H67" i="2"/>
  <c r="H2491" i="2"/>
  <c r="H201" i="2"/>
  <c r="H2304" i="2"/>
  <c r="H1792" i="2"/>
  <c r="H402" i="2"/>
  <c r="H1624" i="2"/>
  <c r="H1209" i="2"/>
  <c r="H615" i="2"/>
  <c r="H2275" i="2"/>
  <c r="H1241" i="2"/>
  <c r="H2119" i="2"/>
  <c r="H1980" i="2"/>
  <c r="H945" i="2"/>
  <c r="H2265" i="2"/>
  <c r="H536" i="2"/>
  <c r="H2021" i="2"/>
  <c r="H1013" i="2"/>
  <c r="H2031" i="2"/>
  <c r="H1944" i="2"/>
  <c r="H1066" i="2"/>
  <c r="H752" i="2"/>
  <c r="H2688" i="2"/>
  <c r="H2680" i="2"/>
  <c r="H2425" i="2"/>
  <c r="H1590" i="2"/>
  <c r="H33" i="2"/>
  <c r="H1880" i="2"/>
  <c r="H1229" i="2"/>
  <c r="H494" i="2"/>
  <c r="H1643" i="2"/>
  <c r="H1513" i="2"/>
  <c r="H2367" i="2"/>
  <c r="H2352" i="2"/>
  <c r="H689" i="2"/>
  <c r="H2757" i="2"/>
  <c r="H2749" i="2"/>
  <c r="H866" i="2"/>
  <c r="H1994" i="2"/>
  <c r="H1332" i="2"/>
  <c r="H1863" i="2"/>
  <c r="H2411" i="2"/>
  <c r="H946" i="2"/>
  <c r="H556" i="2"/>
  <c r="H931" i="2"/>
  <c r="H612" i="2"/>
  <c r="H105" i="2"/>
  <c r="H548" i="2"/>
  <c r="H981" i="2"/>
  <c r="H2635" i="2"/>
  <c r="H2439" i="2"/>
  <c r="H1757" i="2"/>
  <c r="H590" i="2"/>
  <c r="H2505" i="2"/>
  <c r="H1726" i="2"/>
  <c r="H2677" i="2"/>
  <c r="H1343" i="2"/>
  <c r="H1483" i="2"/>
  <c r="H764" i="2"/>
  <c r="H1751" i="2"/>
  <c r="H415" i="2"/>
  <c r="H2298" i="2"/>
  <c r="H665" i="2"/>
  <c r="H1222" i="2"/>
  <c r="H1627" i="2"/>
  <c r="H1182" i="2"/>
  <c r="H1298" i="2"/>
  <c r="H716" i="2"/>
  <c r="H260" i="2"/>
  <c r="H1514" i="2"/>
  <c r="H1139" i="2"/>
  <c r="H1088" i="2"/>
  <c r="H1958" i="2"/>
  <c r="H1083" i="2"/>
  <c r="H1898" i="2"/>
  <c r="H1123" i="2"/>
  <c r="H1037" i="2"/>
  <c r="H2543" i="2"/>
  <c r="H2711" i="2"/>
  <c r="H2542" i="2"/>
  <c r="H1780" i="2"/>
  <c r="H592" i="2"/>
  <c r="H2709" i="2"/>
  <c r="H876" i="2"/>
  <c r="H1984" i="2"/>
  <c r="H452" i="2"/>
  <c r="H309" i="2"/>
  <c r="H608" i="2"/>
  <c r="H901" i="2"/>
  <c r="H280" i="2"/>
  <c r="H2722" i="2"/>
  <c r="H1117" i="2"/>
  <c r="H2564" i="2"/>
  <c r="H1868" i="2"/>
  <c r="H2138" i="2"/>
  <c r="H978" i="2"/>
  <c r="H944" i="2"/>
  <c r="H1924" i="2"/>
  <c r="H338" i="2"/>
  <c r="H1723" i="2"/>
  <c r="H833" i="2"/>
  <c r="H706" i="2"/>
  <c r="H1964" i="2"/>
  <c r="H2783" i="2"/>
  <c r="H1718" i="2"/>
  <c r="H585" i="2"/>
  <c r="H2296" i="2"/>
  <c r="H2055" i="2"/>
  <c r="H2007" i="2"/>
  <c r="H2317" i="2"/>
  <c r="H2231" i="2"/>
  <c r="H2159" i="2"/>
  <c r="H1042" i="2"/>
  <c r="H1452" i="2"/>
  <c r="H2405" i="2"/>
  <c r="H425" i="2"/>
  <c r="H948" i="2"/>
  <c r="H2495" i="2"/>
  <c r="H955" i="2"/>
  <c r="H2492" i="2"/>
  <c r="H2006" i="2"/>
  <c r="H2215" i="2"/>
  <c r="H321" i="2"/>
  <c r="H151" i="2"/>
  <c r="H793" i="2"/>
  <c r="H949" i="2"/>
  <c r="H2743" i="2"/>
  <c r="H1567" i="2"/>
  <c r="H1963" i="2"/>
  <c r="H686" i="2"/>
  <c r="H1213" i="2"/>
  <c r="H1573" i="2"/>
  <c r="H325" i="2"/>
  <c r="H2194" i="2"/>
  <c r="H1818" i="2"/>
  <c r="H1131" i="2"/>
  <c r="H1834" i="2"/>
  <c r="H1254" i="2"/>
  <c r="H1534" i="2"/>
  <c r="H245" i="2"/>
  <c r="H977" i="2"/>
  <c r="H1767" i="2"/>
  <c r="H1062" i="2"/>
  <c r="H1677" i="2"/>
  <c r="H2651" i="2"/>
  <c r="H2091" i="2"/>
  <c r="H1550" i="2"/>
  <c r="H2264" i="2"/>
  <c r="H1001" i="2"/>
  <c r="H2580" i="2"/>
  <c r="H313" i="2"/>
  <c r="H129" i="2"/>
  <c r="H1247" i="2"/>
  <c r="H2037" i="2"/>
  <c r="H1655" i="2"/>
  <c r="H219" i="2"/>
  <c r="H1700" i="2"/>
  <c r="H2559" i="2"/>
  <c r="H115" i="2"/>
  <c r="H2720" i="2"/>
  <c r="H174" i="2"/>
  <c r="H659" i="2"/>
  <c r="H166" i="2"/>
  <c r="H1524" i="2"/>
  <c r="H890" i="2"/>
  <c r="H297" i="2"/>
  <c r="H2236" i="2"/>
  <c r="H1530" i="2"/>
  <c r="H1538" i="2"/>
  <c r="H1805" i="2"/>
  <c r="H2335" i="2"/>
  <c r="H1798" i="2"/>
  <c r="H82" i="2"/>
  <c r="H553" i="2"/>
  <c r="H1373" i="2"/>
  <c r="H1080" i="2"/>
  <c r="H1923" i="2"/>
  <c r="H2152" i="2"/>
  <c r="H1824" i="2"/>
  <c r="H2251" i="2"/>
  <c r="H1116" i="2"/>
  <c r="H1010" i="2"/>
  <c r="H1219" i="2"/>
  <c r="H595" i="2"/>
  <c r="H1321" i="2"/>
  <c r="H243" i="2"/>
  <c r="H2331" i="2"/>
  <c r="H677" i="2"/>
  <c r="H973" i="2"/>
  <c r="H2395" i="2"/>
  <c r="H2175" i="2"/>
  <c r="H645" i="2"/>
  <c r="H57" i="2"/>
  <c r="H1335" i="2"/>
  <c r="H1527" i="2"/>
  <c r="H516" i="2"/>
  <c r="H1914" i="2"/>
  <c r="H1826" i="2"/>
  <c r="H1936" i="2"/>
  <c r="H162" i="2"/>
  <c r="H1201" i="2"/>
  <c r="H2286" i="2"/>
  <c r="H1097" i="2"/>
  <c r="H2746" i="2"/>
  <c r="H829" i="2"/>
  <c r="H158" i="2"/>
  <c r="H1649" i="2"/>
  <c r="H194" i="2"/>
  <c r="H333" i="2"/>
  <c r="H2545" i="2"/>
  <c r="H154" i="2"/>
  <c r="H718" i="2"/>
  <c r="H967" i="2"/>
  <c r="H567" i="2"/>
  <c r="H1906" i="2"/>
  <c r="H1890" i="2"/>
  <c r="H549" i="2"/>
  <c r="H477" i="2"/>
  <c r="H2712" i="2"/>
  <c r="H720" i="2"/>
  <c r="H2043" i="2"/>
  <c r="H1850" i="2"/>
  <c r="H303" i="2"/>
  <c r="H2070" i="2"/>
  <c r="H1578" i="2"/>
  <c r="H762" i="2"/>
  <c r="H2574" i="2"/>
  <c r="H200" i="2"/>
  <c r="H1280" i="2"/>
  <c r="H420" i="2"/>
  <c r="H607" i="2"/>
  <c r="H2253" i="2"/>
  <c r="H1729" i="2"/>
  <c r="H1903" i="2"/>
  <c r="H841" i="2"/>
  <c r="H363" i="2"/>
  <c r="H365" i="2"/>
  <c r="H1631" i="2"/>
  <c r="H2455" i="2"/>
  <c r="H2473" i="2"/>
  <c r="H1100" i="2"/>
  <c r="H990" i="2"/>
  <c r="H125" i="2"/>
  <c r="H624" i="2"/>
  <c r="H647" i="2"/>
  <c r="H1508" i="2"/>
  <c r="H1466" i="2"/>
  <c r="H1415" i="2"/>
  <c r="H1074" i="2"/>
  <c r="H2652" i="2"/>
  <c r="H1395" i="2"/>
  <c r="H1306" i="2"/>
  <c r="H36" i="2"/>
  <c r="H1269" i="2"/>
  <c r="H2393" i="2"/>
  <c r="H2649" i="2"/>
  <c r="H2450" i="2"/>
  <c r="H637" i="2"/>
  <c r="H617" i="2"/>
  <c r="H489" i="2"/>
  <c r="H2577" i="2"/>
  <c r="H2700" i="2"/>
  <c r="H2470" i="2"/>
  <c r="H1574" i="2"/>
  <c r="H2401" i="2"/>
  <c r="H1788" i="2"/>
  <c r="H1053" i="2"/>
  <c r="H2069" i="2"/>
  <c r="H1854" i="2"/>
  <c r="H838" i="2"/>
  <c r="H170" i="2"/>
  <c r="H1075" i="2"/>
  <c r="H2277" i="2"/>
  <c r="H2343" i="2"/>
  <c r="H1034" i="2"/>
  <c r="H1317" i="2"/>
  <c r="H1019" i="2"/>
  <c r="H85" i="2"/>
  <c r="H1122" i="2"/>
  <c r="H435" i="2"/>
  <c r="H2295" i="2"/>
  <c r="H2198" i="2"/>
  <c r="H1065" i="2"/>
  <c r="H552" i="2"/>
  <c r="H497" i="2"/>
  <c r="H2741" i="2"/>
  <c r="H406" i="2"/>
  <c r="H852" i="2"/>
  <c r="H1885" i="2"/>
  <c r="H800" i="2"/>
  <c r="H2376" i="2"/>
  <c r="H1896" i="2"/>
  <c r="H496" i="2"/>
  <c r="H2089" i="2"/>
  <c r="H2403" i="2"/>
  <c r="H972" i="2"/>
  <c r="H1072" i="2"/>
  <c r="H1237" i="2"/>
  <c r="H2104" i="2"/>
  <c r="H2081" i="2"/>
  <c r="H2760" i="2"/>
  <c r="H1909" i="2"/>
  <c r="H2090" i="2"/>
  <c r="H710" i="2"/>
  <c r="H2618" i="2"/>
  <c r="H1055" i="2"/>
  <c r="H823" i="2"/>
  <c r="H1940" i="2"/>
  <c r="H1684" i="2"/>
  <c r="H2301" i="2"/>
  <c r="H279" i="2"/>
  <c r="H1786" i="2"/>
  <c r="H976" i="2"/>
  <c r="H1603" i="2"/>
  <c r="H2062" i="2"/>
  <c r="H2459" i="2"/>
  <c r="H1864" i="2"/>
  <c r="H1230" i="2"/>
  <c r="H1770" i="2"/>
  <c r="H2176" i="2"/>
  <c r="H1458" i="2"/>
  <c r="H2639" i="2"/>
  <c r="H2188" i="2"/>
  <c r="H1425" i="2"/>
  <c r="H133" i="2"/>
  <c r="H1113" i="2"/>
  <c r="H427" i="2"/>
  <c r="H1361" i="2"/>
  <c r="H2120" i="2"/>
  <c r="H1680" i="2"/>
  <c r="H965" i="2"/>
  <c r="H2233" i="2"/>
  <c r="H2434" i="2"/>
  <c r="H964" i="2"/>
  <c r="H292" i="2"/>
  <c r="H376" i="2"/>
  <c r="H1295" i="2"/>
  <c r="H1536" i="2"/>
  <c r="H2158" i="2"/>
  <c r="H1026" i="2"/>
  <c r="H2029" i="2"/>
  <c r="H730" i="2"/>
  <c r="H640" i="2"/>
  <c r="H373" i="2"/>
  <c r="H749" i="2"/>
  <c r="H1174" i="2"/>
  <c r="H228" i="2"/>
  <c r="H2013" i="2"/>
  <c r="H23" i="2"/>
  <c r="H1020" i="2"/>
  <c r="H2773" i="2"/>
  <c r="H1231" i="2"/>
  <c r="H2784" i="2"/>
  <c r="H820" i="2"/>
  <c r="H1309" i="2"/>
  <c r="H2548" i="2"/>
  <c r="H2607" i="2"/>
  <c r="H2708" i="2"/>
  <c r="H1200" i="2"/>
  <c r="H2503" i="2"/>
  <c r="H79" i="2"/>
  <c r="H1920" i="2"/>
  <c r="H423" i="2"/>
  <c r="H227" i="2"/>
  <c r="H1070" i="2"/>
  <c r="H815" i="2"/>
  <c r="H65" i="2"/>
  <c r="H2174" i="2"/>
  <c r="H2391" i="2"/>
  <c r="H2333" i="2"/>
  <c r="H719" i="2"/>
  <c r="H1423" i="2"/>
  <c r="H711" i="2"/>
  <c r="H500" i="2"/>
  <c r="H1907" i="2"/>
  <c r="H1572" i="2"/>
  <c r="H1453" i="2"/>
  <c r="H1782" i="2"/>
  <c r="H629" i="2"/>
  <c r="H2579" i="2"/>
  <c r="H1224" i="2"/>
  <c r="H1799" i="2"/>
  <c r="H2337" i="2"/>
  <c r="H759" i="2"/>
  <c r="H1771" i="2"/>
  <c r="H1018" i="2"/>
  <c r="H341" i="2"/>
  <c r="H1400" i="2"/>
  <c r="H1443" i="2"/>
  <c r="H2259" i="2"/>
  <c r="H484" i="2"/>
  <c r="H1871" i="2"/>
  <c r="H2427" i="2"/>
  <c r="H2561" i="2"/>
  <c r="H1310" i="2"/>
  <c r="H959" i="2"/>
  <c r="H2111" i="2"/>
  <c r="H1303" i="2"/>
  <c r="H1874" i="2"/>
  <c r="H49" i="2"/>
  <c r="H244" i="2"/>
  <c r="H2521" i="2"/>
  <c r="H2351" i="2"/>
  <c r="H708" i="2"/>
  <c r="H1221" i="2"/>
  <c r="H2156" i="2"/>
  <c r="H728" i="2"/>
  <c r="H2777" i="2"/>
  <c r="H2586" i="2"/>
  <c r="H1968" i="2"/>
  <c r="H2189" i="2"/>
  <c r="H2389" i="2"/>
  <c r="H275" i="2"/>
  <c r="H1120" i="2"/>
  <c r="H1893" i="2"/>
  <c r="H317" i="2"/>
  <c r="H855" i="2"/>
  <c r="H1714" i="2"/>
  <c r="H437" i="2"/>
  <c r="H1442" i="2"/>
  <c r="H230" i="2"/>
  <c r="H1101" i="2"/>
  <c r="H1477" i="2"/>
  <c r="H933" i="2"/>
  <c r="H205" i="2"/>
  <c r="H2190" i="2"/>
  <c r="H1178" i="2"/>
  <c r="H70" i="2"/>
  <c r="H1753" i="2"/>
  <c r="H1895" i="2"/>
  <c r="H1253" i="2"/>
  <c r="H1561" i="2"/>
  <c r="H1313" i="2"/>
  <c r="H2087" i="2"/>
  <c r="H1901" i="2"/>
  <c r="H2143" i="2"/>
  <c r="H444" i="2"/>
  <c r="H503" i="2"/>
  <c r="H1184" i="2"/>
  <c r="H231" i="2"/>
  <c r="H288" i="2"/>
  <c r="H1698" i="2"/>
  <c r="H257" i="2"/>
  <c r="H1436" i="2"/>
  <c r="H1440" i="2"/>
  <c r="H1926" i="2"/>
  <c r="H1378" i="2"/>
  <c r="H863" i="2"/>
  <c r="H2163" i="2"/>
  <c r="H42" i="2"/>
  <c r="H906" i="2"/>
  <c r="H1499" i="2"/>
  <c r="H1910" i="2"/>
  <c r="H358" i="2"/>
  <c r="H1634" i="2"/>
  <c r="H555" i="2"/>
  <c r="H1521" i="2"/>
  <c r="H2599" i="2"/>
  <c r="H2059" i="2"/>
  <c r="H1545" i="2"/>
  <c r="H2290" i="2"/>
  <c r="H2148" i="2"/>
  <c r="H73" i="2"/>
  <c r="H2049" i="2"/>
  <c r="H1190" i="2"/>
  <c r="H2254" i="2"/>
  <c r="H2080" i="2"/>
  <c r="H2679" i="2"/>
  <c r="H1242" i="2"/>
  <c r="H935" i="2"/>
  <c r="H1268" i="2"/>
  <c r="H2209" i="2"/>
  <c r="H144" i="2"/>
  <c r="H2354" i="2"/>
  <c r="H1606" i="2"/>
  <c r="H1431" i="2"/>
  <c r="H745" i="2"/>
  <c r="H987" i="2"/>
  <c r="H547" i="2"/>
  <c r="H1919" i="2"/>
  <c r="H1086" i="2"/>
  <c r="H50" i="2"/>
  <c r="H593" i="2"/>
  <c r="H2378" i="2"/>
  <c r="H253" i="2"/>
  <c r="H529" i="2"/>
  <c r="H2534" i="2"/>
  <c r="H1398" i="2"/>
  <c r="H169" i="2"/>
  <c r="H2383" i="2"/>
  <c r="H1460" i="2"/>
  <c r="H2342" i="2"/>
  <c r="H1982" i="2"/>
  <c r="H2338" i="2"/>
  <c r="H1149" i="2"/>
  <c r="H1419" i="2"/>
  <c r="H1987" i="2"/>
  <c r="H2759" i="2"/>
  <c r="H28" i="2"/>
  <c r="H2593" i="2"/>
  <c r="H490" i="2"/>
  <c r="H1917" i="2"/>
  <c r="H2078" i="2"/>
  <c r="H1411" i="2"/>
  <c r="H17" i="2"/>
  <c r="H357" i="2"/>
  <c r="H2781" i="2"/>
  <c r="H1428" i="2"/>
  <c r="H1005" i="2"/>
  <c r="H2792" i="2"/>
  <c r="H2497" i="2"/>
  <c r="H1827" i="2"/>
  <c r="H2636" i="2"/>
  <c r="H1391" i="2"/>
  <c r="H1401" i="2"/>
  <c r="H26" i="2"/>
  <c r="H1946" i="2"/>
  <c r="H2292" i="2"/>
  <c r="H1381" i="2"/>
  <c r="H1380" i="2"/>
  <c r="H2106" i="2"/>
  <c r="H2167" i="2"/>
  <c r="H1304" i="2"/>
  <c r="H106" i="2"/>
  <c r="H2008" i="2"/>
  <c r="H2458" i="2"/>
  <c r="H1738" i="2"/>
  <c r="H2755" i="2"/>
  <c r="H1156" i="2"/>
  <c r="H1158" i="2"/>
  <c r="H1699" i="2"/>
  <c r="H2284" i="2"/>
  <c r="H2364" i="2"/>
  <c r="H2210" i="2"/>
  <c r="H1941" i="2"/>
  <c r="H103" i="2"/>
  <c r="H178" i="2"/>
  <c r="H807" i="2"/>
  <c r="H2515" i="2"/>
  <c r="H2287" i="2"/>
  <c r="H774" i="2"/>
  <c r="H2436" i="2"/>
  <c r="H2687" i="2"/>
  <c r="H1648" i="2"/>
  <c r="H1406" i="2"/>
  <c r="H2076" i="2"/>
  <c r="H1264" i="2"/>
  <c r="H734" i="2"/>
  <c r="H359" i="2"/>
  <c r="H1937" i="2"/>
  <c r="H421" i="2"/>
  <c r="H1951" i="2"/>
  <c r="H2370" i="2"/>
  <c r="H1225" i="2"/>
  <c r="H1579" i="2"/>
  <c r="H864" i="2"/>
  <c r="H1327" i="2"/>
  <c r="H97" i="2"/>
  <c r="H1706" i="2"/>
  <c r="H1555" i="2"/>
  <c r="H2647" i="2"/>
  <c r="H601" i="2"/>
  <c r="H1455" i="2"/>
  <c r="H1633" i="2"/>
  <c r="H673" i="2"/>
  <c r="H1125" i="2"/>
  <c r="H1947" i="2"/>
  <c r="H2028" i="2"/>
  <c r="H1804" i="2"/>
  <c r="H87" i="2"/>
  <c r="H1275" i="2"/>
  <c r="H1228" i="2"/>
  <c r="H958" i="2"/>
  <c r="H2160" i="2"/>
  <c r="H1463" i="2"/>
  <c r="H828" i="2"/>
  <c r="H2187" i="2"/>
  <c r="H1995" i="2"/>
  <c r="H2705" i="2"/>
  <c r="H1061" i="2"/>
  <c r="H2218" i="2"/>
  <c r="H2526" i="2"/>
  <c r="H561" i="2"/>
  <c r="H2362" i="2"/>
  <c r="H2437" i="2"/>
  <c r="H131" i="2"/>
  <c r="H2121" i="2"/>
  <c r="H2220" i="2"/>
  <c r="H1981" i="2"/>
  <c r="H776" i="2"/>
  <c r="H2113" i="2"/>
  <c r="H1173" i="2"/>
  <c r="H130" i="2"/>
  <c r="H596" i="2"/>
  <c r="H603" i="2"/>
  <c r="H2200" i="2"/>
  <c r="H697" i="2"/>
  <c r="H858" i="2"/>
  <c r="H2141" i="2"/>
  <c r="H1658" i="2"/>
  <c r="H1289" i="2"/>
  <c r="H2500" i="2"/>
  <c r="H2761" i="2"/>
  <c r="H52" i="2"/>
  <c r="H233" i="2"/>
  <c r="H1193" i="2"/>
  <c r="H398" i="2"/>
  <c r="H818" i="2"/>
  <c r="H826" i="2"/>
  <c r="H1170" i="2"/>
  <c r="H1722" i="2"/>
  <c r="H2271" i="2"/>
  <c r="H2273" i="2"/>
  <c r="H307" i="2"/>
  <c r="H2060" i="2"/>
  <c r="H1358" i="2"/>
  <c r="H1105" i="2"/>
  <c r="H2406" i="2"/>
  <c r="H688" i="2"/>
  <c r="H1239" i="2"/>
  <c r="H2157" i="2"/>
  <c r="H649" i="2"/>
  <c r="H461" i="2"/>
  <c r="H196" i="2"/>
  <c r="H1021" i="2"/>
  <c r="H474" i="2"/>
  <c r="H1076" i="2"/>
  <c r="H2066" i="2"/>
  <c r="H1322" i="2"/>
  <c r="H610" i="2"/>
  <c r="H1609" i="2"/>
  <c r="H401" i="2"/>
  <c r="H904" i="2"/>
  <c r="H1979" i="2"/>
  <c r="H1830" i="2"/>
  <c r="H507" i="2"/>
  <c r="H675" i="2"/>
  <c r="H849" i="2"/>
  <c r="H2136" i="2"/>
  <c r="H1316" i="2"/>
  <c r="H1265" i="2"/>
  <c r="H1972" i="2"/>
  <c r="H1811" i="2"/>
  <c r="H145" i="2"/>
  <c r="H1492" i="2"/>
  <c r="H383" i="2"/>
  <c r="M7" i="2"/>
  <c r="K7" i="2"/>
  <c r="J7" i="2"/>
  <c r="BB20" i="2" s="1"/>
  <c r="K7" i="1"/>
  <c r="BB18" i="2" l="1"/>
  <c r="BB16" i="2"/>
  <c r="BB14" i="2"/>
  <c r="BB12" i="2"/>
  <c r="BB8" i="2"/>
  <c r="BB10" i="2"/>
  <c r="BC10" i="2" s="1"/>
  <c r="BB24" i="2"/>
  <c r="BB26" i="2"/>
  <c r="BB22" i="2"/>
  <c r="L7" i="2"/>
  <c r="H7" i="1"/>
  <c r="I7" i="1"/>
  <c r="D1413" i="1"/>
  <c r="F1413" i="1" s="1"/>
  <c r="D2785" i="1"/>
  <c r="D497" i="1"/>
  <c r="F497" i="1" s="1"/>
  <c r="D2590" i="1"/>
  <c r="F2590" i="1" s="1"/>
  <c r="D647" i="1"/>
  <c r="F647" i="1" s="1"/>
  <c r="D351" i="1"/>
  <c r="F351" i="1" s="1"/>
  <c r="D1204" i="1"/>
  <c r="F1204" i="1" s="1"/>
  <c r="D488" i="1"/>
  <c r="F488" i="1" s="1"/>
  <c r="D1846" i="1"/>
  <c r="F1846" i="1" s="1"/>
  <c r="D451" i="1"/>
  <c r="F451" i="1" s="1"/>
  <c r="D1949" i="1"/>
  <c r="F1949" i="1" s="1"/>
  <c r="D2378" i="1"/>
  <c r="F2378" i="1" s="1"/>
  <c r="D706" i="1"/>
  <c r="F706" i="1" s="1"/>
  <c r="D433" i="1"/>
  <c r="F433" i="1" s="1"/>
  <c r="D667" i="1"/>
  <c r="F667" i="1" s="1"/>
  <c r="D66" i="1"/>
  <c r="F66" i="1" s="1"/>
  <c r="D2760" i="1"/>
  <c r="F2760" i="1" s="1"/>
  <c r="D2260" i="1"/>
  <c r="F2260" i="1" s="1"/>
  <c r="D2609" i="1"/>
  <c r="D2730" i="1"/>
  <c r="D593" i="1"/>
  <c r="D1889" i="1"/>
  <c r="D2371" i="1"/>
  <c r="D359" i="1"/>
  <c r="D2480" i="1"/>
  <c r="D866" i="1"/>
  <c r="D2492" i="1"/>
  <c r="E2492" i="1" s="1"/>
  <c r="D722" i="1"/>
  <c r="D2738" i="1"/>
  <c r="E2738" i="1" s="1"/>
  <c r="D2162" i="1"/>
  <c r="D878" i="1"/>
  <c r="D1640" i="1"/>
  <c r="D998" i="1"/>
  <c r="D2206" i="1"/>
  <c r="D964" i="1"/>
  <c r="D1583" i="1"/>
  <c r="D533" i="1"/>
  <c r="D180" i="1"/>
  <c r="D390" i="1"/>
  <c r="D318" i="1"/>
  <c r="D41" i="1"/>
  <c r="D386" i="1"/>
  <c r="D2179" i="1"/>
  <c r="D504" i="1"/>
  <c r="D1340" i="1"/>
  <c r="F1340" i="1" s="1"/>
  <c r="D834" i="1"/>
  <c r="D1607" i="1"/>
  <c r="F1607" i="1" s="1"/>
  <c r="D2518" i="1"/>
  <c r="D2252" i="1"/>
  <c r="D2216" i="1"/>
  <c r="D183" i="1"/>
  <c r="D2129" i="1"/>
  <c r="D2534" i="1"/>
  <c r="D383" i="1"/>
  <c r="D2419" i="1"/>
  <c r="D1957" i="1"/>
  <c r="D16" i="1"/>
  <c r="D2085" i="1"/>
  <c r="E2085" i="1" s="1"/>
  <c r="D1824" i="1"/>
  <c r="D353" i="1"/>
  <c r="D2010" i="1"/>
  <c r="D2629" i="1"/>
  <c r="D45" i="1"/>
  <c r="D155" i="1"/>
  <c r="D2028" i="1"/>
  <c r="D2140" i="1"/>
  <c r="D447" i="1"/>
  <c r="D825" i="1"/>
  <c r="D785" i="1"/>
  <c r="D1526" i="1"/>
  <c r="D2359" i="1"/>
  <c r="D613" i="1"/>
  <c r="D122" i="1"/>
  <c r="F122" i="1" s="1"/>
  <c r="D675" i="1"/>
  <c r="D1030" i="1"/>
  <c r="D1530" i="1"/>
  <c r="F1530" i="1" s="1"/>
  <c r="D1144" i="1"/>
  <c r="D2214" i="1"/>
  <c r="D2688" i="1"/>
  <c r="D1576" i="1"/>
  <c r="D2400" i="1"/>
  <c r="D1248" i="1"/>
  <c r="D2024" i="1"/>
  <c r="D337" i="1"/>
  <c r="D1254" i="1"/>
  <c r="D818" i="1"/>
  <c r="D2683" i="1"/>
  <c r="D1436" i="1"/>
  <c r="D1472" i="1"/>
  <c r="D2044" i="1"/>
  <c r="D301" i="1"/>
  <c r="D486" i="1"/>
  <c r="D2666" i="1"/>
  <c r="D1360" i="1"/>
  <c r="D416" i="1"/>
  <c r="D1748" i="1"/>
  <c r="D2592" i="1"/>
  <c r="D1981" i="1"/>
  <c r="D1649" i="1"/>
  <c r="D2298" i="1"/>
  <c r="D527" i="1"/>
  <c r="D1035" i="1"/>
  <c r="F1035" i="1" s="1"/>
  <c r="D694" i="1"/>
  <c r="D2098" i="1"/>
  <c r="D2278" i="1"/>
  <c r="F2278" i="1" s="1"/>
  <c r="D1702" i="1"/>
  <c r="D2669" i="1"/>
  <c r="D1313" i="1"/>
  <c r="D1319" i="1"/>
  <c r="D1866" i="1"/>
  <c r="D995" i="1"/>
  <c r="D2247" i="1"/>
  <c r="D1246" i="1"/>
  <c r="D1513" i="1"/>
  <c r="D391" i="1"/>
  <c r="D493" i="1"/>
  <c r="D2380" i="1"/>
  <c r="D2235" i="1"/>
  <c r="D393" i="1"/>
  <c r="D2461" i="1"/>
  <c r="D142" i="1"/>
  <c r="D669" i="1"/>
  <c r="D1915" i="1"/>
  <c r="D399" i="1"/>
  <c r="D2128" i="1"/>
  <c r="D1055" i="1"/>
  <c r="D2050" i="1"/>
  <c r="D185" i="1"/>
  <c r="D2604" i="1"/>
  <c r="D1863" i="1"/>
  <c r="D1851" i="1"/>
  <c r="F1851" i="1" s="1"/>
  <c r="D1320" i="1"/>
  <c r="D224" i="1"/>
  <c r="F224" i="1" s="1"/>
  <c r="D1118" i="1"/>
  <c r="D1869" i="1"/>
  <c r="D1670" i="1"/>
  <c r="D1122" i="1"/>
  <c r="D971" i="1"/>
  <c r="D2112" i="1"/>
  <c r="D513" i="1"/>
  <c r="D794" i="1"/>
  <c r="D1765" i="1"/>
  <c r="D903" i="1"/>
  <c r="D410" i="1"/>
  <c r="D839" i="1"/>
  <c r="D302" i="1"/>
  <c r="D2521" i="1"/>
  <c r="D1578" i="1"/>
  <c r="D1527" i="1"/>
  <c r="D929" i="1"/>
  <c r="D1610" i="1"/>
  <c r="D1662" i="1"/>
  <c r="D2084" i="1"/>
  <c r="D2583" i="1"/>
  <c r="D1206" i="1"/>
  <c r="D1270" i="1"/>
  <c r="D121" i="1"/>
  <c r="D2139" i="1"/>
  <c r="D2151" i="1"/>
  <c r="D2068" i="1"/>
  <c r="F2068" i="1" s="1"/>
  <c r="D1290" i="1"/>
  <c r="D2108" i="1"/>
  <c r="F2108" i="1" s="1"/>
  <c r="D1892" i="1"/>
  <c r="D181" i="1"/>
  <c r="D803" i="1"/>
  <c r="D1876" i="1"/>
  <c r="D2395" i="1"/>
  <c r="D526" i="1"/>
  <c r="D1216" i="1"/>
  <c r="D1998" i="1"/>
  <c r="D1037" i="1"/>
  <c r="D811" i="1"/>
  <c r="D2494" i="1"/>
  <c r="D737" i="1"/>
  <c r="D2230" i="1"/>
  <c r="D2076" i="1"/>
  <c r="D1721" i="1"/>
  <c r="D12" i="1"/>
  <c r="D1046" i="1"/>
  <c r="D2089" i="1"/>
  <c r="D2073" i="1"/>
  <c r="D1811" i="1"/>
  <c r="D1333" i="1"/>
  <c r="D853" i="1"/>
  <c r="D427" i="1"/>
  <c r="D1314" i="1"/>
  <c r="D1383" i="1"/>
  <c r="D2208" i="1"/>
  <c r="D624" i="1"/>
  <c r="F624" i="1" s="1"/>
  <c r="D2137" i="1"/>
  <c r="D600" i="1"/>
  <c r="F600" i="1" s="1"/>
  <c r="D1498" i="1"/>
  <c r="D1147" i="1"/>
  <c r="D2037" i="1"/>
  <c r="D467" i="1"/>
  <c r="D592" i="1"/>
  <c r="D2638" i="1"/>
  <c r="D446" i="1"/>
  <c r="D2726" i="1"/>
  <c r="D1359" i="1"/>
  <c r="D876" i="1"/>
  <c r="D2487" i="1"/>
  <c r="D1646" i="1"/>
  <c r="D1225" i="1"/>
  <c r="D986" i="1"/>
  <c r="D829" i="1"/>
  <c r="D1067" i="1"/>
  <c r="D1753" i="1"/>
  <c r="D772" i="1"/>
  <c r="D1189" i="1"/>
  <c r="D189" i="1"/>
  <c r="D2029" i="1"/>
  <c r="D171" i="1"/>
  <c r="D2023" i="1"/>
  <c r="D2249" i="1"/>
  <c r="D639" i="1"/>
  <c r="D276" i="1"/>
  <c r="F276" i="1" s="1"/>
  <c r="D108" i="1"/>
  <c r="D1932" i="1"/>
  <c r="D2451" i="1"/>
  <c r="F2451" i="1" s="1"/>
  <c r="D2658" i="1"/>
  <c r="D1154" i="1"/>
  <c r="D2462" i="1"/>
  <c r="D2397" i="1"/>
  <c r="D2195" i="1"/>
  <c r="D2743" i="1"/>
  <c r="D2739" i="1"/>
  <c r="D2114" i="1"/>
  <c r="D2715" i="1"/>
  <c r="D1382" i="1"/>
  <c r="D1757" i="1"/>
  <c r="D2042" i="1"/>
  <c r="D1980" i="1"/>
  <c r="D1989" i="1"/>
  <c r="D1059" i="1"/>
  <c r="D2418" i="1"/>
  <c r="D2678" i="1"/>
  <c r="D935" i="1"/>
  <c r="D498" i="1"/>
  <c r="D2340" i="1"/>
  <c r="D311" i="1"/>
  <c r="D438" i="1"/>
  <c r="D2113" i="1"/>
  <c r="D2525" i="1"/>
  <c r="D826" i="1"/>
  <c r="D273" i="1"/>
  <c r="F273" i="1" s="1"/>
  <c r="D2110" i="1"/>
  <c r="D1552" i="1"/>
  <c r="D22" i="1"/>
  <c r="F22" i="1" s="1"/>
  <c r="D2348" i="1"/>
  <c r="D2069" i="1"/>
  <c r="D235" i="1"/>
  <c r="D950" i="1"/>
  <c r="D2770" i="1"/>
  <c r="D962" i="1"/>
  <c r="D1257" i="1"/>
  <c r="D1264" i="1"/>
  <c r="D814" i="1"/>
  <c r="D1040" i="1"/>
  <c r="D358" i="1"/>
  <c r="D697" i="1"/>
  <c r="D173" i="1"/>
  <c r="D435" i="1"/>
  <c r="D1838" i="1"/>
  <c r="D2468" i="1"/>
  <c r="D917" i="1"/>
  <c r="D1762" i="1"/>
  <c r="D1120" i="1"/>
  <c r="D1575" i="1"/>
  <c r="D2040" i="1"/>
  <c r="D1990" i="1"/>
  <c r="D1653" i="1"/>
  <c r="D2526" i="1"/>
  <c r="D690" i="1"/>
  <c r="D2438" i="1"/>
  <c r="F2438" i="1" s="1"/>
  <c r="D100" i="1"/>
  <c r="D210" i="1"/>
  <c r="F210" i="1" s="1"/>
  <c r="D1457" i="1"/>
  <c r="D452" i="1"/>
  <c r="D2080" i="1"/>
  <c r="D543" i="1"/>
  <c r="D1641" i="1"/>
  <c r="D1450" i="1"/>
  <c r="D203" i="1"/>
  <c r="D573" i="1"/>
  <c r="D1492" i="1"/>
  <c r="D956" i="1"/>
  <c r="D1826" i="1"/>
  <c r="D875" i="1"/>
  <c r="D2039" i="1"/>
  <c r="D2648" i="1"/>
  <c r="D961" i="1"/>
  <c r="D536" i="1"/>
  <c r="D877" i="1"/>
  <c r="D2661" i="1"/>
  <c r="D1188" i="1"/>
  <c r="D1440" i="1"/>
  <c r="D937" i="1"/>
  <c r="D2120" i="1"/>
  <c r="D2246" i="1"/>
  <c r="D29" i="1"/>
  <c r="D2372" i="1"/>
  <c r="D1730" i="1"/>
  <c r="D411" i="1"/>
  <c r="F411" i="1" s="1"/>
  <c r="D2143" i="1"/>
  <c r="D2701" i="1"/>
  <c r="F2701" i="1" s="1"/>
  <c r="D2007" i="1"/>
  <c r="D1494" i="1"/>
  <c r="D83" i="1"/>
  <c r="D2038" i="1"/>
  <c r="D1936" i="1"/>
  <c r="D127" i="1"/>
  <c r="D280" i="1"/>
  <c r="D2654" i="1"/>
  <c r="D1129" i="1"/>
  <c r="D1010" i="1"/>
  <c r="D36" i="1"/>
  <c r="D1819" i="1"/>
  <c r="D736" i="1"/>
  <c r="D1447" i="1"/>
  <c r="D2631" i="1"/>
  <c r="D450" i="1"/>
  <c r="D1715" i="1"/>
  <c r="D213" i="1"/>
  <c r="D2306" i="1"/>
  <c r="D1076" i="1"/>
  <c r="D2781" i="1"/>
  <c r="D2515" i="1"/>
  <c r="D1797" i="1"/>
  <c r="D2497" i="1"/>
  <c r="D758" i="1"/>
  <c r="D88" i="1"/>
  <c r="D2674" i="1"/>
  <c r="F2674" i="1" s="1"/>
  <c r="D432" i="1"/>
  <c r="D2577" i="1"/>
  <c r="F2577" i="1" s="1"/>
  <c r="D159" i="1"/>
  <c r="D2071" i="1"/>
  <c r="D717" i="1"/>
  <c r="D1573" i="1"/>
  <c r="D1628" i="1"/>
  <c r="D2624" i="1"/>
  <c r="D1395" i="1"/>
  <c r="D1534" i="1"/>
  <c r="D766" i="1"/>
  <c r="D960" i="1"/>
  <c r="D1286" i="1"/>
  <c r="D1985" i="1"/>
  <c r="D2012" i="1"/>
  <c r="D245" i="1"/>
  <c r="D598" i="1"/>
  <c r="D1351" i="1"/>
  <c r="D1716" i="1"/>
  <c r="D2579" i="1"/>
  <c r="D756" i="1"/>
  <c r="D1153" i="1"/>
  <c r="D2122" i="1"/>
  <c r="D1875" i="1"/>
  <c r="D97" i="1"/>
  <c r="D2283" i="1"/>
  <c r="D615" i="1"/>
  <c r="D28" i="1"/>
  <c r="F28" i="1" s="1"/>
  <c r="D1214" i="1"/>
  <c r="D789" i="1"/>
  <c r="D2662" i="1"/>
  <c r="F2662" i="1" s="1"/>
  <c r="D165" i="1"/>
  <c r="D1773" i="1"/>
  <c r="D2768" i="1"/>
  <c r="D1446" i="1"/>
  <c r="D151" i="1"/>
  <c r="D1493" i="1"/>
  <c r="D827" i="1"/>
  <c r="D1249" i="1"/>
  <c r="D144" i="1"/>
  <c r="D1094" i="1"/>
  <c r="D2746" i="1"/>
  <c r="D1133" i="1"/>
  <c r="D153" i="1"/>
  <c r="D656" i="1"/>
  <c r="D112" i="1"/>
  <c r="D2207" i="1"/>
  <c r="D2005" i="1"/>
  <c r="D880" i="1"/>
  <c r="D2269" i="1"/>
  <c r="D963" i="1"/>
  <c r="D2124" i="1"/>
  <c r="D2651" i="1"/>
  <c r="D1311" i="1"/>
  <c r="D1222" i="1"/>
  <c r="D1806" i="1"/>
  <c r="D2135" i="1"/>
  <c r="F2135" i="1" s="1"/>
  <c r="D590" i="1"/>
  <c r="D1350" i="1"/>
  <c r="D47" i="1"/>
  <c r="F47" i="1" s="1"/>
  <c r="D2209" i="1"/>
  <c r="D924" i="1"/>
  <c r="D2779" i="1"/>
  <c r="D1907" i="1"/>
  <c r="D2181" i="1"/>
  <c r="D2575" i="1"/>
  <c r="D347" i="1"/>
  <c r="D1801" i="1"/>
  <c r="D1681" i="1"/>
  <c r="D990" i="1"/>
  <c r="D1705" i="1"/>
  <c r="D2430" i="1"/>
  <c r="D2153" i="1"/>
  <c r="D462" i="1"/>
  <c r="D730" i="1"/>
  <c r="D1285" i="1"/>
  <c r="D415" i="1"/>
  <c r="D322" i="1"/>
  <c r="D1464" i="1"/>
  <c r="D572" i="1"/>
  <c r="D1428" i="1"/>
  <c r="D2193" i="1"/>
  <c r="D228" i="1"/>
  <c r="D2256" i="1"/>
  <c r="D1400" i="1"/>
  <c r="D1412" i="1"/>
  <c r="F1412" i="1" s="1"/>
  <c r="D1190" i="1"/>
  <c r="D2443" i="1"/>
  <c r="F2443" i="1" s="1"/>
  <c r="D135" i="1"/>
  <c r="D1497" i="1"/>
  <c r="D707" i="1"/>
  <c r="D211" i="1"/>
  <c r="D1800" i="1"/>
  <c r="D1871" i="1"/>
  <c r="D2457" i="1"/>
  <c r="D1376" i="1"/>
  <c r="D835" i="1"/>
  <c r="D1555" i="1"/>
  <c r="D1011" i="1"/>
  <c r="D2254" i="1"/>
  <c r="D1091" i="1"/>
  <c r="D1488" i="1"/>
  <c r="D1210" i="1"/>
  <c r="D374" i="1"/>
  <c r="D1066" i="1"/>
  <c r="D942" i="1"/>
  <c r="D548" i="1"/>
  <c r="D340" i="1"/>
  <c r="D804" i="1"/>
  <c r="D2403" i="1"/>
  <c r="D1365" i="1"/>
  <c r="D1532" i="1"/>
  <c r="D2105" i="1"/>
  <c r="D2472" i="1"/>
  <c r="D237" i="1"/>
  <c r="F237" i="1" s="1"/>
  <c r="D1746" i="1"/>
  <c r="D1952" i="1"/>
  <c r="F1952" i="1" s="1"/>
  <c r="D608" i="1"/>
  <c r="D440" i="1"/>
  <c r="D1983" i="1"/>
  <c r="D1556" i="1"/>
  <c r="D1238" i="1"/>
  <c r="D1820" i="1"/>
  <c r="D1849" i="1"/>
  <c r="D1148" i="1"/>
  <c r="D1478" i="1"/>
  <c r="D2033" i="1"/>
  <c r="D1977" i="1"/>
  <c r="D2588" i="1"/>
  <c r="D9" i="1"/>
  <c r="D606" i="1"/>
  <c r="D13" i="1"/>
  <c r="D2152" i="1"/>
  <c r="D927" i="1"/>
  <c r="D20" i="1"/>
  <c r="D2376" i="1"/>
  <c r="D1760" i="1"/>
  <c r="D1045" i="1"/>
  <c r="D1191" i="1"/>
  <c r="D1388" i="1"/>
  <c r="D73" i="1"/>
  <c r="D130" i="1"/>
  <c r="D1305" i="1"/>
  <c r="D1946" i="1"/>
  <c r="F1946" i="1" s="1"/>
  <c r="D1256" i="1"/>
  <c r="D1794" i="1"/>
  <c r="F1794" i="1" s="1"/>
  <c r="D2253" i="1"/>
  <c r="D1013" i="1"/>
  <c r="D795" i="1"/>
  <c r="D2641" i="1"/>
  <c r="D313" i="1"/>
  <c r="D103" i="1"/>
  <c r="D1626" i="1"/>
  <c r="D2477" i="1"/>
  <c r="D1405" i="1"/>
  <c r="D1086" i="1"/>
  <c r="D187" i="1"/>
  <c r="D2274" i="1"/>
  <c r="D1659" i="1"/>
  <c r="D1166" i="1"/>
  <c r="D529" i="1"/>
  <c r="D482" i="1"/>
  <c r="D946" i="1"/>
  <c r="D1198" i="1"/>
  <c r="D1490" i="1"/>
  <c r="D1615" i="1"/>
  <c r="D1178" i="1"/>
  <c r="D84" i="1"/>
  <c r="D1384" i="1"/>
  <c r="D1557" i="1"/>
  <c r="D1667" i="1"/>
  <c r="D920" i="1"/>
  <c r="F920" i="1" s="1"/>
  <c r="D2463" i="1"/>
  <c r="D1377" i="1"/>
  <c r="D1943" i="1"/>
  <c r="F1943" i="1" s="1"/>
  <c r="D1291" i="1"/>
  <c r="D739" i="1"/>
  <c r="D1019" i="1"/>
  <c r="D1467" i="1"/>
  <c r="D933" i="1"/>
  <c r="D86" i="1"/>
  <c r="D1077" i="1"/>
  <c r="D208" i="1"/>
  <c r="D1135" i="1"/>
  <c r="D348" i="1"/>
  <c r="D2127" i="1"/>
  <c r="D2598" i="1"/>
  <c r="D2111" i="1"/>
  <c r="D2186" i="1"/>
  <c r="D1267" i="1"/>
  <c r="D2345" i="1"/>
  <c r="D471" i="1"/>
  <c r="D1543" i="1"/>
  <c r="D2647" i="1"/>
  <c r="D1665" i="1"/>
  <c r="F1665" i="1" s="1"/>
  <c r="D2147" i="1"/>
  <c r="F2147" i="1" s="1"/>
  <c r="D1738" i="1"/>
  <c r="D1128" i="1"/>
  <c r="D2199" i="1"/>
  <c r="D540" i="1"/>
  <c r="D554" i="1"/>
  <c r="D2503" i="1"/>
  <c r="D2428" i="1"/>
  <c r="D1033" i="1"/>
  <c r="D1577" i="1"/>
  <c r="D704" i="1"/>
  <c r="D285" i="1"/>
  <c r="D2336" i="1"/>
  <c r="D702" i="1"/>
  <c r="D143" i="1"/>
  <c r="D1837" i="1"/>
  <c r="D128" i="1"/>
  <c r="D196" i="1"/>
  <c r="D191" i="1"/>
  <c r="D1401" i="1"/>
  <c r="D580" i="1"/>
  <c r="D510" i="1"/>
  <c r="F510" i="1" s="1"/>
  <c r="D1504" i="1"/>
  <c r="F1504" i="1" s="1"/>
  <c r="D899" i="1"/>
  <c r="D1856" i="1"/>
  <c r="D1802" i="1"/>
  <c r="D388" i="1"/>
  <c r="D1541" i="1"/>
  <c r="D141" i="1"/>
  <c r="D1451" i="1"/>
  <c r="D1909" i="1"/>
  <c r="D397" i="1"/>
  <c r="D778" i="1"/>
  <c r="D2177" i="1"/>
  <c r="D2445" i="1"/>
  <c r="D2431" i="1"/>
  <c r="D441" i="1"/>
  <c r="D2594" i="1"/>
  <c r="D2762" i="1"/>
  <c r="D1192" i="1"/>
  <c r="D718" i="1"/>
  <c r="D1761" i="1"/>
  <c r="D1005" i="1"/>
  <c r="F1005" i="1" s="1"/>
  <c r="D1874" i="1"/>
  <c r="D89" i="1"/>
  <c r="F89" i="1" s="1"/>
  <c r="D2636" i="1"/>
  <c r="D2109" i="1"/>
  <c r="D870" i="1"/>
  <c r="D1278" i="1"/>
  <c r="D225" i="1"/>
  <c r="D2546" i="1"/>
  <c r="D808" i="1"/>
  <c r="D1701" i="1"/>
  <c r="D2537" i="1"/>
  <c r="D640" i="1"/>
  <c r="D2523" i="1"/>
  <c r="D930" i="1"/>
  <c r="D569" i="1"/>
  <c r="D1963" i="1"/>
  <c r="D2670" i="1"/>
  <c r="D1169" i="1"/>
  <c r="D1809" i="1"/>
  <c r="D1991" i="1"/>
  <c r="F1991" i="1" s="1"/>
  <c r="D1364" i="1"/>
  <c r="F1364" i="1" s="1"/>
  <c r="D2025" i="1"/>
  <c r="D2505" i="1"/>
  <c r="D1960" i="1"/>
  <c r="D1896" i="1"/>
  <c r="D2548" i="1"/>
  <c r="D2205" i="1"/>
  <c r="D2685" i="1"/>
  <c r="D1629" i="1"/>
  <c r="D630" i="1"/>
  <c r="D708" i="1"/>
  <c r="D1685" i="1"/>
  <c r="D802" i="1"/>
  <c r="D418" i="1"/>
  <c r="D216" i="1"/>
  <c r="D233" i="1"/>
  <c r="F233" i="1" s="1"/>
  <c r="D405" i="1"/>
  <c r="D882" i="1"/>
  <c r="F882" i="1" s="1"/>
  <c r="D2290" i="1"/>
  <c r="D263" i="1"/>
  <c r="D2363" i="1"/>
  <c r="D531" i="1"/>
  <c r="D1561" i="1"/>
  <c r="D168" i="1"/>
  <c r="D2516" i="1"/>
  <c r="D2733" i="1"/>
  <c r="D2773" i="1"/>
  <c r="D1790" i="1"/>
  <c r="D1053" i="1"/>
  <c r="D2060" i="1"/>
  <c r="D1487" i="1"/>
  <c r="D1774" i="1"/>
  <c r="D2299" i="1"/>
  <c r="D1986" i="1"/>
  <c r="F1986" i="1" s="1"/>
  <c r="D2758" i="1"/>
  <c r="D1312" i="1"/>
  <c r="F1312" i="1" s="1"/>
  <c r="D698" i="1"/>
  <c r="D1307" i="1"/>
  <c r="D254" i="1"/>
  <c r="D1073" i="1"/>
  <c r="D958" i="1"/>
  <c r="D2266" i="1"/>
  <c r="D305" i="1"/>
  <c r="D1262" i="1"/>
  <c r="D118" i="1"/>
  <c r="D499" i="1"/>
  <c r="D308" i="1"/>
  <c r="D2640" i="1"/>
  <c r="D1093" i="1"/>
  <c r="D1516" i="1"/>
  <c r="D2155" i="1"/>
  <c r="F2155" i="1" s="1"/>
  <c r="D34" i="1"/>
  <c r="F34" i="1" s="1"/>
  <c r="D1969" i="1"/>
  <c r="D2665" i="1"/>
  <c r="D2164" i="1"/>
  <c r="D2524" i="1"/>
  <c r="D1808" i="1"/>
  <c r="D1111" i="1"/>
  <c r="D2552" i="1"/>
  <c r="D2434" i="1"/>
  <c r="D169" i="1"/>
  <c r="D936" i="1"/>
  <c r="D1964" i="1"/>
  <c r="D2626" i="1"/>
  <c r="D230" i="1"/>
  <c r="D2161" i="1"/>
  <c r="D2422" i="1"/>
  <c r="D2106" i="1"/>
  <c r="F2106" i="1" s="1"/>
  <c r="D1456" i="1"/>
  <c r="D2711" i="1"/>
  <c r="F2711" i="1" s="1"/>
  <c r="D1550" i="1"/>
  <c r="D1043" i="1"/>
  <c r="D753" i="1"/>
  <c r="D894" i="1"/>
  <c r="D1710" i="1"/>
  <c r="D2542" i="1"/>
  <c r="D558" i="1"/>
  <c r="D1367" i="1"/>
  <c r="D398" i="1"/>
  <c r="D1918" i="1"/>
  <c r="D177" i="1"/>
  <c r="D2027" i="1"/>
  <c r="D1272" i="1"/>
  <c r="D1379" i="1"/>
  <c r="D807" i="1"/>
  <c r="D363" i="1"/>
  <c r="F363" i="1" s="1"/>
  <c r="D2013" i="1"/>
  <c r="F2013" i="1" s="1"/>
  <c r="D1970" i="1"/>
  <c r="D2307" i="1"/>
  <c r="D595" i="1"/>
  <c r="D117" i="1"/>
  <c r="D2741" i="1"/>
  <c r="D672" i="1"/>
  <c r="D487" i="1"/>
  <c r="D1303" i="1"/>
  <c r="D1647" i="1"/>
  <c r="D1372" i="1"/>
  <c r="D2245" i="1"/>
  <c r="D2123" i="1"/>
  <c r="D586" i="1"/>
  <c r="D776" i="1"/>
  <c r="D2490" i="1"/>
  <c r="D1370" i="1"/>
  <c r="F1370" i="1" s="1"/>
  <c r="D2104" i="1"/>
  <c r="F2104" i="1" s="1"/>
  <c r="D250" i="1"/>
  <c r="D2282" i="1"/>
  <c r="D969" i="1"/>
  <c r="D966" i="1"/>
  <c r="D914" i="1"/>
  <c r="D1675" i="1"/>
  <c r="D2373" i="1"/>
  <c r="D1306" i="1"/>
  <c r="D2156" i="1"/>
  <c r="D357" i="1"/>
  <c r="D673" i="1"/>
  <c r="D2555" i="1"/>
  <c r="D1430" i="1"/>
  <c r="D881" i="1"/>
  <c r="D1443" i="1"/>
  <c r="D1409" i="1"/>
  <c r="D821" i="1"/>
  <c r="F821" i="1" s="1"/>
  <c r="D495" i="1"/>
  <c r="F495" i="1" s="1"/>
  <c r="D2049" i="1"/>
  <c r="D1357" i="1"/>
  <c r="D2350" i="1"/>
  <c r="D888" i="1"/>
  <c r="D422" i="1"/>
  <c r="D1075" i="1"/>
  <c r="D1110" i="1"/>
  <c r="D1410" i="1"/>
  <c r="D1027" i="1"/>
  <c r="D1141" i="1"/>
  <c r="D1373" i="1"/>
  <c r="D959" i="1"/>
  <c r="D445" i="1"/>
  <c r="D2500" i="1"/>
  <c r="D1747" i="1"/>
  <c r="D1620" i="1"/>
  <c r="F1620" i="1" s="1"/>
  <c r="D2702" i="1"/>
  <c r="D1105" i="1"/>
  <c r="D1966" i="1"/>
  <c r="D1835" i="1"/>
  <c r="D2286" i="1"/>
  <c r="D2352" i="1"/>
  <c r="D419" i="1"/>
  <c r="D2776" i="1"/>
  <c r="D1711" i="1"/>
  <c r="D2020" i="1"/>
  <c r="D1324" i="1"/>
  <c r="D645" i="1"/>
  <c r="D607" i="1"/>
  <c r="F607" i="1" s="1"/>
  <c r="D2198" i="1"/>
  <c r="D585" i="1"/>
  <c r="F585" i="1" s="1"/>
  <c r="D123" i="1"/>
  <c r="D2145" i="1"/>
  <c r="D384" i="1"/>
  <c r="D1421" i="1"/>
  <c r="D1468" i="1"/>
  <c r="D365" i="1"/>
  <c r="D643" i="1"/>
  <c r="D2160" i="1"/>
  <c r="D2187" i="1"/>
  <c r="D2406" i="1"/>
  <c r="D1585" i="1"/>
  <c r="D1143" i="1"/>
  <c r="D430" i="1"/>
  <c r="F430" i="1" s="1"/>
  <c r="D560" i="1"/>
  <c r="D375" i="1"/>
  <c r="D2169" i="1"/>
  <c r="D1638" i="1"/>
  <c r="D1895" i="1"/>
  <c r="D1258" i="1"/>
  <c r="D744" i="1"/>
  <c r="D60" i="1"/>
  <c r="D889" i="1"/>
  <c r="D331" i="1"/>
  <c r="D1706" i="1"/>
  <c r="D1959" i="1"/>
  <c r="D2675" i="1"/>
  <c r="D989" i="1"/>
  <c r="F989" i="1" s="1"/>
  <c r="D1988" i="1"/>
  <c r="F1988" i="1" s="1"/>
  <c r="D1967" i="1"/>
  <c r="D1390" i="1"/>
  <c r="D1230" i="1"/>
  <c r="D1071" i="1"/>
  <c r="D2091" i="1"/>
  <c r="D2248" i="1"/>
  <c r="D2219" i="1"/>
  <c r="D1821" i="1"/>
  <c r="D2531" i="1"/>
  <c r="D320" i="1"/>
  <c r="D1885" i="1"/>
  <c r="D76" i="1"/>
  <c r="D2318" i="1"/>
  <c r="D1614" i="1"/>
  <c r="F1614" i="1" s="1"/>
  <c r="D463" i="1"/>
  <c r="F463" i="1" s="1"/>
  <c r="D1906" i="1"/>
  <c r="D901" i="1"/>
  <c r="D1925" i="1"/>
  <c r="D2559" i="1"/>
  <c r="D1743" i="1"/>
  <c r="D833" i="1"/>
  <c r="D2159" i="1"/>
  <c r="D30" i="1"/>
  <c r="D1741" i="1"/>
  <c r="D1692" i="1"/>
  <c r="D472" i="1"/>
  <c r="D1041" i="1"/>
  <c r="D751" i="1"/>
  <c r="F751" i="1" s="1"/>
  <c r="D289" i="1"/>
  <c r="F289" i="1" s="1"/>
  <c r="D1832" i="1"/>
  <c r="D550" i="1"/>
  <c r="D2667" i="1"/>
  <c r="D809" i="1"/>
  <c r="D1134" i="1"/>
  <c r="D1580" i="1"/>
  <c r="D677" i="1"/>
  <c r="D716" i="1"/>
  <c r="D710" i="1"/>
  <c r="D993" i="1"/>
  <c r="D2041" i="1"/>
  <c r="D346" i="1"/>
  <c r="F346" i="1" s="1"/>
  <c r="D2405" i="1"/>
  <c r="D955" i="1"/>
  <c r="D1619" i="1"/>
  <c r="D414" i="1"/>
  <c r="D755" i="1"/>
  <c r="D1202" i="1"/>
  <c r="D738" i="1"/>
  <c r="D1775" i="1"/>
  <c r="D1203" i="1"/>
  <c r="D1282" i="1"/>
  <c r="D2047" i="1"/>
  <c r="D2447" i="1"/>
  <c r="F2447" i="1" s="1"/>
  <c r="D999" i="1"/>
  <c r="D2146" i="1"/>
  <c r="D1766" i="1"/>
  <c r="D2535" i="1"/>
  <c r="D1241" i="1"/>
  <c r="D1219" i="1"/>
  <c r="D994" i="1"/>
  <c r="D1661" i="1"/>
  <c r="D1558" i="1"/>
  <c r="D1302" i="1"/>
  <c r="D40" i="1"/>
  <c r="F40" i="1" s="1"/>
  <c r="D2657" i="1"/>
  <c r="F2657" i="1" s="1"/>
  <c r="D1739" i="1"/>
  <c r="D413" i="1"/>
  <c r="D226" i="1"/>
  <c r="D1469" i="1"/>
  <c r="D1429" i="1"/>
  <c r="D2099" i="1"/>
  <c r="D458" i="1"/>
  <c r="D2728" i="1"/>
  <c r="D1026" i="1"/>
  <c r="D2687" i="1"/>
  <c r="D2712" i="1"/>
  <c r="D439" i="1"/>
  <c r="F439" i="1" s="1"/>
  <c r="D61" i="1"/>
  <c r="D2131" i="1"/>
  <c r="D434" i="1"/>
  <c r="D1831" i="1"/>
  <c r="D2680" i="1"/>
  <c r="D1683" i="1"/>
  <c r="D1049" i="1"/>
  <c r="D2118" i="1"/>
  <c r="D514" i="1"/>
  <c r="D407" i="1"/>
  <c r="D2700" i="1"/>
  <c r="D1316" i="1"/>
  <c r="F1316" i="1" s="1"/>
  <c r="D1995" i="1"/>
  <c r="D1830" i="1"/>
  <c r="D923" i="1"/>
  <c r="D2618" i="1"/>
  <c r="D1679" i="1"/>
  <c r="D1968" i="1"/>
  <c r="D2591" i="1"/>
  <c r="D2086" i="1"/>
  <c r="D279" i="1"/>
  <c r="D582" i="1"/>
  <c r="D2725" i="1"/>
  <c r="F2725" i="1" s="1"/>
  <c r="D1902" i="1"/>
  <c r="F1902" i="1" s="1"/>
  <c r="D979" i="1"/>
  <c r="D1939" i="1"/>
  <c r="D2601" i="1"/>
  <c r="D1520" i="1"/>
  <c r="D1700" i="1"/>
  <c r="D1194" i="1"/>
  <c r="D1345" i="1"/>
  <c r="D661" i="1"/>
  <c r="D136" i="1"/>
  <c r="D1284" i="1"/>
  <c r="D505" i="1"/>
  <c r="D2692" i="1"/>
  <c r="F2692" i="1" s="1"/>
  <c r="D1174" i="1"/>
  <c r="D2019" i="1"/>
  <c r="D1480" i="1"/>
  <c r="D769" i="1"/>
  <c r="D146" i="1"/>
  <c r="D244" i="1"/>
  <c r="D2366" i="1"/>
  <c r="D1888" i="1"/>
  <c r="D948" i="1"/>
  <c r="D2031" i="1"/>
  <c r="D11" i="1"/>
  <c r="D996" i="1"/>
  <c r="F996" i="1" s="1"/>
  <c r="D805" i="1"/>
  <c r="D1894" i="1"/>
  <c r="D1228" i="1"/>
  <c r="D1630" i="1"/>
  <c r="D1843" i="1"/>
  <c r="D1623" i="1"/>
  <c r="D1611" i="1"/>
  <c r="D1109" i="1"/>
  <c r="D646" i="1"/>
  <c r="D2148" i="1"/>
  <c r="D931" i="1"/>
  <c r="F931" i="1" s="1"/>
  <c r="D1293" i="1"/>
  <c r="F1293" i="1" s="1"/>
  <c r="D1792" i="1"/>
  <c r="D367" i="1"/>
  <c r="D154" i="1"/>
  <c r="D820" i="1"/>
  <c r="D1605" i="1"/>
  <c r="D1142" i="1"/>
  <c r="D1221" i="1"/>
  <c r="D2053" i="1"/>
  <c r="D2255" i="1"/>
  <c r="D1297" i="1"/>
  <c r="D21" i="1"/>
  <c r="D1247" i="1"/>
  <c r="F1247" i="1" s="1"/>
  <c r="D2720" i="1"/>
  <c r="D2697" i="1"/>
  <c r="D2529" i="1"/>
  <c r="D271" i="1"/>
  <c r="D2488" i="1"/>
  <c r="D918" i="1"/>
  <c r="D2599" i="1"/>
  <c r="D1779" i="1"/>
  <c r="D102" i="1"/>
  <c r="D85" i="1"/>
  <c r="D838" i="1"/>
  <c r="D1385" i="1"/>
  <c r="F1385" i="1" s="1"/>
  <c r="D2167" i="1"/>
  <c r="D869" i="1"/>
  <c r="D2440" i="1"/>
  <c r="D629" i="1"/>
  <c r="D1845" i="1"/>
  <c r="D992" i="1"/>
  <c r="D164" i="1"/>
  <c r="D1545" i="1"/>
  <c r="D1028" i="1"/>
  <c r="D1654" i="1"/>
  <c r="D2478" i="1"/>
  <c r="F2478" i="1" s="1"/>
  <c r="D2171" i="1"/>
  <c r="F2171" i="1" s="1"/>
  <c r="D1416" i="1"/>
  <c r="D604" i="1"/>
  <c r="D1904" i="1"/>
  <c r="D14" i="1"/>
  <c r="D1461" i="1"/>
  <c r="D1976" i="1"/>
  <c r="D1161" i="1"/>
  <c r="D599" i="1"/>
  <c r="D516" i="1"/>
  <c r="D2096" i="1"/>
  <c r="D1201" i="1"/>
  <c r="D2644" i="1"/>
  <c r="F2644" i="1" s="1"/>
  <c r="D566" i="1"/>
  <c r="D740" i="1"/>
  <c r="D1130" i="1"/>
  <c r="D64" i="1"/>
  <c r="D1645" i="1"/>
  <c r="D974" i="1"/>
  <c r="D323" i="1"/>
  <c r="D1117" i="1"/>
  <c r="D2297" i="1"/>
  <c r="D1337" i="1"/>
  <c r="D692" i="1"/>
  <c r="D1857" i="1"/>
  <c r="F1857" i="1" s="1"/>
  <c r="D2221" i="1"/>
  <c r="D1448" i="1"/>
  <c r="D1938" i="1"/>
  <c r="D1018" i="1"/>
  <c r="D1441" i="1"/>
  <c r="D967" i="1"/>
  <c r="D198" i="1"/>
  <c r="D376" i="1"/>
  <c r="D1621" i="1"/>
  <c r="D1586" i="1"/>
  <c r="D296" i="1"/>
  <c r="F296" i="1" s="1"/>
  <c r="D459" i="1"/>
  <c r="F459" i="1" s="1"/>
  <c r="D1880" i="1"/>
  <c r="D689" i="1"/>
  <c r="D797" i="1"/>
  <c r="D1127" i="1"/>
  <c r="D105" i="1"/>
  <c r="D1927" i="1"/>
  <c r="D770" i="1"/>
  <c r="D2514" i="1"/>
  <c r="D1007" i="1"/>
  <c r="D502" i="1"/>
  <c r="D1676" i="1"/>
  <c r="D892" i="1"/>
  <c r="F892" i="1" s="1"/>
  <c r="D1666" i="1"/>
  <c r="D982" i="1"/>
  <c r="D752" i="1"/>
  <c r="D2241" i="1"/>
  <c r="D1511" i="1"/>
  <c r="D2703" i="1"/>
  <c r="D1984" i="1"/>
  <c r="D1868" i="1"/>
  <c r="D763" i="1"/>
  <c r="D2078" i="1"/>
  <c r="D1425" i="1"/>
  <c r="D1300" i="1"/>
  <c r="F1300" i="1" s="1"/>
  <c r="D622" i="1"/>
  <c r="D786" i="1"/>
  <c r="D1078" i="1"/>
  <c r="D2326" i="1"/>
  <c r="D2617" i="1"/>
  <c r="D1632" i="1"/>
  <c r="D1686" i="1"/>
  <c r="D711" i="1"/>
  <c r="D1138" i="1"/>
  <c r="D2337" i="1"/>
  <c r="D2021" i="1"/>
  <c r="F2021" i="1" s="1"/>
  <c r="D310" i="1"/>
  <c r="F310" i="1" s="1"/>
  <c r="D1890" i="1"/>
  <c r="D360" i="1"/>
  <c r="D2083" i="1"/>
  <c r="D2341" i="1"/>
  <c r="D565" i="1"/>
  <c r="D1672" i="1"/>
  <c r="D1344" i="1"/>
  <c r="D2562" i="1"/>
  <c r="D1218" i="1"/>
  <c r="D2107" i="1"/>
  <c r="D2566" i="1"/>
  <c r="D10" i="1"/>
  <c r="F10" i="1" s="1"/>
  <c r="D1394" i="1"/>
  <c r="D2284" i="1"/>
  <c r="D1031" i="1"/>
  <c r="D2116" i="1"/>
  <c r="D2411" i="1"/>
  <c r="D2055" i="1"/>
  <c r="D544" i="1"/>
  <c r="D1208" i="1"/>
  <c r="D746" i="1"/>
  <c r="D65" i="1"/>
  <c r="D1387" i="1"/>
  <c r="D1084" i="1"/>
  <c r="F1084" i="1" s="1"/>
  <c r="D1877" i="1"/>
  <c r="D798" i="1"/>
  <c r="D236" i="1"/>
  <c r="D2784" i="1"/>
  <c r="D424" i="1"/>
  <c r="D201" i="1"/>
  <c r="D2553" i="1"/>
  <c r="D1562" i="1"/>
  <c r="D588" i="1"/>
  <c r="D686" i="1"/>
  <c r="D2144" i="1"/>
  <c r="F2144" i="1" s="1"/>
  <c r="D1131" i="1"/>
  <c r="F1131" i="1" s="1"/>
  <c r="D2157" i="1"/>
  <c r="D1622" i="1"/>
  <c r="D714" i="1"/>
  <c r="D1688" i="1"/>
  <c r="D1600" i="1"/>
  <c r="D2141" i="1"/>
  <c r="D172" i="1"/>
  <c r="D691" i="1"/>
  <c r="D1378" i="1"/>
  <c r="D125" i="1"/>
  <c r="D1982" i="1"/>
  <c r="D1559" i="1"/>
  <c r="F1559" i="1" s="1"/>
  <c r="D124" i="1"/>
  <c r="F124" i="1" s="1"/>
  <c r="D256" i="1"/>
  <c r="D2420" i="1"/>
  <c r="D671" i="1"/>
  <c r="D1162" i="1"/>
  <c r="D291" i="1"/>
  <c r="D1996" i="1"/>
  <c r="D222" i="1"/>
  <c r="D277" i="1"/>
  <c r="D1265" i="1"/>
  <c r="D951" i="1"/>
  <c r="D1064" i="1"/>
  <c r="F1064" i="1" s="1"/>
  <c r="D1051" i="1"/>
  <c r="F1051" i="1" s="1"/>
  <c r="D2511" i="1"/>
  <c r="D1114" i="1"/>
  <c r="D641" i="1"/>
  <c r="D1922" i="1"/>
  <c r="D2527" i="1"/>
  <c r="D1266" i="1"/>
  <c r="D2455" i="1"/>
  <c r="D268" i="1"/>
  <c r="D696" i="1"/>
  <c r="D2449" i="1"/>
  <c r="D2709" i="1"/>
  <c r="F2709" i="1" s="1"/>
  <c r="D2416" i="1"/>
  <c r="F2416" i="1" s="1"/>
  <c r="D49" i="1"/>
  <c r="D2319" i="1"/>
  <c r="D515" i="1"/>
  <c r="D670" i="1"/>
  <c r="D732" i="1"/>
  <c r="D2211" i="1"/>
  <c r="D2142" i="1"/>
  <c r="D1754" i="1"/>
  <c r="D74" i="1"/>
  <c r="D678" i="1"/>
  <c r="D267" i="1"/>
  <c r="F267" i="1" s="1"/>
  <c r="D2377" i="1"/>
  <c r="F2377" i="1" s="1"/>
  <c r="D2356" i="1"/>
  <c r="D1442" i="1"/>
  <c r="D2425" i="1"/>
  <c r="D1723" i="1"/>
  <c r="D1025" i="1"/>
  <c r="D1599" i="1"/>
  <c r="D2528" i="1"/>
  <c r="D1322" i="1"/>
  <c r="D1136" i="1"/>
  <c r="D2362" i="1"/>
  <c r="D1931" i="1"/>
  <c r="F1931" i="1" s="1"/>
  <c r="D300" i="1"/>
  <c r="F300" i="1" s="1"/>
  <c r="D1389" i="1"/>
  <c r="D2544" i="1"/>
  <c r="D1426" i="1"/>
  <c r="D2231" i="1"/>
  <c r="D1848" i="1"/>
  <c r="D638" i="1"/>
  <c r="D2475" i="1"/>
  <c r="D1613" i="1"/>
  <c r="D1823" i="1"/>
  <c r="D1945" i="1"/>
  <c r="D247" i="1"/>
  <c r="F247" i="1" s="1"/>
  <c r="D1274" i="1"/>
  <c r="F1274" i="1" s="1"/>
  <c r="D1594" i="1"/>
  <c r="D312" i="1"/>
  <c r="D1277" i="1"/>
  <c r="D2338" i="1"/>
  <c r="D2014" i="1"/>
  <c r="D912" i="1"/>
  <c r="D1572" i="1"/>
  <c r="D568" i="1"/>
  <c r="D1903" i="1"/>
  <c r="D1115" i="1"/>
  <c r="D2409" i="1"/>
  <c r="F2409" i="1" s="1"/>
  <c r="D637" i="1"/>
  <c r="F637" i="1" s="1"/>
  <c r="D1474" i="1"/>
  <c r="D2134" i="1"/>
  <c r="D605" i="1"/>
  <c r="D2673" i="1"/>
  <c r="D2749" i="1"/>
  <c r="D2584" i="1"/>
  <c r="D1751" i="1"/>
  <c r="D2264" i="1"/>
  <c r="D1872" i="1"/>
  <c r="D1728" i="1"/>
  <c r="D1978" i="1"/>
  <c r="F1978" i="1" s="1"/>
  <c r="D1735" i="1"/>
  <c r="F1735" i="1" s="1"/>
  <c r="D2006" i="1"/>
  <c r="D2694" i="1"/>
  <c r="D2303" i="1"/>
  <c r="D2168" i="1"/>
  <c r="D1796" i="1"/>
  <c r="D431" i="1"/>
  <c r="D1343" i="1"/>
  <c r="D861" i="1"/>
  <c r="D2441" i="1"/>
  <c r="D1994" i="1"/>
  <c r="D2048" i="1"/>
  <c r="F2048" i="1" s="1"/>
  <c r="D517" i="1"/>
  <c r="F517" i="1" s="1"/>
  <c r="D2569" i="1"/>
  <c r="D176" i="1"/>
  <c r="D192" i="1"/>
  <c r="D1042" i="1"/>
  <c r="D1244" i="1"/>
  <c r="D42" i="1"/>
  <c r="D404" i="1"/>
  <c r="D557" i="1"/>
  <c r="D1593" i="1"/>
  <c r="D1125" i="1"/>
  <c r="D1616" i="1"/>
  <c r="F1616" i="1" s="1"/>
  <c r="D334" i="1"/>
  <c r="F334" i="1" s="1"/>
  <c r="D1878" i="1"/>
  <c r="D1195" i="1"/>
  <c r="D140" i="1"/>
  <c r="D2334" i="1"/>
  <c r="D850" i="1"/>
  <c r="D2783" i="1"/>
  <c r="D836" i="1"/>
  <c r="D2018" i="1"/>
  <c r="D62" i="1"/>
  <c r="D294" i="1"/>
  <c r="D437" i="1"/>
  <c r="F437" i="1" s="1"/>
  <c r="D59" i="1"/>
  <c r="F59" i="1" s="1"/>
  <c r="D1956" i="1"/>
  <c r="D2386" i="1"/>
  <c r="D723" i="1"/>
  <c r="D909" i="1"/>
  <c r="D2276" i="1"/>
  <c r="D2308" i="1"/>
  <c r="D2433" i="1"/>
  <c r="D2194" i="1"/>
  <c r="D2067" i="1"/>
  <c r="D2764" i="1"/>
  <c r="D1729" i="1"/>
  <c r="F1729" i="1" s="1"/>
  <c r="D1217" i="1"/>
  <c r="F1217" i="1" s="1"/>
  <c r="D1361" i="1"/>
  <c r="D1591" i="1"/>
  <c r="D1458" i="1"/>
  <c r="D2289" i="1"/>
  <c r="D2346" i="1"/>
  <c r="D1434" i="1"/>
  <c r="D1288" i="1"/>
  <c r="D610" i="1"/>
  <c r="D2513" i="1"/>
  <c r="D345" i="1"/>
  <c r="D1505" i="1"/>
  <c r="F1505" i="1" s="1"/>
  <c r="D774" i="1"/>
  <c r="F774" i="1" s="1"/>
  <c r="D67" i="1"/>
  <c r="D1296" i="1"/>
  <c r="D2058" i="1"/>
  <c r="D972" i="1"/>
  <c r="D126" i="1"/>
  <c r="D2602" i="1"/>
  <c r="D412" i="1"/>
  <c r="D1678" i="1"/>
  <c r="D1354" i="1"/>
  <c r="D1657" i="1"/>
  <c r="D509" i="1"/>
  <c r="F509" i="1" s="1"/>
  <c r="D1731" i="1"/>
  <c r="F1731" i="1" s="1"/>
  <c r="D1226" i="1"/>
  <c r="D2459" i="1"/>
  <c r="D1528" i="1"/>
  <c r="D2389" i="1"/>
  <c r="D1953" i="1"/>
  <c r="D713" i="1"/>
  <c r="D1422" i="1"/>
  <c r="D631" i="1"/>
  <c r="D1097" i="1"/>
  <c r="D2417" i="1"/>
  <c r="D2435" i="1"/>
  <c r="F2435" i="1" s="1"/>
  <c r="D873" i="1"/>
  <c r="F873" i="1" s="1"/>
  <c r="D396" i="1"/>
  <c r="D293" i="1"/>
  <c r="D1853" i="1"/>
  <c r="E1853" i="1" s="1"/>
  <c r="D1088" i="1"/>
  <c r="D496" i="1"/>
  <c r="D2165" i="1"/>
  <c r="D521" i="1"/>
  <c r="D1898" i="1"/>
  <c r="E1898" i="1" s="1"/>
  <c r="D2589" i="1"/>
  <c r="D666" i="1"/>
  <c r="D2619" i="1"/>
  <c r="F2619" i="1" s="1"/>
  <c r="D2466" i="1"/>
  <c r="F2466" i="1" s="1"/>
  <c r="D2456" i="1"/>
  <c r="D1833" i="1"/>
  <c r="D597" i="1"/>
  <c r="D2227" i="1"/>
  <c r="D2022" i="1"/>
  <c r="D867" i="1"/>
  <c r="D98" i="1"/>
  <c r="D1062" i="1"/>
  <c r="D921" i="1"/>
  <c r="D2563" i="1"/>
  <c r="D1584" i="1"/>
  <c r="F1584" i="1" s="1"/>
  <c r="D943" i="1"/>
  <c r="F943" i="1" s="1"/>
  <c r="D1175" i="1"/>
  <c r="D2355" i="1"/>
  <c r="D2652" i="1"/>
  <c r="D1914" i="1"/>
  <c r="D2063" i="1"/>
  <c r="D209" i="1"/>
  <c r="D2429" i="1"/>
  <c r="D1331" i="1"/>
  <c r="D611" i="1"/>
  <c r="D464" i="1"/>
  <c r="D1650" i="1"/>
  <c r="F1650" i="1" s="1"/>
  <c r="D530" i="1"/>
  <c r="F530" i="1" s="1"/>
  <c r="D1463" i="1"/>
  <c r="D1437" i="1"/>
  <c r="D2693" i="1"/>
  <c r="D1397" i="1"/>
  <c r="D768" i="1"/>
  <c r="D473" i="1"/>
  <c r="D1695" i="1"/>
  <c r="D284" i="1"/>
  <c r="D428" i="1"/>
  <c r="D2399" i="1"/>
  <c r="D1536" i="1"/>
  <c r="F1536" i="1" s="1"/>
  <c r="D2620" i="1"/>
  <c r="F2620" i="1" s="1"/>
  <c r="D2686" i="1"/>
  <c r="D2316" i="1"/>
  <c r="D1919" i="1"/>
  <c r="D612" i="1"/>
  <c r="D1181" i="1"/>
  <c r="D2402" i="1"/>
  <c r="D1112" i="1"/>
  <c r="D848" i="1"/>
  <c r="D2585" i="1"/>
  <c r="D2491" i="1"/>
  <c r="D1522" i="1"/>
  <c r="F1522" i="1" s="1"/>
  <c r="D1023" i="1"/>
  <c r="F1023" i="1" s="1"/>
  <c r="D343" i="1"/>
  <c r="D539" i="1"/>
  <c r="D1736" i="1"/>
  <c r="D2650" i="1"/>
  <c r="D759" i="1"/>
  <c r="D2351" i="1"/>
  <c r="D1294" i="1"/>
  <c r="D846" i="1"/>
  <c r="D576" i="1"/>
  <c r="D287" i="1"/>
  <c r="D830" i="1"/>
  <c r="F830" i="1" s="1"/>
  <c r="D760" i="1"/>
  <c r="F760" i="1" s="1"/>
  <c r="D341" i="1"/>
  <c r="D2691" i="1"/>
  <c r="D204" i="1"/>
  <c r="D949" i="1"/>
  <c r="D787" i="1"/>
  <c r="D2571" i="1"/>
  <c r="D1524" i="1"/>
  <c r="D2172" i="1"/>
  <c r="D1476" i="1"/>
  <c r="D2126" i="1"/>
  <c r="D2676" i="1"/>
  <c r="F2676" i="1" s="1"/>
  <c r="D2180" i="1"/>
  <c r="F2180" i="1" s="1"/>
  <c r="D38" i="1"/>
  <c r="D132" i="1"/>
  <c r="D272" i="1"/>
  <c r="D465" i="1"/>
  <c r="D985" i="1"/>
  <c r="D1780" i="1"/>
  <c r="D1668" i="1"/>
  <c r="D1633" i="1"/>
  <c r="D426" i="1"/>
  <c r="D2710" i="1"/>
  <c r="D1021" i="1"/>
  <c r="F1021" i="1" s="1"/>
  <c r="D2474" i="1"/>
  <c r="F2474" i="1" s="1"/>
  <c r="D1158" i="1"/>
  <c r="D2745" i="1"/>
  <c r="D1587" i="1"/>
  <c r="D1015" i="1"/>
  <c r="D1415" i="1"/>
  <c r="D269" i="1"/>
  <c r="D957" i="1"/>
  <c r="D2268" i="1"/>
  <c r="D1951" i="1"/>
  <c r="D1080" i="1"/>
  <c r="D1663" i="1"/>
  <c r="F1663" i="1" s="1"/>
  <c r="D1680" i="1"/>
  <c r="F1680" i="1" s="1"/>
  <c r="D364" i="1"/>
  <c r="D1905" i="1"/>
  <c r="D1459" i="1"/>
  <c r="D852" i="1"/>
  <c r="D2639" i="1"/>
  <c r="D2332" i="1"/>
  <c r="D552" i="1"/>
  <c r="D1637" i="1"/>
  <c r="D2234" i="1"/>
  <c r="D96" i="1"/>
  <c r="D483" i="1"/>
  <c r="F483" i="1" s="1"/>
  <c r="D2082" i="1"/>
  <c r="F2082" i="1" s="1"/>
  <c r="D1768" i="1"/>
  <c r="D2558" i="1"/>
  <c r="D457" i="1"/>
  <c r="D349" i="1"/>
  <c r="D371" i="1"/>
  <c r="D663" i="1"/>
  <c r="D1993" i="1"/>
  <c r="D333" i="1"/>
  <c r="D2009" i="1"/>
  <c r="D387" i="1"/>
  <c r="D1718" i="1"/>
  <c r="F1718" i="1" s="1"/>
  <c r="D512" i="1"/>
  <c r="F512" i="1" s="1"/>
  <c r="D316" i="1"/>
  <c r="D1341" i="1"/>
  <c r="D81" i="1"/>
  <c r="D17" i="1"/>
  <c r="D743" i="1"/>
  <c r="D687" i="1"/>
  <c r="D1709" i="1"/>
  <c r="D745" i="1"/>
  <c r="D1151" i="1"/>
  <c r="D658" i="1"/>
  <c r="D653" i="1"/>
  <c r="F653" i="1" s="1"/>
  <c r="D828" i="1"/>
  <c r="F828" i="1" s="1"/>
  <c r="D2616" i="1"/>
  <c r="D306" i="1"/>
  <c r="D983" i="1"/>
  <c r="D1380" i="1"/>
  <c r="D865" i="1"/>
  <c r="D436" i="1"/>
  <c r="D1281" i="1"/>
  <c r="D109" i="1"/>
  <c r="D944" i="1"/>
  <c r="D632" i="1"/>
  <c r="D813" i="1"/>
  <c r="F813" i="1" s="1"/>
  <c r="D847" i="1"/>
  <c r="F847" i="1" s="1"/>
  <c r="D469" i="1"/>
  <c r="D2767" i="1"/>
  <c r="D1099" i="1"/>
  <c r="D1612" i="1"/>
  <c r="D2471" i="1"/>
  <c r="D728" i="1"/>
  <c r="D163" i="1"/>
  <c r="D133" i="1"/>
  <c r="D2467" i="1"/>
  <c r="D2094" i="1"/>
  <c r="D1173" i="1"/>
  <c r="F1173" i="1" s="1"/>
  <c r="D2614" i="1"/>
  <c r="F2614" i="1" s="1"/>
  <c r="D503" i="1"/>
  <c r="D2628" i="1"/>
  <c r="D57" i="1"/>
  <c r="D1466" i="1"/>
  <c r="D2731" i="1"/>
  <c r="D2407" i="1"/>
  <c r="D24" i="1"/>
  <c r="D2322" i="1"/>
  <c r="D885" i="1"/>
  <c r="D1852" i="1"/>
  <c r="D217" i="1"/>
  <c r="F217" i="1" s="1"/>
  <c r="D2267" i="1"/>
  <c r="F2267" i="1" s="1"/>
  <c r="D1825" i="1"/>
  <c r="D1879" i="1"/>
  <c r="D2719" i="1"/>
  <c r="D1455" i="1"/>
  <c r="D771" i="1"/>
  <c r="D1465" i="1"/>
  <c r="D1500" i="1"/>
  <c r="D2630" i="1"/>
  <c r="D1183" i="1"/>
  <c r="D2747" i="1"/>
  <c r="D1529" i="1"/>
  <c r="F1529" i="1" s="1"/>
  <c r="D478" i="1"/>
  <c r="F478" i="1" s="1"/>
  <c r="D2611" i="1"/>
  <c r="D584" i="1"/>
  <c r="D470" i="1"/>
  <c r="D1473" i="1"/>
  <c r="D2081" i="1"/>
  <c r="D454" i="1"/>
  <c r="D149" i="1"/>
  <c r="D1252" i="1"/>
  <c r="D2512" i="1"/>
  <c r="D2236" i="1"/>
  <c r="D2567" i="1"/>
  <c r="F2567" i="1" s="1"/>
  <c r="D2088" i="1"/>
  <c r="F2088" i="1" s="1"/>
  <c r="D1177" i="1"/>
  <c r="D2547" i="1"/>
  <c r="D2056" i="1"/>
  <c r="D1439" i="1"/>
  <c r="D1601" i="1"/>
  <c r="D214" i="1"/>
  <c r="D2224" i="1"/>
  <c r="D43" i="1"/>
  <c r="D761" i="1"/>
  <c r="D2643" i="1"/>
  <c r="D1873" i="1"/>
  <c r="F1873" i="1" s="1"/>
  <c r="D1785" i="1"/>
  <c r="F1785" i="1" s="1"/>
  <c r="D1690" i="1"/>
  <c r="D39" i="1"/>
  <c r="D551" i="1"/>
  <c r="D2774" i="1"/>
  <c r="D681" i="1"/>
  <c r="D563" i="1"/>
  <c r="D2070" i="1"/>
  <c r="D1784" i="1"/>
  <c r="D1212" i="1"/>
  <c r="D2608" i="1"/>
  <c r="D636" i="1"/>
  <c r="F636" i="1" s="1"/>
  <c r="D799" i="1"/>
  <c r="F799" i="1" s="1"/>
  <c r="D372" i="1"/>
  <c r="D1056" i="1"/>
  <c r="D2543" i="1"/>
  <c r="D665" i="1"/>
  <c r="D33" i="1"/>
  <c r="D977" i="1"/>
  <c r="D991" i="1"/>
  <c r="D1268" i="1"/>
  <c r="D1309" i="1"/>
  <c r="D51" i="1"/>
  <c r="D1944" i="1"/>
  <c r="F1944" i="1" s="1"/>
  <c r="D922" i="1"/>
  <c r="F922" i="1" s="1"/>
  <c r="D2092" i="1"/>
  <c r="D202" i="1"/>
  <c r="D309" i="1"/>
  <c r="D938" i="1"/>
  <c r="D111" i="1"/>
  <c r="D896" i="1"/>
  <c r="D2696" i="1"/>
  <c r="D304" i="1"/>
  <c r="D2623" i="1"/>
  <c r="D288" i="1"/>
  <c r="D2364" i="1"/>
  <c r="F2364" i="1" s="1"/>
  <c r="D1417" i="1"/>
  <c r="F1417" i="1" s="1"/>
  <c r="D2311" i="1"/>
  <c r="D701" i="1"/>
  <c r="D232" i="1"/>
  <c r="D980" i="1"/>
  <c r="D1263" i="1"/>
  <c r="D1812" i="1"/>
  <c r="D1101" i="1"/>
  <c r="D1923" i="1"/>
  <c r="D2533" i="1"/>
  <c r="D1740" i="1"/>
  <c r="D1070" i="1"/>
  <c r="F1070" i="1" s="1"/>
  <c r="D2655" i="1"/>
  <c r="F2655" i="1" s="1"/>
  <c r="D2788" i="1"/>
  <c r="D1452" i="1"/>
  <c r="D35" i="1"/>
  <c r="D1942" i="1"/>
  <c r="D1295" i="1"/>
  <c r="D278" i="1"/>
  <c r="D1229" i="1"/>
  <c r="D1292" i="1"/>
  <c r="D2059" i="1"/>
  <c r="D259" i="1"/>
  <c r="D965" i="1"/>
  <c r="F965" i="1" s="1"/>
  <c r="D2722" i="1"/>
  <c r="F2722" i="1" s="1"/>
  <c r="D1323" i="1"/>
  <c r="D2415" i="1"/>
  <c r="D1315" i="1"/>
  <c r="D542" i="1"/>
  <c r="D2170" i="1"/>
  <c r="D492" i="1"/>
  <c r="D1032" i="1"/>
  <c r="D286" i="1"/>
  <c r="D561" i="1"/>
  <c r="D1947" i="1"/>
  <c r="D2786" i="1"/>
  <c r="F2786" i="1" s="1"/>
  <c r="D940" i="1"/>
  <c r="F940" i="1" s="1"/>
  <c r="D1815" i="1"/>
  <c r="D849" i="1"/>
  <c r="D1239" i="1"/>
  <c r="D1778" i="1"/>
  <c r="D2387" i="1"/>
  <c r="D1535" i="1"/>
  <c r="F1535" i="1" s="1"/>
  <c r="D587" i="1"/>
  <c r="D1567" i="1"/>
  <c r="D905" i="1"/>
  <c r="F905" i="1" s="1"/>
  <c r="D2706" i="1"/>
  <c r="D455" i="1"/>
  <c r="D402" i="1"/>
  <c r="D1157" i="1"/>
  <c r="D858" i="1"/>
  <c r="D2458" i="1"/>
  <c r="D1211" i="1"/>
  <c r="D1887" i="1"/>
  <c r="F1887" i="1" s="1"/>
  <c r="D547" i="1"/>
  <c r="F547" i="1" s="1"/>
  <c r="D2178" i="1"/>
  <c r="D449" i="1"/>
  <c r="D2251" i="1"/>
  <c r="D699" i="1"/>
  <c r="D1660" i="1"/>
  <c r="D303" i="1"/>
  <c r="F303" i="1" s="1"/>
  <c r="D1910" i="1"/>
  <c r="D114" i="1"/>
  <c r="D1235" i="1"/>
  <c r="F1235" i="1" s="1"/>
  <c r="D506" i="1"/>
  <c r="D1807" i="1"/>
  <c r="D1453" i="1"/>
  <c r="D52" i="1"/>
  <c r="D2610" i="1"/>
  <c r="D911" i="1"/>
  <c r="D537" i="1"/>
  <c r="D1499" i="1"/>
  <c r="F1499" i="1" s="1"/>
  <c r="D270" i="1"/>
  <c r="F270" i="1" s="1"/>
  <c r="D810" i="1"/>
  <c r="D420" i="1"/>
  <c r="D1352" i="1"/>
  <c r="D583" i="1"/>
  <c r="D1928" i="1"/>
  <c r="D354" i="1"/>
  <c r="F354" i="1" s="1"/>
  <c r="D1406" i="1"/>
  <c r="D1891" i="1"/>
  <c r="D2273" i="1"/>
  <c r="F2273" i="1" s="1"/>
  <c r="D368" i="1"/>
  <c r="D2201" i="1"/>
  <c r="D1065" i="1"/>
  <c r="D947" i="1"/>
  <c r="D1763" i="1"/>
  <c r="D564" i="1"/>
  <c r="D1187" i="1"/>
  <c r="D939" i="1"/>
  <c r="F939" i="1" s="1"/>
  <c r="D1758" i="1"/>
  <c r="F1758" i="1" s="1"/>
  <c r="D518" i="1"/>
  <c r="D2446" i="1"/>
  <c r="D1744" i="1"/>
  <c r="D1671" i="1"/>
  <c r="D703" i="1"/>
  <c r="D1107" i="1"/>
  <c r="F1107" i="1" s="1"/>
  <c r="D1656" i="1"/>
  <c r="D425" i="1"/>
  <c r="D941" i="1"/>
  <c r="F941" i="1" s="1"/>
  <c r="D859" i="1"/>
  <c r="D1924" i="1"/>
  <c r="D2196" i="1"/>
  <c r="D1829" i="1"/>
  <c r="D2054" i="1"/>
  <c r="D975" i="1"/>
  <c r="D265" i="1"/>
  <c r="D1048" i="1"/>
  <c r="F1048" i="1" s="1"/>
  <c r="D2586" i="1"/>
  <c r="F2586" i="1" s="1"/>
  <c r="D2794" i="1"/>
  <c r="D453" i="1"/>
  <c r="D1237" i="1"/>
  <c r="D2292" i="1"/>
  <c r="D790" i="1"/>
  <c r="D1193" i="1"/>
  <c r="F1193" i="1" s="1"/>
  <c r="D601" i="1"/>
  <c r="D1704" i="1"/>
  <c r="D1339" i="1"/>
  <c r="F1339" i="1" s="1"/>
  <c r="D780" i="1"/>
  <c r="D1332" i="1"/>
  <c r="D817" i="1"/>
  <c r="D1920" i="1"/>
  <c r="D2075" i="1"/>
  <c r="D1462" i="1"/>
  <c r="D2635" i="1"/>
  <c r="D1818" i="1"/>
  <c r="F1818" i="1" s="1"/>
  <c r="D1334" i="1"/>
  <c r="F1334" i="1" s="1"/>
  <c r="D1954" i="1"/>
  <c r="D1445" i="1"/>
  <c r="D1854" i="1"/>
  <c r="D475" i="1"/>
  <c r="D1644" i="1"/>
  <c r="D1503" i="1"/>
  <c r="F1503" i="1" s="1"/>
  <c r="D460" i="1"/>
  <c r="D186" i="1"/>
  <c r="D101" i="1"/>
  <c r="F101" i="1" s="1"/>
  <c r="D2263" i="1"/>
  <c r="D868" i="1"/>
  <c r="D2622" i="1"/>
  <c r="D618" i="1"/>
  <c r="D443" i="1"/>
  <c r="D1301" i="1"/>
  <c r="D1179" i="1"/>
  <c r="D1975" i="1"/>
  <c r="F1975" i="1" s="1"/>
  <c r="D137" i="1"/>
  <c r="F137" i="1" s="1"/>
  <c r="D2442" i="1"/>
  <c r="D2756" i="1"/>
  <c r="D1861" i="1"/>
  <c r="D1273" i="1"/>
  <c r="D635" i="1"/>
  <c r="D1358" i="1"/>
  <c r="F1358" i="1" s="1"/>
  <c r="D1419" i="1"/>
  <c r="D2281" i="1"/>
  <c r="D2454" i="1"/>
  <c r="F2454" i="1" s="1"/>
  <c r="D2062" i="1"/>
  <c r="D2215" i="1"/>
  <c r="D2225" i="1"/>
  <c r="D1979" i="1"/>
  <c r="D2066" i="1"/>
  <c r="D2262" i="1"/>
  <c r="D2520" i="1"/>
  <c r="D1521" i="1"/>
  <c r="F1521" i="1" s="1"/>
  <c r="D248" i="1"/>
  <c r="F248" i="1" s="1"/>
  <c r="D2705" i="1"/>
  <c r="D1842" i="1"/>
  <c r="D1791" i="1"/>
  <c r="D2043" i="1"/>
  <c r="D897" i="1"/>
  <c r="D1859" i="1"/>
  <c r="F1859" i="1" s="1"/>
  <c r="D394" i="1"/>
  <c r="D2367" i="1"/>
  <c r="D1240" i="1"/>
  <c r="F1240" i="1" s="1"/>
  <c r="D2016" i="1"/>
  <c r="D2275" i="1"/>
  <c r="D2714" i="1"/>
  <c r="D385" i="1"/>
  <c r="D1694" i="1"/>
  <c r="D2427" i="1"/>
  <c r="D205" i="1"/>
  <c r="D721" i="1"/>
  <c r="F721" i="1" s="1"/>
  <c r="D2015" i="1"/>
  <c r="F2015" i="1" s="1"/>
  <c r="D893" i="1"/>
  <c r="D886" i="1"/>
  <c r="D1106" i="1"/>
  <c r="D113" i="1"/>
  <c r="D400" i="1"/>
  <c r="D92" i="1"/>
  <c r="F92" i="1" s="1"/>
  <c r="D1713" i="1"/>
  <c r="D556" i="1"/>
  <c r="D7" i="1"/>
  <c r="F7" i="1" s="1"/>
  <c r="D541" i="1"/>
  <c r="D2183" i="1"/>
  <c r="D508" i="1"/>
  <c r="D2095" i="1"/>
  <c r="D747" i="1"/>
  <c r="D2030" i="1"/>
  <c r="D657" i="1"/>
  <c r="D110" i="1"/>
  <c r="F110" i="1" s="1"/>
  <c r="D2717" i="1"/>
  <c r="F2717" i="1" s="1"/>
  <c r="D1057" i="1"/>
  <c r="D662" i="1"/>
  <c r="D2530" i="1"/>
  <c r="D1674" i="1"/>
  <c r="D1948" i="1"/>
  <c r="D2578" i="1"/>
  <c r="F2578" i="1" s="1"/>
  <c r="D773" i="1"/>
  <c r="D2277" i="1"/>
  <c r="D2173" i="1"/>
  <c r="F2173" i="1" s="1"/>
  <c r="D754" i="1"/>
  <c r="D352" i="1"/>
  <c r="D2737" i="1"/>
  <c r="D1024" i="1"/>
  <c r="D1531" i="1"/>
  <c r="D2633" i="1"/>
  <c r="D1834" i="1"/>
  <c r="D762" i="1"/>
  <c r="F762" i="1" s="1"/>
  <c r="D1955" i="1"/>
  <c r="F1955" i="1" s="1"/>
  <c r="D1776" i="1"/>
  <c r="D104" i="1"/>
  <c r="D532" i="1"/>
  <c r="D2642" i="1"/>
  <c r="D2190" i="1"/>
  <c r="D1759" i="1"/>
  <c r="F1759" i="1" s="1"/>
  <c r="D872" i="1"/>
  <c r="D2580" i="1"/>
  <c r="D1347" i="1"/>
  <c r="F1347" i="1" s="1"/>
  <c r="D1698" i="1"/>
  <c r="D474" i="1"/>
  <c r="D1460" i="1"/>
  <c r="D1100" i="1"/>
  <c r="D200" i="1"/>
  <c r="D1170" i="1"/>
  <c r="D659" i="1"/>
  <c r="D1720" i="1"/>
  <c r="F1720" i="1" s="1"/>
  <c r="D2789" i="1"/>
  <c r="F2789" i="1" s="1"/>
  <c r="D1227" i="1"/>
  <c r="D824" i="1"/>
  <c r="D1471" i="1"/>
  <c r="D1604" i="1"/>
  <c r="D2681" i="1"/>
  <c r="D1486" i="1"/>
  <c r="F1486" i="1" s="1"/>
  <c r="D2133" i="1"/>
  <c r="D2045" i="1"/>
  <c r="D2379" i="1"/>
  <c r="F2379" i="1" s="1"/>
  <c r="D2357" i="1"/>
  <c r="D806" i="1"/>
  <c r="D423" i="1"/>
  <c r="D1318" i="1"/>
  <c r="D2035" i="1"/>
  <c r="D1547" i="1"/>
  <c r="D2615" i="1"/>
  <c r="D2064" i="1"/>
  <c r="F2064" i="1" s="1"/>
  <c r="D63" i="1"/>
  <c r="F63" i="1" s="1"/>
  <c r="D2115" i="1"/>
  <c r="D178" i="1"/>
  <c r="D2305" i="1"/>
  <c r="D664" i="1"/>
  <c r="D1014" i="1"/>
  <c r="D1772" i="1"/>
  <c r="F1772" i="1" s="1"/>
  <c r="D2121" i="1"/>
  <c r="D242" i="1"/>
  <c r="D152" i="1"/>
  <c r="F152" i="1" s="1"/>
  <c r="D856" i="1"/>
  <c r="D1006" i="1"/>
  <c r="D2557" i="1"/>
  <c r="D406" i="1"/>
  <c r="D2576" i="1"/>
  <c r="D1589" i="1"/>
  <c r="D2453" i="1"/>
  <c r="D2752" i="1"/>
  <c r="F2752" i="1" s="1"/>
  <c r="D2317" i="1"/>
  <c r="F2317" i="1" s="1"/>
  <c r="D2046" i="1"/>
  <c r="D577" i="1"/>
  <c r="D1756" i="1"/>
  <c r="D2057" i="1"/>
  <c r="D1696" i="1"/>
  <c r="D1156" i="1"/>
  <c r="F1156" i="1" s="1"/>
  <c r="D655" i="1"/>
  <c r="D1020" i="1"/>
  <c r="D2200" i="1"/>
  <c r="F2200" i="1" s="1"/>
  <c r="D1003" i="1"/>
  <c r="D240" i="1"/>
  <c r="D1725" i="1"/>
  <c r="D1855" i="1"/>
  <c r="D1786" i="1"/>
  <c r="D220" i="1"/>
  <c r="D1502" i="1"/>
  <c r="D1973" i="1"/>
  <c r="F1973" i="1" s="1"/>
  <c r="D2358" i="1"/>
  <c r="F2358" i="1" s="1"/>
  <c r="D1050" i="1"/>
  <c r="D1255" i="1"/>
  <c r="D1544" i="1"/>
  <c r="D1867" i="1"/>
  <c r="D2570" i="1"/>
  <c r="D1643" i="1"/>
  <c r="F1643" i="1" s="1"/>
  <c r="D444" i="1"/>
  <c r="D252" i="1"/>
  <c r="D2302" i="1"/>
  <c r="F2302" i="1" s="1"/>
  <c r="D1489" i="1"/>
  <c r="D2261" i="1"/>
  <c r="D1795" i="1"/>
  <c r="D1884" i="1"/>
  <c r="D148" i="1"/>
  <c r="D1987" i="1"/>
  <c r="E1987" i="1" s="1"/>
  <c r="D1844" i="1"/>
  <c r="D116" i="1"/>
  <c r="F116" i="1" s="1"/>
  <c r="D193" i="1"/>
  <c r="F193" i="1" s="1"/>
  <c r="D2329" i="1"/>
  <c r="D1767" i="1"/>
  <c r="D2294" i="1"/>
  <c r="D1864" i="1"/>
  <c r="D484" i="1"/>
  <c r="D166" i="1"/>
  <c r="F166" i="1" s="1"/>
  <c r="D2295" i="1"/>
  <c r="D1733" i="1"/>
  <c r="D2189" i="1"/>
  <c r="F2189" i="1" s="1"/>
  <c r="D619" i="1"/>
  <c r="D1582" i="1"/>
  <c r="D2769" i="1"/>
  <c r="D1908" i="1"/>
  <c r="D1185" i="1"/>
  <c r="D480" i="1"/>
  <c r="D281" i="1"/>
  <c r="D570" i="1"/>
  <c r="F570" i="1" s="1"/>
  <c r="D2087" i="1"/>
  <c r="F2087" i="1" s="1"/>
  <c r="D525" i="1"/>
  <c r="D243" i="1"/>
  <c r="D317" i="1"/>
  <c r="D749" i="1"/>
  <c r="D1168" i="1"/>
  <c r="D1220" i="1"/>
  <c r="F1220" i="1" s="1"/>
  <c r="D1253" i="1"/>
  <c r="D2240" i="1"/>
  <c r="F2240" i="1" s="1"/>
  <c r="D448" i="1"/>
  <c r="D321" i="1"/>
  <c r="D2313" i="1"/>
  <c r="D2300" i="1"/>
  <c r="D25" i="1"/>
  <c r="D1687" i="1"/>
  <c r="F1687" i="1" s="1"/>
  <c r="D1213" i="1"/>
  <c r="D366" i="1"/>
  <c r="D1935" i="1"/>
  <c r="D138" i="1"/>
  <c r="D1697" i="1"/>
  <c r="D1974" i="1"/>
  <c r="D1418" i="1"/>
  <c r="D2549" i="1"/>
  <c r="F2549" i="1" s="1"/>
  <c r="D2384" i="1"/>
  <c r="F2384" i="1" s="1"/>
  <c r="D2339" i="1"/>
  <c r="D2780" i="1"/>
  <c r="D538" i="1"/>
  <c r="D1881" i="1"/>
  <c r="D2343" i="1"/>
  <c r="D684" i="1"/>
  <c r="F684" i="1" s="1"/>
  <c r="D494" i="1"/>
  <c r="F494" i="1" s="1"/>
  <c r="D2538" i="1"/>
  <c r="D913" i="1"/>
  <c r="D884" i="1"/>
  <c r="D741" i="1"/>
  <c r="D1507" i="1"/>
  <c r="F1507" i="1" s="1"/>
  <c r="D99" i="1"/>
  <c r="F99" i="1" s="1"/>
  <c r="D1438" i="1"/>
  <c r="D1814" i="1"/>
  <c r="F1814" i="1" s="1"/>
  <c r="D2293" i="1"/>
  <c r="D1642" i="1"/>
  <c r="D2280" i="1"/>
  <c r="D1865" i="1"/>
  <c r="F1865" i="1" s="1"/>
  <c r="D2560" i="1"/>
  <c r="D860" i="1"/>
  <c r="F860" i="1" s="1"/>
  <c r="D997" i="1"/>
  <c r="D107" i="1"/>
  <c r="D2450" i="1"/>
  <c r="D781" i="1"/>
  <c r="D2660" i="1"/>
  <c r="D2036" i="1"/>
  <c r="F2036" i="1" s="1"/>
  <c r="D2476" i="1"/>
  <c r="F2476" i="1" s="1"/>
  <c r="D553" i="1"/>
  <c r="D1335" i="1"/>
  <c r="D1308" i="1"/>
  <c r="D1362" i="1"/>
  <c r="D195" i="1"/>
  <c r="D902" i="1"/>
  <c r="D2485" i="1"/>
  <c r="D2600" i="1"/>
  <c r="F2600" i="1" s="1"/>
  <c r="D1608" i="1"/>
  <c r="D581" i="1"/>
  <c r="D1044" i="1"/>
  <c r="D2759" i="1"/>
  <c r="D2323" i="1"/>
  <c r="D988" i="1"/>
  <c r="F988" i="1" s="1"/>
  <c r="D1882" i="1"/>
  <c r="F1882" i="1" s="1"/>
  <c r="D1734" i="1"/>
  <c r="D403" i="1"/>
  <c r="D2074" i="1"/>
  <c r="D1325" i="1"/>
  <c r="D1570" i="1"/>
  <c r="F1570" i="1" s="1"/>
  <c r="D2304" i="1"/>
  <c r="F2304" i="1" s="1"/>
  <c r="D1495" i="1"/>
  <c r="D2506" i="1"/>
  <c r="F2506" i="1" s="1"/>
  <c r="D2508" i="1"/>
  <c r="D46" i="1"/>
  <c r="D644" i="1"/>
  <c r="D2587" i="1"/>
  <c r="F2587" i="1" s="1"/>
  <c r="D2695" i="1"/>
  <c r="D2470" i="1"/>
  <c r="F2470" i="1" s="1"/>
  <c r="D559" i="1"/>
  <c r="D2439" i="1"/>
  <c r="D145" i="1"/>
  <c r="D241" i="1"/>
  <c r="D1197" i="1"/>
  <c r="D1496" i="1"/>
  <c r="F1496" i="1" s="1"/>
  <c r="D2408" i="1"/>
  <c r="D928" i="1"/>
  <c r="D1427" i="1"/>
  <c r="D251" i="1"/>
  <c r="D2775" i="1"/>
  <c r="D158" i="1"/>
  <c r="D651" i="1"/>
  <c r="D2603" i="1"/>
  <c r="F2603" i="1" s="1"/>
  <c r="D2742" i="1"/>
  <c r="F2742" i="1" s="1"/>
  <c r="D2595" i="1"/>
  <c r="D227" i="1"/>
  <c r="D2100" i="1"/>
  <c r="D2412" i="1"/>
  <c r="D823" i="1"/>
  <c r="D726" i="1"/>
  <c r="F726" i="1" s="1"/>
  <c r="D1209" i="1"/>
  <c r="F1209" i="1" s="1"/>
  <c r="D1095" i="1"/>
  <c r="D523" i="1"/>
  <c r="D609" i="1"/>
  <c r="D816" i="1"/>
  <c r="D2755" i="1"/>
  <c r="F2755" i="1" s="1"/>
  <c r="D1712" i="1"/>
  <c r="F1712" i="1" s="1"/>
  <c r="D571" i="1"/>
  <c r="D1386" i="1"/>
  <c r="F1386" i="1" s="1"/>
  <c r="D1363" i="1"/>
  <c r="D2625" i="1"/>
  <c r="D2486" i="1"/>
  <c r="D292" i="1"/>
  <c r="F292" i="1" s="1"/>
  <c r="D1375" i="1"/>
  <c r="D31" i="1"/>
  <c r="F31" i="1" s="1"/>
  <c r="D1444" i="1"/>
  <c r="D1126" i="1"/>
  <c r="D1565" i="1"/>
  <c r="D1539" i="1"/>
  <c r="D2536" i="1"/>
  <c r="D952" i="1"/>
  <c r="F952" i="1" s="1"/>
  <c r="D652" i="1"/>
  <c r="F652" i="1" s="1"/>
  <c r="D1813" i="1"/>
  <c r="D53" i="1"/>
  <c r="D676" i="1"/>
  <c r="D2517" i="1"/>
  <c r="D1847" i="1"/>
  <c r="D2551" i="1"/>
  <c r="D328" i="1"/>
  <c r="D2493" i="1"/>
  <c r="F2493" i="1" s="1"/>
  <c r="D1250" i="1"/>
  <c r="D1745" i="1"/>
  <c r="D1719" i="1"/>
  <c r="D2003" i="1"/>
  <c r="D2166" i="1"/>
  <c r="D1096" i="1"/>
  <c r="F1096" i="1" s="1"/>
  <c r="D1804" i="1"/>
  <c r="F1804" i="1" s="1"/>
  <c r="D1029" i="1"/>
  <c r="D1560" i="1"/>
  <c r="D1074" i="1"/>
  <c r="D2344" i="1"/>
  <c r="D2460" i="1"/>
  <c r="F2460" i="1" s="1"/>
  <c r="D249" i="1"/>
  <c r="F249" i="1" s="1"/>
  <c r="D1803" i="1"/>
  <c r="D134" i="1"/>
  <c r="F134" i="1" s="1"/>
  <c r="D2778" i="1"/>
  <c r="D1727" i="1"/>
  <c r="D775" i="1"/>
  <c r="D1150" i="1"/>
  <c r="F1150" i="1" s="1"/>
  <c r="D2532" i="1"/>
  <c r="D2757" i="1"/>
  <c r="F2757" i="1" s="1"/>
  <c r="D1299" i="1"/>
  <c r="D264" i="1"/>
  <c r="D79" i="1"/>
  <c r="D1431" i="1"/>
  <c r="D199" i="1"/>
  <c r="D223" i="1"/>
  <c r="F223" i="1" s="1"/>
  <c r="D1597" i="1"/>
  <c r="D2634" i="1"/>
  <c r="D2496" i="1"/>
  <c r="D207" i="1"/>
  <c r="D1298" i="1"/>
  <c r="D1374" i="1"/>
  <c r="D1717" i="1"/>
  <c r="D2312" i="1"/>
  <c r="F2312" i="1" s="1"/>
  <c r="D442" i="1"/>
  <c r="F442" i="1" s="1"/>
  <c r="D2464" i="1"/>
  <c r="D2150" i="1"/>
  <c r="D2540" i="1"/>
  <c r="D812" i="1"/>
  <c r="D48" i="1"/>
  <c r="D355" i="1"/>
  <c r="F355" i="1" s="1"/>
  <c r="D2188" i="1"/>
  <c r="F2188" i="1" s="1"/>
  <c r="D2452" i="1"/>
  <c r="D2721" i="1"/>
  <c r="D724" i="1"/>
  <c r="D2218" i="1"/>
  <c r="D2203" i="1"/>
  <c r="F2203" i="1" s="1"/>
  <c r="D1742" i="1"/>
  <c r="F1742" i="1" s="1"/>
  <c r="D2765" i="1"/>
  <c r="D2392" i="1"/>
  <c r="F2392" i="1" s="1"/>
  <c r="D2176" i="1"/>
  <c r="D253" i="1"/>
  <c r="D18" i="1"/>
  <c r="F18" i="1" s="1"/>
  <c r="D1259" i="1"/>
  <c r="F1259" i="1" s="1"/>
  <c r="D2223" i="1"/>
  <c r="D2197" i="1"/>
  <c r="F2197" i="1" s="1"/>
  <c r="D765" i="1"/>
  <c r="D1609" i="1"/>
  <c r="D1326" i="1"/>
  <c r="F1326" i="1" s="1"/>
  <c r="D1261" i="1"/>
  <c r="F1261" i="1" s="1"/>
  <c r="D361" i="1"/>
  <c r="D2426" i="1"/>
  <c r="F2426" i="1" s="1"/>
  <c r="D298" i="1"/>
  <c r="D27" i="1"/>
  <c r="F27" i="1" s="1"/>
  <c r="D1606" i="1"/>
  <c r="D1805" i="1"/>
  <c r="F1805" i="1" s="1"/>
  <c r="D845" i="1"/>
  <c r="D2448" i="1"/>
  <c r="F2448" i="1" s="1"/>
  <c r="D2414" i="1"/>
  <c r="D246" i="1"/>
  <c r="D1839" i="1"/>
  <c r="F1839" i="1" s="1"/>
  <c r="D234" i="1"/>
  <c r="D871" i="1"/>
  <c r="D1119" i="1"/>
  <c r="F1119" i="1" s="1"/>
  <c r="D511" i="1"/>
  <c r="D2008" i="1"/>
  <c r="D1186" i="1"/>
  <c r="F1186" i="1" s="1"/>
  <c r="D389" i="1"/>
  <c r="F389" i="1" s="1"/>
  <c r="D1749" i="1"/>
  <c r="D2682" i="1"/>
  <c r="D1900" i="1"/>
  <c r="D1392" i="1"/>
  <c r="F1392" i="1" s="1"/>
  <c r="D2217" i="1"/>
  <c r="F2217" i="1" s="1"/>
  <c r="D32" i="1"/>
  <c r="F32" i="1" s="1"/>
  <c r="D1870" i="1"/>
  <c r="D71" i="1"/>
  <c r="F71" i="1" s="1"/>
  <c r="D854" i="1"/>
  <c r="D1624" i="1"/>
  <c r="D2444" i="1"/>
  <c r="F2444" i="1" s="1"/>
  <c r="D1404" i="1"/>
  <c r="F1404" i="1" s="1"/>
  <c r="D535" i="1"/>
  <c r="D2321" i="1"/>
  <c r="F2321" i="1" s="1"/>
  <c r="D2502" i="1"/>
  <c r="D2613" i="1"/>
  <c r="D648" i="1"/>
  <c r="F648" i="1" s="1"/>
  <c r="D2698" i="1"/>
  <c r="F2698" i="1" s="1"/>
  <c r="D274" i="1"/>
  <c r="D2212" i="1"/>
  <c r="F2212" i="1" s="1"/>
  <c r="D2370" i="1"/>
  <c r="F2370" i="1" s="1"/>
  <c r="D1510" i="1"/>
  <c r="D1475" i="1"/>
  <c r="D742" i="1"/>
  <c r="F742" i="1" s="1"/>
  <c r="D1275" i="1"/>
  <c r="D87" i="1"/>
  <c r="F87" i="1" s="1"/>
  <c r="D326" i="1"/>
  <c r="D2125" i="1"/>
  <c r="D2436" i="1"/>
  <c r="F2436" i="1" s="1"/>
  <c r="D524" i="1"/>
  <c r="D545" i="1"/>
  <c r="D70" i="1"/>
  <c r="F70" i="1" s="1"/>
  <c r="D2561" i="1"/>
  <c r="D2342" i="1"/>
  <c r="D1349" i="1"/>
  <c r="F1349" i="1" s="1"/>
  <c r="D2729" i="1"/>
  <c r="F2729" i="1" s="1"/>
  <c r="D2554" i="1"/>
  <c r="D1132" i="1"/>
  <c r="D934" i="1"/>
  <c r="F934" i="1" s="1"/>
  <c r="D2117" i="1"/>
  <c r="D489" i="1"/>
  <c r="F489" i="1" s="1"/>
  <c r="D379" i="1"/>
  <c r="F379" i="1" s="1"/>
  <c r="D283" i="1"/>
  <c r="D1328" i="1"/>
  <c r="F1328" i="1" s="1"/>
  <c r="D1992" i="1"/>
  <c r="D1155" i="1"/>
  <c r="D2401" i="1"/>
  <c r="F2401" i="1" s="1"/>
  <c r="D1579" i="1"/>
  <c r="F1579" i="1" s="1"/>
  <c r="D1236" i="1"/>
  <c r="D1058" i="1"/>
  <c r="F1058" i="1" s="1"/>
  <c r="D970" i="1"/>
  <c r="D336" i="1"/>
  <c r="D299" i="1"/>
  <c r="F299" i="1" s="1"/>
  <c r="D1061" i="1"/>
  <c r="F1061" i="1" s="1"/>
  <c r="D1092" i="1"/>
  <c r="D1317" i="1"/>
  <c r="F1317" i="1" s="1"/>
  <c r="D1553" i="1"/>
  <c r="D695" i="1"/>
  <c r="D15" i="1"/>
  <c r="D2663" i="1"/>
  <c r="F2663" i="1" s="1"/>
  <c r="D1596" i="1"/>
  <c r="D2335" i="1"/>
  <c r="F2335" i="1" s="1"/>
  <c r="D2052" i="1"/>
  <c r="D190" i="1"/>
  <c r="F190" i="1" s="1"/>
  <c r="D2704" i="1"/>
  <c r="F2704" i="1" s="1"/>
  <c r="D490" i="1"/>
  <c r="D2708" i="1"/>
  <c r="D2469" i="1"/>
  <c r="F2469" i="1" s="1"/>
  <c r="D668" i="1"/>
  <c r="D106" i="1"/>
  <c r="D2229" i="1"/>
  <c r="F2229" i="1" s="1"/>
  <c r="D1403" i="1"/>
  <c r="F1403" i="1" s="1"/>
  <c r="D8" i="1"/>
  <c r="D78" i="1"/>
  <c r="D1929" i="1"/>
  <c r="D1618" i="1"/>
  <c r="D1234" i="1"/>
  <c r="F1234" i="1" s="1"/>
  <c r="D748" i="1"/>
  <c r="F748" i="1" s="1"/>
  <c r="D925" i="1"/>
  <c r="D2573" i="1"/>
  <c r="F2573" i="1" s="1"/>
  <c r="D2149" i="1"/>
  <c r="D1822" i="1"/>
  <c r="F1822" i="1" s="1"/>
  <c r="D1411" i="1"/>
  <c r="F1411" i="1" s="1"/>
  <c r="D2750" i="1"/>
  <c r="F2750" i="1" s="1"/>
  <c r="D429" i="1"/>
  <c r="D167" i="1"/>
  <c r="F167" i="1" s="1"/>
  <c r="D2175" i="1"/>
  <c r="D784" i="1"/>
  <c r="D1669" i="1"/>
  <c r="F1669" i="1" s="1"/>
  <c r="D2385" i="1"/>
  <c r="F2385" i="1" s="1"/>
  <c r="D1658" i="1"/>
  <c r="D2077" i="1"/>
  <c r="F2077" i="1" s="1"/>
  <c r="D1083" i="1"/>
  <c r="D1232" i="1"/>
  <c r="D1369" i="1"/>
  <c r="E1369" i="1" s="1"/>
  <c r="D1123" i="1"/>
  <c r="F1123" i="1" s="1"/>
  <c r="D1171" i="1"/>
  <c r="D1693" i="1"/>
  <c r="F1693" i="1" s="1"/>
  <c r="D932" i="1"/>
  <c r="F932" i="1" s="1"/>
  <c r="D2002" i="1"/>
  <c r="D2645" i="1"/>
  <c r="F2645" i="1" s="1"/>
  <c r="D981" i="1"/>
  <c r="D2017" i="1"/>
  <c r="D2782" i="1"/>
  <c r="F2782" i="1" s="1"/>
  <c r="D395" i="1"/>
  <c r="D1972" i="1"/>
  <c r="D1215" i="1"/>
  <c r="F1215" i="1" s="1"/>
  <c r="D2004" i="1"/>
  <c r="F2004" i="1" s="1"/>
  <c r="D2484" i="1"/>
  <c r="D2753" i="1"/>
  <c r="D1571" i="1"/>
  <c r="D831" i="1"/>
  <c r="D1673" i="1"/>
  <c r="F1673" i="1" s="1"/>
  <c r="D1038" i="1"/>
  <c r="F1038" i="1" s="1"/>
  <c r="D2656" i="1"/>
  <c r="D2437" i="1"/>
  <c r="F2437" i="1" s="1"/>
  <c r="D1602" i="1"/>
  <c r="D2383" i="1"/>
  <c r="D2653" i="1"/>
  <c r="F2653" i="1" s="1"/>
  <c r="D2772" i="1"/>
  <c r="F2772" i="1" s="1"/>
  <c r="D1449" i="1"/>
  <c r="D1039" i="1"/>
  <c r="F1039" i="1" s="1"/>
  <c r="D1002" i="1"/>
  <c r="D1708" i="1"/>
  <c r="D777" i="1"/>
  <c r="F777" i="1" s="1"/>
  <c r="D2353" i="1"/>
  <c r="F2353" i="1" s="1"/>
  <c r="D1724" i="1"/>
  <c r="D2250" i="1"/>
  <c r="F2250" i="1" s="1"/>
  <c r="D1470" i="1"/>
  <c r="D468" i="1"/>
  <c r="D2501" i="1"/>
  <c r="D1574" i="1"/>
  <c r="F1574" i="1" s="1"/>
  <c r="D1063" i="1"/>
  <c r="D2597" i="1"/>
  <c r="F2597" i="1" s="1"/>
  <c r="D574" i="1"/>
  <c r="D485" i="1"/>
  <c r="D2754" i="1"/>
  <c r="F2754" i="1" s="1"/>
  <c r="D627" i="1"/>
  <c r="D1961" i="1"/>
  <c r="D2396" i="1"/>
  <c r="F2396" i="1" s="1"/>
  <c r="D1034" i="1"/>
  <c r="D1595" i="1"/>
  <c r="F1595" i="1" s="1"/>
  <c r="D2026" i="1"/>
  <c r="F2026" i="1" s="1"/>
  <c r="D2328" i="1"/>
  <c r="F2328" i="1" s="1"/>
  <c r="D162" i="1"/>
  <c r="D2690" i="1"/>
  <c r="D2735" i="1"/>
  <c r="D315" i="1"/>
  <c r="D2763" i="1"/>
  <c r="F2763" i="1" s="1"/>
  <c r="D282" i="1"/>
  <c r="F282" i="1" s="1"/>
  <c r="D1137" i="1"/>
  <c r="D767" i="1"/>
  <c r="F767" i="1" s="1"/>
  <c r="D719" i="1"/>
  <c r="D693" i="1"/>
  <c r="D855" i="1"/>
  <c r="F855" i="1" s="1"/>
  <c r="D1841" i="1"/>
  <c r="F1841" i="1" s="1"/>
  <c r="D1085" i="1"/>
  <c r="D1082" i="1"/>
  <c r="F1082" i="1" s="1"/>
  <c r="D2744" i="1"/>
  <c r="F2744" i="1" s="1"/>
  <c r="D175" i="1"/>
  <c r="D1483" i="1"/>
  <c r="F1483" i="1" s="1"/>
  <c r="D2132" i="1"/>
  <c r="F2132" i="1" s="1"/>
  <c r="D2671" i="1"/>
  <c r="D2740" i="1"/>
  <c r="F2740" i="1" s="1"/>
  <c r="D700" i="1"/>
  <c r="D1432" i="1"/>
  <c r="F1432" i="1" s="1"/>
  <c r="D94" i="1"/>
  <c r="F94" i="1" s="1"/>
  <c r="D1184" i="1"/>
  <c r="F1184" i="1" s="1"/>
  <c r="D2285" i="1"/>
  <c r="D481" i="1"/>
  <c r="F481" i="1" s="1"/>
  <c r="D2713" i="1"/>
  <c r="D546" i="1"/>
  <c r="D1636" i="1"/>
  <c r="F1636" i="1" s="1"/>
  <c r="D1525" i="1"/>
  <c r="F1525" i="1" s="1"/>
  <c r="D1781" i="1"/>
  <c r="D212" i="1"/>
  <c r="F212" i="1" s="1"/>
  <c r="D2270" i="1"/>
  <c r="D1911" i="1"/>
  <c r="D520" i="1"/>
  <c r="F520" i="1" s="1"/>
  <c r="D2330" i="1"/>
  <c r="F2330" i="1" s="1"/>
  <c r="D477" i="1"/>
  <c r="D2716" i="1"/>
  <c r="F2716" i="1" s="1"/>
  <c r="D819" i="1"/>
  <c r="D2347" i="1"/>
  <c r="D2394" i="1"/>
  <c r="F2394" i="1" s="1"/>
  <c r="D603" i="1"/>
  <c r="F603" i="1" s="1"/>
  <c r="D578" i="1"/>
  <c r="F578" i="1" s="1"/>
  <c r="D1479" i="1"/>
  <c r="F1479" i="1" s="1"/>
  <c r="D1165" i="1"/>
  <c r="D2101" i="1"/>
  <c r="D2421" i="1"/>
  <c r="F2421" i="1" s="1"/>
  <c r="D1639" i="1"/>
  <c r="F1639" i="1" s="1"/>
  <c r="D579" i="1"/>
  <c r="F579" i="1" s="1"/>
  <c r="D50" i="1"/>
  <c r="F50" i="1" s="1"/>
  <c r="D840" i="1"/>
  <c r="D1371" i="1"/>
  <c r="D519" i="1"/>
  <c r="F519" i="1" s="1"/>
  <c r="D2498" i="1"/>
  <c r="F2498" i="1" s="1"/>
  <c r="D1941" i="1"/>
  <c r="F1941" i="1" s="1"/>
  <c r="D1563" i="1"/>
  <c r="F1563" i="1" s="1"/>
  <c r="D2787" i="1"/>
  <c r="D1336" i="1"/>
  <c r="E1336" i="1" s="1"/>
  <c r="D1327" i="1"/>
  <c r="F1327" i="1" s="1"/>
  <c r="D2327" i="1"/>
  <c r="F2327" i="1" s="1"/>
  <c r="D843" i="1"/>
  <c r="F843" i="1" s="1"/>
  <c r="D617" i="1"/>
  <c r="F617" i="1" s="1"/>
  <c r="D150" i="1"/>
  <c r="D1391" i="1"/>
  <c r="D1231" i="1"/>
  <c r="F1231" i="1" s="1"/>
  <c r="D1769" i="1"/>
  <c r="F1769" i="1" s="1"/>
  <c r="D1523" i="1"/>
  <c r="F1523" i="1" s="1"/>
  <c r="D1634" i="1"/>
  <c r="F1634" i="1" s="1"/>
  <c r="D2287" i="1"/>
  <c r="D257" i="1"/>
  <c r="D1079" i="1"/>
  <c r="F1079" i="1" s="1"/>
  <c r="D862" i="1"/>
  <c r="F862" i="1" s="1"/>
  <c r="D1433" i="1"/>
  <c r="F1433" i="1" s="1"/>
  <c r="D1207" i="1"/>
  <c r="F1207" i="1" s="1"/>
  <c r="D174" i="1"/>
  <c r="D1139" i="1"/>
  <c r="D2192" i="1"/>
  <c r="F2192" i="1" s="1"/>
  <c r="D408" i="1"/>
  <c r="F408" i="1" s="1"/>
  <c r="D2632" i="1"/>
  <c r="F2632" i="1" s="1"/>
  <c r="D1481" i="1"/>
  <c r="F1481" i="1" s="1"/>
  <c r="D1799" i="1"/>
  <c r="D2324" i="1"/>
  <c r="D1886" i="1"/>
  <c r="F1886" i="1" s="1"/>
  <c r="D1348" i="1"/>
  <c r="F1348" i="1" s="1"/>
  <c r="D864" i="1"/>
  <c r="F864" i="1" s="1"/>
  <c r="D1538" i="1"/>
  <c r="F1538" i="1" s="1"/>
  <c r="D1682" i="1"/>
  <c r="D734" i="1"/>
  <c r="D1310" i="1"/>
  <c r="F1310" i="1" s="1"/>
  <c r="D1353" i="1"/>
  <c r="F1353" i="1" s="1"/>
  <c r="D1750" i="1"/>
  <c r="F1750" i="1" s="1"/>
  <c r="D307" i="1"/>
  <c r="F307" i="1" s="1"/>
  <c r="D987" i="1"/>
  <c r="D832" i="1"/>
  <c r="D1590" i="1"/>
  <c r="F1590" i="1" s="1"/>
  <c r="D1199" i="1"/>
  <c r="F1199" i="1" s="1"/>
  <c r="D2718" i="1"/>
  <c r="F2718" i="1" s="1"/>
  <c r="D2210" i="1"/>
  <c r="F2210" i="1" s="1"/>
  <c r="D1664" i="1"/>
  <c r="D2182" i="1"/>
  <c r="D1090" i="1"/>
  <c r="F1090" i="1" s="1"/>
  <c r="D206" i="1"/>
  <c r="F206" i="1" s="1"/>
  <c r="D735" i="1"/>
  <c r="F735" i="1" s="1"/>
  <c r="D119" i="1"/>
  <c r="F119" i="1" s="1"/>
  <c r="D1052" i="1"/>
  <c r="D954" i="1"/>
  <c r="D783" i="1"/>
  <c r="F783" i="1" s="1"/>
  <c r="D1921" i="1"/>
  <c r="F1921" i="1" s="1"/>
  <c r="D2495" i="1"/>
  <c r="F2495" i="1" s="1"/>
  <c r="D1860" i="1"/>
  <c r="F1860" i="1" s="1"/>
  <c r="D2310" i="1"/>
  <c r="D1287" i="1"/>
  <c r="D1104" i="1"/>
  <c r="F1104" i="1" s="1"/>
  <c r="D654" i="1"/>
  <c r="F654" i="1" s="1"/>
  <c r="D2174" i="1"/>
  <c r="F2174" i="1" s="1"/>
  <c r="D1149" i="1"/>
  <c r="F1149" i="1" s="1"/>
  <c r="D1269" i="1"/>
  <c r="D2061" i="1"/>
  <c r="D616" i="1"/>
  <c r="F616" i="1" s="1"/>
  <c r="D239" i="1"/>
  <c r="F239" i="1" s="1"/>
  <c r="D685" i="1"/>
  <c r="F685" i="1" s="1"/>
  <c r="D1533" i="1"/>
  <c r="F1533" i="1" s="1"/>
  <c r="D362" i="1"/>
  <c r="D792" i="1"/>
  <c r="D2483" i="1"/>
  <c r="F2483" i="1" s="1"/>
  <c r="D131" i="1"/>
  <c r="F131" i="1" s="1"/>
  <c r="D23" i="1"/>
  <c r="F23" i="1" s="1"/>
  <c r="D1346" i="1"/>
  <c r="F1346" i="1" s="1"/>
  <c r="D1840" i="1"/>
  <c r="D602" i="1"/>
  <c r="D319" i="1"/>
  <c r="F319" i="1" s="1"/>
  <c r="D720" i="1"/>
  <c r="F720" i="1" s="1"/>
  <c r="D779" i="1"/>
  <c r="F779" i="1" s="1"/>
  <c r="D1937" i="1"/>
  <c r="F1937" i="1" s="1"/>
  <c r="D555" i="1"/>
  <c r="D725" i="1"/>
  <c r="D1714" i="1"/>
  <c r="F1714" i="1" s="1"/>
  <c r="D2699" i="1"/>
  <c r="F2699" i="1" s="1"/>
  <c r="D2158" i="1"/>
  <c r="F2158" i="1" s="1"/>
  <c r="D1223" i="1"/>
  <c r="F1223" i="1" s="1"/>
  <c r="D19" i="1"/>
  <c r="D26" i="1"/>
  <c r="D2272" i="1"/>
  <c r="F2272" i="1" s="1"/>
  <c r="D197" i="1"/>
  <c r="F197" i="1" s="1"/>
  <c r="D90" i="1"/>
  <c r="F90" i="1" s="1"/>
  <c r="D1635" i="1"/>
  <c r="F1635" i="1" s="1"/>
  <c r="D1549" i="1"/>
  <c r="D863" i="1"/>
  <c r="D968" i="1"/>
  <c r="F968" i="1" s="1"/>
  <c r="D837" i="1"/>
  <c r="F837" i="1" s="1"/>
  <c r="D2065" i="1"/>
  <c r="F2065" i="1" s="1"/>
  <c r="D1603" i="1"/>
  <c r="F1603" i="1" s="1"/>
  <c r="D170" i="1"/>
  <c r="D2136" i="1"/>
  <c r="D1012" i="1"/>
  <c r="F1012" i="1" s="1"/>
  <c r="D238" i="1"/>
  <c r="F238" i="1" s="1"/>
  <c r="D1304" i="1"/>
  <c r="F1304" i="1" s="1"/>
  <c r="D1899" i="1"/>
  <c r="F1899" i="1" s="1"/>
  <c r="D2751" i="1"/>
  <c r="D1817" i="1"/>
  <c r="D891" i="1"/>
  <c r="F891" i="1" s="1"/>
  <c r="D1145" i="1"/>
  <c r="F1145" i="1" s="1"/>
  <c r="D156" i="1"/>
  <c r="F156" i="1" s="1"/>
  <c r="D2593" i="1"/>
  <c r="F2593" i="1" s="1"/>
  <c r="D258" i="1"/>
  <c r="D2748" i="1"/>
  <c r="D2369" i="1"/>
  <c r="F2369" i="1" s="1"/>
  <c r="D2390" i="1"/>
  <c r="F2390" i="1" s="1"/>
  <c r="D1546" i="1"/>
  <c r="F1546" i="1" s="1"/>
  <c r="D1402" i="1"/>
  <c r="F1402" i="1" s="1"/>
  <c r="D377" i="1"/>
  <c r="D2388" i="1"/>
  <c r="D2259" i="1"/>
  <c r="F2259" i="1" s="1"/>
  <c r="D330" i="1"/>
  <c r="F330" i="1" s="1"/>
  <c r="D1081" i="1"/>
  <c r="F1081" i="1" s="1"/>
  <c r="D674" i="1"/>
  <c r="F674" i="1" s="1"/>
  <c r="D857" i="1"/>
  <c r="D945" i="1"/>
  <c r="D1551" i="1"/>
  <c r="F1551" i="1" s="1"/>
  <c r="D1770" i="1"/>
  <c r="F1770" i="1" s="1"/>
  <c r="D2637" i="1"/>
  <c r="F2637" i="1" s="1"/>
  <c r="D147" i="1"/>
  <c r="F147" i="1" s="1"/>
  <c r="D2291" i="1"/>
  <c r="D1732" i="1"/>
  <c r="D1971" i="1"/>
  <c r="F1971" i="1" s="1"/>
  <c r="D904" i="1"/>
  <c r="F904" i="1" s="1"/>
  <c r="D1224" i="1"/>
  <c r="F1224" i="1" s="1"/>
  <c r="D683" i="1"/>
  <c r="F683" i="1" s="1"/>
  <c r="D2374" i="1"/>
  <c r="D2677" i="1"/>
  <c r="D1000" i="1"/>
  <c r="F1000" i="1" s="1"/>
  <c r="D2243" i="1"/>
  <c r="F2243" i="1" s="1"/>
  <c r="D1283" i="1"/>
  <c r="F1283" i="1" s="1"/>
  <c r="D1160" i="1"/>
  <c r="F1160" i="1" s="1"/>
  <c r="D2723" i="1"/>
  <c r="D327" i="1"/>
  <c r="D2331" i="1"/>
  <c r="F2331" i="1" s="1"/>
  <c r="D2325" i="1"/>
  <c r="F2325" i="1" s="1"/>
  <c r="D2568" i="1"/>
  <c r="F2568" i="1" s="1"/>
  <c r="D69" i="1"/>
  <c r="F69" i="1" s="1"/>
  <c r="D2507" i="1"/>
  <c r="D2349" i="1"/>
  <c r="D2382" i="1"/>
  <c r="F2382" i="1" s="1"/>
  <c r="D575" i="1"/>
  <c r="F575" i="1" s="1"/>
  <c r="D2333" i="1"/>
  <c r="F2333" i="1" s="1"/>
  <c r="D815" i="1"/>
  <c r="F815" i="1" s="1"/>
  <c r="D68" i="1"/>
  <c r="D1913" i="1"/>
  <c r="D907" i="1"/>
  <c r="F907" i="1" s="1"/>
  <c r="D324" i="1"/>
  <c r="F324" i="1" s="1"/>
  <c r="D2079" i="1"/>
  <c r="F2079" i="1" s="1"/>
  <c r="D589" i="1"/>
  <c r="F589" i="1" s="1"/>
  <c r="D1260" i="1"/>
  <c r="D421" i="1"/>
  <c r="D973" i="1"/>
  <c r="F973" i="1" s="1"/>
  <c r="D642" i="1"/>
  <c r="F642" i="1" s="1"/>
  <c r="D2482" i="1"/>
  <c r="F2482" i="1" s="1"/>
  <c r="D262" i="1"/>
  <c r="F262" i="1" s="1"/>
  <c r="D1087" i="1"/>
  <c r="D1588" i="1"/>
  <c r="D491" i="1"/>
  <c r="F491" i="1" s="1"/>
  <c r="D1958" i="1"/>
  <c r="F1958" i="1" s="1"/>
  <c r="D2393" i="1"/>
  <c r="F2393" i="1" s="1"/>
  <c r="D2550" i="1"/>
  <c r="F2550" i="1" s="1"/>
  <c r="D1482" i="1"/>
  <c r="D55" i="1"/>
  <c r="D1069" i="1"/>
  <c r="F1069" i="1" s="1"/>
  <c r="D1408" i="1"/>
  <c r="F1408" i="1" s="1"/>
  <c r="D1850" i="1"/>
  <c r="F1850" i="1" s="1"/>
  <c r="D915" i="1"/>
  <c r="F915" i="1" s="1"/>
  <c r="D56" i="1"/>
  <c r="D1569" i="1"/>
  <c r="D2184" i="1"/>
  <c r="F2184" i="1" s="1"/>
  <c r="D1912" i="1"/>
  <c r="F1912" i="1" s="1"/>
  <c r="D182" i="1"/>
  <c r="F182" i="1" s="1"/>
  <c r="D44" i="1"/>
  <c r="F44" i="1" s="1"/>
  <c r="D1407" i="1"/>
  <c r="D1108" i="1"/>
  <c r="D1016" i="1"/>
  <c r="F1016" i="1" s="1"/>
  <c r="D501" i="1"/>
  <c r="F501" i="1" s="1"/>
  <c r="D567" i="1"/>
  <c r="F567" i="1" s="1"/>
  <c r="D1962" i="1"/>
  <c r="F1962" i="1" s="1"/>
  <c r="D1783" i="1"/>
  <c r="D841" i="1"/>
  <c r="D2093" i="1"/>
  <c r="F2093" i="1" s="1"/>
  <c r="D1810" i="1"/>
  <c r="F1810" i="1" s="1"/>
  <c r="D2504" i="1"/>
  <c r="F2504" i="1" s="1"/>
  <c r="D1726" i="1"/>
  <c r="F1726" i="1" s="1"/>
  <c r="D2736" i="1"/>
  <c r="D275" i="1"/>
  <c r="D157" i="1"/>
  <c r="F157" i="1" s="1"/>
  <c r="D1515" i="1"/>
  <c r="F1515" i="1" s="1"/>
  <c r="D80" i="1"/>
  <c r="F80" i="1" s="1"/>
  <c r="D231" i="1"/>
  <c r="F231" i="1" s="1"/>
  <c r="D2707" i="1"/>
  <c r="D800" i="1"/>
  <c r="D1652" i="1"/>
  <c r="F1652" i="1" s="1"/>
  <c r="D705" i="1"/>
  <c r="F705" i="1" s="1"/>
  <c r="D1180" i="1"/>
  <c r="F1180" i="1" s="1"/>
  <c r="D680" i="1"/>
  <c r="F680" i="1" s="1"/>
  <c r="D466" i="1"/>
  <c r="D54" i="1"/>
  <c r="D1655" i="1"/>
  <c r="F1655" i="1" s="1"/>
  <c r="D2271" i="1"/>
  <c r="F2271" i="1" s="1"/>
  <c r="D2596" i="1"/>
  <c r="F2596" i="1" s="1"/>
  <c r="D1124" i="1"/>
  <c r="F1124" i="1" s="1"/>
  <c r="D1243" i="1"/>
  <c r="D2204" i="1"/>
  <c r="D1519" i="1"/>
  <c r="F1519" i="1" s="1"/>
  <c r="D1509" i="1"/>
  <c r="F1509" i="1" s="1"/>
  <c r="D978" i="1"/>
  <c r="F978" i="1" s="1"/>
  <c r="D887" i="1"/>
  <c r="F887" i="1" s="1"/>
  <c r="D2556" i="1"/>
  <c r="D1321" i="1"/>
  <c r="D2239" i="1"/>
  <c r="F2239" i="1" s="1"/>
  <c r="D2479" i="1"/>
  <c r="F2479" i="1" s="1"/>
  <c r="D160" i="1"/>
  <c r="F160" i="1" s="1"/>
  <c r="D2288" i="1"/>
  <c r="F2288" i="1" s="1"/>
  <c r="D1089" i="1"/>
  <c r="D1140" i="1"/>
  <c r="D2265" i="1"/>
  <c r="F2265" i="1" s="1"/>
  <c r="D2398" i="1"/>
  <c r="F2398" i="1" s="1"/>
  <c r="D712" i="1"/>
  <c r="F712" i="1" s="1"/>
  <c r="D1398" i="1"/>
  <c r="F1398" i="1" s="1"/>
  <c r="D184" i="1"/>
  <c r="D1330" i="1"/>
  <c r="D221" i="1"/>
  <c r="F221" i="1" s="1"/>
  <c r="D1917" i="1"/>
  <c r="F1917" i="1" s="1"/>
  <c r="D2130" i="1"/>
  <c r="F2130" i="1" s="1"/>
  <c r="D1554" i="1"/>
  <c r="F1554" i="1" s="1"/>
  <c r="D2607" i="1"/>
  <c r="D2213" i="1"/>
  <c r="D161" i="1"/>
  <c r="F161" i="1" s="1"/>
  <c r="D782" i="1"/>
  <c r="F782" i="1" s="1"/>
  <c r="D1862" i="1"/>
  <c r="F1862" i="1" s="1"/>
  <c r="D1598" i="1"/>
  <c r="F1598" i="1" s="1"/>
  <c r="D1916" i="1"/>
  <c r="E1916" i="1" s="1"/>
  <c r="D2727" i="1"/>
  <c r="D2391" i="1"/>
  <c r="F2391" i="1" s="1"/>
  <c r="D1684" i="1"/>
  <c r="F1684" i="1" s="1"/>
  <c r="D926" i="1"/>
  <c r="F926" i="1" s="1"/>
  <c r="D339" i="1"/>
  <c r="F339" i="1" s="1"/>
  <c r="D1036" i="1"/>
  <c r="D2032" i="1"/>
  <c r="D2481" i="1"/>
  <c r="F2481" i="1" s="1"/>
  <c r="D1420" i="1"/>
  <c r="F1420" i="1" s="1"/>
  <c r="D417" i="1"/>
  <c r="F417" i="1" s="1"/>
  <c r="D2761" i="1"/>
  <c r="F2761" i="1" s="1"/>
  <c r="D479" i="1"/>
  <c r="D179" i="1"/>
  <c r="D82" i="1"/>
  <c r="F82" i="1" s="1"/>
  <c r="D1934" i="1"/>
  <c r="F1934" i="1" s="1"/>
  <c r="D409" i="1"/>
  <c r="F409" i="1" s="1"/>
  <c r="D528" i="1"/>
  <c r="F528" i="1" s="1"/>
  <c r="D729" i="1"/>
  <c r="D297" i="1"/>
  <c r="D255" i="1"/>
  <c r="F255" i="1" s="1"/>
  <c r="D1271" i="1"/>
  <c r="F1271" i="1" s="1"/>
  <c r="D591" i="1"/>
  <c r="F591" i="1" s="1"/>
  <c r="D2226" i="1"/>
  <c r="F2226" i="1" s="1"/>
  <c r="D2154" i="1"/>
  <c r="D2368" i="1"/>
  <c r="D215" i="1"/>
  <c r="F215" i="1" s="1"/>
  <c r="D1116" i="1"/>
  <c r="F1116" i="1" s="1"/>
  <c r="D1242" i="1"/>
  <c r="F1242" i="1" s="1"/>
  <c r="D2202" i="1"/>
  <c r="F2202" i="1" s="1"/>
  <c r="D2102" i="1"/>
  <c r="D77" i="1"/>
  <c r="D1164" i="1"/>
  <c r="F1164" i="1" s="1"/>
  <c r="D2605" i="1"/>
  <c r="F2605" i="1" s="1"/>
  <c r="D621" i="1"/>
  <c r="F621" i="1" s="1"/>
  <c r="D634" i="1"/>
  <c r="F634" i="1" s="1"/>
  <c r="D1512" i="1"/>
  <c r="D1001" i="1"/>
  <c r="D883" i="1"/>
  <c r="F883" i="1" s="1"/>
  <c r="D139" i="1"/>
  <c r="F139" i="1" s="1"/>
  <c r="D2790" i="1"/>
  <c r="F2790" i="1" s="1"/>
  <c r="D500" i="1"/>
  <c r="F500" i="1" s="1"/>
  <c r="D194" i="1"/>
  <c r="D2684" i="1"/>
  <c r="D1368" i="1"/>
  <c r="F1368" i="1" s="1"/>
  <c r="D2238" i="1"/>
  <c r="F2238" i="1" s="1"/>
  <c r="D2034" i="1"/>
  <c r="F2034" i="1" s="1"/>
  <c r="D1648" i="1"/>
  <c r="F1648" i="1" s="1"/>
  <c r="D2233" i="1"/>
  <c r="D2097" i="1"/>
  <c r="D709" i="1"/>
  <c r="F709" i="1" s="1"/>
  <c r="D1793" i="1"/>
  <c r="F1793" i="1" s="1"/>
  <c r="D382" i="1"/>
  <c r="F382" i="1" s="1"/>
  <c r="D1789" i="1"/>
  <c r="F1789" i="1" s="1"/>
  <c r="D58" i="1"/>
  <c r="D2051" i="1"/>
  <c r="D1200" i="1"/>
  <c r="F1200" i="1" s="1"/>
  <c r="D2734" i="1"/>
  <c r="F2734" i="1" s="1"/>
  <c r="D1152" i="1"/>
  <c r="F1152" i="1" s="1"/>
  <c r="D2771" i="1"/>
  <c r="F2771" i="1" s="1"/>
  <c r="D1617" i="1"/>
  <c r="D953" i="1"/>
  <c r="D95" i="1"/>
  <c r="F95" i="1" s="1"/>
  <c r="D2510" i="1"/>
  <c r="F2510" i="1" s="1"/>
  <c r="D2320" i="1"/>
  <c r="F2320" i="1" s="1"/>
  <c r="D2627" i="1"/>
  <c r="F2627" i="1" s="1"/>
  <c r="D2011" i="1"/>
  <c r="D72" i="1"/>
  <c r="D1542" i="1"/>
  <c r="F1542" i="1" s="1"/>
  <c r="D2793" i="1"/>
  <c r="F2793" i="1" s="1"/>
  <c r="D1901" i="1"/>
  <c r="F1901" i="1" s="1"/>
  <c r="D1355" i="1"/>
  <c r="F1355" i="1" s="1"/>
  <c r="D2365" i="1"/>
  <c r="D1205" i="1"/>
  <c r="D2689" i="1"/>
  <c r="F2689" i="1" s="1"/>
  <c r="D1722" i="1"/>
  <c r="F1722" i="1" s="1"/>
  <c r="D2237" i="1"/>
  <c r="F2237" i="1" s="1"/>
  <c r="D910" i="1"/>
  <c r="F910" i="1" s="1"/>
  <c r="D350" i="1"/>
  <c r="D2072" i="1"/>
  <c r="D1689" i="1"/>
  <c r="F1689" i="1" s="1"/>
  <c r="D2361" i="1"/>
  <c r="F2361" i="1" s="1"/>
  <c r="D1537" i="1"/>
  <c r="F1537" i="1" s="1"/>
  <c r="D507" i="1"/>
  <c r="F507" i="1" s="1"/>
  <c r="D1338" i="1"/>
  <c r="D764" i="1"/>
  <c r="D1627" i="1"/>
  <c r="F1627" i="1" s="1"/>
  <c r="D476" i="1"/>
  <c r="F476" i="1" s="1"/>
  <c r="D1788" i="1"/>
  <c r="F1788" i="1" s="1"/>
  <c r="D1517" i="1"/>
  <c r="F1517" i="1" s="1"/>
  <c r="D688" i="1"/>
  <c r="D2672" i="1"/>
  <c r="D1176" i="1"/>
  <c r="F1176" i="1" s="1"/>
  <c r="D2000" i="1"/>
  <c r="F2000" i="1" s="1"/>
  <c r="D1897" i="1"/>
  <c r="F1897" i="1" s="1"/>
  <c r="D801" i="1"/>
  <c r="F801" i="1" s="1"/>
  <c r="D344" i="1"/>
  <c r="D562" i="1"/>
  <c r="D1691" i="1"/>
  <c r="F1691" i="1" s="1"/>
  <c r="D1251" i="1"/>
  <c r="F1251" i="1" s="1"/>
  <c r="D1102" i="1"/>
  <c r="F1102" i="1" s="1"/>
  <c r="D2423" i="1"/>
  <c r="F2423" i="1" s="1"/>
  <c r="D908" i="1"/>
  <c r="D229" i="1"/>
  <c r="D369" i="1"/>
  <c r="F369" i="1" s="1"/>
  <c r="D2621" i="1"/>
  <c r="F2621" i="1" s="1"/>
  <c r="D1836" i="1"/>
  <c r="F1836" i="1" s="1"/>
  <c r="D2766" i="1"/>
  <c r="F2766" i="1" s="1"/>
  <c r="D290" i="1"/>
  <c r="D2296" i="1"/>
  <c r="D461" i="1"/>
  <c r="F461" i="1" s="1"/>
  <c r="D628" i="1"/>
  <c r="F628" i="1" s="1"/>
  <c r="D2413" i="1"/>
  <c r="F2413" i="1" s="1"/>
  <c r="D1182" i="1"/>
  <c r="F1182" i="1" s="1"/>
  <c r="D1103" i="1"/>
  <c r="D1399" i="1"/>
  <c r="D129" i="1"/>
  <c r="F129" i="1" s="1"/>
  <c r="D1764" i="1"/>
  <c r="F1764" i="1" s="1"/>
  <c r="D549" i="1"/>
  <c r="F549" i="1" s="1"/>
  <c r="D392" i="1"/>
  <c r="F392" i="1" s="1"/>
  <c r="D2222" i="1"/>
  <c r="D976" i="1"/>
  <c r="D1329" i="1"/>
  <c r="F1329" i="1" s="1"/>
  <c r="D842" i="1"/>
  <c r="F842" i="1" s="1"/>
  <c r="D2465" i="1"/>
  <c r="F2465" i="1" s="1"/>
  <c r="D1997" i="1"/>
  <c r="F1997" i="1" s="1"/>
  <c r="D2244" i="1"/>
  <c r="D1477" i="1"/>
  <c r="D596" i="1"/>
  <c r="F596" i="1" s="1"/>
  <c r="D219" i="1"/>
  <c r="F219" i="1" s="1"/>
  <c r="D1423" i="1"/>
  <c r="F1423" i="1" s="1"/>
  <c r="D1004" i="1"/>
  <c r="F1004" i="1" s="1"/>
  <c r="D796" i="1"/>
  <c r="D2381" i="1"/>
  <c r="D1631" i="1"/>
  <c r="F1631" i="1" s="1"/>
  <c r="D1233" i="1"/>
  <c r="F1233" i="1" s="1"/>
  <c r="D2572" i="1"/>
  <c r="F2572" i="1" s="1"/>
  <c r="D370" i="1"/>
  <c r="F370" i="1" s="1"/>
  <c r="D623" i="1"/>
  <c r="D1707" i="1"/>
  <c r="D649" i="1"/>
  <c r="F649" i="1" s="1"/>
  <c r="D2258" i="1"/>
  <c r="F2258" i="1" s="1"/>
  <c r="D1699" i="1"/>
  <c r="F1699" i="1" s="1"/>
  <c r="D325" i="1"/>
  <c r="F325" i="1" s="1"/>
  <c r="D2724" i="1"/>
  <c r="D329" i="1"/>
  <c r="D456" i="1"/>
  <c r="F456" i="1" s="1"/>
  <c r="D1047" i="1"/>
  <c r="F1047" i="1" s="1"/>
  <c r="D900" i="1"/>
  <c r="F900" i="1" s="1"/>
  <c r="D2314" i="1"/>
  <c r="F2314" i="1" s="1"/>
  <c r="D1827" i="1"/>
  <c r="D2668" i="1"/>
  <c r="D2119" i="1"/>
  <c r="E2119" i="1" s="1"/>
  <c r="D1484" i="1"/>
  <c r="F1484" i="1" s="1"/>
  <c r="D1121" i="1"/>
  <c r="F1121" i="1" s="1"/>
  <c r="D1566" i="1"/>
  <c r="F1566" i="1" s="1"/>
  <c r="D2185" i="1"/>
  <c r="D338" i="1"/>
  <c r="D2777" i="1"/>
  <c r="F2777" i="1" s="1"/>
  <c r="D1677" i="1"/>
  <c r="F1677" i="1" s="1"/>
  <c r="D1356" i="1"/>
  <c r="F1356" i="1" s="1"/>
  <c r="D1703" i="1"/>
  <c r="F1703" i="1" s="1"/>
  <c r="D793" i="1"/>
  <c r="D1163" i="1"/>
  <c r="D2792" i="1"/>
  <c r="F2792" i="1" s="1"/>
  <c r="D2375" i="1"/>
  <c r="F2375" i="1" s="1"/>
  <c r="D1491" i="1"/>
  <c r="F1491" i="1" s="1"/>
  <c r="D650" i="1"/>
  <c r="F650" i="1" s="1"/>
  <c r="D919" i="1"/>
  <c r="D594" i="1"/>
  <c r="D1858" i="1"/>
  <c r="F1858" i="1" s="1"/>
  <c r="D1454" i="1"/>
  <c r="F1454" i="1" s="1"/>
  <c r="D1752" i="1"/>
  <c r="F1752" i="1" s="1"/>
  <c r="D332" i="1"/>
  <c r="F332" i="1" s="1"/>
  <c r="D335" i="1"/>
  <c r="D1651" i="1"/>
  <c r="D984" i="1"/>
  <c r="F984" i="1" s="1"/>
  <c r="D879" i="1"/>
  <c r="F879" i="1" s="1"/>
  <c r="D788" i="1"/>
  <c r="F788" i="1" s="1"/>
  <c r="D1008" i="1"/>
  <c r="F1008" i="1" s="1"/>
  <c r="D2522" i="1"/>
  <c r="D2659" i="1"/>
  <c r="D1022" i="1"/>
  <c r="F1022" i="1" s="1"/>
  <c r="D2001" i="1"/>
  <c r="F2001" i="1" s="1"/>
  <c r="D2612" i="1"/>
  <c r="F2612" i="1" s="1"/>
  <c r="D874" i="1"/>
  <c r="F874" i="1" s="1"/>
  <c r="D356" i="1"/>
  <c r="D522" i="1"/>
  <c r="D791" i="1"/>
  <c r="F791" i="1" s="1"/>
  <c r="D731" i="1"/>
  <c r="F731" i="1" s="1"/>
  <c r="D1965" i="1"/>
  <c r="F1965" i="1" s="1"/>
  <c r="D750" i="1"/>
  <c r="F750" i="1" s="1"/>
  <c r="D1485" i="1"/>
  <c r="D2354" i="1"/>
  <c r="D2564" i="1"/>
  <c r="F2564" i="1" s="1"/>
  <c r="D2432" i="1"/>
  <c r="F2432" i="1" s="1"/>
  <c r="D381" i="1"/>
  <c r="F381" i="1" s="1"/>
  <c r="D757" i="1"/>
  <c r="F757" i="1" s="1"/>
  <c r="D1396" i="1"/>
  <c r="D1777" i="1"/>
  <c r="D2574" i="1"/>
  <c r="F2574" i="1" s="1"/>
  <c r="D1592" i="1"/>
  <c r="F1592" i="1" s="1"/>
  <c r="D2649" i="1"/>
  <c r="F2649" i="1" s="1"/>
  <c r="D260" i="1"/>
  <c r="F260" i="1" s="1"/>
  <c r="D1508" i="1"/>
  <c r="D1279" i="1"/>
  <c r="D1514" i="1"/>
  <c r="F1514" i="1" s="1"/>
  <c r="D1816" i="1"/>
  <c r="F1816" i="1" s="1"/>
  <c r="D1787" i="1"/>
  <c r="F1787" i="1" s="1"/>
  <c r="D898" i="1"/>
  <c r="F898" i="1" s="1"/>
  <c r="D620" i="1"/>
  <c r="D1366" i="1"/>
  <c r="D660" i="1"/>
  <c r="E660" i="1" s="1"/>
  <c r="D1435" i="1"/>
  <c r="F1435" i="1" s="1"/>
  <c r="D727" i="1"/>
  <c r="F727" i="1" s="1"/>
  <c r="D2499" i="1"/>
  <c r="F2499" i="1" s="1"/>
  <c r="D1501" i="1"/>
  <c r="D633" i="1"/>
  <c r="D2138" i="1"/>
  <c r="F2138" i="1" s="1"/>
  <c r="D37" i="1"/>
  <c r="F37" i="1" s="1"/>
  <c r="D1414" i="1"/>
  <c r="F1414" i="1" s="1"/>
  <c r="D2791" i="1"/>
  <c r="F2791" i="1" s="1"/>
  <c r="D2519" i="1"/>
  <c r="D1940" i="1"/>
  <c r="D1060" i="1"/>
  <c r="F1060" i="1" s="1"/>
  <c r="D1506" i="1"/>
  <c r="F1506" i="1" s="1"/>
  <c r="D1424" i="1"/>
  <c r="F1424" i="1" s="1"/>
  <c r="D2301" i="1"/>
  <c r="F2301" i="1" s="1"/>
  <c r="D2581" i="1"/>
  <c r="D2646" i="1"/>
  <c r="D1172" i="1"/>
  <c r="F1172" i="1" s="1"/>
  <c r="D1798" i="1"/>
  <c r="F1798" i="1" s="1"/>
  <c r="D1289" i="1"/>
  <c r="F1289" i="1" s="1"/>
  <c r="D218" i="1"/>
  <c r="F218" i="1" s="1"/>
  <c r="D2163" i="1"/>
  <c r="D2489" i="1"/>
  <c r="D1068" i="1"/>
  <c r="F1068" i="1" s="1"/>
  <c r="D1564" i="1"/>
  <c r="F1564" i="1" s="1"/>
  <c r="D188" i="1"/>
  <c r="F188" i="1" s="1"/>
  <c r="D2228" i="1"/>
  <c r="E2228" i="1" s="1"/>
  <c r="D1625" i="1"/>
  <c r="D295" i="1"/>
  <c r="D2090" i="1"/>
  <c r="F2090" i="1" s="1"/>
  <c r="D1167" i="1"/>
  <c r="F1167" i="1" s="1"/>
  <c r="D342" i="1"/>
  <c r="F342" i="1" s="1"/>
  <c r="D1342" i="1"/>
  <c r="F1342" i="1" s="1"/>
  <c r="D2541" i="1"/>
  <c r="D380" i="1"/>
  <c r="D1245" i="1"/>
  <c r="F1245" i="1" s="1"/>
  <c r="D2565" i="1"/>
  <c r="F2565" i="1" s="1"/>
  <c r="D2545" i="1"/>
  <c r="F2545" i="1" s="1"/>
  <c r="D314" i="1"/>
  <c r="F314" i="1" s="1"/>
  <c r="D679" i="1"/>
  <c r="D2103" i="1"/>
  <c r="D2732" i="1"/>
  <c r="F2732" i="1" s="1"/>
  <c r="D2509" i="1"/>
  <c r="F2509" i="1" s="1"/>
  <c r="D626" i="1"/>
  <c r="F626" i="1" s="1"/>
  <c r="D75" i="1"/>
  <c r="F75" i="1" s="1"/>
  <c r="D1017" i="1"/>
  <c r="D1999" i="1"/>
  <c r="D1950" i="1"/>
  <c r="F1950" i="1" s="1"/>
  <c r="D1381" i="1"/>
  <c r="F1381" i="1" s="1"/>
  <c r="D1893" i="1"/>
  <c r="F1893" i="1" s="1"/>
  <c r="D895" i="1"/>
  <c r="F895" i="1" s="1"/>
  <c r="D261" i="1"/>
  <c r="D2410" i="1"/>
  <c r="D1098" i="1"/>
  <c r="F1098" i="1" s="1"/>
  <c r="D1276" i="1"/>
  <c r="F1276" i="1" s="1"/>
  <c r="D2220" i="1"/>
  <c r="F2220" i="1" s="1"/>
  <c r="D1771" i="1"/>
  <c r="F1771" i="1" s="1"/>
  <c r="D2232" i="1"/>
  <c r="D1196" i="1"/>
  <c r="D2315" i="1"/>
  <c r="F2315" i="1" s="1"/>
  <c r="D1146" i="1"/>
  <c r="F1146" i="1" s="1"/>
  <c r="D1883" i="1"/>
  <c r="F1883" i="1" s="1"/>
  <c r="D93" i="1"/>
  <c r="F93" i="1" s="1"/>
  <c r="D91" i="1"/>
  <c r="D1548" i="1"/>
  <c r="D1926" i="1"/>
  <c r="F1926" i="1" s="1"/>
  <c r="D733" i="1"/>
  <c r="F733" i="1" s="1"/>
  <c r="D1568" i="1"/>
  <c r="F1568" i="1" s="1"/>
  <c r="D1737" i="1"/>
  <c r="F1737" i="1" s="1"/>
  <c r="D2606" i="1"/>
  <c r="D120" i="1"/>
  <c r="D2257" i="1"/>
  <c r="F2257" i="1" s="1"/>
  <c r="D2679" i="1"/>
  <c r="F2679" i="1" s="1"/>
  <c r="D2473" i="1"/>
  <c r="F2473" i="1" s="1"/>
  <c r="D1159" i="1"/>
  <c r="F1159" i="1" s="1"/>
  <c r="D890" i="1"/>
  <c r="D1113" i="1"/>
  <c r="D266" i="1"/>
  <c r="F266" i="1" s="1"/>
  <c r="D682" i="1"/>
  <c r="F682" i="1" s="1"/>
  <c r="D822" i="1"/>
  <c r="F822" i="1" s="1"/>
  <c r="D534" i="1"/>
  <c r="F534" i="1" s="1"/>
  <c r="D2404" i="1"/>
  <c r="D2191" i="1"/>
  <c r="D2360" i="1"/>
  <c r="F2360" i="1" s="1"/>
  <c r="D715" i="1"/>
  <c r="F715" i="1" s="1"/>
  <c r="D378" i="1"/>
  <c r="F378" i="1" s="1"/>
  <c r="D2279" i="1"/>
  <c r="E2279" i="1" s="1"/>
  <c r="D1280" i="1"/>
  <c r="D1782" i="1"/>
  <c r="D1518" i="1"/>
  <c r="F1518" i="1" s="1"/>
  <c r="D2582" i="1"/>
  <c r="F2582" i="1" s="1"/>
  <c r="D401" i="1"/>
  <c r="F401" i="1" s="1"/>
  <c r="D1540" i="1"/>
  <c r="F1540" i="1" s="1"/>
  <c r="D2664" i="1"/>
  <c r="D373" i="1"/>
  <c r="D2242" i="1"/>
  <c r="F2242" i="1" s="1"/>
  <c r="D2539" i="1"/>
  <c r="F2539" i="1" s="1"/>
  <c r="D844" i="1"/>
  <c r="F844" i="1" s="1"/>
  <c r="D2309" i="1"/>
  <c r="F2309" i="1" s="1"/>
  <c r="D1009" i="1"/>
  <c r="D1393" i="1"/>
  <c r="D614" i="1"/>
  <c r="F614" i="1" s="1"/>
  <c r="D1581" i="1"/>
  <c r="F1581" i="1" s="1"/>
  <c r="D625" i="1"/>
  <c r="F625" i="1" s="1"/>
  <c r="D1072" i="1"/>
  <c r="F1072" i="1" s="1"/>
  <c r="D1755" i="1"/>
  <c r="D851" i="1"/>
  <c r="D1828" i="1"/>
  <c r="F1828" i="1" s="1"/>
  <c r="D1930" i="1"/>
  <c r="F1930" i="1" s="1"/>
  <c r="D906" i="1"/>
  <c r="F906" i="1" s="1"/>
  <c r="D1933" i="1"/>
  <c r="F1933" i="1" s="1"/>
  <c r="D2424" i="1"/>
  <c r="D1054" i="1"/>
  <c r="E1054" i="1" s="1"/>
  <c r="D916" i="1"/>
  <c r="F916" i="1" s="1"/>
  <c r="D115" i="1"/>
  <c r="BC12" i="2" l="1"/>
  <c r="BC26" i="2"/>
  <c r="BC24" i="2"/>
  <c r="BC16" i="2"/>
  <c r="BC22" i="2"/>
  <c r="BC14" i="2"/>
  <c r="BC20" i="2"/>
  <c r="BC18" i="2"/>
  <c r="J7" i="1"/>
  <c r="E1215" i="1"/>
  <c r="E206" i="1"/>
  <c r="E1564" i="1"/>
  <c r="E2755" i="1"/>
  <c r="E219" i="1"/>
  <c r="E2364" i="1"/>
  <c r="E1271" i="1"/>
  <c r="E1364" i="1"/>
  <c r="E324" i="1"/>
  <c r="E2509" i="1"/>
  <c r="E1047" i="1"/>
  <c r="E139" i="1"/>
  <c r="E1408" i="1"/>
  <c r="E239" i="1"/>
  <c r="E1574" i="1"/>
  <c r="E2757" i="1"/>
  <c r="E1107" i="1"/>
  <c r="E585" i="1"/>
  <c r="E497" i="1"/>
  <c r="E37" i="1"/>
  <c r="E628" i="1"/>
  <c r="E1684" i="1"/>
  <c r="E2243" i="1"/>
  <c r="E1348" i="1"/>
  <c r="E2573" i="1"/>
  <c r="E988" i="1"/>
  <c r="E1663" i="1"/>
  <c r="E2662" i="1"/>
  <c r="E2539" i="1"/>
  <c r="E1592" i="1"/>
  <c r="E2000" i="1"/>
  <c r="E2398" i="1"/>
  <c r="E330" i="1"/>
  <c r="E1769" i="1"/>
  <c r="E1058" i="1"/>
  <c r="E2240" i="1"/>
  <c r="E1729" i="1"/>
  <c r="E411" i="1"/>
  <c r="E682" i="1"/>
  <c r="E2001" i="1"/>
  <c r="E1722" i="1"/>
  <c r="E2271" i="1"/>
  <c r="E238" i="1"/>
  <c r="E1639" i="1"/>
  <c r="E2212" i="1"/>
  <c r="E1772" i="1"/>
  <c r="E1084" i="1"/>
  <c r="F660" i="1"/>
  <c r="E1146" i="1"/>
  <c r="E2375" i="1"/>
  <c r="E2734" i="1"/>
  <c r="E1810" i="1"/>
  <c r="E2699" i="1"/>
  <c r="E1636" i="1"/>
  <c r="E1326" i="1"/>
  <c r="E1240" i="1"/>
  <c r="E996" i="1"/>
  <c r="E647" i="1"/>
  <c r="E844" i="1"/>
  <c r="E822" i="1"/>
  <c r="E1883" i="1"/>
  <c r="E626" i="1"/>
  <c r="E188" i="1"/>
  <c r="E1414" i="1"/>
  <c r="E2649" i="1"/>
  <c r="E2612" i="1"/>
  <c r="E1491" i="1"/>
  <c r="E900" i="1"/>
  <c r="E1423" i="1"/>
  <c r="E2413" i="1"/>
  <c r="E1897" i="1"/>
  <c r="E2237" i="1"/>
  <c r="E1152" i="1"/>
  <c r="E2790" i="1"/>
  <c r="E591" i="1"/>
  <c r="E926" i="1"/>
  <c r="E712" i="1"/>
  <c r="E2596" i="1"/>
  <c r="E2504" i="1"/>
  <c r="E1850" i="1"/>
  <c r="E2079" i="1"/>
  <c r="E1283" i="1"/>
  <c r="E1081" i="1"/>
  <c r="E1304" i="1"/>
  <c r="E2158" i="1"/>
  <c r="E685" i="1"/>
  <c r="E735" i="1"/>
  <c r="E864" i="1"/>
  <c r="E1523" i="1"/>
  <c r="E579" i="1"/>
  <c r="E212" i="1"/>
  <c r="E2597" i="1"/>
  <c r="E1038" i="1"/>
  <c r="E1669" i="1"/>
  <c r="E1061" i="1"/>
  <c r="E2370" i="1"/>
  <c r="E2448" i="1"/>
  <c r="E223" i="1"/>
  <c r="E1712" i="1"/>
  <c r="E1570" i="1"/>
  <c r="E1687" i="1"/>
  <c r="E1156" i="1"/>
  <c r="E92" i="1"/>
  <c r="E1193" i="1"/>
  <c r="E965" i="1"/>
  <c r="E1718" i="1"/>
  <c r="E509" i="1"/>
  <c r="E1064" i="1"/>
  <c r="E931" i="1"/>
  <c r="E430" i="1"/>
  <c r="E233" i="1"/>
  <c r="E2135" i="1"/>
  <c r="E600" i="1"/>
  <c r="F2228" i="1"/>
  <c r="E906" i="1"/>
  <c r="E401" i="1"/>
  <c r="E2473" i="1"/>
  <c r="E2220" i="1"/>
  <c r="E2545" i="1"/>
  <c r="E1289" i="1"/>
  <c r="E727" i="1"/>
  <c r="E381" i="1"/>
  <c r="E788" i="1"/>
  <c r="E1356" i="1"/>
  <c r="E1699" i="1"/>
  <c r="E2465" i="1"/>
  <c r="E1836" i="1"/>
  <c r="E1788" i="1"/>
  <c r="E1901" i="1"/>
  <c r="E382" i="1"/>
  <c r="E621" i="1"/>
  <c r="E409" i="1"/>
  <c r="E1862" i="1"/>
  <c r="E160" i="1"/>
  <c r="E1180" i="1"/>
  <c r="E567" i="1"/>
  <c r="E2393" i="1"/>
  <c r="E2333" i="1"/>
  <c r="E1224" i="1"/>
  <c r="E1546" i="1"/>
  <c r="E2065" i="1"/>
  <c r="E779" i="1"/>
  <c r="E2174" i="1"/>
  <c r="E2718" i="1"/>
  <c r="E2632" i="1"/>
  <c r="E843" i="1"/>
  <c r="E578" i="1"/>
  <c r="E1483" i="1"/>
  <c r="E2250" i="1"/>
  <c r="E2645" i="1"/>
  <c r="E1403" i="1"/>
  <c r="E2401" i="1"/>
  <c r="E1404" i="1"/>
  <c r="E2197" i="1"/>
  <c r="E1150" i="1"/>
  <c r="E2603" i="1"/>
  <c r="E2476" i="1"/>
  <c r="E1220" i="1"/>
  <c r="E1486" i="1"/>
  <c r="E1859" i="1"/>
  <c r="E354" i="1"/>
  <c r="E636" i="1"/>
  <c r="E2676" i="1"/>
  <c r="E1616" i="1"/>
  <c r="E2021" i="1"/>
  <c r="E1316" i="1"/>
  <c r="E821" i="1"/>
  <c r="E510" i="1"/>
  <c r="E2674" i="1"/>
  <c r="E2278" i="1"/>
  <c r="F2119" i="1"/>
  <c r="E1930" i="1"/>
  <c r="E2582" i="1"/>
  <c r="E2679" i="1"/>
  <c r="E1276" i="1"/>
  <c r="E2565" i="1"/>
  <c r="E1798" i="1"/>
  <c r="E1435" i="1"/>
  <c r="E2432" i="1"/>
  <c r="E879" i="1"/>
  <c r="E1677" i="1"/>
  <c r="E2258" i="1"/>
  <c r="E842" i="1"/>
  <c r="E2621" i="1"/>
  <c r="E476" i="1"/>
  <c r="E2793" i="1"/>
  <c r="E1793" i="1"/>
  <c r="E2605" i="1"/>
  <c r="E1934" i="1"/>
  <c r="E782" i="1"/>
  <c r="E2479" i="1"/>
  <c r="E705" i="1"/>
  <c r="E501" i="1"/>
  <c r="E1958" i="1"/>
  <c r="E575" i="1"/>
  <c r="E904" i="1"/>
  <c r="E2390" i="1"/>
  <c r="E837" i="1"/>
  <c r="E720" i="1"/>
  <c r="E654" i="1"/>
  <c r="E1199" i="1"/>
  <c r="E408" i="1"/>
  <c r="E2327" i="1"/>
  <c r="E603" i="1"/>
  <c r="E1082" i="1"/>
  <c r="E777" i="1"/>
  <c r="E932" i="1"/>
  <c r="E2229" i="1"/>
  <c r="E489" i="1"/>
  <c r="E2444" i="1"/>
  <c r="E1259" i="1"/>
  <c r="E2460" i="1"/>
  <c r="E1496" i="1"/>
  <c r="E2036" i="1"/>
  <c r="E166" i="1"/>
  <c r="E1347" i="1"/>
  <c r="E1358" i="1"/>
  <c r="E1235" i="1"/>
  <c r="E2567" i="1"/>
  <c r="E1522" i="1"/>
  <c r="E1978" i="1"/>
  <c r="E1300" i="1"/>
  <c r="E2447" i="1"/>
  <c r="E2104" i="1"/>
  <c r="E1946" i="1"/>
  <c r="E1340" i="1"/>
  <c r="F1916" i="1"/>
  <c r="E1851" i="1"/>
  <c r="E625" i="1"/>
  <c r="E378" i="1"/>
  <c r="E1568" i="1"/>
  <c r="E1893" i="1"/>
  <c r="E342" i="1"/>
  <c r="E1424" i="1"/>
  <c r="E1787" i="1"/>
  <c r="E1965" i="1"/>
  <c r="E1752" i="1"/>
  <c r="E1121" i="1"/>
  <c r="E2572" i="1"/>
  <c r="E549" i="1"/>
  <c r="E1102" i="1"/>
  <c r="E1537" i="1"/>
  <c r="E2320" i="1"/>
  <c r="E2034" i="1"/>
  <c r="E1242" i="1"/>
  <c r="E417" i="1"/>
  <c r="E2130" i="1"/>
  <c r="E978" i="1"/>
  <c r="E80" i="1"/>
  <c r="E182" i="1"/>
  <c r="E2482" i="1"/>
  <c r="E2568" i="1"/>
  <c r="E2637" i="1"/>
  <c r="E156" i="1"/>
  <c r="E90" i="1"/>
  <c r="E23" i="1"/>
  <c r="E2495" i="1"/>
  <c r="E1750" i="1"/>
  <c r="E1433" i="1"/>
  <c r="E1941" i="1"/>
  <c r="E2330" i="1"/>
  <c r="E282" i="1"/>
  <c r="E2653" i="1"/>
  <c r="E1693" i="1"/>
  <c r="E2469" i="1"/>
  <c r="E2729" i="1"/>
  <c r="E1119" i="1"/>
  <c r="E2392" i="1"/>
  <c r="E1096" i="1"/>
  <c r="E2470" i="1"/>
  <c r="E99" i="1"/>
  <c r="E1643" i="1"/>
  <c r="E1759" i="1"/>
  <c r="E1503" i="1"/>
  <c r="E303" i="1"/>
  <c r="E217" i="1"/>
  <c r="E1650" i="1"/>
  <c r="E247" i="1"/>
  <c r="E1857" i="1"/>
  <c r="E751" i="1"/>
  <c r="E363" i="1"/>
  <c r="E1952" i="1"/>
  <c r="E273" i="1"/>
  <c r="F2085" i="1"/>
  <c r="F1369" i="1"/>
  <c r="E1581" i="1"/>
  <c r="E715" i="1"/>
  <c r="E733" i="1"/>
  <c r="E1381" i="1"/>
  <c r="E1167" i="1"/>
  <c r="E1506" i="1"/>
  <c r="E1816" i="1"/>
  <c r="E731" i="1"/>
  <c r="E1454" i="1"/>
  <c r="E1484" i="1"/>
  <c r="E1233" i="1"/>
  <c r="E1764" i="1"/>
  <c r="E1251" i="1"/>
  <c r="E2361" i="1"/>
  <c r="E2510" i="1"/>
  <c r="E2238" i="1"/>
  <c r="E1116" i="1"/>
  <c r="E1420" i="1"/>
  <c r="E1917" i="1"/>
  <c r="E1509" i="1"/>
  <c r="E1515" i="1"/>
  <c r="E1912" i="1"/>
  <c r="E642" i="1"/>
  <c r="E2325" i="1"/>
  <c r="E1770" i="1"/>
  <c r="E1145" i="1"/>
  <c r="E197" i="1"/>
  <c r="E131" i="1"/>
  <c r="E1921" i="1"/>
  <c r="E1353" i="1"/>
  <c r="E862" i="1"/>
  <c r="E2498" i="1"/>
  <c r="E520" i="1"/>
  <c r="E2763" i="1"/>
  <c r="E2437" i="1"/>
  <c r="E2385" i="1"/>
  <c r="E1317" i="1"/>
  <c r="E2436" i="1"/>
  <c r="E1839" i="1"/>
  <c r="E2203" i="1"/>
  <c r="E952" i="1"/>
  <c r="E2587" i="1"/>
  <c r="E1507" i="1"/>
  <c r="E2200" i="1"/>
  <c r="E2578" i="1"/>
  <c r="E1339" i="1"/>
  <c r="E1535" i="1"/>
  <c r="E813" i="1"/>
  <c r="E2619" i="1"/>
  <c r="E267" i="1"/>
  <c r="E1385" i="1"/>
  <c r="E989" i="1"/>
  <c r="E2106" i="1"/>
  <c r="E1412" i="1"/>
  <c r="E276" i="1"/>
  <c r="F2279" i="1"/>
  <c r="F2191" i="1"/>
  <c r="E2191" i="1"/>
  <c r="F1999" i="1"/>
  <c r="E1999" i="1"/>
  <c r="F2489" i="1"/>
  <c r="E2489" i="1"/>
  <c r="F1279" i="1"/>
  <c r="E1279" i="1"/>
  <c r="F1651" i="1"/>
  <c r="E1651" i="1"/>
  <c r="F2668" i="1"/>
  <c r="E2668" i="1"/>
  <c r="F1399" i="1"/>
  <c r="E1399" i="1"/>
  <c r="F2672" i="1"/>
  <c r="E2672" i="1"/>
  <c r="F2051" i="1"/>
  <c r="E2051" i="1"/>
  <c r="F77" i="1"/>
  <c r="E77" i="1"/>
  <c r="F2213" i="1"/>
  <c r="E2213" i="1"/>
  <c r="F2204" i="1"/>
  <c r="E2204" i="1"/>
  <c r="F1588" i="1"/>
  <c r="E1588" i="1"/>
  <c r="F327" i="1"/>
  <c r="E327" i="1"/>
  <c r="F1817" i="1"/>
  <c r="E1817" i="1"/>
  <c r="F725" i="1"/>
  <c r="E725" i="1"/>
  <c r="F2182" i="1"/>
  <c r="E2182" i="1"/>
  <c r="F1139" i="1"/>
  <c r="E1139" i="1"/>
  <c r="F2101" i="1"/>
  <c r="E2101" i="1"/>
  <c r="F315" i="1"/>
  <c r="E315" i="1"/>
  <c r="F1708" i="1"/>
  <c r="E1708" i="1"/>
  <c r="F1972" i="1"/>
  <c r="E1972" i="1"/>
  <c r="E1232" i="1"/>
  <c r="F1232" i="1"/>
  <c r="F1618" i="1"/>
  <c r="E1618" i="1"/>
  <c r="F336" i="1"/>
  <c r="E336" i="1"/>
  <c r="F1510" i="1"/>
  <c r="E1510" i="1"/>
  <c r="F2008" i="1"/>
  <c r="E2008" i="1"/>
  <c r="F1609" i="1"/>
  <c r="E1609" i="1"/>
  <c r="F2218" i="1"/>
  <c r="E2218" i="1"/>
  <c r="F48" i="1"/>
  <c r="E48" i="1"/>
  <c r="F2634" i="1"/>
  <c r="E2634" i="1"/>
  <c r="F1727" i="1"/>
  <c r="E1727" i="1"/>
  <c r="F2344" i="1"/>
  <c r="E2344" i="1"/>
  <c r="F2166" i="1"/>
  <c r="E2166" i="1"/>
  <c r="F328" i="1"/>
  <c r="E328" i="1"/>
  <c r="F1813" i="1"/>
  <c r="E1813" i="1"/>
  <c r="F1126" i="1"/>
  <c r="E1126" i="1"/>
  <c r="F2625" i="1"/>
  <c r="E2625" i="1"/>
  <c r="F816" i="1"/>
  <c r="E816" i="1"/>
  <c r="F928" i="1"/>
  <c r="E928" i="1"/>
  <c r="F2439" i="1"/>
  <c r="E2439" i="1"/>
  <c r="F2323" i="1"/>
  <c r="E2323" i="1"/>
  <c r="F2485" i="1"/>
  <c r="E2485" i="1"/>
  <c r="F553" i="1"/>
  <c r="E553" i="1"/>
  <c r="F107" i="1"/>
  <c r="E107" i="1"/>
  <c r="F1642" i="1"/>
  <c r="E1642" i="1"/>
  <c r="F741" i="1"/>
  <c r="E741" i="1"/>
  <c r="F2343" i="1"/>
  <c r="E2343" i="1"/>
  <c r="F366" i="1"/>
  <c r="E366" i="1"/>
  <c r="F321" i="1"/>
  <c r="E321" i="1"/>
  <c r="F749" i="1"/>
  <c r="E749" i="1"/>
  <c r="F281" i="1"/>
  <c r="E281" i="1"/>
  <c r="F619" i="1"/>
  <c r="E619" i="1"/>
  <c r="F1864" i="1"/>
  <c r="E1864" i="1"/>
  <c r="F1844" i="1"/>
  <c r="E1844" i="1"/>
  <c r="F1489" i="1"/>
  <c r="E1489" i="1"/>
  <c r="F1867" i="1"/>
  <c r="E1867" i="1"/>
  <c r="F1502" i="1"/>
  <c r="E1502" i="1"/>
  <c r="F1003" i="1"/>
  <c r="E1003" i="1"/>
  <c r="F2057" i="1"/>
  <c r="E2057" i="1"/>
  <c r="F2453" i="1"/>
  <c r="E2453" i="1"/>
  <c r="F856" i="1"/>
  <c r="E856" i="1"/>
  <c r="F664" i="1"/>
  <c r="E664" i="1"/>
  <c r="F2615" i="1"/>
  <c r="E2615" i="1"/>
  <c r="F2357" i="1"/>
  <c r="E2357" i="1"/>
  <c r="F1604" i="1"/>
  <c r="E1604" i="1"/>
  <c r="F659" i="1"/>
  <c r="E659" i="1"/>
  <c r="F1698" i="1"/>
  <c r="E1698" i="1"/>
  <c r="F2642" i="1"/>
  <c r="E2642" i="1"/>
  <c r="F1834" i="1"/>
  <c r="E1834" i="1"/>
  <c r="F754" i="1"/>
  <c r="E754" i="1"/>
  <c r="F1674" i="1"/>
  <c r="E1674" i="1"/>
  <c r="F657" i="1"/>
  <c r="E657" i="1"/>
  <c r="F541" i="1"/>
  <c r="E541" i="1"/>
  <c r="F113" i="1"/>
  <c r="E113" i="1"/>
  <c r="F205" i="1"/>
  <c r="E205" i="1"/>
  <c r="F2016" i="1"/>
  <c r="E2016" i="1"/>
  <c r="F2043" i="1"/>
  <c r="E2043" i="1"/>
  <c r="F2520" i="1"/>
  <c r="E2520" i="1"/>
  <c r="F2062" i="1"/>
  <c r="E2062" i="1"/>
  <c r="F1273" i="1"/>
  <c r="E1273" i="1"/>
  <c r="F1179" i="1"/>
  <c r="E1179" i="1"/>
  <c r="F2263" i="1"/>
  <c r="E2263" i="1"/>
  <c r="F475" i="1"/>
  <c r="E475" i="1"/>
  <c r="F2635" i="1"/>
  <c r="E2635" i="1"/>
  <c r="F780" i="1"/>
  <c r="E780" i="1"/>
  <c r="F2292" i="1"/>
  <c r="E2292" i="1"/>
  <c r="F265" i="1"/>
  <c r="E265" i="1"/>
  <c r="F859" i="1"/>
  <c r="E859" i="1"/>
  <c r="F1671" i="1"/>
  <c r="E1671" i="1"/>
  <c r="E1187" i="1"/>
  <c r="F1187" i="1"/>
  <c r="F368" i="1"/>
  <c r="E368" i="1"/>
  <c r="F583" i="1"/>
  <c r="E583" i="1"/>
  <c r="F537" i="1"/>
  <c r="E537" i="1"/>
  <c r="F506" i="1"/>
  <c r="E506" i="1"/>
  <c r="F699" i="1"/>
  <c r="E699" i="1"/>
  <c r="F1211" i="1"/>
  <c r="E1211" i="1"/>
  <c r="F2706" i="1"/>
  <c r="E2706" i="1"/>
  <c r="F1778" i="1"/>
  <c r="E1778" i="1"/>
  <c r="F1947" i="1"/>
  <c r="E1947" i="1"/>
  <c r="F542" i="1"/>
  <c r="E542" i="1"/>
  <c r="F259" i="1"/>
  <c r="E259" i="1"/>
  <c r="F1942" i="1"/>
  <c r="E1942" i="1"/>
  <c r="F1740" i="1"/>
  <c r="E1740" i="1"/>
  <c r="F980" i="1"/>
  <c r="E980" i="1"/>
  <c r="F288" i="1"/>
  <c r="E288" i="1"/>
  <c r="F938" i="1"/>
  <c r="E938" i="1"/>
  <c r="F51" i="1"/>
  <c r="E51" i="1"/>
  <c r="E665" i="1"/>
  <c r="F665" i="1"/>
  <c r="F2608" i="1"/>
  <c r="E2608" i="1"/>
  <c r="F2774" i="1"/>
  <c r="E2774" i="1"/>
  <c r="F2643" i="1"/>
  <c r="E2643" i="1"/>
  <c r="F1439" i="1"/>
  <c r="E1439" i="1"/>
  <c r="F1455" i="1"/>
  <c r="E1455" i="1"/>
  <c r="F1852" i="1"/>
  <c r="E1852" i="1"/>
  <c r="F1466" i="1"/>
  <c r="E1466" i="1"/>
  <c r="F2094" i="1"/>
  <c r="E2094" i="1"/>
  <c r="F1612" i="1"/>
  <c r="E1612" i="1"/>
  <c r="F632" i="1"/>
  <c r="E632" i="1"/>
  <c r="F1380" i="1"/>
  <c r="E1380" i="1"/>
  <c r="F658" i="1"/>
  <c r="E658" i="1"/>
  <c r="F17" i="1"/>
  <c r="E17" i="1"/>
  <c r="F387" i="1"/>
  <c r="E387" i="1"/>
  <c r="F349" i="1"/>
  <c r="E349" i="1"/>
  <c r="F96" i="1"/>
  <c r="E96" i="1"/>
  <c r="F852" i="1"/>
  <c r="E852" i="1"/>
  <c r="F1080" i="1"/>
  <c r="E1080" i="1"/>
  <c r="F1015" i="1"/>
  <c r="E1015" i="1"/>
  <c r="F2710" i="1"/>
  <c r="E2710" i="1"/>
  <c r="F465" i="1"/>
  <c r="E465" i="1"/>
  <c r="F2126" i="1"/>
  <c r="E2126" i="1"/>
  <c r="F949" i="1"/>
  <c r="E949" i="1"/>
  <c r="F287" i="1"/>
  <c r="E287" i="1"/>
  <c r="F2650" i="1"/>
  <c r="E2650" i="1"/>
  <c r="F2491" i="1"/>
  <c r="E2491" i="1"/>
  <c r="F612" i="1"/>
  <c r="E612" i="1"/>
  <c r="F2399" i="1"/>
  <c r="E2399" i="1"/>
  <c r="F1397" i="1"/>
  <c r="E1397" i="1"/>
  <c r="F464" i="1"/>
  <c r="E464" i="1"/>
  <c r="F1914" i="1"/>
  <c r="E1914" i="1"/>
  <c r="F2563" i="1"/>
  <c r="E2563" i="1"/>
  <c r="F2227" i="1"/>
  <c r="E2227" i="1"/>
  <c r="F666" i="1"/>
  <c r="E666" i="1"/>
  <c r="F1088" i="1"/>
  <c r="E1088" i="1"/>
  <c r="F2417" i="1"/>
  <c r="E2417" i="1"/>
  <c r="F2389" i="1"/>
  <c r="E2389" i="1"/>
  <c r="F1657" i="1"/>
  <c r="E1657" i="1"/>
  <c r="F972" i="1"/>
  <c r="E972" i="1"/>
  <c r="F345" i="1"/>
  <c r="E345" i="1"/>
  <c r="F2289" i="1"/>
  <c r="E2289" i="1"/>
  <c r="F2764" i="1"/>
  <c r="E2764" i="1"/>
  <c r="F909" i="1"/>
  <c r="E909" i="1"/>
  <c r="F294" i="1"/>
  <c r="E294" i="1"/>
  <c r="F2334" i="1"/>
  <c r="E2334" i="1"/>
  <c r="F1125" i="1"/>
  <c r="E1125" i="1"/>
  <c r="F1042" i="1"/>
  <c r="E1042" i="1"/>
  <c r="F1994" i="1"/>
  <c r="E1994" i="1"/>
  <c r="F2168" i="1"/>
  <c r="E2168" i="1"/>
  <c r="F1728" i="1"/>
  <c r="E1728" i="1"/>
  <c r="F2673" i="1"/>
  <c r="E2673" i="1"/>
  <c r="F1115" i="1"/>
  <c r="E1115" i="1"/>
  <c r="F2338" i="1"/>
  <c r="E2338" i="1"/>
  <c r="F1945" i="1"/>
  <c r="E1945" i="1"/>
  <c r="F2231" i="1"/>
  <c r="E2231" i="1"/>
  <c r="F2362" i="1"/>
  <c r="E2362" i="1"/>
  <c r="F1723" i="1"/>
  <c r="E1723" i="1"/>
  <c r="F678" i="1"/>
  <c r="E678" i="1"/>
  <c r="F670" i="1"/>
  <c r="E670" i="1"/>
  <c r="F2449" i="1"/>
  <c r="E2449" i="1"/>
  <c r="F1922" i="1"/>
  <c r="E1922" i="1"/>
  <c r="F951" i="1"/>
  <c r="E951" i="1"/>
  <c r="F1162" i="1"/>
  <c r="E1162" i="1"/>
  <c r="F1982" i="1"/>
  <c r="E1982" i="1"/>
  <c r="F1600" i="1"/>
  <c r="E1600" i="1"/>
  <c r="F424" i="1"/>
  <c r="E424" i="1"/>
  <c r="F1387" i="1"/>
  <c r="E1387" i="1"/>
  <c r="F2411" i="1"/>
  <c r="E2411" i="1"/>
  <c r="F2566" i="1"/>
  <c r="E2566" i="1"/>
  <c r="F565" i="1"/>
  <c r="E565" i="1"/>
  <c r="F2617" i="1"/>
  <c r="E2617" i="1"/>
  <c r="F1425" i="1"/>
  <c r="E1425" i="1"/>
  <c r="F1511" i="1"/>
  <c r="E1511" i="1"/>
  <c r="F1676" i="1"/>
  <c r="E1676" i="1"/>
  <c r="F105" i="1"/>
  <c r="E105" i="1"/>
  <c r="F1441" i="1"/>
  <c r="E1441" i="1"/>
  <c r="F692" i="1"/>
  <c r="E692" i="1"/>
  <c r="F1645" i="1"/>
  <c r="E1645" i="1"/>
  <c r="F1201" i="1"/>
  <c r="E1201" i="1"/>
  <c r="F1461" i="1"/>
  <c r="E1461" i="1"/>
  <c r="F1845" i="1"/>
  <c r="E1845" i="1"/>
  <c r="F838" i="1"/>
  <c r="E838" i="1"/>
  <c r="F2488" i="1"/>
  <c r="E2488" i="1"/>
  <c r="F21" i="1"/>
  <c r="E21" i="1"/>
  <c r="F1605" i="1"/>
  <c r="E1605" i="1"/>
  <c r="F1843" i="1"/>
  <c r="E1843" i="1"/>
  <c r="F11" i="1"/>
  <c r="E11" i="1"/>
  <c r="F146" i="1"/>
  <c r="E146" i="1"/>
  <c r="F505" i="1"/>
  <c r="E505" i="1"/>
  <c r="F1700" i="1"/>
  <c r="E1700" i="1"/>
  <c r="F1679" i="1"/>
  <c r="E1679" i="1"/>
  <c r="F2700" i="1"/>
  <c r="E2700" i="1"/>
  <c r="F2680" i="1"/>
  <c r="E2680" i="1"/>
  <c r="F2712" i="1"/>
  <c r="E2712" i="1"/>
  <c r="F1429" i="1"/>
  <c r="E1429" i="1"/>
  <c r="F1241" i="1"/>
  <c r="E1241" i="1"/>
  <c r="F2047" i="1"/>
  <c r="E2047" i="1"/>
  <c r="F755" i="1"/>
  <c r="E755" i="1"/>
  <c r="F2041" i="1"/>
  <c r="E2041" i="1"/>
  <c r="F1134" i="1"/>
  <c r="E1134" i="1"/>
  <c r="F2159" i="1"/>
  <c r="E2159" i="1"/>
  <c r="F1906" i="1"/>
  <c r="E1906" i="1"/>
  <c r="F320" i="1"/>
  <c r="E320" i="1"/>
  <c r="F1071" i="1"/>
  <c r="E1071" i="1"/>
  <c r="F2675" i="1"/>
  <c r="E2675" i="1"/>
  <c r="F744" i="1"/>
  <c r="E744" i="1"/>
  <c r="F560" i="1"/>
  <c r="E560" i="1"/>
  <c r="F2160" i="1"/>
  <c r="E2160" i="1"/>
  <c r="F2145" i="1"/>
  <c r="E2145" i="1"/>
  <c r="F1324" i="1"/>
  <c r="E1324" i="1"/>
  <c r="F2286" i="1"/>
  <c r="E2286" i="1"/>
  <c r="F1747" i="1"/>
  <c r="E1747" i="1"/>
  <c r="F1027" i="1"/>
  <c r="E1027" i="1"/>
  <c r="F2350" i="1"/>
  <c r="E2350" i="1"/>
  <c r="F1443" i="1"/>
  <c r="E1443" i="1"/>
  <c r="F2156" i="1"/>
  <c r="E2156" i="1"/>
  <c r="F969" i="1"/>
  <c r="E969" i="1"/>
  <c r="F776" i="1"/>
  <c r="E776" i="1"/>
  <c r="F1303" i="1"/>
  <c r="E1303" i="1"/>
  <c r="F2307" i="1"/>
  <c r="E2307" i="1"/>
  <c r="F1272" i="1"/>
  <c r="E1272" i="1"/>
  <c r="F558" i="1"/>
  <c r="E558" i="1"/>
  <c r="F1550" i="1"/>
  <c r="E1550" i="1"/>
  <c r="F230" i="1"/>
  <c r="E230" i="1"/>
  <c r="F2552" i="1"/>
  <c r="E2552" i="1"/>
  <c r="F1969" i="1"/>
  <c r="E1969" i="1"/>
  <c r="F308" i="1"/>
  <c r="E308" i="1"/>
  <c r="F958" i="1"/>
  <c r="E958" i="1"/>
  <c r="F2758" i="1"/>
  <c r="E2758" i="1"/>
  <c r="F1053" i="1"/>
  <c r="E1053" i="1"/>
  <c r="F1561" i="1"/>
  <c r="E1561" i="1"/>
  <c r="F405" i="1"/>
  <c r="E405" i="1"/>
  <c r="F708" i="1"/>
  <c r="E708" i="1"/>
  <c r="F1896" i="1"/>
  <c r="E1896" i="1"/>
  <c r="F1809" i="1"/>
  <c r="E1809" i="1"/>
  <c r="F2523" i="1"/>
  <c r="E2523" i="1"/>
  <c r="F225" i="1"/>
  <c r="E225" i="1"/>
  <c r="F1874" i="1"/>
  <c r="E1874" i="1"/>
  <c r="F2594" i="1"/>
  <c r="E2594" i="1"/>
  <c r="F397" i="1"/>
  <c r="E397" i="1"/>
  <c r="F1802" i="1"/>
  <c r="E1802" i="1"/>
  <c r="F1401" i="1"/>
  <c r="E1401" i="1"/>
  <c r="F702" i="1"/>
  <c r="E702" i="1"/>
  <c r="F2428" i="1"/>
  <c r="E2428" i="1"/>
  <c r="F1738" i="1"/>
  <c r="E1738" i="1"/>
  <c r="F2345" i="1"/>
  <c r="E2345" i="1"/>
  <c r="F348" i="1"/>
  <c r="E348" i="1"/>
  <c r="F1467" i="1"/>
  <c r="E1467" i="1"/>
  <c r="F2463" i="1"/>
  <c r="E2463" i="1"/>
  <c r="F1178" i="1"/>
  <c r="E1178" i="1"/>
  <c r="F529" i="1"/>
  <c r="E529" i="1"/>
  <c r="F1405" i="1"/>
  <c r="E1405" i="1"/>
  <c r="F795" i="1"/>
  <c r="E795" i="1"/>
  <c r="F1305" i="1"/>
  <c r="E1305" i="1"/>
  <c r="E1760" i="1"/>
  <c r="F1760" i="1"/>
  <c r="F606" i="1"/>
  <c r="E606" i="1"/>
  <c r="F1148" i="1"/>
  <c r="E1148" i="1"/>
  <c r="F440" i="1"/>
  <c r="E440" i="1"/>
  <c r="F2105" i="1"/>
  <c r="E2105" i="1"/>
  <c r="F548" i="1"/>
  <c r="E548" i="1"/>
  <c r="F1091" i="1"/>
  <c r="E1091" i="1"/>
  <c r="F2457" i="1"/>
  <c r="E2457" i="1"/>
  <c r="F135" i="1"/>
  <c r="E135" i="1"/>
  <c r="E228" i="1"/>
  <c r="F228" i="1"/>
  <c r="F415" i="1"/>
  <c r="E415" i="1"/>
  <c r="F1705" i="1"/>
  <c r="E1705" i="1"/>
  <c r="F2181" i="1"/>
  <c r="E2181" i="1"/>
  <c r="F1350" i="1"/>
  <c r="E1350" i="1"/>
  <c r="F2651" i="1"/>
  <c r="E2651" i="1"/>
  <c r="F2207" i="1"/>
  <c r="E2207" i="1"/>
  <c r="F1094" i="1"/>
  <c r="E1094" i="1"/>
  <c r="F1446" i="1"/>
  <c r="E1446" i="1"/>
  <c r="F1214" i="1"/>
  <c r="E1214" i="1"/>
  <c r="F2122" i="1"/>
  <c r="E2122" i="1"/>
  <c r="F598" i="1"/>
  <c r="E598" i="1"/>
  <c r="F766" i="1"/>
  <c r="E766" i="1"/>
  <c r="F717" i="1"/>
  <c r="E717" i="1"/>
  <c r="F88" i="1"/>
  <c r="E88" i="1"/>
  <c r="F1076" i="1"/>
  <c r="E1076" i="1"/>
  <c r="F1447" i="1"/>
  <c r="E1447" i="1"/>
  <c r="F2654" i="1"/>
  <c r="E2654" i="1"/>
  <c r="E1494" i="1"/>
  <c r="F1494" i="1"/>
  <c r="F2372" i="1"/>
  <c r="E2372" i="1"/>
  <c r="F1188" i="1"/>
  <c r="E1188" i="1"/>
  <c r="F2039" i="1"/>
  <c r="E2039" i="1"/>
  <c r="F203" i="1"/>
  <c r="E203" i="1"/>
  <c r="F1457" i="1"/>
  <c r="E1457" i="1"/>
  <c r="F1653" i="1"/>
  <c r="E1653" i="1"/>
  <c r="F917" i="1"/>
  <c r="E917" i="1"/>
  <c r="F358" i="1"/>
  <c r="E358" i="1"/>
  <c r="E2770" i="1"/>
  <c r="F2770" i="1"/>
  <c r="F1552" i="1"/>
  <c r="E1552" i="1"/>
  <c r="F438" i="1"/>
  <c r="E438" i="1"/>
  <c r="F2418" i="1"/>
  <c r="E2418" i="1"/>
  <c r="F1382" i="1"/>
  <c r="E1382" i="1"/>
  <c r="F2397" i="1"/>
  <c r="E2397" i="1"/>
  <c r="F108" i="1"/>
  <c r="E108" i="1"/>
  <c r="F2029" i="1"/>
  <c r="E2029" i="1"/>
  <c r="F829" i="1"/>
  <c r="E829" i="1"/>
  <c r="F1359" i="1"/>
  <c r="E1359" i="1"/>
  <c r="F2037" i="1"/>
  <c r="E2037" i="1"/>
  <c r="F2208" i="1"/>
  <c r="E2208" i="1"/>
  <c r="F1811" i="1"/>
  <c r="E1811" i="1"/>
  <c r="F2076" i="1"/>
  <c r="E2076" i="1"/>
  <c r="F1998" i="1"/>
  <c r="E1998" i="1"/>
  <c r="F181" i="1"/>
  <c r="E181" i="1"/>
  <c r="F2139" i="1"/>
  <c r="E2139" i="1"/>
  <c r="F1662" i="1"/>
  <c r="E1662" i="1"/>
  <c r="E302" i="1"/>
  <c r="F302" i="1"/>
  <c r="F513" i="1"/>
  <c r="E513" i="1"/>
  <c r="F1118" i="1"/>
  <c r="E1118" i="1"/>
  <c r="F185" i="1"/>
  <c r="E185" i="1"/>
  <c r="F669" i="1"/>
  <c r="E669" i="1"/>
  <c r="F493" i="1"/>
  <c r="E493" i="1"/>
  <c r="F1866" i="1"/>
  <c r="E1866" i="1"/>
  <c r="F2098" i="1"/>
  <c r="E2098" i="1"/>
  <c r="F1981" i="1"/>
  <c r="E1981" i="1"/>
  <c r="E486" i="1"/>
  <c r="F486" i="1"/>
  <c r="F818" i="1"/>
  <c r="E818" i="1"/>
  <c r="F1576" i="1"/>
  <c r="E1576" i="1"/>
  <c r="F675" i="1"/>
  <c r="E675" i="1"/>
  <c r="F825" i="1"/>
  <c r="E825" i="1"/>
  <c r="F2629" i="1"/>
  <c r="E2629" i="1"/>
  <c r="E1957" i="1"/>
  <c r="F1957" i="1"/>
  <c r="E2216" i="1"/>
  <c r="F2216" i="1"/>
  <c r="E504" i="1"/>
  <c r="F504" i="1"/>
  <c r="E180" i="1"/>
  <c r="F180" i="1"/>
  <c r="E1640" i="1"/>
  <c r="F1640" i="1"/>
  <c r="E866" i="1"/>
  <c r="F866" i="1"/>
  <c r="E2730" i="1"/>
  <c r="F2730" i="1"/>
  <c r="F2785" i="1"/>
  <c r="E2785" i="1"/>
  <c r="E1432" i="1"/>
  <c r="E1595" i="1"/>
  <c r="E27" i="1"/>
  <c r="E2312" i="1"/>
  <c r="E652" i="1"/>
  <c r="E2189" i="1"/>
  <c r="E152" i="1"/>
  <c r="E2173" i="1"/>
  <c r="E2454" i="1"/>
  <c r="E941" i="1"/>
  <c r="E905" i="1"/>
  <c r="F1054" i="1"/>
  <c r="F1336" i="1"/>
  <c r="F1393" i="1"/>
  <c r="E1393" i="1"/>
  <c r="F1113" i="1"/>
  <c r="E1113" i="1"/>
  <c r="F2410" i="1"/>
  <c r="E2410" i="1"/>
  <c r="F380" i="1"/>
  <c r="E380" i="1"/>
  <c r="F633" i="1"/>
  <c r="E633" i="1"/>
  <c r="F2354" i="1"/>
  <c r="E2354" i="1"/>
  <c r="F594" i="1"/>
  <c r="E594" i="1"/>
  <c r="F1707" i="1"/>
  <c r="E1707" i="1"/>
  <c r="F976" i="1"/>
  <c r="E976" i="1"/>
  <c r="F562" i="1"/>
  <c r="E562" i="1"/>
  <c r="F1205" i="1"/>
  <c r="E1205" i="1"/>
  <c r="F2684" i="1"/>
  <c r="E2684" i="1"/>
  <c r="F179" i="1"/>
  <c r="E179" i="1"/>
  <c r="F1140" i="1"/>
  <c r="E1140" i="1"/>
  <c r="F800" i="1"/>
  <c r="E800" i="1"/>
  <c r="F1108" i="1"/>
  <c r="E1108" i="1"/>
  <c r="F421" i="1"/>
  <c r="E421" i="1"/>
  <c r="F2677" i="1"/>
  <c r="E2677" i="1"/>
  <c r="F2388" i="1"/>
  <c r="E2388" i="1"/>
  <c r="F863" i="1"/>
  <c r="E863" i="1"/>
  <c r="F792" i="1"/>
  <c r="E792" i="1"/>
  <c r="F954" i="1"/>
  <c r="E954" i="1"/>
  <c r="F2324" i="1"/>
  <c r="E2324" i="1"/>
  <c r="F1391" i="1"/>
  <c r="E1391" i="1"/>
  <c r="F2347" i="1"/>
  <c r="E2347" i="1"/>
  <c r="F175" i="1"/>
  <c r="E175" i="1"/>
  <c r="F468" i="1"/>
  <c r="E468" i="1"/>
  <c r="F2002" i="1"/>
  <c r="E2002" i="1"/>
  <c r="F2125" i="1"/>
  <c r="E2125" i="1"/>
  <c r="F1624" i="1"/>
  <c r="E1624" i="1"/>
  <c r="F246" i="1"/>
  <c r="E246" i="1"/>
  <c r="F264" i="1"/>
  <c r="E264" i="1"/>
  <c r="F1325" i="1"/>
  <c r="E1325" i="1"/>
  <c r="F2236" i="1"/>
  <c r="E2236" i="1"/>
  <c r="F1755" i="1"/>
  <c r="E1755" i="1"/>
  <c r="F890" i="1"/>
  <c r="E890" i="1"/>
  <c r="F261" i="1"/>
  <c r="E261" i="1"/>
  <c r="F1625" i="1"/>
  <c r="E1625" i="1"/>
  <c r="E620" i="1"/>
  <c r="F620" i="1"/>
  <c r="F335" i="1"/>
  <c r="E335" i="1"/>
  <c r="F1827" i="1"/>
  <c r="E1827" i="1"/>
  <c r="F1103" i="1"/>
  <c r="E1103" i="1"/>
  <c r="F344" i="1"/>
  <c r="E344" i="1"/>
  <c r="F2011" i="1"/>
  <c r="E2011" i="1"/>
  <c r="F1512" i="1"/>
  <c r="E1512" i="1"/>
  <c r="F729" i="1"/>
  <c r="E729" i="1"/>
  <c r="F2607" i="1"/>
  <c r="E2607" i="1"/>
  <c r="F2556" i="1"/>
  <c r="E2556" i="1"/>
  <c r="F2736" i="1"/>
  <c r="E2736" i="1"/>
  <c r="F1087" i="1"/>
  <c r="E1087" i="1"/>
  <c r="F2291" i="1"/>
  <c r="E2291" i="1"/>
  <c r="F19" i="1"/>
  <c r="E19" i="1"/>
  <c r="F1664" i="1"/>
  <c r="E1664" i="1"/>
  <c r="F2287" i="1"/>
  <c r="E2287" i="1"/>
  <c r="F840" i="1"/>
  <c r="E840" i="1"/>
  <c r="F2270" i="1"/>
  <c r="E2270" i="1"/>
  <c r="F2735" i="1"/>
  <c r="E2735" i="1"/>
  <c r="F1002" i="1"/>
  <c r="E1002" i="1"/>
  <c r="F2175" i="1"/>
  <c r="E2175" i="1"/>
  <c r="F1929" i="1"/>
  <c r="E1929" i="1"/>
  <c r="F2052" i="1"/>
  <c r="E2052" i="1"/>
  <c r="F1553" i="1"/>
  <c r="E1553" i="1"/>
  <c r="F1992" i="1"/>
  <c r="E1992" i="1"/>
  <c r="F2561" i="1"/>
  <c r="E2561" i="1"/>
  <c r="F326" i="1"/>
  <c r="E326" i="1"/>
  <c r="F2502" i="1"/>
  <c r="E2502" i="1"/>
  <c r="F854" i="1"/>
  <c r="E854" i="1"/>
  <c r="F1900" i="1"/>
  <c r="E1900" i="1"/>
  <c r="F511" i="1"/>
  <c r="E511" i="1"/>
  <c r="F2414" i="1"/>
  <c r="E2414" i="1"/>
  <c r="F298" i="1"/>
  <c r="E298" i="1"/>
  <c r="F765" i="1"/>
  <c r="E765" i="1"/>
  <c r="F2176" i="1"/>
  <c r="E2176" i="1"/>
  <c r="F724" i="1"/>
  <c r="E724" i="1"/>
  <c r="F812" i="1"/>
  <c r="E812" i="1"/>
  <c r="F1717" i="1"/>
  <c r="E1717" i="1"/>
  <c r="F1597" i="1"/>
  <c r="E1597" i="1"/>
  <c r="F1299" i="1"/>
  <c r="E1299" i="1"/>
  <c r="F2778" i="1"/>
  <c r="E2778" i="1"/>
  <c r="F1074" i="1"/>
  <c r="E1074" i="1"/>
  <c r="F2551" i="1"/>
  <c r="E2551" i="1"/>
  <c r="F1444" i="1"/>
  <c r="E1444" i="1"/>
  <c r="F1363" i="1"/>
  <c r="E1363" i="1"/>
  <c r="F609" i="1"/>
  <c r="E609" i="1"/>
  <c r="F2412" i="1"/>
  <c r="E2412" i="1"/>
  <c r="F651" i="1"/>
  <c r="E651" i="1"/>
  <c r="F2408" i="1"/>
  <c r="E2408" i="1"/>
  <c r="F559" i="1"/>
  <c r="E559" i="1"/>
  <c r="F2508" i="1"/>
  <c r="E2508" i="1"/>
  <c r="F2074" i="1"/>
  <c r="E2074" i="1"/>
  <c r="F2759" i="1"/>
  <c r="E2759" i="1"/>
  <c r="F902" i="1"/>
  <c r="E902" i="1"/>
  <c r="F997" i="1"/>
  <c r="E997" i="1"/>
  <c r="F2293" i="1"/>
  <c r="E2293" i="1"/>
  <c r="F884" i="1"/>
  <c r="E884" i="1"/>
  <c r="F1881" i="1"/>
  <c r="E1881" i="1"/>
  <c r="F1418" i="1"/>
  <c r="E1418" i="1"/>
  <c r="F1213" i="1"/>
  <c r="E1213" i="1"/>
  <c r="F448" i="1"/>
  <c r="E448" i="1"/>
  <c r="F317" i="1"/>
  <c r="E317" i="1"/>
  <c r="F480" i="1"/>
  <c r="E480" i="1"/>
  <c r="F2294" i="1"/>
  <c r="E2294" i="1"/>
  <c r="F1544" i="1"/>
  <c r="E1544" i="1"/>
  <c r="F220" i="1"/>
  <c r="E220" i="1"/>
  <c r="F1756" i="1"/>
  <c r="E1756" i="1"/>
  <c r="F1589" i="1"/>
  <c r="E1589" i="1"/>
  <c r="F2305" i="1"/>
  <c r="E2305" i="1"/>
  <c r="F1547" i="1"/>
  <c r="E1547" i="1"/>
  <c r="F1471" i="1"/>
  <c r="E1471" i="1"/>
  <c r="F1170" i="1"/>
  <c r="E1170" i="1"/>
  <c r="F532" i="1"/>
  <c r="E532" i="1"/>
  <c r="F2633" i="1"/>
  <c r="E2633" i="1"/>
  <c r="F2530" i="1"/>
  <c r="E2530" i="1"/>
  <c r="F2030" i="1"/>
  <c r="E2030" i="1"/>
  <c r="F1106" i="1"/>
  <c r="E1106" i="1"/>
  <c r="F2427" i="1"/>
  <c r="E2427" i="1"/>
  <c r="F1791" i="1"/>
  <c r="E1791" i="1"/>
  <c r="F2262" i="1"/>
  <c r="E2262" i="1"/>
  <c r="F1861" i="1"/>
  <c r="E1861" i="1"/>
  <c r="F1301" i="1"/>
  <c r="E1301" i="1"/>
  <c r="F1854" i="1"/>
  <c r="E1854" i="1"/>
  <c r="F1462" i="1"/>
  <c r="E1462" i="1"/>
  <c r="F1237" i="1"/>
  <c r="E1237" i="1"/>
  <c r="F975" i="1"/>
  <c r="E975" i="1"/>
  <c r="F1744" i="1"/>
  <c r="E1744" i="1"/>
  <c r="E564" i="1"/>
  <c r="F564" i="1"/>
  <c r="F1352" i="1"/>
  <c r="E1352" i="1"/>
  <c r="F911" i="1"/>
  <c r="E911" i="1"/>
  <c r="F2251" i="1"/>
  <c r="E2251" i="1"/>
  <c r="F2458" i="1"/>
  <c r="E2458" i="1"/>
  <c r="F1239" i="1"/>
  <c r="E1239" i="1"/>
  <c r="F561" i="1"/>
  <c r="E561" i="1"/>
  <c r="F1315" i="1"/>
  <c r="E1315" i="1"/>
  <c r="F2059" i="1"/>
  <c r="E2059" i="1"/>
  <c r="E35" i="1"/>
  <c r="F35" i="1"/>
  <c r="F2533" i="1"/>
  <c r="E2533" i="1"/>
  <c r="F232" i="1"/>
  <c r="E232" i="1"/>
  <c r="F2623" i="1"/>
  <c r="E2623" i="1"/>
  <c r="F309" i="1"/>
  <c r="E309" i="1"/>
  <c r="F1309" i="1"/>
  <c r="E1309" i="1"/>
  <c r="E2543" i="1"/>
  <c r="F2543" i="1"/>
  <c r="F1212" i="1"/>
  <c r="E1212" i="1"/>
  <c r="F551" i="1"/>
  <c r="E551" i="1"/>
  <c r="F761" i="1"/>
  <c r="E761" i="1"/>
  <c r="F2056" i="1"/>
  <c r="E2056" i="1"/>
  <c r="F2512" i="1"/>
  <c r="E2512" i="1"/>
  <c r="F470" i="1"/>
  <c r="E470" i="1"/>
  <c r="F1183" i="1"/>
  <c r="E1183" i="1"/>
  <c r="F2719" i="1"/>
  <c r="E2719" i="1"/>
  <c r="F885" i="1"/>
  <c r="E885" i="1"/>
  <c r="F57" i="1"/>
  <c r="E57" i="1"/>
  <c r="F2467" i="1"/>
  <c r="E2467" i="1"/>
  <c r="F1099" i="1"/>
  <c r="E1099" i="1"/>
  <c r="F944" i="1"/>
  <c r="E944" i="1"/>
  <c r="F983" i="1"/>
  <c r="E983" i="1"/>
  <c r="F1151" i="1"/>
  <c r="E1151" i="1"/>
  <c r="F81" i="1"/>
  <c r="E81" i="1"/>
  <c r="F2009" i="1"/>
  <c r="E2009" i="1"/>
  <c r="F457" i="1"/>
  <c r="E457" i="1"/>
  <c r="F2234" i="1"/>
  <c r="E2234" i="1"/>
  <c r="E1459" i="1"/>
  <c r="F1459" i="1"/>
  <c r="F1951" i="1"/>
  <c r="E1951" i="1"/>
  <c r="F1587" i="1"/>
  <c r="E1587" i="1"/>
  <c r="F426" i="1"/>
  <c r="E426" i="1"/>
  <c r="F272" i="1"/>
  <c r="E272" i="1"/>
  <c r="F1476" i="1"/>
  <c r="E1476" i="1"/>
  <c r="F204" i="1"/>
  <c r="E204" i="1"/>
  <c r="F576" i="1"/>
  <c r="E576" i="1"/>
  <c r="F1736" i="1"/>
  <c r="E1736" i="1"/>
  <c r="F2585" i="1"/>
  <c r="E2585" i="1"/>
  <c r="F1919" i="1"/>
  <c r="E1919" i="1"/>
  <c r="F428" i="1"/>
  <c r="E428" i="1"/>
  <c r="F2693" i="1"/>
  <c r="E2693" i="1"/>
  <c r="F1285" i="1"/>
  <c r="E1285" i="1"/>
  <c r="E190" i="1"/>
  <c r="E934" i="1"/>
  <c r="E296" i="1"/>
  <c r="E2725" i="1"/>
  <c r="F373" i="1"/>
  <c r="E373" i="1"/>
  <c r="F1548" i="1"/>
  <c r="E1548" i="1"/>
  <c r="F2103" i="1"/>
  <c r="E2103" i="1"/>
  <c r="F2646" i="1"/>
  <c r="E2646" i="1"/>
  <c r="F1366" i="1"/>
  <c r="E1366" i="1"/>
  <c r="F1777" i="1"/>
  <c r="E1777" i="1"/>
  <c r="F2659" i="1"/>
  <c r="E2659" i="1"/>
  <c r="F338" i="1"/>
  <c r="E338" i="1"/>
  <c r="F2381" i="1"/>
  <c r="E2381" i="1"/>
  <c r="F2296" i="1"/>
  <c r="E2296" i="1"/>
  <c r="F2072" i="1"/>
  <c r="E2072" i="1"/>
  <c r="F953" i="1"/>
  <c r="E953" i="1"/>
  <c r="F1001" i="1"/>
  <c r="E1001" i="1"/>
  <c r="F2032" i="1"/>
  <c r="E2032" i="1"/>
  <c r="F1321" i="1"/>
  <c r="E1321" i="1"/>
  <c r="F275" i="1"/>
  <c r="E275" i="1"/>
  <c r="F55" i="1"/>
  <c r="E55" i="1"/>
  <c r="F2349" i="1"/>
  <c r="E2349" i="1"/>
  <c r="F1732" i="1"/>
  <c r="E1732" i="1"/>
  <c r="F2748" i="1"/>
  <c r="E2748" i="1"/>
  <c r="F26" i="1"/>
  <c r="E26" i="1"/>
  <c r="F2061" i="1"/>
  <c r="E2061" i="1"/>
  <c r="F832" i="1"/>
  <c r="E832" i="1"/>
  <c r="F257" i="1"/>
  <c r="E257" i="1"/>
  <c r="F1371" i="1"/>
  <c r="E1371" i="1"/>
  <c r="F546" i="1"/>
  <c r="E546" i="1"/>
  <c r="F693" i="1"/>
  <c r="E693" i="1"/>
  <c r="F485" i="1"/>
  <c r="E485" i="1"/>
  <c r="F2383" i="1"/>
  <c r="E2383" i="1"/>
  <c r="F784" i="1"/>
  <c r="E784" i="1"/>
  <c r="F2117" i="1"/>
  <c r="E2117" i="1"/>
  <c r="F46" i="1"/>
  <c r="E46" i="1"/>
  <c r="F1473" i="1"/>
  <c r="E1473" i="1"/>
  <c r="F2664" i="1"/>
  <c r="E2664" i="1"/>
  <c r="F2404" i="1"/>
  <c r="E2404" i="1"/>
  <c r="E2232" i="1"/>
  <c r="F2232" i="1"/>
  <c r="F679" i="1"/>
  <c r="E679" i="1"/>
  <c r="F2163" i="1"/>
  <c r="E2163" i="1"/>
  <c r="F2519" i="1"/>
  <c r="E2519" i="1"/>
  <c r="F1508" i="1"/>
  <c r="E1508" i="1"/>
  <c r="F1485" i="1"/>
  <c r="E1485" i="1"/>
  <c r="F2522" i="1"/>
  <c r="E2522" i="1"/>
  <c r="F793" i="1"/>
  <c r="E793" i="1"/>
  <c r="F2724" i="1"/>
  <c r="E2724" i="1"/>
  <c r="F796" i="1"/>
  <c r="E796" i="1"/>
  <c r="F2222" i="1"/>
  <c r="E2222" i="1"/>
  <c r="F908" i="1"/>
  <c r="E908" i="1"/>
  <c r="F1338" i="1"/>
  <c r="E1338" i="1"/>
  <c r="F2365" i="1"/>
  <c r="E2365" i="1"/>
  <c r="E58" i="1"/>
  <c r="F58" i="1"/>
  <c r="F2233" i="1"/>
  <c r="E2233" i="1"/>
  <c r="F2154" i="1"/>
  <c r="E2154" i="1"/>
  <c r="F184" i="1"/>
  <c r="E184" i="1"/>
  <c r="F1243" i="1"/>
  <c r="E1243" i="1"/>
  <c r="F2707" i="1"/>
  <c r="E2707" i="1"/>
  <c r="E1783" i="1"/>
  <c r="F1783" i="1"/>
  <c r="F56" i="1"/>
  <c r="E56" i="1"/>
  <c r="F1260" i="1"/>
  <c r="E1260" i="1"/>
  <c r="F2723" i="1"/>
  <c r="E2723" i="1"/>
  <c r="F377" i="1"/>
  <c r="E377" i="1"/>
  <c r="F258" i="1"/>
  <c r="E258" i="1"/>
  <c r="F170" i="1"/>
  <c r="E170" i="1"/>
  <c r="F555" i="1"/>
  <c r="E555" i="1"/>
  <c r="F362" i="1"/>
  <c r="E362" i="1"/>
  <c r="F1269" i="1"/>
  <c r="E1269" i="1"/>
  <c r="F1052" i="1"/>
  <c r="E1052" i="1"/>
  <c r="F1682" i="1"/>
  <c r="E1682" i="1"/>
  <c r="F1799" i="1"/>
  <c r="E1799" i="1"/>
  <c r="F150" i="1"/>
  <c r="E150" i="1"/>
  <c r="F1165" i="1"/>
  <c r="E1165" i="1"/>
  <c r="F2713" i="1"/>
  <c r="E2713" i="1"/>
  <c r="F700" i="1"/>
  <c r="E700" i="1"/>
  <c r="F719" i="1"/>
  <c r="E719" i="1"/>
  <c r="F1034" i="1"/>
  <c r="E1034" i="1"/>
  <c r="F1470" i="1"/>
  <c r="E1470" i="1"/>
  <c r="F1602" i="1"/>
  <c r="E1602" i="1"/>
  <c r="F395" i="1"/>
  <c r="E395" i="1"/>
  <c r="F1083" i="1"/>
  <c r="E1083" i="1"/>
  <c r="F2149" i="1"/>
  <c r="E2149" i="1"/>
  <c r="F970" i="1"/>
  <c r="E970" i="1"/>
  <c r="F2003" i="1"/>
  <c r="E2003" i="1"/>
  <c r="E433" i="1"/>
  <c r="E2744" i="1"/>
  <c r="E1822" i="1"/>
  <c r="E1392" i="1"/>
  <c r="E2549" i="1"/>
  <c r="E2302" i="1"/>
  <c r="E2379" i="1"/>
  <c r="E7" i="1"/>
  <c r="E101" i="1"/>
  <c r="E2273" i="1"/>
  <c r="F1987" i="1"/>
  <c r="F851" i="1"/>
  <c r="E851" i="1"/>
  <c r="F1782" i="1"/>
  <c r="E1782" i="1"/>
  <c r="F120" i="1"/>
  <c r="E120" i="1"/>
  <c r="F1196" i="1"/>
  <c r="E1196" i="1"/>
  <c r="F295" i="1"/>
  <c r="E295" i="1"/>
  <c r="F1940" i="1"/>
  <c r="E1940" i="1"/>
  <c r="F522" i="1"/>
  <c r="E522" i="1"/>
  <c r="F1163" i="1"/>
  <c r="E1163" i="1"/>
  <c r="F329" i="1"/>
  <c r="E329" i="1"/>
  <c r="F1477" i="1"/>
  <c r="E1477" i="1"/>
  <c r="F229" i="1"/>
  <c r="E229" i="1"/>
  <c r="F764" i="1"/>
  <c r="E764" i="1"/>
  <c r="F72" i="1"/>
  <c r="E72" i="1"/>
  <c r="F2097" i="1"/>
  <c r="E2097" i="1"/>
  <c r="F2368" i="1"/>
  <c r="E2368" i="1"/>
  <c r="F297" i="1"/>
  <c r="E297" i="1"/>
  <c r="F2727" i="1"/>
  <c r="E2727" i="1"/>
  <c r="F1330" i="1"/>
  <c r="E1330" i="1"/>
  <c r="F54" i="1"/>
  <c r="E54" i="1"/>
  <c r="E841" i="1"/>
  <c r="F841" i="1"/>
  <c r="F1569" i="1"/>
  <c r="E1569" i="1"/>
  <c r="F1913" i="1"/>
  <c r="E1913" i="1"/>
  <c r="F945" i="1"/>
  <c r="E945" i="1"/>
  <c r="F2136" i="1"/>
  <c r="E2136" i="1"/>
  <c r="F602" i="1"/>
  <c r="E602" i="1"/>
  <c r="F1287" i="1"/>
  <c r="E1287" i="1"/>
  <c r="F734" i="1"/>
  <c r="E734" i="1"/>
  <c r="F1911" i="1"/>
  <c r="E1911" i="1"/>
  <c r="F831" i="1"/>
  <c r="E831" i="1"/>
  <c r="F106" i="1"/>
  <c r="E106" i="1"/>
  <c r="F695" i="1"/>
  <c r="E695" i="1"/>
  <c r="F1155" i="1"/>
  <c r="E1155" i="1"/>
  <c r="F2342" i="1"/>
  <c r="E2342" i="1"/>
  <c r="F2613" i="1"/>
  <c r="E2613" i="1"/>
  <c r="F253" i="1"/>
  <c r="E253" i="1"/>
  <c r="F823" i="1"/>
  <c r="E823" i="1"/>
  <c r="F2747" i="1"/>
  <c r="E2747" i="1"/>
  <c r="F2424" i="1"/>
  <c r="E2424" i="1"/>
  <c r="F1009" i="1"/>
  <c r="E1009" i="1"/>
  <c r="F1280" i="1"/>
  <c r="E1280" i="1"/>
  <c r="F2606" i="1"/>
  <c r="E2606" i="1"/>
  <c r="F91" i="1"/>
  <c r="E91" i="1"/>
  <c r="F1017" i="1"/>
  <c r="E1017" i="1"/>
  <c r="F2541" i="1"/>
  <c r="E2541" i="1"/>
  <c r="F2581" i="1"/>
  <c r="E2581" i="1"/>
  <c r="F1501" i="1"/>
  <c r="E1501" i="1"/>
  <c r="F1396" i="1"/>
  <c r="E1396" i="1"/>
  <c r="F356" i="1"/>
  <c r="E356" i="1"/>
  <c r="F919" i="1"/>
  <c r="E919" i="1"/>
  <c r="F2185" i="1"/>
  <c r="E2185" i="1"/>
  <c r="F623" i="1"/>
  <c r="E623" i="1"/>
  <c r="F2244" i="1"/>
  <c r="E2244" i="1"/>
  <c r="E290" i="1"/>
  <c r="F290" i="1"/>
  <c r="F688" i="1"/>
  <c r="E688" i="1"/>
  <c r="F350" i="1"/>
  <c r="E350" i="1"/>
  <c r="F1617" i="1"/>
  <c r="E1617" i="1"/>
  <c r="F194" i="1"/>
  <c r="E194" i="1"/>
  <c r="F2102" i="1"/>
  <c r="E2102" i="1"/>
  <c r="F479" i="1"/>
  <c r="E479" i="1"/>
  <c r="F1036" i="1"/>
  <c r="E1036" i="1"/>
  <c r="F1089" i="1"/>
  <c r="E1089" i="1"/>
  <c r="F466" i="1"/>
  <c r="E466" i="1"/>
  <c r="F1407" i="1"/>
  <c r="E1407" i="1"/>
  <c r="F1482" i="1"/>
  <c r="E1482" i="1"/>
  <c r="F68" i="1"/>
  <c r="E68" i="1"/>
  <c r="F2507" i="1"/>
  <c r="E2507" i="1"/>
  <c r="F2374" i="1"/>
  <c r="E2374" i="1"/>
  <c r="F857" i="1"/>
  <c r="E857" i="1"/>
  <c r="F2751" i="1"/>
  <c r="E2751" i="1"/>
  <c r="F1549" i="1"/>
  <c r="E1549" i="1"/>
  <c r="F1840" i="1"/>
  <c r="E1840" i="1"/>
  <c r="F2310" i="1"/>
  <c r="E2310" i="1"/>
  <c r="F987" i="1"/>
  <c r="E987" i="1"/>
  <c r="F174" i="1"/>
  <c r="E174" i="1"/>
  <c r="F2787" i="1"/>
  <c r="E2787" i="1"/>
  <c r="F819" i="1"/>
  <c r="E819" i="1"/>
  <c r="F574" i="1"/>
  <c r="E574" i="1"/>
  <c r="F1571" i="1"/>
  <c r="E1571" i="1"/>
  <c r="F668" i="1"/>
  <c r="E668" i="1"/>
  <c r="E488" i="1"/>
  <c r="E2144" i="1"/>
  <c r="E2478" i="1"/>
  <c r="E40" i="1"/>
  <c r="F1354" i="1"/>
  <c r="E1354" i="1"/>
  <c r="F2067" i="1"/>
  <c r="E2067" i="1"/>
  <c r="F140" i="1"/>
  <c r="E140" i="1"/>
  <c r="F2441" i="1"/>
  <c r="E2441" i="1"/>
  <c r="F1903" i="1"/>
  <c r="E1903" i="1"/>
  <c r="F1136" i="1"/>
  <c r="E1136" i="1"/>
  <c r="F515" i="1"/>
  <c r="E515" i="1"/>
  <c r="F1265" i="1"/>
  <c r="E1265" i="1"/>
  <c r="F686" i="1"/>
  <c r="E686" i="1"/>
  <c r="F2116" i="1"/>
  <c r="E2116" i="1"/>
  <c r="F2337" i="1"/>
  <c r="E2337" i="1"/>
  <c r="F2241" i="1"/>
  <c r="E2241" i="1"/>
  <c r="F1586" i="1"/>
  <c r="E1586" i="1"/>
  <c r="F2096" i="1"/>
  <c r="E2096" i="1"/>
  <c r="F85" i="1"/>
  <c r="E85" i="1"/>
  <c r="F2148" i="1"/>
  <c r="E2148" i="1"/>
  <c r="F1284" i="1"/>
  <c r="E1284" i="1"/>
  <c r="F407" i="1"/>
  <c r="E407" i="1"/>
  <c r="F1469" i="1"/>
  <c r="E1469" i="1"/>
  <c r="F1282" i="1"/>
  <c r="E1282" i="1"/>
  <c r="F1959" i="1"/>
  <c r="E1959" i="1"/>
  <c r="F643" i="1"/>
  <c r="E643" i="1"/>
  <c r="F2500" i="1"/>
  <c r="E2500" i="1"/>
  <c r="F1357" i="1"/>
  <c r="E1357" i="1"/>
  <c r="F881" i="1"/>
  <c r="E881" i="1"/>
  <c r="F586" i="1"/>
  <c r="E586" i="1"/>
  <c r="F2542" i="1"/>
  <c r="E2542" i="1"/>
  <c r="F1073" i="1"/>
  <c r="E1073" i="1"/>
  <c r="F1790" i="1"/>
  <c r="E1790" i="1"/>
  <c r="F531" i="1"/>
  <c r="E531" i="1"/>
  <c r="F630" i="1"/>
  <c r="E630" i="1"/>
  <c r="F1169" i="1"/>
  <c r="E1169" i="1"/>
  <c r="F1278" i="1"/>
  <c r="E1278" i="1"/>
  <c r="F1909" i="1"/>
  <c r="E1909" i="1"/>
  <c r="F191" i="1"/>
  <c r="E191" i="1"/>
  <c r="F2503" i="1"/>
  <c r="E2503" i="1"/>
  <c r="F1267" i="1"/>
  <c r="E1267" i="1"/>
  <c r="F1019" i="1"/>
  <c r="E1019" i="1"/>
  <c r="F1166" i="1"/>
  <c r="E1166" i="1"/>
  <c r="F130" i="1"/>
  <c r="E130" i="1"/>
  <c r="F1849" i="1"/>
  <c r="E1849" i="1"/>
  <c r="F942" i="1"/>
  <c r="E942" i="1"/>
  <c r="F1871" i="1"/>
  <c r="E1871" i="1"/>
  <c r="F1907" i="1"/>
  <c r="E1907" i="1"/>
  <c r="F144" i="1"/>
  <c r="E144" i="1"/>
  <c r="F758" i="1"/>
  <c r="E758" i="1"/>
  <c r="F950" i="1"/>
  <c r="E950" i="1"/>
  <c r="F1059" i="1"/>
  <c r="E1059" i="1"/>
  <c r="F189" i="1"/>
  <c r="E189" i="1"/>
  <c r="F121" i="1"/>
  <c r="E121" i="1"/>
  <c r="F391" i="1"/>
  <c r="E391" i="1"/>
  <c r="F1254" i="1"/>
  <c r="E1254" i="1"/>
  <c r="F2010" i="1"/>
  <c r="E2010" i="1"/>
  <c r="E533" i="1"/>
  <c r="F533" i="1"/>
  <c r="E2609" i="1"/>
  <c r="F2609" i="1"/>
  <c r="E706" i="1"/>
  <c r="E2147" i="1"/>
  <c r="F2690" i="1"/>
  <c r="E2690" i="1"/>
  <c r="F2753" i="1"/>
  <c r="E2753" i="1"/>
  <c r="F78" i="1"/>
  <c r="E78" i="1"/>
  <c r="F1132" i="1"/>
  <c r="E1132" i="1"/>
  <c r="F2682" i="1"/>
  <c r="E2682" i="1"/>
  <c r="F2721" i="1"/>
  <c r="E2721" i="1"/>
  <c r="F2540" i="1"/>
  <c r="E2540" i="1"/>
  <c r="F1374" i="1"/>
  <c r="E1374" i="1"/>
  <c r="F1560" i="1"/>
  <c r="E1560" i="1"/>
  <c r="F1719" i="1"/>
  <c r="E1719" i="1"/>
  <c r="F1847" i="1"/>
  <c r="E1847" i="1"/>
  <c r="F523" i="1"/>
  <c r="E523" i="1"/>
  <c r="F2100" i="1"/>
  <c r="E2100" i="1"/>
  <c r="F158" i="1"/>
  <c r="E158" i="1"/>
  <c r="F403" i="1"/>
  <c r="E403" i="1"/>
  <c r="F1044" i="1"/>
  <c r="E1044" i="1"/>
  <c r="F195" i="1"/>
  <c r="E195" i="1"/>
  <c r="F913" i="1"/>
  <c r="E913" i="1"/>
  <c r="F538" i="1"/>
  <c r="E538" i="1"/>
  <c r="F1974" i="1"/>
  <c r="E1974" i="1"/>
  <c r="F243" i="1"/>
  <c r="E243" i="1"/>
  <c r="F1185" i="1"/>
  <c r="E1185" i="1"/>
  <c r="F1733" i="1"/>
  <c r="E1733" i="1"/>
  <c r="F1767" i="1"/>
  <c r="E1767" i="1"/>
  <c r="F148" i="1"/>
  <c r="E148" i="1"/>
  <c r="F252" i="1"/>
  <c r="E252" i="1"/>
  <c r="F1255" i="1"/>
  <c r="E1255" i="1"/>
  <c r="F1786" i="1"/>
  <c r="E1786" i="1"/>
  <c r="F1020" i="1"/>
  <c r="E1020" i="1"/>
  <c r="F577" i="1"/>
  <c r="E577" i="1"/>
  <c r="F2576" i="1"/>
  <c r="E2576" i="1"/>
  <c r="F242" i="1"/>
  <c r="E242" i="1"/>
  <c r="F178" i="1"/>
  <c r="E178" i="1"/>
  <c r="F2035" i="1"/>
  <c r="E2035" i="1"/>
  <c r="F2045" i="1"/>
  <c r="E2045" i="1"/>
  <c r="F824" i="1"/>
  <c r="E824" i="1"/>
  <c r="F200" i="1"/>
  <c r="E200" i="1"/>
  <c r="F2580" i="1"/>
  <c r="E2580" i="1"/>
  <c r="F104" i="1"/>
  <c r="E104" i="1"/>
  <c r="F1531" i="1"/>
  <c r="E1531" i="1"/>
  <c r="F2277" i="1"/>
  <c r="E2277" i="1"/>
  <c r="F662" i="1"/>
  <c r="E662" i="1"/>
  <c r="F747" i="1"/>
  <c r="E747" i="1"/>
  <c r="F556" i="1"/>
  <c r="E556" i="1"/>
  <c r="F886" i="1"/>
  <c r="E886" i="1"/>
  <c r="F1694" i="1"/>
  <c r="E1694" i="1"/>
  <c r="F2367" i="1"/>
  <c r="E2367" i="1"/>
  <c r="F1842" i="1"/>
  <c r="E1842" i="1"/>
  <c r="F2066" i="1"/>
  <c r="E2066" i="1"/>
  <c r="F2281" i="1"/>
  <c r="E2281" i="1"/>
  <c r="F2756" i="1"/>
  <c r="E2756" i="1"/>
  <c r="F443" i="1"/>
  <c r="E443" i="1"/>
  <c r="F186" i="1"/>
  <c r="E186" i="1"/>
  <c r="F1445" i="1"/>
  <c r="E1445" i="1"/>
  <c r="F2075" i="1"/>
  <c r="E2075" i="1"/>
  <c r="F1704" i="1"/>
  <c r="E1704" i="1"/>
  <c r="F453" i="1"/>
  <c r="E453" i="1"/>
  <c r="F2054" i="1"/>
  <c r="E2054" i="1"/>
  <c r="F425" i="1"/>
  <c r="E425" i="1"/>
  <c r="F2446" i="1"/>
  <c r="E2446" i="1"/>
  <c r="F1763" i="1"/>
  <c r="E1763" i="1"/>
  <c r="F1891" i="1"/>
  <c r="E1891" i="1"/>
  <c r="F420" i="1"/>
  <c r="E420" i="1"/>
  <c r="F2610" i="1"/>
  <c r="E2610" i="1"/>
  <c r="F114" i="1"/>
  <c r="E114" i="1"/>
  <c r="F449" i="1"/>
  <c r="E449" i="1"/>
  <c r="F858" i="1"/>
  <c r="E858" i="1"/>
  <c r="F1567" i="1"/>
  <c r="E1567" i="1"/>
  <c r="F849" i="1"/>
  <c r="E849" i="1"/>
  <c r="F286" i="1"/>
  <c r="E286" i="1"/>
  <c r="F2415" i="1"/>
  <c r="E2415" i="1"/>
  <c r="F1292" i="1"/>
  <c r="E1292" i="1"/>
  <c r="F1452" i="1"/>
  <c r="E1452" i="1"/>
  <c r="F1923" i="1"/>
  <c r="E1923" i="1"/>
  <c r="F701" i="1"/>
  <c r="E701" i="1"/>
  <c r="F304" i="1"/>
  <c r="E304" i="1"/>
  <c r="F202" i="1"/>
  <c r="E202" i="1"/>
  <c r="F1268" i="1"/>
  <c r="E1268" i="1"/>
  <c r="F1056" i="1"/>
  <c r="E1056" i="1"/>
  <c r="F1784" i="1"/>
  <c r="E1784" i="1"/>
  <c r="F39" i="1"/>
  <c r="E39" i="1"/>
  <c r="F43" i="1"/>
  <c r="E43" i="1"/>
  <c r="F2547" i="1"/>
  <c r="E2547" i="1"/>
  <c r="F1252" i="1"/>
  <c r="E1252" i="1"/>
  <c r="F584" i="1"/>
  <c r="E584" i="1"/>
  <c r="F2630" i="1"/>
  <c r="E2630" i="1"/>
  <c r="F1879" i="1"/>
  <c r="E1879" i="1"/>
  <c r="F2322" i="1"/>
  <c r="E2322" i="1"/>
  <c r="F2628" i="1"/>
  <c r="E2628" i="1"/>
  <c r="F133" i="1"/>
  <c r="E133" i="1"/>
  <c r="F2767" i="1"/>
  <c r="E2767" i="1"/>
  <c r="F109" i="1"/>
  <c r="E109" i="1"/>
  <c r="F306" i="1"/>
  <c r="E306" i="1"/>
  <c r="F745" i="1"/>
  <c r="E745" i="1"/>
  <c r="F1341" i="1"/>
  <c r="E1341" i="1"/>
  <c r="F333" i="1"/>
  <c r="E333" i="1"/>
  <c r="F2558" i="1"/>
  <c r="E2558" i="1"/>
  <c r="F1637" i="1"/>
  <c r="E1637" i="1"/>
  <c r="F1905" i="1"/>
  <c r="E1905" i="1"/>
  <c r="F2268" i="1"/>
  <c r="E2268" i="1"/>
  <c r="F2745" i="1"/>
  <c r="E2745" i="1"/>
  <c r="F1633" i="1"/>
  <c r="E1633" i="1"/>
  <c r="F132" i="1"/>
  <c r="E132" i="1"/>
  <c r="F2172" i="1"/>
  <c r="E2172" i="1"/>
  <c r="F2691" i="1"/>
  <c r="E2691" i="1"/>
  <c r="F846" i="1"/>
  <c r="E846" i="1"/>
  <c r="F539" i="1"/>
  <c r="E539" i="1"/>
  <c r="F848" i="1"/>
  <c r="E848" i="1"/>
  <c r="F2316" i="1"/>
  <c r="E2316" i="1"/>
  <c r="F284" i="1"/>
  <c r="E284" i="1"/>
  <c r="F1437" i="1"/>
  <c r="E1437" i="1"/>
  <c r="F1331" i="1"/>
  <c r="E1331" i="1"/>
  <c r="F2355" i="1"/>
  <c r="E2355" i="1"/>
  <c r="F1062" i="1"/>
  <c r="E1062" i="1"/>
  <c r="F1833" i="1"/>
  <c r="E1833" i="1"/>
  <c r="F293" i="1"/>
  <c r="E293" i="1"/>
  <c r="F631" i="1"/>
  <c r="E631" i="1"/>
  <c r="F2459" i="1"/>
  <c r="E2459" i="1"/>
  <c r="F1678" i="1"/>
  <c r="E1678" i="1"/>
  <c r="F1296" i="1"/>
  <c r="E1296" i="1"/>
  <c r="F610" i="1"/>
  <c r="E610" i="1"/>
  <c r="F1591" i="1"/>
  <c r="E1591" i="1"/>
  <c r="F2194" i="1"/>
  <c r="E2194" i="1"/>
  <c r="F2386" i="1"/>
  <c r="E2386" i="1"/>
  <c r="F2018" i="1"/>
  <c r="E2018" i="1"/>
  <c r="F1195" i="1"/>
  <c r="E1195" i="1"/>
  <c r="F557" i="1"/>
  <c r="E557" i="1"/>
  <c r="F176" i="1"/>
  <c r="E176" i="1"/>
  <c r="F861" i="1"/>
  <c r="E861" i="1"/>
  <c r="F2694" i="1"/>
  <c r="E2694" i="1"/>
  <c r="F2264" i="1"/>
  <c r="E2264" i="1"/>
  <c r="F2134" i="1"/>
  <c r="E2134" i="1"/>
  <c r="F568" i="1"/>
  <c r="E568" i="1"/>
  <c r="F312" i="1"/>
  <c r="E312" i="1"/>
  <c r="F1613" i="1"/>
  <c r="E1613" i="1"/>
  <c r="F2544" i="1"/>
  <c r="E2544" i="1"/>
  <c r="F1322" i="1"/>
  <c r="E1322" i="1"/>
  <c r="F1442" i="1"/>
  <c r="E1442" i="1"/>
  <c r="F1754" i="1"/>
  <c r="E1754" i="1"/>
  <c r="E2319" i="1"/>
  <c r="F2319" i="1"/>
  <c r="F268" i="1"/>
  <c r="E268" i="1"/>
  <c r="F1114" i="1"/>
  <c r="E1114" i="1"/>
  <c r="F277" i="1"/>
  <c r="E277" i="1"/>
  <c r="F2420" i="1"/>
  <c r="E2420" i="1"/>
  <c r="F1378" i="1"/>
  <c r="E1378" i="1"/>
  <c r="F714" i="1"/>
  <c r="E714" i="1"/>
  <c r="F588" i="1"/>
  <c r="E588" i="1"/>
  <c r="F236" i="1"/>
  <c r="E236" i="1"/>
  <c r="F746" i="1"/>
  <c r="E746" i="1"/>
  <c r="F1031" i="1"/>
  <c r="E1031" i="1"/>
  <c r="F1218" i="1"/>
  <c r="E1218" i="1"/>
  <c r="F2083" i="1"/>
  <c r="E2083" i="1"/>
  <c r="F1138" i="1"/>
  <c r="E1138" i="1"/>
  <c r="F1078" i="1"/>
  <c r="E1078" i="1"/>
  <c r="F763" i="1"/>
  <c r="E763" i="1"/>
  <c r="F752" i="1"/>
  <c r="E752" i="1"/>
  <c r="F1007" i="1"/>
  <c r="E1007" i="1"/>
  <c r="F797" i="1"/>
  <c r="E797" i="1"/>
  <c r="F1621" i="1"/>
  <c r="E1621" i="1"/>
  <c r="F1938" i="1"/>
  <c r="E1938" i="1"/>
  <c r="F2297" i="1"/>
  <c r="E2297" i="1"/>
  <c r="F1130" i="1"/>
  <c r="E1130" i="1"/>
  <c r="F516" i="1"/>
  <c r="E516" i="1"/>
  <c r="F1904" i="1"/>
  <c r="E1904" i="1"/>
  <c r="F1028" i="1"/>
  <c r="E1028" i="1"/>
  <c r="F2440" i="1"/>
  <c r="E2440" i="1"/>
  <c r="F102" i="1"/>
  <c r="E102" i="1"/>
  <c r="F2529" i="1"/>
  <c r="E2529" i="1"/>
  <c r="F2255" i="1"/>
  <c r="E2255" i="1"/>
  <c r="F154" i="1"/>
  <c r="E154" i="1"/>
  <c r="F646" i="1"/>
  <c r="E646" i="1"/>
  <c r="F1228" i="1"/>
  <c r="E1228" i="1"/>
  <c r="F948" i="1"/>
  <c r="E948" i="1"/>
  <c r="F1480" i="1"/>
  <c r="E1480" i="1"/>
  <c r="F136" i="1"/>
  <c r="E136" i="1"/>
  <c r="F2601" i="1"/>
  <c r="E2601" i="1"/>
  <c r="F279" i="1"/>
  <c r="E279" i="1"/>
  <c r="F923" i="1"/>
  <c r="E923" i="1"/>
  <c r="F514" i="1"/>
  <c r="E514" i="1"/>
  <c r="F434" i="1"/>
  <c r="E434" i="1"/>
  <c r="F1026" i="1"/>
  <c r="E1026" i="1"/>
  <c r="F226" i="1"/>
  <c r="E226" i="1"/>
  <c r="F1558" i="1"/>
  <c r="E1558" i="1"/>
  <c r="F1766" i="1"/>
  <c r="E1766" i="1"/>
  <c r="F1203" i="1"/>
  <c r="E1203" i="1"/>
  <c r="F1619" i="1"/>
  <c r="E1619" i="1"/>
  <c r="F710" i="1"/>
  <c r="E710" i="1"/>
  <c r="F2667" i="1"/>
  <c r="E2667" i="1"/>
  <c r="F472" i="1"/>
  <c r="E472" i="1"/>
  <c r="F1743" i="1"/>
  <c r="E1743" i="1"/>
  <c r="F1821" i="1"/>
  <c r="E1821" i="1"/>
  <c r="F1390" i="1"/>
  <c r="E1390" i="1"/>
  <c r="E1706" i="1"/>
  <c r="F1706" i="1"/>
  <c r="F1895" i="1"/>
  <c r="E1895" i="1"/>
  <c r="F1143" i="1"/>
  <c r="E1143" i="1"/>
  <c r="F365" i="1"/>
  <c r="E365" i="1"/>
  <c r="F1711" i="1"/>
  <c r="E1711" i="1"/>
  <c r="F1966" i="1"/>
  <c r="E1966" i="1"/>
  <c r="F445" i="1"/>
  <c r="E445" i="1"/>
  <c r="F1110" i="1"/>
  <c r="E1110" i="1"/>
  <c r="F2049" i="1"/>
  <c r="E2049" i="1"/>
  <c r="F1430" i="1"/>
  <c r="E1430" i="1"/>
  <c r="F2373" i="1"/>
  <c r="E2373" i="1"/>
  <c r="E250" i="1"/>
  <c r="F250" i="1"/>
  <c r="F2123" i="1"/>
  <c r="E2123" i="1"/>
  <c r="F672" i="1"/>
  <c r="E672" i="1"/>
  <c r="F177" i="1"/>
  <c r="E177" i="1"/>
  <c r="F1710" i="1"/>
  <c r="E1710" i="1"/>
  <c r="F1456" i="1"/>
  <c r="E1456" i="1"/>
  <c r="F1964" i="1"/>
  <c r="E1964" i="1"/>
  <c r="F1808" i="1"/>
  <c r="E1808" i="1"/>
  <c r="F118" i="1"/>
  <c r="E118" i="1"/>
  <c r="F254" i="1"/>
  <c r="E254" i="1"/>
  <c r="F2299" i="1"/>
  <c r="E2299" i="1"/>
  <c r="F2773" i="1"/>
  <c r="E2773" i="1"/>
  <c r="F2363" i="1"/>
  <c r="E2363" i="1"/>
  <c r="F216" i="1"/>
  <c r="E216" i="1"/>
  <c r="F1629" i="1"/>
  <c r="E1629" i="1"/>
  <c r="F2505" i="1"/>
  <c r="E2505" i="1"/>
  <c r="F2670" i="1"/>
  <c r="E2670" i="1"/>
  <c r="F2537" i="1"/>
  <c r="E2537" i="1"/>
  <c r="F870" i="1"/>
  <c r="E870" i="1"/>
  <c r="F1761" i="1"/>
  <c r="E1761" i="1"/>
  <c r="F2431" i="1"/>
  <c r="E2431" i="1"/>
  <c r="F1451" i="1"/>
  <c r="E1451" i="1"/>
  <c r="F899" i="1"/>
  <c r="E899" i="1"/>
  <c r="F196" i="1"/>
  <c r="E196" i="1"/>
  <c r="F285" i="1"/>
  <c r="E285" i="1"/>
  <c r="F554" i="1"/>
  <c r="E554" i="1"/>
  <c r="F2186" i="1"/>
  <c r="E2186" i="1"/>
  <c r="F208" i="1"/>
  <c r="E208" i="1"/>
  <c r="F739" i="1"/>
  <c r="E739" i="1"/>
  <c r="F1667" i="1"/>
  <c r="E1667" i="1"/>
  <c r="F1490" i="1"/>
  <c r="E1490" i="1"/>
  <c r="F1659" i="1"/>
  <c r="E1659" i="1"/>
  <c r="F1626" i="1"/>
  <c r="E1626" i="1"/>
  <c r="F2253" i="1"/>
  <c r="E2253" i="1"/>
  <c r="F73" i="1"/>
  <c r="E73" i="1"/>
  <c r="F20" i="1"/>
  <c r="E20" i="1"/>
  <c r="F2588" i="1"/>
  <c r="E2588" i="1"/>
  <c r="F1820" i="1"/>
  <c r="E1820" i="1"/>
  <c r="F1365" i="1"/>
  <c r="E1365" i="1"/>
  <c r="F1066" i="1"/>
  <c r="E1066" i="1"/>
  <c r="F1011" i="1"/>
  <c r="E1011" i="1"/>
  <c r="F1800" i="1"/>
  <c r="E1800" i="1"/>
  <c r="F1190" i="1"/>
  <c r="E1190" i="1"/>
  <c r="F1428" i="1"/>
  <c r="E1428" i="1"/>
  <c r="F730" i="1"/>
  <c r="E730" i="1"/>
  <c r="F1681" i="1"/>
  <c r="E1681" i="1"/>
  <c r="F2779" i="1"/>
  <c r="E2779" i="1"/>
  <c r="F963" i="1"/>
  <c r="E963" i="1"/>
  <c r="F656" i="1"/>
  <c r="E656" i="1"/>
  <c r="F1249" i="1"/>
  <c r="E1249" i="1"/>
  <c r="F1773" i="1"/>
  <c r="E1773" i="1"/>
  <c r="F615" i="1"/>
  <c r="E615" i="1"/>
  <c r="F756" i="1"/>
  <c r="E756" i="1"/>
  <c r="F2012" i="1"/>
  <c r="E2012" i="1"/>
  <c r="F1395" i="1"/>
  <c r="E1395" i="1"/>
  <c r="F159" i="1"/>
  <c r="E159" i="1"/>
  <c r="F2497" i="1"/>
  <c r="E2497" i="1"/>
  <c r="F213" i="1"/>
  <c r="E213" i="1"/>
  <c r="F1819" i="1"/>
  <c r="E1819" i="1"/>
  <c r="F127" i="1"/>
  <c r="E127" i="1"/>
  <c r="F2246" i="1"/>
  <c r="E2246" i="1"/>
  <c r="F877" i="1"/>
  <c r="E877" i="1"/>
  <c r="F1826" i="1"/>
  <c r="E1826" i="1"/>
  <c r="F1641" i="1"/>
  <c r="E1641" i="1"/>
  <c r="F100" i="1"/>
  <c r="E100" i="1"/>
  <c r="F2040" i="1"/>
  <c r="E2040" i="1"/>
  <c r="F1838" i="1"/>
  <c r="E1838" i="1"/>
  <c r="F814" i="1"/>
  <c r="E814" i="1"/>
  <c r="F235" i="1"/>
  <c r="E235" i="1"/>
  <c r="F2340" i="1"/>
  <c r="E2340" i="1"/>
  <c r="F1989" i="1"/>
  <c r="E1989" i="1"/>
  <c r="F2114" i="1"/>
  <c r="E2114" i="1"/>
  <c r="F1154" i="1"/>
  <c r="E1154" i="1"/>
  <c r="F639" i="1"/>
  <c r="E639" i="1"/>
  <c r="F1189" i="1"/>
  <c r="E1189" i="1"/>
  <c r="F1225" i="1"/>
  <c r="E1225" i="1"/>
  <c r="F446" i="1"/>
  <c r="E446" i="1"/>
  <c r="F1498" i="1"/>
  <c r="E1498" i="1"/>
  <c r="F1314" i="1"/>
  <c r="E1314" i="1"/>
  <c r="F2089" i="1"/>
  <c r="E2089" i="1"/>
  <c r="F737" i="1"/>
  <c r="E737" i="1"/>
  <c r="F526" i="1"/>
  <c r="E526" i="1"/>
  <c r="F1270" i="1"/>
  <c r="E1270" i="1"/>
  <c r="F929" i="1"/>
  <c r="E929" i="1"/>
  <c r="F410" i="1"/>
  <c r="E410" i="1"/>
  <c r="F971" i="1"/>
  <c r="E971" i="1"/>
  <c r="F1320" i="1"/>
  <c r="E1320" i="1"/>
  <c r="F1055" i="1"/>
  <c r="E1055" i="1"/>
  <c r="F2461" i="1"/>
  <c r="E2461" i="1"/>
  <c r="F1513" i="1"/>
  <c r="E1513" i="1"/>
  <c r="F1313" i="1"/>
  <c r="E1313" i="1"/>
  <c r="F1748" i="1"/>
  <c r="E1748" i="1"/>
  <c r="F2044" i="1"/>
  <c r="E2044" i="1"/>
  <c r="F337" i="1"/>
  <c r="E337" i="1"/>
  <c r="F2214" i="1"/>
  <c r="E2214" i="1"/>
  <c r="F613" i="1"/>
  <c r="E613" i="1"/>
  <c r="F2140" i="1"/>
  <c r="E2140" i="1"/>
  <c r="F353" i="1"/>
  <c r="E353" i="1"/>
  <c r="F383" i="1"/>
  <c r="E383" i="1"/>
  <c r="F2518" i="1"/>
  <c r="E2518" i="1"/>
  <c r="F386" i="1"/>
  <c r="E386" i="1"/>
  <c r="F1583" i="1"/>
  <c r="E1583" i="1"/>
  <c r="F2162" i="1"/>
  <c r="E2162" i="1"/>
  <c r="F359" i="1"/>
  <c r="E359" i="1"/>
  <c r="E2260" i="1"/>
  <c r="E2378" i="1"/>
  <c r="E1413" i="1"/>
  <c r="E916" i="1"/>
  <c r="E1828" i="1"/>
  <c r="E614" i="1"/>
  <c r="E2242" i="1"/>
  <c r="E1518" i="1"/>
  <c r="E2360" i="1"/>
  <c r="E266" i="1"/>
  <c r="E2257" i="1"/>
  <c r="E1926" i="1"/>
  <c r="E2315" i="1"/>
  <c r="E1098" i="1"/>
  <c r="E1950" i="1"/>
  <c r="E2732" i="1"/>
  <c r="E1245" i="1"/>
  <c r="E2090" i="1"/>
  <c r="E1068" i="1"/>
  <c r="E1172" i="1"/>
  <c r="E1060" i="1"/>
  <c r="E2138" i="1"/>
  <c r="E1514" i="1"/>
  <c r="E2574" i="1"/>
  <c r="E2564" i="1"/>
  <c r="E791" i="1"/>
  <c r="E1022" i="1"/>
  <c r="E984" i="1"/>
  <c r="E1858" i="1"/>
  <c r="E2792" i="1"/>
  <c r="E2777" i="1"/>
  <c r="E456" i="1"/>
  <c r="E649" i="1"/>
  <c r="E1631" i="1"/>
  <c r="E596" i="1"/>
  <c r="E1329" i="1"/>
  <c r="E129" i="1"/>
  <c r="E461" i="1"/>
  <c r="E369" i="1"/>
  <c r="E1691" i="1"/>
  <c r="E1176" i="1"/>
  <c r="E1627" i="1"/>
  <c r="E1689" i="1"/>
  <c r="E2689" i="1"/>
  <c r="E1542" i="1"/>
  <c r="E95" i="1"/>
  <c r="E1200" i="1"/>
  <c r="E709" i="1"/>
  <c r="E1368" i="1"/>
  <c r="E883" i="1"/>
  <c r="E1164" i="1"/>
  <c r="E215" i="1"/>
  <c r="E255" i="1"/>
  <c r="E82" i="1"/>
  <c r="E2481" i="1"/>
  <c r="E2391" i="1"/>
  <c r="E161" i="1"/>
  <c r="E221" i="1"/>
  <c r="E2265" i="1"/>
  <c r="E2239" i="1"/>
  <c r="E1519" i="1"/>
  <c r="E1655" i="1"/>
  <c r="E1652" i="1"/>
  <c r="E157" i="1"/>
  <c r="E2093" i="1"/>
  <c r="E1016" i="1"/>
  <c r="E2184" i="1"/>
  <c r="E1069" i="1"/>
  <c r="E491" i="1"/>
  <c r="E973" i="1"/>
  <c r="E907" i="1"/>
  <c r="E2382" i="1"/>
  <c r="E2331" i="1"/>
  <c r="E1000" i="1"/>
  <c r="E1971" i="1"/>
  <c r="E1551" i="1"/>
  <c r="E2259" i="1"/>
  <c r="E2369" i="1"/>
  <c r="E891" i="1"/>
  <c r="E1012" i="1"/>
  <c r="E968" i="1"/>
  <c r="E2272" i="1"/>
  <c r="E1714" i="1"/>
  <c r="E319" i="1"/>
  <c r="E2483" i="1"/>
  <c r="E616" i="1"/>
  <c r="E1104" i="1"/>
  <c r="E783" i="1"/>
  <c r="E1090" i="1"/>
  <c r="E1590" i="1"/>
  <c r="E1310" i="1"/>
  <c r="E1886" i="1"/>
  <c r="E2192" i="1"/>
  <c r="E1079" i="1"/>
  <c r="E1231" i="1"/>
  <c r="E1327" i="1"/>
  <c r="E519" i="1"/>
  <c r="E2421" i="1"/>
  <c r="E2394" i="1"/>
  <c r="E2740" i="1"/>
  <c r="E1841" i="1"/>
  <c r="E2396" i="1"/>
  <c r="E1039" i="1"/>
  <c r="E1673" i="1"/>
  <c r="E1123" i="1"/>
  <c r="E748" i="1"/>
  <c r="E2335" i="1"/>
  <c r="E299" i="1"/>
  <c r="E1328" i="1"/>
  <c r="E1349" i="1"/>
  <c r="E2698" i="1"/>
  <c r="E389" i="1"/>
  <c r="E2426" i="1"/>
  <c r="E18" i="1"/>
  <c r="E2188" i="1"/>
  <c r="E134" i="1"/>
  <c r="E2493" i="1"/>
  <c r="E1209" i="1"/>
  <c r="E2506" i="1"/>
  <c r="E2600" i="1"/>
  <c r="E494" i="1"/>
  <c r="E2087" i="1"/>
  <c r="E193" i="1"/>
  <c r="E2358" i="1"/>
  <c r="E2317" i="1"/>
  <c r="E63" i="1"/>
  <c r="E2789" i="1"/>
  <c r="E1955" i="1"/>
  <c r="E2717" i="1"/>
  <c r="E2015" i="1"/>
  <c r="E248" i="1"/>
  <c r="E137" i="1"/>
  <c r="E1334" i="1"/>
  <c r="E2586" i="1"/>
  <c r="E1758" i="1"/>
  <c r="E270" i="1"/>
  <c r="E547" i="1"/>
  <c r="E940" i="1"/>
  <c r="E2655" i="1"/>
  <c r="E922" i="1"/>
  <c r="E1785" i="1"/>
  <c r="E478" i="1"/>
  <c r="E2614" i="1"/>
  <c r="E828" i="1"/>
  <c r="E2082" i="1"/>
  <c r="E2474" i="1"/>
  <c r="E760" i="1"/>
  <c r="E2620" i="1"/>
  <c r="E943" i="1"/>
  <c r="E873" i="1"/>
  <c r="E774" i="1"/>
  <c r="E59" i="1"/>
  <c r="E517" i="1"/>
  <c r="E637" i="1"/>
  <c r="E300" i="1"/>
  <c r="E2416" i="1"/>
  <c r="E124" i="1"/>
  <c r="E1614" i="1"/>
  <c r="E607" i="1"/>
  <c r="E1370" i="1"/>
  <c r="E2155" i="1"/>
  <c r="E1991" i="1"/>
  <c r="E1665" i="1"/>
  <c r="E237" i="1"/>
  <c r="E28" i="1"/>
  <c r="E2438" i="1"/>
  <c r="E624" i="1"/>
  <c r="E1035" i="1"/>
  <c r="F2652" i="1"/>
  <c r="E2652" i="1"/>
  <c r="F597" i="1"/>
  <c r="E597" i="1"/>
  <c r="F1097" i="1"/>
  <c r="E1097" i="1"/>
  <c r="F2513" i="1"/>
  <c r="E2513" i="1"/>
  <c r="F723" i="1"/>
  <c r="E723" i="1"/>
  <c r="F1593" i="1"/>
  <c r="E1593" i="1"/>
  <c r="F2303" i="1"/>
  <c r="E2303" i="1"/>
  <c r="F605" i="1"/>
  <c r="E605" i="1"/>
  <c r="F1823" i="1"/>
  <c r="E1823" i="1"/>
  <c r="F2425" i="1"/>
  <c r="E2425" i="1"/>
  <c r="F696" i="1"/>
  <c r="E696" i="1"/>
  <c r="F671" i="1"/>
  <c r="E671" i="1"/>
  <c r="F1688" i="1"/>
  <c r="E1688" i="1"/>
  <c r="F2784" i="1"/>
  <c r="E2784" i="1"/>
  <c r="F2107" i="1"/>
  <c r="E2107" i="1"/>
  <c r="F2078" i="1"/>
  <c r="E2078" i="1"/>
  <c r="F1127" i="1"/>
  <c r="E1127" i="1"/>
  <c r="F1337" i="1"/>
  <c r="E1337" i="1"/>
  <c r="F1654" i="1"/>
  <c r="E1654" i="1"/>
  <c r="E820" i="1"/>
  <c r="F820" i="1"/>
  <c r="F2031" i="1"/>
  <c r="E2031" i="1"/>
  <c r="F1520" i="1"/>
  <c r="E1520" i="1"/>
  <c r="F2618" i="1"/>
  <c r="E2618" i="1"/>
  <c r="F1831" i="1"/>
  <c r="E1831" i="1"/>
  <c r="F1302" i="1"/>
  <c r="E1302" i="1"/>
  <c r="F414" i="1"/>
  <c r="E414" i="1"/>
  <c r="F809" i="1"/>
  <c r="E809" i="1"/>
  <c r="F833" i="1"/>
  <c r="E833" i="1"/>
  <c r="F1230" i="1"/>
  <c r="E1230" i="1"/>
  <c r="F1258" i="1"/>
  <c r="E1258" i="1"/>
  <c r="F123" i="1"/>
  <c r="E123" i="1"/>
  <c r="F1835" i="1"/>
  <c r="E1835" i="1"/>
  <c r="F1306" i="1"/>
  <c r="E1306" i="1"/>
  <c r="F487" i="1"/>
  <c r="E487" i="1"/>
  <c r="F2027" i="1"/>
  <c r="E2027" i="1"/>
  <c r="F2626" i="1"/>
  <c r="E2626" i="1"/>
  <c r="F1960" i="1"/>
  <c r="E1960" i="1"/>
  <c r="F2336" i="1"/>
  <c r="E2336" i="1"/>
  <c r="F2477" i="1"/>
  <c r="E2477" i="1"/>
  <c r="F9" i="1"/>
  <c r="E9" i="1"/>
  <c r="F1532" i="1"/>
  <c r="E1532" i="1"/>
  <c r="F2254" i="1"/>
  <c r="E2254" i="1"/>
  <c r="F990" i="1"/>
  <c r="E990" i="1"/>
  <c r="F112" i="1"/>
  <c r="E112" i="1"/>
  <c r="F1534" i="1"/>
  <c r="E1534" i="1"/>
  <c r="F280" i="1"/>
  <c r="E280" i="1"/>
  <c r="F29" i="1"/>
  <c r="E29" i="1"/>
  <c r="F1450" i="1"/>
  <c r="E1450" i="1"/>
  <c r="F1040" i="1"/>
  <c r="E1040" i="1"/>
  <c r="F2715" i="1"/>
  <c r="E2715" i="1"/>
  <c r="F1383" i="1"/>
  <c r="E1383" i="1"/>
  <c r="F301" i="1"/>
  <c r="E301" i="1"/>
  <c r="E2419" i="1"/>
  <c r="F2419" i="1"/>
  <c r="E463" i="1"/>
  <c r="E210" i="1"/>
  <c r="F477" i="1"/>
  <c r="E477" i="1"/>
  <c r="F1781" i="1"/>
  <c r="E1781" i="1"/>
  <c r="F2285" i="1"/>
  <c r="E2285" i="1"/>
  <c r="F2671" i="1"/>
  <c r="E2671" i="1"/>
  <c r="F1085" i="1"/>
  <c r="E1085" i="1"/>
  <c r="F1137" i="1"/>
  <c r="E1137" i="1"/>
  <c r="F162" i="1"/>
  <c r="E162" i="1"/>
  <c r="F1961" i="1"/>
  <c r="E1961" i="1"/>
  <c r="F1063" i="1"/>
  <c r="E1063" i="1"/>
  <c r="F1724" i="1"/>
  <c r="E1724" i="1"/>
  <c r="F1449" i="1"/>
  <c r="E1449" i="1"/>
  <c r="F2656" i="1"/>
  <c r="E2656" i="1"/>
  <c r="F2484" i="1"/>
  <c r="E2484" i="1"/>
  <c r="F2017" i="1"/>
  <c r="E2017" i="1"/>
  <c r="F1171" i="1"/>
  <c r="E1171" i="1"/>
  <c r="F1658" i="1"/>
  <c r="E1658" i="1"/>
  <c r="F429" i="1"/>
  <c r="E429" i="1"/>
  <c r="F925" i="1"/>
  <c r="E925" i="1"/>
  <c r="F8" i="1"/>
  <c r="E8" i="1"/>
  <c r="F2708" i="1"/>
  <c r="E2708" i="1"/>
  <c r="F1596" i="1"/>
  <c r="E1596" i="1"/>
  <c r="F1092" i="1"/>
  <c r="E1092" i="1"/>
  <c r="F1236" i="1"/>
  <c r="E1236" i="1"/>
  <c r="F283" i="1"/>
  <c r="E283" i="1"/>
  <c r="F2554" i="1"/>
  <c r="E2554" i="1"/>
  <c r="F545" i="1"/>
  <c r="E545" i="1"/>
  <c r="F1275" i="1"/>
  <c r="E1275" i="1"/>
  <c r="F274" i="1"/>
  <c r="E274" i="1"/>
  <c r="F535" i="1"/>
  <c r="E535" i="1"/>
  <c r="F1870" i="1"/>
  <c r="E1870" i="1"/>
  <c r="F1749" i="1"/>
  <c r="E1749" i="1"/>
  <c r="F871" i="1"/>
  <c r="E871" i="1"/>
  <c r="F845" i="1"/>
  <c r="E845" i="1"/>
  <c r="F361" i="1"/>
  <c r="E361" i="1"/>
  <c r="F2223" i="1"/>
  <c r="E2223" i="1"/>
  <c r="F2765" i="1"/>
  <c r="E2765" i="1"/>
  <c r="F2452" i="1"/>
  <c r="E2452" i="1"/>
  <c r="F2150" i="1"/>
  <c r="E2150" i="1"/>
  <c r="F1298" i="1"/>
  <c r="E1298" i="1"/>
  <c r="F199" i="1"/>
  <c r="E199" i="1"/>
  <c r="F2532" i="1"/>
  <c r="E2532" i="1"/>
  <c r="F1803" i="1"/>
  <c r="E1803" i="1"/>
  <c r="F1029" i="1"/>
  <c r="E1029" i="1"/>
  <c r="F1745" i="1"/>
  <c r="E1745" i="1"/>
  <c r="F2517" i="1"/>
  <c r="E2517" i="1"/>
  <c r="F2536" i="1"/>
  <c r="E2536" i="1"/>
  <c r="F1375" i="1"/>
  <c r="E1375" i="1"/>
  <c r="F571" i="1"/>
  <c r="E571" i="1"/>
  <c r="F1095" i="1"/>
  <c r="E1095" i="1"/>
  <c r="F227" i="1"/>
  <c r="E227" i="1"/>
  <c r="F2775" i="1"/>
  <c r="E2775" i="1"/>
  <c r="F1197" i="1"/>
  <c r="E1197" i="1"/>
  <c r="F2695" i="1"/>
  <c r="E2695" i="1"/>
  <c r="F1495" i="1"/>
  <c r="E1495" i="1"/>
  <c r="F1734" i="1"/>
  <c r="E1734" i="1"/>
  <c r="F581" i="1"/>
  <c r="E581" i="1"/>
  <c r="F1362" i="1"/>
  <c r="E1362" i="1"/>
  <c r="F2660" i="1"/>
  <c r="E2660" i="1"/>
  <c r="F2560" i="1"/>
  <c r="E2560" i="1"/>
  <c r="F1438" i="1"/>
  <c r="E1438" i="1"/>
  <c r="F2538" i="1"/>
  <c r="E2538" i="1"/>
  <c r="F2780" i="1"/>
  <c r="E2780" i="1"/>
  <c r="F1697" i="1"/>
  <c r="E1697" i="1"/>
  <c r="F25" i="1"/>
  <c r="E25" i="1"/>
  <c r="F1253" i="1"/>
  <c r="E1253" i="1"/>
  <c r="F525" i="1"/>
  <c r="E525" i="1"/>
  <c r="F1908" i="1"/>
  <c r="E1908" i="1"/>
  <c r="F2295" i="1"/>
  <c r="E2295" i="1"/>
  <c r="F2329" i="1"/>
  <c r="E2329" i="1"/>
  <c r="F1884" i="1"/>
  <c r="E1884" i="1"/>
  <c r="F444" i="1"/>
  <c r="E444" i="1"/>
  <c r="F1050" i="1"/>
  <c r="E1050" i="1"/>
  <c r="F1855" i="1"/>
  <c r="E1855" i="1"/>
  <c r="F655" i="1"/>
  <c r="E655" i="1"/>
  <c r="F2046" i="1"/>
  <c r="E2046" i="1"/>
  <c r="F406" i="1"/>
  <c r="E406" i="1"/>
  <c r="F2121" i="1"/>
  <c r="E2121" i="1"/>
  <c r="F2115" i="1"/>
  <c r="E2115" i="1"/>
  <c r="F1318" i="1"/>
  <c r="E1318" i="1"/>
  <c r="F2133" i="1"/>
  <c r="E2133" i="1"/>
  <c r="F1227" i="1"/>
  <c r="E1227" i="1"/>
  <c r="F1100" i="1"/>
  <c r="E1100" i="1"/>
  <c r="F872" i="1"/>
  <c r="E872" i="1"/>
  <c r="F1776" i="1"/>
  <c r="E1776" i="1"/>
  <c r="F1024" i="1"/>
  <c r="E1024" i="1"/>
  <c r="F773" i="1"/>
  <c r="E773" i="1"/>
  <c r="F1057" i="1"/>
  <c r="E1057" i="1"/>
  <c r="F2095" i="1"/>
  <c r="E2095" i="1"/>
  <c r="F1713" i="1"/>
  <c r="E1713" i="1"/>
  <c r="F893" i="1"/>
  <c r="E893" i="1"/>
  <c r="F385" i="1"/>
  <c r="E385" i="1"/>
  <c r="F394" i="1"/>
  <c r="E394" i="1"/>
  <c r="F2705" i="1"/>
  <c r="E2705" i="1"/>
  <c r="F1979" i="1"/>
  <c r="E1979" i="1"/>
  <c r="F1419" i="1"/>
  <c r="E1419" i="1"/>
  <c r="F2442" i="1"/>
  <c r="E2442" i="1"/>
  <c r="F618" i="1"/>
  <c r="E618" i="1"/>
  <c r="F460" i="1"/>
  <c r="E460" i="1"/>
  <c r="F1954" i="1"/>
  <c r="E1954" i="1"/>
  <c r="F1920" i="1"/>
  <c r="E1920" i="1"/>
  <c r="F601" i="1"/>
  <c r="E601" i="1"/>
  <c r="F2794" i="1"/>
  <c r="E2794" i="1"/>
  <c r="F1829" i="1"/>
  <c r="E1829" i="1"/>
  <c r="F1656" i="1"/>
  <c r="E1656" i="1"/>
  <c r="F518" i="1"/>
  <c r="E518" i="1"/>
  <c r="F947" i="1"/>
  <c r="E947" i="1"/>
  <c r="F1406" i="1"/>
  <c r="E1406" i="1"/>
  <c r="F810" i="1"/>
  <c r="E810" i="1"/>
  <c r="F52" i="1"/>
  <c r="E52" i="1"/>
  <c r="F1910" i="1"/>
  <c r="E1910" i="1"/>
  <c r="F2178" i="1"/>
  <c r="E2178" i="1"/>
  <c r="F1157" i="1"/>
  <c r="E1157" i="1"/>
  <c r="F587" i="1"/>
  <c r="E587" i="1"/>
  <c r="F1815" i="1"/>
  <c r="E1815" i="1"/>
  <c r="F1032" i="1"/>
  <c r="E1032" i="1"/>
  <c r="F1323" i="1"/>
  <c r="E1323" i="1"/>
  <c r="F1229" i="1"/>
  <c r="E1229" i="1"/>
  <c r="F2788" i="1"/>
  <c r="E2788" i="1"/>
  <c r="F1101" i="1"/>
  <c r="E1101" i="1"/>
  <c r="F2311" i="1"/>
  <c r="E2311" i="1"/>
  <c r="F2696" i="1"/>
  <c r="E2696" i="1"/>
  <c r="F2092" i="1"/>
  <c r="E2092" i="1"/>
  <c r="F991" i="1"/>
  <c r="E991" i="1"/>
  <c r="F372" i="1"/>
  <c r="E372" i="1"/>
  <c r="F2070" i="1"/>
  <c r="E2070" i="1"/>
  <c r="F1690" i="1"/>
  <c r="E1690" i="1"/>
  <c r="F2224" i="1"/>
  <c r="E2224" i="1"/>
  <c r="F1177" i="1"/>
  <c r="E1177" i="1"/>
  <c r="F149" i="1"/>
  <c r="E149" i="1"/>
  <c r="F2611" i="1"/>
  <c r="E2611" i="1"/>
  <c r="F1500" i="1"/>
  <c r="E1500" i="1"/>
  <c r="F1825" i="1"/>
  <c r="E1825" i="1"/>
  <c r="F24" i="1"/>
  <c r="E24" i="1"/>
  <c r="F503" i="1"/>
  <c r="E503" i="1"/>
  <c r="F163" i="1"/>
  <c r="E163" i="1"/>
  <c r="F469" i="1"/>
  <c r="E469" i="1"/>
  <c r="F1281" i="1"/>
  <c r="E1281" i="1"/>
  <c r="F2616" i="1"/>
  <c r="E2616" i="1"/>
  <c r="F1709" i="1"/>
  <c r="E1709" i="1"/>
  <c r="F316" i="1"/>
  <c r="E316" i="1"/>
  <c r="F1993" i="1"/>
  <c r="E1993" i="1"/>
  <c r="F1768" i="1"/>
  <c r="E1768" i="1"/>
  <c r="F552" i="1"/>
  <c r="E552" i="1"/>
  <c r="F364" i="1"/>
  <c r="E364" i="1"/>
  <c r="F957" i="1"/>
  <c r="E957" i="1"/>
  <c r="F1158" i="1"/>
  <c r="E1158" i="1"/>
  <c r="F1668" i="1"/>
  <c r="E1668" i="1"/>
  <c r="F38" i="1"/>
  <c r="E38" i="1"/>
  <c r="F1524" i="1"/>
  <c r="E1524" i="1"/>
  <c r="F341" i="1"/>
  <c r="E341" i="1"/>
  <c r="F1294" i="1"/>
  <c r="E1294" i="1"/>
  <c r="F343" i="1"/>
  <c r="E343" i="1"/>
  <c r="F1112" i="1"/>
  <c r="E1112" i="1"/>
  <c r="F2686" i="1"/>
  <c r="E2686" i="1"/>
  <c r="F1695" i="1"/>
  <c r="E1695" i="1"/>
  <c r="F1463" i="1"/>
  <c r="E1463" i="1"/>
  <c r="F2429" i="1"/>
  <c r="E2429" i="1"/>
  <c r="F1175" i="1"/>
  <c r="E1175" i="1"/>
  <c r="F98" i="1"/>
  <c r="E98" i="1"/>
  <c r="F2456" i="1"/>
  <c r="E2456" i="1"/>
  <c r="F521" i="1"/>
  <c r="E521" i="1"/>
  <c r="F396" i="1"/>
  <c r="E396" i="1"/>
  <c r="F1422" i="1"/>
  <c r="E1422" i="1"/>
  <c r="F1226" i="1"/>
  <c r="E1226" i="1"/>
  <c r="F412" i="1"/>
  <c r="E412" i="1"/>
  <c r="F67" i="1"/>
  <c r="E67" i="1"/>
  <c r="F1288" i="1"/>
  <c r="E1288" i="1"/>
  <c r="F1361" i="1"/>
  <c r="E1361" i="1"/>
  <c r="F2433" i="1"/>
  <c r="E2433" i="1"/>
  <c r="F1956" i="1"/>
  <c r="E1956" i="1"/>
  <c r="F836" i="1"/>
  <c r="E836" i="1"/>
  <c r="F1878" i="1"/>
  <c r="E1878" i="1"/>
  <c r="F404" i="1"/>
  <c r="E404" i="1"/>
  <c r="F2569" i="1"/>
  <c r="E2569" i="1"/>
  <c r="F1343" i="1"/>
  <c r="E1343" i="1"/>
  <c r="F2006" i="1"/>
  <c r="E2006" i="1"/>
  <c r="F1751" i="1"/>
  <c r="E1751" i="1"/>
  <c r="F1474" i="1"/>
  <c r="E1474" i="1"/>
  <c r="F1572" i="1"/>
  <c r="E1572" i="1"/>
  <c r="F1594" i="1"/>
  <c r="E1594" i="1"/>
  <c r="F2475" i="1"/>
  <c r="E2475" i="1"/>
  <c r="F1389" i="1"/>
  <c r="E1389" i="1"/>
  <c r="F2528" i="1"/>
  <c r="E2528" i="1"/>
  <c r="F2356" i="1"/>
  <c r="E2356" i="1"/>
  <c r="F2142" i="1"/>
  <c r="E2142" i="1"/>
  <c r="F49" i="1"/>
  <c r="E49" i="1"/>
  <c r="F2455" i="1"/>
  <c r="E2455" i="1"/>
  <c r="F2511" i="1"/>
  <c r="E2511" i="1"/>
  <c r="F222" i="1"/>
  <c r="E222" i="1"/>
  <c r="F256" i="1"/>
  <c r="E256" i="1"/>
  <c r="F691" i="1"/>
  <c r="E691" i="1"/>
  <c r="F1622" i="1"/>
  <c r="E1622" i="1"/>
  <c r="F1562" i="1"/>
  <c r="E1562" i="1"/>
  <c r="F798" i="1"/>
  <c r="E798" i="1"/>
  <c r="F1208" i="1"/>
  <c r="E1208" i="1"/>
  <c r="F2284" i="1"/>
  <c r="E2284" i="1"/>
  <c r="F2562" i="1"/>
  <c r="E2562" i="1"/>
  <c r="F360" i="1"/>
  <c r="E360" i="1"/>
  <c r="F711" i="1"/>
  <c r="E711" i="1"/>
  <c r="F786" i="1"/>
  <c r="E786" i="1"/>
  <c r="F1868" i="1"/>
  <c r="E1868" i="1"/>
  <c r="F982" i="1"/>
  <c r="E982" i="1"/>
  <c r="F2514" i="1"/>
  <c r="E2514" i="1"/>
  <c r="F689" i="1"/>
  <c r="E689" i="1"/>
  <c r="F376" i="1"/>
  <c r="E376" i="1"/>
  <c r="F1448" i="1"/>
  <c r="E1448" i="1"/>
  <c r="F1117" i="1"/>
  <c r="E1117" i="1"/>
  <c r="F740" i="1"/>
  <c r="E740" i="1"/>
  <c r="F599" i="1"/>
  <c r="E599" i="1"/>
  <c r="F604" i="1"/>
  <c r="E604" i="1"/>
  <c r="F1545" i="1"/>
  <c r="E1545" i="1"/>
  <c r="F869" i="1"/>
  <c r="E869" i="1"/>
  <c r="F1779" i="1"/>
  <c r="E1779" i="1"/>
  <c r="F2697" i="1"/>
  <c r="E2697" i="1"/>
  <c r="F2053" i="1"/>
  <c r="E2053" i="1"/>
  <c r="F367" i="1"/>
  <c r="E367" i="1"/>
  <c r="F1109" i="1"/>
  <c r="E1109" i="1"/>
  <c r="F1894" i="1"/>
  <c r="E1894" i="1"/>
  <c r="F1888" i="1"/>
  <c r="E1888" i="1"/>
  <c r="F2019" i="1"/>
  <c r="E2019" i="1"/>
  <c r="F661" i="1"/>
  <c r="E661" i="1"/>
  <c r="F1939" i="1"/>
  <c r="E1939" i="1"/>
  <c r="F2086" i="1"/>
  <c r="E2086" i="1"/>
  <c r="F1830" i="1"/>
  <c r="E1830" i="1"/>
  <c r="F2118" i="1"/>
  <c r="E2118" i="1"/>
  <c r="F2131" i="1"/>
  <c r="E2131" i="1"/>
  <c r="F2728" i="1"/>
  <c r="E2728" i="1"/>
  <c r="F413" i="1"/>
  <c r="E413" i="1"/>
  <c r="F1661" i="1"/>
  <c r="E1661" i="1"/>
  <c r="F2146" i="1"/>
  <c r="E2146" i="1"/>
  <c r="F1775" i="1"/>
  <c r="E1775" i="1"/>
  <c r="F955" i="1"/>
  <c r="E955" i="1"/>
  <c r="F716" i="1"/>
  <c r="E716" i="1"/>
  <c r="F550" i="1"/>
  <c r="E550" i="1"/>
  <c r="F1692" i="1"/>
  <c r="E1692" i="1"/>
  <c r="F2559" i="1"/>
  <c r="E2559" i="1"/>
  <c r="F2318" i="1"/>
  <c r="E2318" i="1"/>
  <c r="F2219" i="1"/>
  <c r="E2219" i="1"/>
  <c r="F1967" i="1"/>
  <c r="E1967" i="1"/>
  <c r="F331" i="1"/>
  <c r="E331" i="1"/>
  <c r="F1638" i="1"/>
  <c r="E1638" i="1"/>
  <c r="F1585" i="1"/>
  <c r="E1585" i="1"/>
  <c r="F1468" i="1"/>
  <c r="E1468" i="1"/>
  <c r="F2198" i="1"/>
  <c r="E2198" i="1"/>
  <c r="F2776" i="1"/>
  <c r="E2776" i="1"/>
  <c r="F1105" i="1"/>
  <c r="E1105" i="1"/>
  <c r="F959" i="1"/>
  <c r="E959" i="1"/>
  <c r="F1075" i="1"/>
  <c r="E1075" i="1"/>
  <c r="F2555" i="1"/>
  <c r="E2555" i="1"/>
  <c r="F1675" i="1"/>
  <c r="E1675" i="1"/>
  <c r="F2245" i="1"/>
  <c r="E2245" i="1"/>
  <c r="F2741" i="1"/>
  <c r="E2741" i="1"/>
  <c r="F1918" i="1"/>
  <c r="E1918" i="1"/>
  <c r="F894" i="1"/>
  <c r="E894" i="1"/>
  <c r="F936" i="1"/>
  <c r="E936" i="1"/>
  <c r="F2524" i="1"/>
  <c r="E2524" i="1"/>
  <c r="F1516" i="1"/>
  <c r="E1516" i="1"/>
  <c r="F1262" i="1"/>
  <c r="E1262" i="1"/>
  <c r="F1307" i="1"/>
  <c r="E1307" i="1"/>
  <c r="F1774" i="1"/>
  <c r="E1774" i="1"/>
  <c r="F2733" i="1"/>
  <c r="E2733" i="1"/>
  <c r="F263" i="1"/>
  <c r="E263" i="1"/>
  <c r="F418" i="1"/>
  <c r="E418" i="1"/>
  <c r="F2685" i="1"/>
  <c r="E2685" i="1"/>
  <c r="F2025" i="1"/>
  <c r="E2025" i="1"/>
  <c r="F1963" i="1"/>
  <c r="E1963" i="1"/>
  <c r="F1701" i="1"/>
  <c r="E1701" i="1"/>
  <c r="F2109" i="1"/>
  <c r="E2109" i="1"/>
  <c r="F718" i="1"/>
  <c r="E718" i="1"/>
  <c r="F2445" i="1"/>
  <c r="E2445" i="1"/>
  <c r="F141" i="1"/>
  <c r="E141" i="1"/>
  <c r="F128" i="1"/>
  <c r="E128" i="1"/>
  <c r="F704" i="1"/>
  <c r="E704" i="1"/>
  <c r="F540" i="1"/>
  <c r="E540" i="1"/>
  <c r="F2647" i="1"/>
  <c r="E2647" i="1"/>
  <c r="F2111" i="1"/>
  <c r="E2111" i="1"/>
  <c r="F1077" i="1"/>
  <c r="E1077" i="1"/>
  <c r="F1291" i="1"/>
  <c r="E1291" i="1"/>
  <c r="F1557" i="1"/>
  <c r="E1557" i="1"/>
  <c r="F1198" i="1"/>
  <c r="E1198" i="1"/>
  <c r="F2274" i="1"/>
  <c r="E2274" i="1"/>
  <c r="F103" i="1"/>
  <c r="E103" i="1"/>
  <c r="F1388" i="1"/>
  <c r="E1388" i="1"/>
  <c r="F927" i="1"/>
  <c r="E927" i="1"/>
  <c r="F1977" i="1"/>
  <c r="E1977" i="1"/>
  <c r="F1238" i="1"/>
  <c r="E1238" i="1"/>
  <c r="F1746" i="1"/>
  <c r="E1746" i="1"/>
  <c r="F2403" i="1"/>
  <c r="E2403" i="1"/>
  <c r="F374" i="1"/>
  <c r="E374" i="1"/>
  <c r="F1555" i="1"/>
  <c r="E1555" i="1"/>
  <c r="F211" i="1"/>
  <c r="E211" i="1"/>
  <c r="F572" i="1"/>
  <c r="E572" i="1"/>
  <c r="F462" i="1"/>
  <c r="E462" i="1"/>
  <c r="F1801" i="1"/>
  <c r="E1801" i="1"/>
  <c r="F924" i="1"/>
  <c r="E924" i="1"/>
  <c r="F1806" i="1"/>
  <c r="E1806" i="1"/>
  <c r="F2269" i="1"/>
  <c r="E2269" i="1"/>
  <c r="F153" i="1"/>
  <c r="E153" i="1"/>
  <c r="F827" i="1"/>
  <c r="E827" i="1"/>
  <c r="F165" i="1"/>
  <c r="E165" i="1"/>
  <c r="F2283" i="1"/>
  <c r="E2283" i="1"/>
  <c r="F2579" i="1"/>
  <c r="E2579" i="1"/>
  <c r="F1985" i="1"/>
  <c r="E1985" i="1"/>
  <c r="F2624" i="1"/>
  <c r="E2624" i="1"/>
  <c r="F1797" i="1"/>
  <c r="E1797" i="1"/>
  <c r="F1715" i="1"/>
  <c r="E1715" i="1"/>
  <c r="F36" i="1"/>
  <c r="E36" i="1"/>
  <c r="F1936" i="1"/>
  <c r="E1936" i="1"/>
  <c r="F2143" i="1"/>
  <c r="E2143" i="1"/>
  <c r="F2120" i="1"/>
  <c r="E2120" i="1"/>
  <c r="F536" i="1"/>
  <c r="E536" i="1"/>
  <c r="F956" i="1"/>
  <c r="E956" i="1"/>
  <c r="F543" i="1"/>
  <c r="E543" i="1"/>
  <c r="F1575" i="1"/>
  <c r="E1575" i="1"/>
  <c r="F435" i="1"/>
  <c r="E435" i="1"/>
  <c r="F1264" i="1"/>
  <c r="E1264" i="1"/>
  <c r="F2069" i="1"/>
  <c r="E2069" i="1"/>
  <c r="F826" i="1"/>
  <c r="E826" i="1"/>
  <c r="F498" i="1"/>
  <c r="E498" i="1"/>
  <c r="F1980" i="1"/>
  <c r="E1980" i="1"/>
  <c r="F2739" i="1"/>
  <c r="E2739" i="1"/>
  <c r="F2658" i="1"/>
  <c r="E2658" i="1"/>
  <c r="F2249" i="1"/>
  <c r="E2249" i="1"/>
  <c r="F772" i="1"/>
  <c r="E772" i="1"/>
  <c r="F1646" i="1"/>
  <c r="E1646" i="1"/>
  <c r="F2638" i="1"/>
  <c r="E2638" i="1"/>
  <c r="F427" i="1"/>
  <c r="E427" i="1"/>
  <c r="F1046" i="1"/>
  <c r="E1046" i="1"/>
  <c r="F2494" i="1"/>
  <c r="E2494" i="1"/>
  <c r="F2395" i="1"/>
  <c r="E2395" i="1"/>
  <c r="F1290" i="1"/>
  <c r="E1290" i="1"/>
  <c r="F1206" i="1"/>
  <c r="E1206" i="1"/>
  <c r="F1527" i="1"/>
  <c r="E1527" i="1"/>
  <c r="F903" i="1"/>
  <c r="E903" i="1"/>
  <c r="F1122" i="1"/>
  <c r="E1122" i="1"/>
  <c r="F2128" i="1"/>
  <c r="E2128" i="1"/>
  <c r="F393" i="1"/>
  <c r="E393" i="1"/>
  <c r="F1246" i="1"/>
  <c r="E1246" i="1"/>
  <c r="F2669" i="1"/>
  <c r="E2669" i="1"/>
  <c r="F527" i="1"/>
  <c r="E527" i="1"/>
  <c r="F416" i="1"/>
  <c r="E416" i="1"/>
  <c r="F1472" i="1"/>
  <c r="E1472" i="1"/>
  <c r="F2024" i="1"/>
  <c r="E2024" i="1"/>
  <c r="F1144" i="1"/>
  <c r="E1144" i="1"/>
  <c r="F2359" i="1"/>
  <c r="E2359" i="1"/>
  <c r="F2028" i="1"/>
  <c r="E2028" i="1"/>
  <c r="F1824" i="1"/>
  <c r="E1824" i="1"/>
  <c r="F2534" i="1"/>
  <c r="E2534" i="1"/>
  <c r="E41" i="1"/>
  <c r="F41" i="1"/>
  <c r="E964" i="1"/>
  <c r="F964" i="1"/>
  <c r="F2371" i="1"/>
  <c r="E2371" i="1"/>
  <c r="E2760" i="1"/>
  <c r="E1949" i="1"/>
  <c r="E351" i="1"/>
  <c r="E481" i="1"/>
  <c r="E2132" i="1"/>
  <c r="E855" i="1"/>
  <c r="E2754" i="1"/>
  <c r="E2772" i="1"/>
  <c r="E2782" i="1"/>
  <c r="E167" i="1"/>
  <c r="E1234" i="1"/>
  <c r="E2663" i="1"/>
  <c r="E379" i="1"/>
  <c r="E87" i="1"/>
  <c r="E648" i="1"/>
  <c r="E71" i="1"/>
  <c r="E1186" i="1"/>
  <c r="E1261" i="1"/>
  <c r="E355" i="1"/>
  <c r="E249" i="1"/>
  <c r="E31" i="1"/>
  <c r="E726" i="1"/>
  <c r="E2304" i="1"/>
  <c r="E860" i="1"/>
  <c r="E684" i="1"/>
  <c r="E570" i="1"/>
  <c r="E116" i="1"/>
  <c r="E1973" i="1"/>
  <c r="E2752" i="1"/>
  <c r="E2064" i="1"/>
  <c r="E1720" i="1"/>
  <c r="E762" i="1"/>
  <c r="E110" i="1"/>
  <c r="E721" i="1"/>
  <c r="E1521" i="1"/>
  <c r="E1975" i="1"/>
  <c r="E1818" i="1"/>
  <c r="E1048" i="1"/>
  <c r="E939" i="1"/>
  <c r="E1499" i="1"/>
  <c r="E1887" i="1"/>
  <c r="E2786" i="1"/>
  <c r="E1070" i="1"/>
  <c r="E1944" i="1"/>
  <c r="E1873" i="1"/>
  <c r="E1529" i="1"/>
  <c r="E1173" i="1"/>
  <c r="E653" i="1"/>
  <c r="E483" i="1"/>
  <c r="E1021" i="1"/>
  <c r="E830" i="1"/>
  <c r="E1536" i="1"/>
  <c r="E1584" i="1"/>
  <c r="E2435" i="1"/>
  <c r="E1505" i="1"/>
  <c r="E437" i="1"/>
  <c r="E2048" i="1"/>
  <c r="E2409" i="1"/>
  <c r="E1931" i="1"/>
  <c r="E2709" i="1"/>
  <c r="E1559" i="1"/>
  <c r="E10" i="1"/>
  <c r="E892" i="1"/>
  <c r="E2644" i="1"/>
  <c r="E1247" i="1"/>
  <c r="E2692" i="1"/>
  <c r="E439" i="1"/>
  <c r="E346" i="1"/>
  <c r="E1988" i="1"/>
  <c r="E1620" i="1"/>
  <c r="E2013" i="1"/>
  <c r="E1312" i="1"/>
  <c r="E89" i="1"/>
  <c r="E1943" i="1"/>
  <c r="E2443" i="1"/>
  <c r="E2577" i="1"/>
  <c r="E22" i="1"/>
  <c r="E2108" i="1"/>
  <c r="E1530" i="1"/>
  <c r="F2738" i="1"/>
  <c r="F1898" i="1"/>
  <c r="F2071" i="1"/>
  <c r="E2071" i="1"/>
  <c r="F736" i="1"/>
  <c r="E736" i="1"/>
  <c r="F2661" i="1"/>
  <c r="E2661" i="1"/>
  <c r="F2468" i="1"/>
  <c r="E2468" i="1"/>
  <c r="F986" i="1"/>
  <c r="E986" i="1"/>
  <c r="F1147" i="1"/>
  <c r="E1147" i="1"/>
  <c r="F2230" i="1"/>
  <c r="E2230" i="1"/>
  <c r="F1892" i="1"/>
  <c r="E1892" i="1"/>
  <c r="F1610" i="1"/>
  <c r="E1610" i="1"/>
  <c r="F2112" i="1"/>
  <c r="E2112" i="1"/>
  <c r="F2050" i="1"/>
  <c r="E2050" i="1"/>
  <c r="F142" i="1"/>
  <c r="E142" i="1"/>
  <c r="F694" i="1"/>
  <c r="E694" i="1"/>
  <c r="F2592" i="1"/>
  <c r="E2592" i="1"/>
  <c r="F2688" i="1"/>
  <c r="E2688" i="1"/>
  <c r="F447" i="1"/>
  <c r="E447" i="1"/>
  <c r="F2179" i="1"/>
  <c r="E2179" i="1"/>
  <c r="F2480" i="1"/>
  <c r="E2480" i="1"/>
  <c r="F981" i="1"/>
  <c r="E981" i="1"/>
  <c r="F490" i="1"/>
  <c r="E490" i="1"/>
  <c r="F207" i="1"/>
  <c r="E207" i="1"/>
  <c r="F1250" i="1"/>
  <c r="E1250" i="1"/>
  <c r="F1539" i="1"/>
  <c r="E1539" i="1"/>
  <c r="E2595" i="1"/>
  <c r="F2595" i="1"/>
  <c r="F241" i="1"/>
  <c r="E241" i="1"/>
  <c r="F2300" i="1"/>
  <c r="E2300" i="1"/>
  <c r="F1795" i="1"/>
  <c r="E1795" i="1"/>
  <c r="F2622" i="1"/>
  <c r="E2622" i="1"/>
  <c r="F817" i="1"/>
  <c r="E817" i="1"/>
  <c r="F278" i="1"/>
  <c r="E278" i="1"/>
  <c r="F1812" i="1"/>
  <c r="E1812" i="1"/>
  <c r="F563" i="1"/>
  <c r="E563" i="1"/>
  <c r="F454" i="1"/>
  <c r="E454" i="1"/>
  <c r="F2407" i="1"/>
  <c r="E2407" i="1"/>
  <c r="F728" i="1"/>
  <c r="E728" i="1"/>
  <c r="F436" i="1"/>
  <c r="E436" i="1"/>
  <c r="F663" i="1"/>
  <c r="E663" i="1"/>
  <c r="F2332" i="1"/>
  <c r="E2332" i="1"/>
  <c r="F1780" i="1"/>
  <c r="E1780" i="1"/>
  <c r="F2571" i="1"/>
  <c r="E2571" i="1"/>
  <c r="F2402" i="1"/>
  <c r="E2402" i="1"/>
  <c r="F209" i="1"/>
  <c r="E209" i="1"/>
  <c r="F2165" i="1"/>
  <c r="E2165" i="1"/>
  <c r="F2602" i="1"/>
  <c r="E2602" i="1"/>
  <c r="F2308" i="1"/>
  <c r="E2308" i="1"/>
  <c r="F42" i="1"/>
  <c r="E42" i="1"/>
  <c r="F431" i="1"/>
  <c r="E431" i="1"/>
  <c r="F912" i="1"/>
  <c r="E912" i="1"/>
  <c r="F638" i="1"/>
  <c r="E638" i="1"/>
  <c r="F2211" i="1"/>
  <c r="E2211" i="1"/>
  <c r="F1266" i="1"/>
  <c r="E1266" i="1"/>
  <c r="F2157" i="1"/>
  <c r="E2157" i="1"/>
  <c r="F1877" i="1"/>
  <c r="E1877" i="1"/>
  <c r="F1394" i="1"/>
  <c r="E1394" i="1"/>
  <c r="F1890" i="1"/>
  <c r="E1890" i="1"/>
  <c r="F1984" i="1"/>
  <c r="E1984" i="1"/>
  <c r="F2221" i="1"/>
  <c r="E2221" i="1"/>
  <c r="F1161" i="1"/>
  <c r="E1161" i="1"/>
  <c r="F2167" i="1"/>
  <c r="E2167" i="1"/>
  <c r="F1792" i="1"/>
  <c r="E1792" i="1"/>
  <c r="F2366" i="1"/>
  <c r="E2366" i="1"/>
  <c r="F1049" i="1"/>
  <c r="E1049" i="1"/>
  <c r="F458" i="1"/>
  <c r="E458" i="1"/>
  <c r="F994" i="1"/>
  <c r="E994" i="1"/>
  <c r="F677" i="1"/>
  <c r="E677" i="1"/>
  <c r="F1925" i="1"/>
  <c r="E1925" i="1"/>
  <c r="F2169" i="1"/>
  <c r="E2169" i="1"/>
  <c r="F2406" i="1"/>
  <c r="E2406" i="1"/>
  <c r="F1421" i="1"/>
  <c r="E1421" i="1"/>
  <c r="F419" i="1"/>
  <c r="E419" i="1"/>
  <c r="F1373" i="1"/>
  <c r="E1373" i="1"/>
  <c r="F422" i="1"/>
  <c r="E422" i="1"/>
  <c r="F117" i="1"/>
  <c r="E117" i="1"/>
  <c r="F398" i="1"/>
  <c r="E398" i="1"/>
  <c r="F2422" i="1"/>
  <c r="E2422" i="1"/>
  <c r="F2164" i="1"/>
  <c r="E2164" i="1"/>
  <c r="F305" i="1"/>
  <c r="E305" i="1"/>
  <c r="F1487" i="1"/>
  <c r="E1487" i="1"/>
  <c r="F2290" i="1"/>
  <c r="E2290" i="1"/>
  <c r="F802" i="1"/>
  <c r="E802" i="1"/>
  <c r="F2205" i="1"/>
  <c r="E2205" i="1"/>
  <c r="F569" i="1"/>
  <c r="E569" i="1"/>
  <c r="F1192" i="1"/>
  <c r="E1192" i="1"/>
  <c r="F1541" i="1"/>
  <c r="E1541" i="1"/>
  <c r="F1837" i="1"/>
  <c r="E1837" i="1"/>
  <c r="F2199" i="1"/>
  <c r="E2199" i="1"/>
  <c r="F2598" i="1"/>
  <c r="E2598" i="1"/>
  <c r="F86" i="1"/>
  <c r="E86" i="1"/>
  <c r="F1384" i="1"/>
  <c r="E1384" i="1"/>
  <c r="F313" i="1"/>
  <c r="E313" i="1"/>
  <c r="F1210" i="1"/>
  <c r="E1210" i="1"/>
  <c r="F707" i="1"/>
  <c r="E707" i="1"/>
  <c r="F1400" i="1"/>
  <c r="E1400" i="1"/>
  <c r="F1464" i="1"/>
  <c r="E1464" i="1"/>
  <c r="F347" i="1"/>
  <c r="E347" i="1"/>
  <c r="F2209" i="1"/>
  <c r="E2209" i="1"/>
  <c r="F1222" i="1"/>
  <c r="E1222" i="1"/>
  <c r="F880" i="1"/>
  <c r="E880" i="1"/>
  <c r="F1133" i="1"/>
  <c r="E1133" i="1"/>
  <c r="F1493" i="1"/>
  <c r="E1493" i="1"/>
  <c r="F97" i="1"/>
  <c r="E97" i="1"/>
  <c r="F1286" i="1"/>
  <c r="E1286" i="1"/>
  <c r="F2515" i="1"/>
  <c r="E2515" i="1"/>
  <c r="F1010" i="1"/>
  <c r="E1010" i="1"/>
  <c r="F2038" i="1"/>
  <c r="E2038" i="1"/>
  <c r="F961" i="1"/>
  <c r="E961" i="1"/>
  <c r="F2080" i="1"/>
  <c r="E2080" i="1"/>
  <c r="F173" i="1"/>
  <c r="E173" i="1"/>
  <c r="F2348" i="1"/>
  <c r="E2348" i="1"/>
  <c r="F2042" i="1"/>
  <c r="E2042" i="1"/>
  <c r="F2743" i="1"/>
  <c r="E2743" i="1"/>
  <c r="F2023" i="1"/>
  <c r="E2023" i="1"/>
  <c r="F2487" i="1"/>
  <c r="E2487" i="1"/>
  <c r="F592" i="1"/>
  <c r="E592" i="1"/>
  <c r="F853" i="1"/>
  <c r="E853" i="1"/>
  <c r="F811" i="1"/>
  <c r="E811" i="1"/>
  <c r="F1876" i="1"/>
  <c r="E1876" i="1"/>
  <c r="F2583" i="1"/>
  <c r="E2583" i="1"/>
  <c r="F1765" i="1"/>
  <c r="E1765" i="1"/>
  <c r="F1863" i="1"/>
  <c r="E1863" i="1"/>
  <c r="F2247" i="1"/>
  <c r="E2247" i="1"/>
  <c r="F155" i="1"/>
  <c r="E155" i="1"/>
  <c r="E318" i="1"/>
  <c r="F318" i="1"/>
  <c r="E451" i="1"/>
  <c r="F2492" i="1"/>
  <c r="F1853" i="1"/>
  <c r="F611" i="1"/>
  <c r="E611" i="1"/>
  <c r="F921" i="1"/>
  <c r="E921" i="1"/>
  <c r="F2589" i="1"/>
  <c r="E2589" i="1"/>
  <c r="F1528" i="1"/>
  <c r="E1528" i="1"/>
  <c r="F2058" i="1"/>
  <c r="E2058" i="1"/>
  <c r="F1458" i="1"/>
  <c r="E1458" i="1"/>
  <c r="F62" i="1"/>
  <c r="E62" i="1"/>
  <c r="F192" i="1"/>
  <c r="E192" i="1"/>
  <c r="F1872" i="1"/>
  <c r="E1872" i="1"/>
  <c r="F1277" i="1"/>
  <c r="E1277" i="1"/>
  <c r="F1426" i="1"/>
  <c r="E1426" i="1"/>
  <c r="F74" i="1"/>
  <c r="E74" i="1"/>
  <c r="F641" i="1"/>
  <c r="E641" i="1"/>
  <c r="F125" i="1"/>
  <c r="E125" i="1"/>
  <c r="F65" i="1"/>
  <c r="E65" i="1"/>
  <c r="F2341" i="1"/>
  <c r="E2341" i="1"/>
  <c r="F2326" i="1"/>
  <c r="E2326" i="1"/>
  <c r="F502" i="1"/>
  <c r="E502" i="1"/>
  <c r="F1018" i="1"/>
  <c r="E1018" i="1"/>
  <c r="F64" i="1"/>
  <c r="E64" i="1"/>
  <c r="F14" i="1"/>
  <c r="E14" i="1"/>
  <c r="F629" i="1"/>
  <c r="E629" i="1"/>
  <c r="F271" i="1"/>
  <c r="E271" i="1"/>
  <c r="F1297" i="1"/>
  <c r="E1297" i="1"/>
  <c r="F1630" i="1"/>
  <c r="E1630" i="1"/>
  <c r="F769" i="1"/>
  <c r="E769" i="1"/>
  <c r="F582" i="1"/>
  <c r="E582" i="1"/>
  <c r="F2687" i="1"/>
  <c r="E2687" i="1"/>
  <c r="F2535" i="1"/>
  <c r="E2535" i="1"/>
  <c r="F993" i="1"/>
  <c r="E993" i="1"/>
  <c r="F1041" i="1"/>
  <c r="E1041" i="1"/>
  <c r="F2531" i="1"/>
  <c r="E2531" i="1"/>
  <c r="F2020" i="1"/>
  <c r="E2020" i="1"/>
  <c r="F1410" i="1"/>
  <c r="E1410" i="1"/>
  <c r="F2282" i="1"/>
  <c r="E2282" i="1"/>
  <c r="F1970" i="1"/>
  <c r="E1970" i="1"/>
  <c r="F1111" i="1"/>
  <c r="E1111" i="1"/>
  <c r="F499" i="1"/>
  <c r="E499" i="1"/>
  <c r="F640" i="1"/>
  <c r="E640" i="1"/>
  <c r="F441" i="1"/>
  <c r="E441" i="1"/>
  <c r="F1856" i="1"/>
  <c r="E1856" i="1"/>
  <c r="F1135" i="1"/>
  <c r="E1135" i="1"/>
  <c r="F1615" i="1"/>
  <c r="E1615" i="1"/>
  <c r="F1013" i="1"/>
  <c r="E1013" i="1"/>
  <c r="F2376" i="1"/>
  <c r="E2376" i="1"/>
  <c r="F608" i="1"/>
  <c r="E608" i="1"/>
  <c r="F2193" i="1"/>
  <c r="E2193" i="1"/>
  <c r="F590" i="1"/>
  <c r="E590" i="1"/>
  <c r="F2124" i="1"/>
  <c r="E2124" i="1"/>
  <c r="F2768" i="1"/>
  <c r="E2768" i="1"/>
  <c r="F1153" i="1"/>
  <c r="E1153" i="1"/>
  <c r="F245" i="1"/>
  <c r="E245" i="1"/>
  <c r="F2306" i="1"/>
  <c r="E2306" i="1"/>
  <c r="F2007" i="1"/>
  <c r="E2007" i="1"/>
  <c r="F875" i="1"/>
  <c r="E875" i="1"/>
  <c r="F1990" i="1"/>
  <c r="E1990" i="1"/>
  <c r="F2110" i="1"/>
  <c r="E2110" i="1"/>
  <c r="F311" i="1"/>
  <c r="E311" i="1"/>
  <c r="F2462" i="1"/>
  <c r="E2462" i="1"/>
  <c r="F2726" i="1"/>
  <c r="E2726" i="1"/>
  <c r="F2073" i="1"/>
  <c r="E2073" i="1"/>
  <c r="F1216" i="1"/>
  <c r="E1216" i="1"/>
  <c r="F839" i="1"/>
  <c r="E839" i="1"/>
  <c r="F1319" i="1"/>
  <c r="E1319" i="1"/>
  <c r="E2252" i="1"/>
  <c r="F2252" i="1"/>
  <c r="F878" i="1"/>
  <c r="E878" i="1"/>
  <c r="E1204" i="1"/>
  <c r="E34" i="1"/>
  <c r="E115" i="1"/>
  <c r="F115" i="1"/>
  <c r="F627" i="1"/>
  <c r="E627" i="1"/>
  <c r="F524" i="1"/>
  <c r="E524" i="1"/>
  <c r="F234" i="1"/>
  <c r="E234" i="1"/>
  <c r="F2464" i="1"/>
  <c r="E2464" i="1"/>
  <c r="F1431" i="1"/>
  <c r="E1431" i="1"/>
  <c r="F676" i="1"/>
  <c r="E676" i="1"/>
  <c r="F251" i="1"/>
  <c r="E251" i="1"/>
  <c r="F1608" i="1"/>
  <c r="E1608" i="1"/>
  <c r="F1308" i="1"/>
  <c r="E1308" i="1"/>
  <c r="F781" i="1"/>
  <c r="E781" i="1"/>
  <c r="F2339" i="1"/>
  <c r="E2339" i="1"/>
  <c r="F138" i="1"/>
  <c r="E138" i="1"/>
  <c r="F2769" i="1"/>
  <c r="E2769" i="1"/>
  <c r="F1725" i="1"/>
  <c r="E1725" i="1"/>
  <c r="F2557" i="1"/>
  <c r="E2557" i="1"/>
  <c r="F423" i="1"/>
  <c r="E423" i="1"/>
  <c r="F1460" i="1"/>
  <c r="E1460" i="1"/>
  <c r="F2737" i="1"/>
  <c r="E2737" i="1"/>
  <c r="F508" i="1"/>
  <c r="E508" i="1"/>
  <c r="F2714" i="1"/>
  <c r="E2714" i="1"/>
  <c r="F2225" i="1"/>
  <c r="E2225" i="1"/>
  <c r="F2196" i="1"/>
  <c r="E2196" i="1"/>
  <c r="F1065" i="1"/>
  <c r="E1065" i="1"/>
  <c r="F1453" i="1"/>
  <c r="E1453" i="1"/>
  <c r="F402" i="1"/>
  <c r="E402" i="1"/>
  <c r="F492" i="1"/>
  <c r="E492" i="1"/>
  <c r="F896" i="1"/>
  <c r="E896" i="1"/>
  <c r="F977" i="1"/>
  <c r="E977" i="1"/>
  <c r="F214" i="1"/>
  <c r="E214" i="1"/>
  <c r="F1465" i="1"/>
  <c r="E1465" i="1"/>
  <c r="F687" i="1"/>
  <c r="E687" i="1"/>
  <c r="F269" i="1"/>
  <c r="E269" i="1"/>
  <c r="F2351" i="1"/>
  <c r="E2351" i="1"/>
  <c r="F473" i="1"/>
  <c r="E473" i="1"/>
  <c r="F867" i="1"/>
  <c r="E867" i="1"/>
  <c r="F713" i="1"/>
  <c r="E713" i="1"/>
  <c r="F1434" i="1"/>
  <c r="E1434" i="1"/>
  <c r="F2783" i="1"/>
  <c r="E2783" i="1"/>
  <c r="F2584" i="1"/>
  <c r="E2584" i="1"/>
  <c r="F1599" i="1"/>
  <c r="E1599" i="1"/>
  <c r="F1996" i="1"/>
  <c r="E1996" i="1"/>
  <c r="F172" i="1"/>
  <c r="E172" i="1"/>
  <c r="F2553" i="1"/>
  <c r="E2553" i="1"/>
  <c r="F544" i="1"/>
  <c r="E544" i="1"/>
  <c r="F1344" i="1"/>
  <c r="E1344" i="1"/>
  <c r="F1686" i="1"/>
  <c r="E1686" i="1"/>
  <c r="F622" i="1"/>
  <c r="E622" i="1"/>
  <c r="F1666" i="1"/>
  <c r="E1666" i="1"/>
  <c r="F770" i="1"/>
  <c r="E770" i="1"/>
  <c r="F1880" i="1"/>
  <c r="E1880" i="1"/>
  <c r="F198" i="1"/>
  <c r="E198" i="1"/>
  <c r="F323" i="1"/>
  <c r="E323" i="1"/>
  <c r="F566" i="1"/>
  <c r="E566" i="1"/>
  <c r="F1416" i="1"/>
  <c r="E1416" i="1"/>
  <c r="F164" i="1"/>
  <c r="E164" i="1"/>
  <c r="F2599" i="1"/>
  <c r="E2599" i="1"/>
  <c r="F2720" i="1"/>
  <c r="E2720" i="1"/>
  <c r="F1221" i="1"/>
  <c r="E1221" i="1"/>
  <c r="F1611" i="1"/>
  <c r="E1611" i="1"/>
  <c r="F805" i="1"/>
  <c r="E805" i="1"/>
  <c r="F1174" i="1"/>
  <c r="E1174" i="1"/>
  <c r="F1345" i="1"/>
  <c r="E1345" i="1"/>
  <c r="F979" i="1"/>
  <c r="E979" i="1"/>
  <c r="F2591" i="1"/>
  <c r="E2591" i="1"/>
  <c r="F1995" i="1"/>
  <c r="E1995" i="1"/>
  <c r="F61" i="1"/>
  <c r="E61" i="1"/>
  <c r="F1739" i="1"/>
  <c r="E1739" i="1"/>
  <c r="F999" i="1"/>
  <c r="E999" i="1"/>
  <c r="F738" i="1"/>
  <c r="E738" i="1"/>
  <c r="F2405" i="1"/>
  <c r="E2405" i="1"/>
  <c r="F1832" i="1"/>
  <c r="E1832" i="1"/>
  <c r="F1741" i="1"/>
  <c r="E1741" i="1"/>
  <c r="F76" i="1"/>
  <c r="E76" i="1"/>
  <c r="F2248" i="1"/>
  <c r="E2248" i="1"/>
  <c r="F889" i="1"/>
  <c r="E889" i="1"/>
  <c r="F2702" i="1"/>
  <c r="E2702" i="1"/>
  <c r="F673" i="1"/>
  <c r="E673" i="1"/>
  <c r="F914" i="1"/>
  <c r="E914" i="1"/>
  <c r="F1372" i="1"/>
  <c r="E1372" i="1"/>
  <c r="F807" i="1"/>
  <c r="E807" i="1"/>
  <c r="F753" i="1"/>
  <c r="E753" i="1"/>
  <c r="F169" i="1"/>
  <c r="E169" i="1"/>
  <c r="F1093" i="1"/>
  <c r="E1093" i="1"/>
  <c r="F698" i="1"/>
  <c r="E698" i="1"/>
  <c r="F2516" i="1"/>
  <c r="E2516" i="1"/>
  <c r="F808" i="1"/>
  <c r="E808" i="1"/>
  <c r="F2636" i="1"/>
  <c r="E2636" i="1"/>
  <c r="F2177" i="1"/>
  <c r="E2177" i="1"/>
  <c r="F1577" i="1"/>
  <c r="E1577" i="1"/>
  <c r="F1543" i="1"/>
  <c r="E1543" i="1"/>
  <c r="F946" i="1"/>
  <c r="E946" i="1"/>
  <c r="F187" i="1"/>
  <c r="E187" i="1"/>
  <c r="F1256" i="1"/>
  <c r="E1256" i="1"/>
  <c r="F1191" i="1"/>
  <c r="E1191" i="1"/>
  <c r="F2152" i="1"/>
  <c r="E2152" i="1"/>
  <c r="F2033" i="1"/>
  <c r="E2033" i="1"/>
  <c r="F1556" i="1"/>
  <c r="E1556" i="1"/>
  <c r="F804" i="1"/>
  <c r="E804" i="1"/>
  <c r="F835" i="1"/>
  <c r="E835" i="1"/>
  <c r="F2153" i="1"/>
  <c r="E2153" i="1"/>
  <c r="F1716" i="1"/>
  <c r="E1716" i="1"/>
  <c r="F1628" i="1"/>
  <c r="E1628" i="1"/>
  <c r="F432" i="1"/>
  <c r="E432" i="1"/>
  <c r="F450" i="1"/>
  <c r="E450" i="1"/>
  <c r="F937" i="1"/>
  <c r="E937" i="1"/>
  <c r="F1492" i="1"/>
  <c r="E1492" i="1"/>
  <c r="F690" i="1"/>
  <c r="E690" i="1"/>
  <c r="F1120" i="1"/>
  <c r="E1120" i="1"/>
  <c r="F1257" i="1"/>
  <c r="E1257" i="1"/>
  <c r="F2525" i="1"/>
  <c r="E2525" i="1"/>
  <c r="F935" i="1"/>
  <c r="E935" i="1"/>
  <c r="F1753" i="1"/>
  <c r="E1753" i="1"/>
  <c r="F2137" i="1"/>
  <c r="E2137" i="1"/>
  <c r="F12" i="1"/>
  <c r="E12" i="1"/>
  <c r="F1578" i="1"/>
  <c r="E1578" i="1"/>
  <c r="F1670" i="1"/>
  <c r="E1670" i="1"/>
  <c r="F399" i="1"/>
  <c r="E399" i="1"/>
  <c r="F2235" i="1"/>
  <c r="E2235" i="1"/>
  <c r="F1702" i="1"/>
  <c r="E1702" i="1"/>
  <c r="F2298" i="1"/>
  <c r="E2298" i="1"/>
  <c r="F1360" i="1"/>
  <c r="E1360" i="1"/>
  <c r="F1436" i="1"/>
  <c r="E1436" i="1"/>
  <c r="F1248" i="1"/>
  <c r="E1248" i="1"/>
  <c r="F1526" i="1"/>
  <c r="E1526" i="1"/>
  <c r="F2129" i="1"/>
  <c r="E2129" i="1"/>
  <c r="F834" i="1"/>
  <c r="E834" i="1"/>
  <c r="E2206" i="1"/>
  <c r="F2206" i="1"/>
  <c r="E722" i="1"/>
  <c r="F722" i="1"/>
  <c r="F1889" i="1"/>
  <c r="E1889" i="1"/>
  <c r="E66" i="1"/>
  <c r="E1184" i="1"/>
  <c r="E2328" i="1"/>
  <c r="E2750" i="1"/>
  <c r="E742" i="1"/>
  <c r="E32" i="1"/>
  <c r="E292" i="1"/>
  <c r="E1865" i="1"/>
  <c r="E1986" i="1"/>
  <c r="E1005" i="1"/>
  <c r="E920" i="1"/>
  <c r="E2068" i="1"/>
  <c r="E122" i="1"/>
  <c r="F2501" i="1"/>
  <c r="E2501" i="1"/>
  <c r="F15" i="1"/>
  <c r="E15" i="1"/>
  <c r="F1475" i="1"/>
  <c r="E1475" i="1"/>
  <c r="F1606" i="1"/>
  <c r="E1606" i="1"/>
  <c r="F2496" i="1"/>
  <c r="E2496" i="1"/>
  <c r="F79" i="1"/>
  <c r="E79" i="1"/>
  <c r="F775" i="1"/>
  <c r="E775" i="1"/>
  <c r="F53" i="1"/>
  <c r="E53" i="1"/>
  <c r="F1565" i="1"/>
  <c r="E1565" i="1"/>
  <c r="F2486" i="1"/>
  <c r="E2486" i="1"/>
  <c r="F1427" i="1"/>
  <c r="E1427" i="1"/>
  <c r="F145" i="1"/>
  <c r="E145" i="1"/>
  <c r="F644" i="1"/>
  <c r="E644" i="1"/>
  <c r="F1335" i="1"/>
  <c r="E1335" i="1"/>
  <c r="F2450" i="1"/>
  <c r="E2450" i="1"/>
  <c r="F2280" i="1"/>
  <c r="E2280" i="1"/>
  <c r="F1935" i="1"/>
  <c r="E1935" i="1"/>
  <c r="F2313" i="1"/>
  <c r="E2313" i="1"/>
  <c r="F1168" i="1"/>
  <c r="E1168" i="1"/>
  <c r="F1582" i="1"/>
  <c r="E1582" i="1"/>
  <c r="F484" i="1"/>
  <c r="E484" i="1"/>
  <c r="F2261" i="1"/>
  <c r="E2261" i="1"/>
  <c r="F2570" i="1"/>
  <c r="E2570" i="1"/>
  <c r="F240" i="1"/>
  <c r="E240" i="1"/>
  <c r="F1696" i="1"/>
  <c r="E1696" i="1"/>
  <c r="F1006" i="1"/>
  <c r="E1006" i="1"/>
  <c r="F1014" i="1"/>
  <c r="E1014" i="1"/>
  <c r="F806" i="1"/>
  <c r="E806" i="1"/>
  <c r="F2681" i="1"/>
  <c r="E2681" i="1"/>
  <c r="F474" i="1"/>
  <c r="E474" i="1"/>
  <c r="F2190" i="1"/>
  <c r="E2190" i="1"/>
  <c r="F352" i="1"/>
  <c r="E352" i="1"/>
  <c r="F1948" i="1"/>
  <c r="E1948" i="1"/>
  <c r="F2183" i="1"/>
  <c r="E2183" i="1"/>
  <c r="F400" i="1"/>
  <c r="E400" i="1"/>
  <c r="F2275" i="1"/>
  <c r="E2275" i="1"/>
  <c r="F897" i="1"/>
  <c r="E897" i="1"/>
  <c r="F2215" i="1"/>
  <c r="E2215" i="1"/>
  <c r="F635" i="1"/>
  <c r="E635" i="1"/>
  <c r="F868" i="1"/>
  <c r="E868" i="1"/>
  <c r="F1644" i="1"/>
  <c r="E1644" i="1"/>
  <c r="F1332" i="1"/>
  <c r="E1332" i="1"/>
  <c r="F790" i="1"/>
  <c r="E790" i="1"/>
  <c r="F1924" i="1"/>
  <c r="E1924" i="1"/>
  <c r="F703" i="1"/>
  <c r="E703" i="1"/>
  <c r="F2201" i="1"/>
  <c r="E2201" i="1"/>
  <c r="F1928" i="1"/>
  <c r="E1928" i="1"/>
  <c r="F1807" i="1"/>
  <c r="E1807" i="1"/>
  <c r="F1660" i="1"/>
  <c r="E1660" i="1"/>
  <c r="F455" i="1"/>
  <c r="E455" i="1"/>
  <c r="F2387" i="1"/>
  <c r="E2387" i="1"/>
  <c r="F2170" i="1"/>
  <c r="E2170" i="1"/>
  <c r="F1295" i="1"/>
  <c r="E1295" i="1"/>
  <c r="F1263" i="1"/>
  <c r="E1263" i="1"/>
  <c r="F111" i="1"/>
  <c r="E111" i="1"/>
  <c r="F33" i="1"/>
  <c r="E33" i="1"/>
  <c r="F681" i="1"/>
  <c r="E681" i="1"/>
  <c r="F1601" i="1"/>
  <c r="E1601" i="1"/>
  <c r="F2081" i="1"/>
  <c r="E2081" i="1"/>
  <c r="F771" i="1"/>
  <c r="E771" i="1"/>
  <c r="F2731" i="1"/>
  <c r="E2731" i="1"/>
  <c r="F2471" i="1"/>
  <c r="E2471" i="1"/>
  <c r="F865" i="1"/>
  <c r="E865" i="1"/>
  <c r="F743" i="1"/>
  <c r="E743" i="1"/>
  <c r="F371" i="1"/>
  <c r="E371" i="1"/>
  <c r="F2639" i="1"/>
  <c r="E2639" i="1"/>
  <c r="F1415" i="1"/>
  <c r="E1415" i="1"/>
  <c r="F985" i="1"/>
  <c r="E985" i="1"/>
  <c r="F787" i="1"/>
  <c r="E787" i="1"/>
  <c r="F759" i="1"/>
  <c r="E759" i="1"/>
  <c r="F1181" i="1"/>
  <c r="E1181" i="1"/>
  <c r="F768" i="1"/>
  <c r="E768" i="1"/>
  <c r="F2063" i="1"/>
  <c r="E2063" i="1"/>
  <c r="F2022" i="1"/>
  <c r="E2022" i="1"/>
  <c r="F496" i="1"/>
  <c r="E496" i="1"/>
  <c r="F1953" i="1"/>
  <c r="E1953" i="1"/>
  <c r="F126" i="1"/>
  <c r="E126" i="1"/>
  <c r="F2346" i="1"/>
  <c r="E2346" i="1"/>
  <c r="F2276" i="1"/>
  <c r="E2276" i="1"/>
  <c r="F850" i="1"/>
  <c r="E850" i="1"/>
  <c r="F1244" i="1"/>
  <c r="E1244" i="1"/>
  <c r="F1796" i="1"/>
  <c r="E1796" i="1"/>
  <c r="F2749" i="1"/>
  <c r="E2749" i="1"/>
  <c r="F2014" i="1"/>
  <c r="E2014" i="1"/>
  <c r="F1848" i="1"/>
  <c r="E1848" i="1"/>
  <c r="F1025" i="1"/>
  <c r="E1025" i="1"/>
  <c r="F732" i="1"/>
  <c r="E732" i="1"/>
  <c r="F2527" i="1"/>
  <c r="E2527" i="1"/>
  <c r="F291" i="1"/>
  <c r="E291" i="1"/>
  <c r="F2141" i="1"/>
  <c r="E2141" i="1"/>
  <c r="F201" i="1"/>
  <c r="E201" i="1"/>
  <c r="F2055" i="1"/>
  <c r="E2055" i="1"/>
  <c r="F1672" i="1"/>
  <c r="E1672" i="1"/>
  <c r="F1632" i="1"/>
  <c r="E1632" i="1"/>
  <c r="F2703" i="1"/>
  <c r="E2703" i="1"/>
  <c r="F1927" i="1"/>
  <c r="E1927" i="1"/>
  <c r="F967" i="1"/>
  <c r="E967" i="1"/>
  <c r="F974" i="1"/>
  <c r="E974" i="1"/>
  <c r="F1976" i="1"/>
  <c r="E1976" i="1"/>
  <c r="F992" i="1"/>
  <c r="E992" i="1"/>
  <c r="F918" i="1"/>
  <c r="E918" i="1"/>
  <c r="F1142" i="1"/>
  <c r="E1142" i="1"/>
  <c r="F1623" i="1"/>
  <c r="E1623" i="1"/>
  <c r="F244" i="1"/>
  <c r="E244" i="1"/>
  <c r="F1194" i="1"/>
  <c r="E1194" i="1"/>
  <c r="F1968" i="1"/>
  <c r="E1968" i="1"/>
  <c r="F1683" i="1"/>
  <c r="E1683" i="1"/>
  <c r="F2099" i="1"/>
  <c r="E2099" i="1"/>
  <c r="F1219" i="1"/>
  <c r="E1219" i="1"/>
  <c r="F1202" i="1"/>
  <c r="E1202" i="1"/>
  <c r="F1580" i="1"/>
  <c r="E1580" i="1"/>
  <c r="F30" i="1"/>
  <c r="E30" i="1"/>
  <c r="F901" i="1"/>
  <c r="E901" i="1"/>
  <c r="F1885" i="1"/>
  <c r="E1885" i="1"/>
  <c r="F2091" i="1"/>
  <c r="E2091" i="1"/>
  <c r="F60" i="1"/>
  <c r="E60" i="1"/>
  <c r="F375" i="1"/>
  <c r="E375" i="1"/>
  <c r="F2187" i="1"/>
  <c r="E2187" i="1"/>
  <c r="F384" i="1"/>
  <c r="E384" i="1"/>
  <c r="F645" i="1"/>
  <c r="E645" i="1"/>
  <c r="F2352" i="1"/>
  <c r="E2352" i="1"/>
  <c r="F1141" i="1"/>
  <c r="E1141" i="1"/>
  <c r="F888" i="1"/>
  <c r="E888" i="1"/>
  <c r="F1409" i="1"/>
  <c r="E1409" i="1"/>
  <c r="F357" i="1"/>
  <c r="E357" i="1"/>
  <c r="F966" i="1"/>
  <c r="E966" i="1"/>
  <c r="F2490" i="1"/>
  <c r="E2490" i="1"/>
  <c r="F1647" i="1"/>
  <c r="E1647" i="1"/>
  <c r="F595" i="1"/>
  <c r="E595" i="1"/>
  <c r="F1379" i="1"/>
  <c r="E1379" i="1"/>
  <c r="F1367" i="1"/>
  <c r="E1367" i="1"/>
  <c r="F1043" i="1"/>
  <c r="E1043" i="1"/>
  <c r="F2161" i="1"/>
  <c r="E2161" i="1"/>
  <c r="F2434" i="1"/>
  <c r="E2434" i="1"/>
  <c r="F2665" i="1"/>
  <c r="E2665" i="1"/>
  <c r="F2640" i="1"/>
  <c r="E2640" i="1"/>
  <c r="F2266" i="1"/>
  <c r="E2266" i="1"/>
  <c r="F2060" i="1"/>
  <c r="E2060" i="1"/>
  <c r="F168" i="1"/>
  <c r="E168" i="1"/>
  <c r="F1685" i="1"/>
  <c r="E1685" i="1"/>
  <c r="F2548" i="1"/>
  <c r="E2548" i="1"/>
  <c r="F930" i="1"/>
  <c r="E930" i="1"/>
  <c r="F2546" i="1"/>
  <c r="E2546" i="1"/>
  <c r="F2762" i="1"/>
  <c r="E2762" i="1"/>
  <c r="F778" i="1"/>
  <c r="E778" i="1"/>
  <c r="F388" i="1"/>
  <c r="E388" i="1"/>
  <c r="F580" i="1"/>
  <c r="E580" i="1"/>
  <c r="F143" i="1"/>
  <c r="E143" i="1"/>
  <c r="F1033" i="1"/>
  <c r="E1033" i="1"/>
  <c r="F1128" i="1"/>
  <c r="E1128" i="1"/>
  <c r="F471" i="1"/>
  <c r="E471" i="1"/>
  <c r="F2127" i="1"/>
  <c r="E2127" i="1"/>
  <c r="F933" i="1"/>
  <c r="E933" i="1"/>
  <c r="F1377" i="1"/>
  <c r="E1377" i="1"/>
  <c r="F84" i="1"/>
  <c r="E84" i="1"/>
  <c r="F482" i="1"/>
  <c r="E482" i="1"/>
  <c r="F1086" i="1"/>
  <c r="E1086" i="1"/>
  <c r="F2641" i="1"/>
  <c r="E2641" i="1"/>
  <c r="F1045" i="1"/>
  <c r="E1045" i="1"/>
  <c r="F13" i="1"/>
  <c r="E13" i="1"/>
  <c r="F1478" i="1"/>
  <c r="E1478" i="1"/>
  <c r="F1983" i="1"/>
  <c r="E1983" i="1"/>
  <c r="F2472" i="1"/>
  <c r="E2472" i="1"/>
  <c r="F340" i="1"/>
  <c r="E340" i="1"/>
  <c r="F1488" i="1"/>
  <c r="E1488" i="1"/>
  <c r="F1376" i="1"/>
  <c r="E1376" i="1"/>
  <c r="F1497" i="1"/>
  <c r="E1497" i="1"/>
  <c r="F2256" i="1"/>
  <c r="E2256" i="1"/>
  <c r="F322" i="1"/>
  <c r="E322" i="1"/>
  <c r="F2430" i="1"/>
  <c r="E2430" i="1"/>
  <c r="F2575" i="1"/>
  <c r="E2575" i="1"/>
  <c r="F1311" i="1"/>
  <c r="E1311" i="1"/>
  <c r="F2005" i="1"/>
  <c r="E2005" i="1"/>
  <c r="F2746" i="1"/>
  <c r="E2746" i="1"/>
  <c r="F151" i="1"/>
  <c r="E151" i="1"/>
  <c r="F789" i="1"/>
  <c r="E789" i="1"/>
  <c r="F1875" i="1"/>
  <c r="E1875" i="1"/>
  <c r="F1351" i="1"/>
  <c r="E1351" i="1"/>
  <c r="F960" i="1"/>
  <c r="E960" i="1"/>
  <c r="F1573" i="1"/>
  <c r="E1573" i="1"/>
  <c r="F2781" i="1"/>
  <c r="E2781" i="1"/>
  <c r="F2631" i="1"/>
  <c r="E2631" i="1"/>
  <c r="F1129" i="1"/>
  <c r="E1129" i="1"/>
  <c r="F83" i="1"/>
  <c r="E83" i="1"/>
  <c r="F1730" i="1"/>
  <c r="E1730" i="1"/>
  <c r="F1440" i="1"/>
  <c r="E1440" i="1"/>
  <c r="F2648" i="1"/>
  <c r="E2648" i="1"/>
  <c r="F573" i="1"/>
  <c r="E573" i="1"/>
  <c r="F452" i="1"/>
  <c r="E452" i="1"/>
  <c r="F2526" i="1"/>
  <c r="E2526" i="1"/>
  <c r="F1762" i="1"/>
  <c r="E1762" i="1"/>
  <c r="F697" i="1"/>
  <c r="E697" i="1"/>
  <c r="F962" i="1"/>
  <c r="E962" i="1"/>
  <c r="F2113" i="1"/>
  <c r="E2113" i="1"/>
  <c r="F2678" i="1"/>
  <c r="E2678" i="1"/>
  <c r="F1757" i="1"/>
  <c r="E1757" i="1"/>
  <c r="F2195" i="1"/>
  <c r="E2195" i="1"/>
  <c r="F1932" i="1"/>
  <c r="E1932" i="1"/>
  <c r="F171" i="1"/>
  <c r="E171" i="1"/>
  <c r="F1067" i="1"/>
  <c r="E1067" i="1"/>
  <c r="F876" i="1"/>
  <c r="E876" i="1"/>
  <c r="F467" i="1"/>
  <c r="E467" i="1"/>
  <c r="F1333" i="1"/>
  <c r="E1333" i="1"/>
  <c r="F1721" i="1"/>
  <c r="E1721" i="1"/>
  <c r="F1037" i="1"/>
  <c r="E1037" i="1"/>
  <c r="F803" i="1"/>
  <c r="E803" i="1"/>
  <c r="F2151" i="1"/>
  <c r="E2151" i="1"/>
  <c r="F2084" i="1"/>
  <c r="E2084" i="1"/>
  <c r="F2521" i="1"/>
  <c r="E2521" i="1"/>
  <c r="F794" i="1"/>
  <c r="E794" i="1"/>
  <c r="F1869" i="1"/>
  <c r="E1869" i="1"/>
  <c r="F2604" i="1"/>
  <c r="E2604" i="1"/>
  <c r="F1915" i="1"/>
  <c r="E1915" i="1"/>
  <c r="F2380" i="1"/>
  <c r="E2380" i="1"/>
  <c r="F995" i="1"/>
  <c r="E995" i="1"/>
  <c r="F1649" i="1"/>
  <c r="E1649" i="1"/>
  <c r="F2666" i="1"/>
  <c r="E2666" i="1"/>
  <c r="F2683" i="1"/>
  <c r="E2683" i="1"/>
  <c r="F2400" i="1"/>
  <c r="E2400" i="1"/>
  <c r="F1030" i="1"/>
  <c r="E1030" i="1"/>
  <c r="F785" i="1"/>
  <c r="E785" i="1"/>
  <c r="F45" i="1"/>
  <c r="E45" i="1"/>
  <c r="E16" i="1"/>
  <c r="F16" i="1"/>
  <c r="F183" i="1"/>
  <c r="E183" i="1"/>
  <c r="F390" i="1"/>
  <c r="E390" i="1"/>
  <c r="F998" i="1"/>
  <c r="E998" i="1"/>
  <c r="E593" i="1"/>
  <c r="F593" i="1"/>
  <c r="E667" i="1"/>
  <c r="E1846" i="1"/>
  <c r="E2590" i="1"/>
  <c r="E1933" i="1"/>
  <c r="E1072" i="1"/>
  <c r="E2309" i="1"/>
  <c r="E1540" i="1"/>
  <c r="E534" i="1"/>
  <c r="E1159" i="1"/>
  <c r="E1737" i="1"/>
  <c r="E93" i="1"/>
  <c r="E1771" i="1"/>
  <c r="E895" i="1"/>
  <c r="E75" i="1"/>
  <c r="E314" i="1"/>
  <c r="E1342" i="1"/>
  <c r="E218" i="1"/>
  <c r="E2301" i="1"/>
  <c r="E2791" i="1"/>
  <c r="E2499" i="1"/>
  <c r="E898" i="1"/>
  <c r="E260" i="1"/>
  <c r="E757" i="1"/>
  <c r="E750" i="1"/>
  <c r="E874" i="1"/>
  <c r="E1008" i="1"/>
  <c r="E332" i="1"/>
  <c r="E650" i="1"/>
  <c r="E1703" i="1"/>
  <c r="E1566" i="1"/>
  <c r="E2314" i="1"/>
  <c r="E325" i="1"/>
  <c r="E370" i="1"/>
  <c r="E1004" i="1"/>
  <c r="E1997" i="1"/>
  <c r="E392" i="1"/>
  <c r="E1182" i="1"/>
  <c r="E2766" i="1"/>
  <c r="E2423" i="1"/>
  <c r="E801" i="1"/>
  <c r="E1517" i="1"/>
  <c r="E507" i="1"/>
  <c r="E910" i="1"/>
  <c r="E1355" i="1"/>
  <c r="E2627" i="1"/>
  <c r="E2771" i="1"/>
  <c r="E1789" i="1"/>
  <c r="E1648" i="1"/>
  <c r="E500" i="1"/>
  <c r="E634" i="1"/>
  <c r="E2202" i="1"/>
  <c r="E2226" i="1"/>
  <c r="E528" i="1"/>
  <c r="E2761" i="1"/>
  <c r="E339" i="1"/>
  <c r="E1598" i="1"/>
  <c r="E1554" i="1"/>
  <c r="E1398" i="1"/>
  <c r="E2288" i="1"/>
  <c r="E887" i="1"/>
  <c r="E1124" i="1"/>
  <c r="E680" i="1"/>
  <c r="E231" i="1"/>
  <c r="E1726" i="1"/>
  <c r="E1962" i="1"/>
  <c r="E44" i="1"/>
  <c r="E915" i="1"/>
  <c r="E2550" i="1"/>
  <c r="E262" i="1"/>
  <c r="E589" i="1"/>
  <c r="E815" i="1"/>
  <c r="E69" i="1"/>
  <c r="E1160" i="1"/>
  <c r="E683" i="1"/>
  <c r="E147" i="1"/>
  <c r="E674" i="1"/>
  <c r="E1402" i="1"/>
  <c r="E2593" i="1"/>
  <c r="E1899" i="1"/>
  <c r="E1603" i="1"/>
  <c r="E1635" i="1"/>
  <c r="E1223" i="1"/>
  <c r="E1937" i="1"/>
  <c r="E1346" i="1"/>
  <c r="E1533" i="1"/>
  <c r="E1149" i="1"/>
  <c r="E1860" i="1"/>
  <c r="E119" i="1"/>
  <c r="E2210" i="1"/>
  <c r="E307" i="1"/>
  <c r="E1538" i="1"/>
  <c r="E1481" i="1"/>
  <c r="E1207" i="1"/>
  <c r="E1634" i="1"/>
  <c r="E617" i="1"/>
  <c r="E1563" i="1"/>
  <c r="E50" i="1"/>
  <c r="E1479" i="1"/>
  <c r="E2716" i="1"/>
  <c r="E1525" i="1"/>
  <c r="E94" i="1"/>
  <c r="E767" i="1"/>
  <c r="E2026" i="1"/>
  <c r="E2353" i="1"/>
  <c r="E2004" i="1"/>
  <c r="E2077" i="1"/>
  <c r="E1411" i="1"/>
  <c r="E2704" i="1"/>
  <c r="E1579" i="1"/>
  <c r="E70" i="1"/>
  <c r="E2321" i="1"/>
  <c r="E2217" i="1"/>
  <c r="E1805" i="1"/>
  <c r="E1742" i="1"/>
  <c r="E442" i="1"/>
  <c r="E1804" i="1"/>
  <c r="E1386" i="1"/>
  <c r="E2742" i="1"/>
  <c r="E1882" i="1"/>
  <c r="E1814" i="1"/>
  <c r="E2384" i="1"/>
  <c r="E2722" i="1"/>
  <c r="E1417" i="1"/>
  <c r="E799" i="1"/>
  <c r="E2088" i="1"/>
  <c r="E2267" i="1"/>
  <c r="E847" i="1"/>
  <c r="E512" i="1"/>
  <c r="E1680" i="1"/>
  <c r="E2180" i="1"/>
  <c r="E1023" i="1"/>
  <c r="E530" i="1"/>
  <c r="E2466" i="1"/>
  <c r="E1731" i="1"/>
  <c r="E1217" i="1"/>
  <c r="E334" i="1"/>
  <c r="E1735" i="1"/>
  <c r="E1274" i="1"/>
  <c r="E2377" i="1"/>
  <c r="E1051" i="1"/>
  <c r="E1131" i="1"/>
  <c r="E310" i="1"/>
  <c r="E459" i="1"/>
  <c r="E2171" i="1"/>
  <c r="E1293" i="1"/>
  <c r="E1902" i="1"/>
  <c r="E2657" i="1"/>
  <c r="E289" i="1"/>
  <c r="E495" i="1"/>
  <c r="E2711" i="1"/>
  <c r="E882" i="1"/>
  <c r="E1504" i="1"/>
  <c r="E1794" i="1"/>
  <c r="E47" i="1"/>
  <c r="E2701" i="1"/>
  <c r="E2451" i="1"/>
  <c r="E224" i="1"/>
  <c r="E1607" i="1"/>
  <c r="BD7" i="2" l="1"/>
  <c r="BE7" i="2" s="1"/>
  <c r="Q7" i="1" l="1"/>
  <c r="Q804" i="1"/>
  <c r="Q2097" i="1"/>
  <c r="Q1057" i="1"/>
  <c r="Q1953" i="1"/>
  <c r="Q1979" i="1"/>
  <c r="Q964" i="1"/>
  <c r="Q2028" i="1"/>
  <c r="Q1989" i="1"/>
  <c r="Q2240" i="1"/>
  <c r="Q185" i="1"/>
  <c r="Q474" i="1"/>
  <c r="Q2555" i="1"/>
  <c r="Q1990" i="1"/>
  <c r="Q324" i="1"/>
  <c r="Q2180" i="1"/>
  <c r="Q915" i="1"/>
  <c r="Q1608" i="1"/>
  <c r="Q1519" i="1"/>
  <c r="Q1114" i="1"/>
  <c r="Q2292" i="1"/>
  <c r="Q1021" i="1"/>
  <c r="Q2705" i="1"/>
  <c r="Q1838" i="1"/>
  <c r="Q2563" i="1"/>
  <c r="Q2484" i="1"/>
  <c r="Q39" i="1"/>
  <c r="Q36" i="1"/>
  <c r="Q2571" i="1"/>
  <c r="Q2764" i="1"/>
  <c r="Q2578" i="1"/>
  <c r="Q572" i="1"/>
  <c r="Q405" i="1"/>
  <c r="Q1110" i="1"/>
  <c r="Q258" i="1"/>
  <c r="Q1880" i="1"/>
  <c r="Q1912" i="1"/>
  <c r="Q570" i="1"/>
  <c r="Q1510" i="1"/>
  <c r="Q1987" i="1"/>
  <c r="Q1466" i="1"/>
  <c r="Q2337" i="1"/>
  <c r="Q1670" i="1"/>
  <c r="Q89" i="1"/>
  <c r="Q1748" i="1"/>
  <c r="Q1829" i="1"/>
  <c r="Q2572" i="1"/>
  <c r="Q2058" i="1"/>
  <c r="Q824" i="1"/>
  <c r="Q1379" i="1"/>
  <c r="Q1459" i="1"/>
  <c r="Q2084" i="1"/>
  <c r="Q579" i="1"/>
  <c r="Q883" i="1"/>
  <c r="Q1600" i="1"/>
  <c r="Q1309" i="1"/>
  <c r="Q1671" i="1"/>
  <c r="Q248" i="1"/>
  <c r="Q279" i="1"/>
  <c r="Q1308" i="1"/>
  <c r="Q1594" i="1"/>
  <c r="Q298" i="1"/>
  <c r="Q988" i="1"/>
  <c r="Q2494" i="1"/>
  <c r="Q1344" i="1"/>
  <c r="Q1215" i="1"/>
  <c r="Q189" i="1"/>
  <c r="Q2163" i="1"/>
  <c r="Q460" i="1"/>
  <c r="Q1279" i="1"/>
  <c r="Q2303" i="1"/>
  <c r="Q300" i="1"/>
  <c r="Q179" i="1"/>
  <c r="Q712" i="1"/>
  <c r="Q1150" i="1"/>
  <c r="Q1194" i="1"/>
  <c r="Q1917" i="1"/>
  <c r="Q1383" i="1"/>
  <c r="Q1626" i="1"/>
  <c r="Q518" i="1"/>
  <c r="Q2022" i="1"/>
  <c r="Q2504" i="1"/>
  <c r="Q2655" i="1"/>
  <c r="Q1318" i="1"/>
  <c r="Q787" i="1"/>
  <c r="Q2378" i="1"/>
  <c r="Q1100" i="1"/>
  <c r="Q297" i="1"/>
  <c r="Q1840" i="1"/>
  <c r="Q432" i="1"/>
  <c r="Q1396" i="1"/>
  <c r="Q1513" i="1"/>
  <c r="Q1095" i="1"/>
  <c r="Q2234" i="1"/>
  <c r="Q1538" i="1"/>
  <c r="Q1132" i="1"/>
  <c r="Q35" i="1"/>
  <c r="Q1630" i="1"/>
  <c r="Q1645" i="1"/>
  <c r="Q1679" i="1"/>
  <c r="Q1159" i="1"/>
  <c r="Q2174" i="1"/>
  <c r="Q581" i="1"/>
  <c r="Q2546" i="1"/>
  <c r="Q2487" i="1"/>
  <c r="Q873" i="1"/>
  <c r="Q2309" i="1"/>
  <c r="Q2212" i="1"/>
  <c r="Q1967" i="1"/>
  <c r="Q426" i="1"/>
  <c r="Q1263" i="1"/>
  <c r="Q412" i="1"/>
  <c r="Q124" i="1"/>
  <c r="Q1434" i="1"/>
  <c r="Q2704" i="1"/>
  <c r="Q1866" i="1"/>
  <c r="Q926" i="1"/>
  <c r="Q545" i="1"/>
  <c r="Q2610" i="1"/>
  <c r="Q1233" i="1"/>
  <c r="Q2575" i="1"/>
  <c r="Q1994" i="1"/>
  <c r="Q1612" i="1"/>
  <c r="Q2204" i="1"/>
  <c r="Q789" i="1"/>
  <c r="Q923" i="1"/>
  <c r="Q743" i="1"/>
  <c r="Q2100" i="1"/>
  <c r="Q2403" i="1"/>
  <c r="Q2423" i="1"/>
  <c r="Q1247" i="1"/>
  <c r="Q1261" i="1"/>
  <c r="Q2050" i="1"/>
  <c r="Q137" i="1"/>
  <c r="Q554" i="1"/>
  <c r="Q467" i="1"/>
  <c r="Q2714" i="1"/>
  <c r="Q2192" i="1"/>
  <c r="Q1099" i="1"/>
  <c r="Q2454" i="1"/>
  <c r="Q665" i="1"/>
  <c r="Q1547" i="1"/>
  <c r="Q351" i="1"/>
  <c r="Q1837" i="1"/>
  <c r="Q1842" i="1"/>
  <c r="Q1307" i="1"/>
  <c r="Q1240" i="1"/>
  <c r="Q1668" i="1"/>
  <c r="Q2009" i="1"/>
  <c r="Q2109" i="1"/>
  <c r="Q2353" i="1"/>
  <c r="Q2753" i="1"/>
  <c r="Q1984" i="1"/>
  <c r="Q293" i="1"/>
  <c r="Q1293" i="1"/>
  <c r="Q811" i="1"/>
  <c r="Q2432" i="1"/>
  <c r="Q1276" i="1"/>
  <c r="Q2554" i="1"/>
  <c r="Q310" i="1"/>
  <c r="Q908" i="1"/>
  <c r="Q435" i="1"/>
  <c r="Q367" i="1"/>
  <c r="Q615" i="1"/>
  <c r="Q797" i="1"/>
  <c r="Q1727" i="1"/>
  <c r="Q865" i="1"/>
  <c r="Q680" i="1"/>
  <c r="Q468" i="1"/>
  <c r="Q1526" i="1"/>
  <c r="Q555" i="1"/>
  <c r="Q1053" i="1"/>
  <c r="Q837" i="1"/>
  <c r="Q2515" i="1"/>
  <c r="Q1644" i="1"/>
  <c r="Q744" i="1"/>
  <c r="Q1182" i="1"/>
  <c r="Q403" i="1"/>
  <c r="Q2611" i="1"/>
  <c r="Q1512" i="1"/>
  <c r="Q1881" i="1"/>
  <c r="Q2773" i="1"/>
  <c r="Q1371" i="1"/>
  <c r="Q1440" i="1"/>
  <c r="Q2183" i="1"/>
  <c r="Q1376" i="1"/>
  <c r="Q318" i="1"/>
  <c r="Q498" i="1"/>
  <c r="Q644" i="1"/>
  <c r="Q630" i="1"/>
  <c r="Q1888" i="1"/>
  <c r="Q668" i="1"/>
  <c r="Q301" i="1"/>
  <c r="Q1712" i="1"/>
  <c r="Q1085" i="1"/>
  <c r="Q47" i="1"/>
  <c r="Q1251" i="1"/>
  <c r="Q249" i="1"/>
  <c r="Q1847" i="1"/>
  <c r="Q740" i="1"/>
  <c r="Q203" i="1"/>
  <c r="Q1292" i="1"/>
  <c r="Q2446" i="1"/>
  <c r="Q1675" i="1"/>
  <c r="Q2561" i="1"/>
  <c r="Q2346" i="1"/>
  <c r="Q725" i="1"/>
  <c r="Q1951" i="1"/>
  <c r="Q2466" i="1"/>
  <c r="Q56" i="1"/>
  <c r="Q1426" i="1"/>
  <c r="Q1999" i="1"/>
  <c r="Q373" i="1"/>
  <c r="Q1149" i="1"/>
  <c r="Q2081" i="1"/>
  <c r="Q1248" i="1"/>
  <c r="Q2775" i="1"/>
  <c r="Q480" i="1"/>
  <c r="Q1023" i="1"/>
  <c r="Q1534" i="1"/>
  <c r="Q2642" i="1"/>
  <c r="Q2691" i="1"/>
  <c r="Q768" i="1"/>
  <c r="Q2250" i="1"/>
  <c r="Q1536" i="1"/>
  <c r="Q2449" i="1"/>
  <c r="Q2627" i="1"/>
  <c r="Q821" i="1"/>
  <c r="Q266" i="1"/>
  <c r="Q483" i="1"/>
  <c r="Q2790" i="1"/>
  <c r="Q1277" i="1"/>
  <c r="Q2646" i="1"/>
  <c r="Q1445" i="1"/>
  <c r="Q1082" i="1"/>
  <c r="Q1597" i="1"/>
  <c r="Q928" i="1"/>
  <c r="Q1766" i="1"/>
  <c r="Q2202" i="1"/>
  <c r="Q1615" i="1"/>
  <c r="Q575" i="1"/>
  <c r="Q482" i="1"/>
  <c r="Q384" i="1"/>
  <c r="Q2043" i="1"/>
  <c r="Q317" i="1"/>
  <c r="Q1785" i="1"/>
  <c r="Q265" i="1"/>
  <c r="Q286" i="1"/>
  <c r="Q1878" i="1"/>
  <c r="Q2090" i="1"/>
  <c r="Q88" i="1"/>
  <c r="Q1884" i="1"/>
  <c r="Q2244" i="1"/>
  <c r="Q123" i="1"/>
  <c r="Q184" i="1"/>
  <c r="Q2746" i="1"/>
  <c r="Q1848" i="1"/>
  <c r="Q1814" i="1"/>
  <c r="Q2553" i="1"/>
  <c r="Q264" i="1"/>
  <c r="Q1102" i="1"/>
  <c r="Q1993" i="1"/>
  <c r="Q237" i="1"/>
  <c r="Q128" i="1"/>
  <c r="Q2239" i="1"/>
  <c r="Q2417" i="1"/>
  <c r="Q278" i="1"/>
  <c r="Q2669" i="1"/>
  <c r="Q995" i="1"/>
  <c r="Q1713" i="1"/>
  <c r="Q151" i="1"/>
  <c r="Q2101" i="1"/>
  <c r="Q2379" i="1"/>
  <c r="Q454" i="1"/>
  <c r="Q602" i="1"/>
  <c r="Q2635" i="1"/>
  <c r="Q1956" i="1"/>
  <c r="Q2293" i="1"/>
  <c r="Q106" i="1"/>
  <c r="Q78" i="1"/>
  <c r="Q1780" i="1"/>
  <c r="Q1546" i="1"/>
  <c r="Q1349" i="1"/>
  <c r="Q1543" i="1"/>
  <c r="Q1539" i="1"/>
  <c r="Q662" i="1"/>
  <c r="Q102" i="1"/>
  <c r="Q2725" i="1"/>
  <c r="Q798" i="1"/>
  <c r="Q1821" i="1"/>
  <c r="Q486" i="1"/>
  <c r="Q2125" i="1"/>
  <c r="Q1456" i="1"/>
  <c r="Q2329" i="1"/>
  <c r="Q216" i="1"/>
  <c r="Q1771" i="1"/>
  <c r="Q2360" i="1"/>
  <c r="Q2702" i="1"/>
  <c r="Q2581" i="1"/>
  <c r="Q469" i="1"/>
  <c r="Q365" i="1"/>
  <c r="Q1187" i="1"/>
  <c r="Q2533" i="1"/>
  <c r="Q1225" i="1"/>
  <c r="Q284" i="1"/>
  <c r="Q262" i="1"/>
  <c r="Q669" i="1"/>
  <c r="Q2118" i="1"/>
  <c r="Q1098" i="1"/>
  <c r="Q564" i="1"/>
  <c r="Q2063" i="1"/>
  <c r="Q372" i="1"/>
  <c r="Q1930" i="1"/>
  <c r="Q700" i="1"/>
  <c r="Q162" i="1"/>
  <c r="Q1096" i="1"/>
  <c r="Q924" i="1"/>
  <c r="Q2277" i="1"/>
  <c r="Q252" i="1"/>
  <c r="Q2641" i="1"/>
  <c r="Q556" i="1"/>
  <c r="Q2166" i="1"/>
  <c r="Q955" i="1"/>
  <c r="Q1409" i="1"/>
  <c r="Q2594" i="1"/>
  <c r="Q512" i="1"/>
  <c r="Q2476" i="1"/>
  <c r="Q2688" i="1"/>
  <c r="Q503" i="1"/>
  <c r="Q1524" i="1"/>
  <c r="Q1005" i="1"/>
  <c r="Q2736" i="1"/>
  <c r="Q1958" i="1"/>
  <c r="Q280" i="1"/>
  <c r="Q2260" i="1"/>
  <c r="Q2019" i="1"/>
  <c r="Q525" i="1"/>
  <c r="Q2082" i="1"/>
  <c r="Q1468" i="1"/>
  <c r="Q809" i="1"/>
  <c r="Q1209" i="1"/>
  <c r="Q231" i="1"/>
  <c r="Q343" i="1"/>
  <c r="Q1731" i="1"/>
  <c r="Q1862" i="1"/>
  <c r="Q2026" i="1"/>
  <c r="Q26" i="1"/>
  <c r="Q2749" i="1"/>
  <c r="Q243" i="1"/>
  <c r="Q1469" i="1"/>
  <c r="Q1323" i="1"/>
  <c r="Q380" i="1"/>
  <c r="Q2471" i="1"/>
  <c r="Q1656" i="1"/>
  <c r="Q2325" i="1"/>
  <c r="Q986" i="1"/>
  <c r="Q1200" i="1"/>
  <c r="Q1401" i="1"/>
  <c r="Q1852" i="1"/>
  <c r="Q1274" i="1"/>
  <c r="Q552" i="1"/>
  <c r="Q2266" i="1"/>
  <c r="Q431" i="1"/>
  <c r="Q2235" i="1"/>
  <c r="Q194" i="1"/>
  <c r="Q1522" i="1"/>
  <c r="Q962" i="1"/>
  <c r="Q1010" i="1"/>
  <c r="Q1517" i="1"/>
  <c r="Q99" i="1"/>
  <c r="Q190" i="1"/>
  <c r="Q2537" i="1"/>
  <c r="Q1870" i="1"/>
  <c r="Q362" i="1"/>
  <c r="Q698" i="1"/>
  <c r="Q1676" i="1"/>
  <c r="Q2534" i="1"/>
  <c r="Q296" i="1"/>
  <c r="Q1214" i="1"/>
  <c r="Q721" i="1"/>
  <c r="Q832" i="1"/>
  <c r="Q1411" i="1"/>
  <c r="Q735" i="1"/>
  <c r="Q94" i="1"/>
  <c r="Q250" i="1"/>
  <c r="Q1786" i="1"/>
  <c r="Q2045" i="1"/>
  <c r="Q1938" i="1"/>
  <c r="Q1511" i="1"/>
  <c r="Q322" i="1"/>
  <c r="Q736" i="1"/>
  <c r="Q215" i="1"/>
  <c r="Q1776" i="1"/>
  <c r="Q2316" i="1"/>
  <c r="Q2331" i="1"/>
  <c r="Q1986" i="1"/>
  <c r="Q1949" i="1"/>
  <c r="Q1704" i="1"/>
  <c r="Q1747" i="1"/>
  <c r="Q2462" i="1"/>
  <c r="Q1352" i="1"/>
  <c r="Q2794" i="1"/>
  <c r="Q844" i="1"/>
  <c r="Q1088" i="1"/>
  <c r="Q1205" i="1"/>
  <c r="Q167" i="1"/>
  <c r="Q929" i="1"/>
  <c r="Q815" i="1"/>
  <c r="Q2408" i="1"/>
  <c r="Q597" i="1"/>
  <c r="Q291" i="1"/>
  <c r="Q2038" i="1"/>
  <c r="Q647" i="1"/>
  <c r="Q2722" i="1"/>
  <c r="Q2452" i="1"/>
  <c r="Q2021" i="1"/>
  <c r="Q125" i="1"/>
  <c r="Q1286" i="1"/>
  <c r="Q992" i="1"/>
  <c r="Q1681" i="1"/>
  <c r="Q328" i="1"/>
  <c r="Q1647" i="1"/>
  <c r="Q2752" i="1"/>
  <c r="Q1714" i="1"/>
  <c r="Q1929" i="1"/>
  <c r="Q1212" i="1"/>
  <c r="Q1583" i="1"/>
  <c r="Q1178" i="1"/>
  <c r="Q1353" i="1"/>
  <c r="Q2599" i="1"/>
  <c r="Q2085" i="1"/>
  <c r="Q1399" i="1"/>
  <c r="Q677" i="1"/>
  <c r="Q2327" i="1"/>
  <c r="Q739" i="1"/>
  <c r="Q823" i="1"/>
  <c r="Q1995" i="1"/>
  <c r="Q2112" i="1"/>
  <c r="Q2287" i="1"/>
  <c r="Q2157" i="1"/>
  <c r="Q1128" i="1"/>
  <c r="Q2314" i="1"/>
  <c r="Q2706" i="1"/>
  <c r="Q1911" i="1"/>
  <c r="Q1950" i="1"/>
  <c r="Q835" i="1"/>
  <c r="Q1629" i="1"/>
  <c r="Q1196" i="1"/>
  <c r="Q502" i="1"/>
  <c r="Q1541" i="1"/>
  <c r="Q2435" i="1"/>
  <c r="Q911" i="1"/>
  <c r="Q629" i="1"/>
  <c r="Q120" i="1"/>
  <c r="Q1193" i="1"/>
  <c r="Q655" i="1"/>
  <c r="Q1638" i="1"/>
  <c r="Q748" i="1"/>
  <c r="Q196" i="1"/>
  <c r="Q2566" i="1"/>
  <c r="Q2616" i="1"/>
  <c r="Q1864" i="1"/>
  <c r="Q2059" i="1"/>
  <c r="Q277" i="1"/>
  <c r="Q916" i="1"/>
  <c r="Q673" i="1"/>
  <c r="Q977" i="1"/>
  <c r="Q759" i="1"/>
  <c r="Q1516" i="1"/>
  <c r="Q2224" i="1"/>
  <c r="Q1672" i="1"/>
  <c r="Q1273" i="1"/>
  <c r="Q2324" i="1"/>
  <c r="Q2782" i="1"/>
  <c r="Q2761" i="1"/>
  <c r="Q2003" i="1"/>
  <c r="Q2693" i="1"/>
  <c r="Q1965" i="1"/>
  <c r="Q2105" i="1"/>
  <c r="Q38" i="1"/>
  <c r="Q329" i="1"/>
  <c r="Q2570" i="1"/>
  <c r="Q1472" i="1"/>
  <c r="Q140" i="1"/>
  <c r="Q2482" i="1"/>
  <c r="Q1791" i="1"/>
  <c r="Q2461" i="1"/>
  <c r="Q952" i="1"/>
  <c r="Q659" i="1"/>
  <c r="Q1072" i="1"/>
  <c r="Q214" i="1"/>
  <c r="Q199" i="1"/>
  <c r="Q492" i="1"/>
  <c r="Q576" i="1"/>
  <c r="Q1877" i="1"/>
  <c r="Q1891" i="1"/>
  <c r="Q2343" i="1"/>
  <c r="Q147" i="1"/>
  <c r="Q2612" i="1"/>
  <c r="Q1164" i="1"/>
  <c r="Q2541" i="1"/>
  <c r="Q153" i="1"/>
  <c r="Q202" i="1"/>
  <c r="Q1572" i="1"/>
  <c r="Q2055" i="1"/>
  <c r="Q2595" i="1"/>
  <c r="Q1213" i="1"/>
  <c r="Q2681" i="1"/>
  <c r="Q584" i="1"/>
  <c r="Q2390" i="1"/>
  <c r="Q383" i="1"/>
  <c r="Q2664" i="1"/>
  <c r="Q649" i="1"/>
  <c r="Q1378" i="1"/>
  <c r="Q2719" i="1"/>
  <c r="Q675" i="1"/>
  <c r="Q217" i="1"/>
  <c r="Q1903" i="1"/>
  <c r="Q1368" i="1"/>
  <c r="Q2478" i="1"/>
  <c r="Q772" i="1"/>
  <c r="Q2733" i="1"/>
  <c r="Q1389" i="1"/>
  <c r="Q2189" i="1"/>
  <c r="Q285" i="1"/>
  <c r="Q1236" i="1"/>
  <c r="Q1867" i="1"/>
  <c r="Q1340" i="1"/>
  <c r="Q287" i="1"/>
  <c r="Q1904" i="1"/>
  <c r="Q1420" i="1"/>
  <c r="Q1575" i="1"/>
  <c r="Q2548" i="1"/>
  <c r="Q2135" i="1"/>
  <c r="Q2776" i="1"/>
  <c r="Q45" i="1"/>
  <c r="Q1222" i="1"/>
  <c r="Q177" i="1"/>
  <c r="Q2754" i="1"/>
  <c r="Q514" i="1"/>
  <c r="Q2122" i="1"/>
  <c r="Q2173" i="1"/>
  <c r="Q930" i="1"/>
  <c r="Q854" i="1"/>
  <c r="Q2557" i="1"/>
  <c r="Q2111" i="1"/>
  <c r="Q37" i="1"/>
  <c r="Q1971" i="1"/>
  <c r="Q2143" i="1"/>
  <c r="Q608" i="1"/>
  <c r="Q204" i="1"/>
  <c r="Q998" i="1"/>
  <c r="Q880" i="1"/>
  <c r="Q1324" i="1"/>
  <c r="Q1552" i="1"/>
  <c r="Q2640" i="1"/>
  <c r="Q1163" i="1"/>
  <c r="Q1901" i="1"/>
  <c r="Q1796" i="1"/>
  <c r="Q2107" i="1"/>
  <c r="Q1527" i="1"/>
  <c r="Q1625" i="1"/>
  <c r="Q2542" i="1"/>
  <c r="Q1122" i="1"/>
  <c r="Q1896" i="1"/>
  <c r="Q790" i="1"/>
  <c r="Q1035" i="1"/>
  <c r="Q2670" i="1"/>
  <c r="Q1437" i="1"/>
  <c r="Q851" i="1"/>
  <c r="Q1497" i="1"/>
  <c r="Q2724" i="1"/>
  <c r="Q430" i="1"/>
  <c r="Q127" i="1"/>
  <c r="Q550" i="1"/>
  <c r="Q1598" i="1"/>
  <c r="Q2760" i="1"/>
  <c r="Q2002" i="1"/>
  <c r="Q1335" i="1"/>
  <c r="Q2600" i="1"/>
  <c r="Q1419" i="1"/>
  <c r="Q737" i="1"/>
  <c r="Q822" i="1"/>
  <c r="Q198" i="1"/>
  <c r="Q1734" i="1"/>
  <c r="Q607" i="1"/>
  <c r="Q414" i="1"/>
  <c r="Q2076" i="1"/>
  <c r="Q917" i="1"/>
  <c r="Q399" i="1"/>
  <c r="Q2643" i="1"/>
  <c r="Q2735" i="1"/>
  <c r="Q819" i="1"/>
  <c r="Q2347" i="1"/>
  <c r="Q534" i="1"/>
  <c r="Q2453" i="1"/>
  <c r="Q1486" i="1"/>
  <c r="Q171" i="1"/>
  <c r="Q1000" i="1"/>
  <c r="Q2359" i="1"/>
  <c r="Q2716" i="1"/>
  <c r="Q1865" i="1"/>
  <c r="Q682" i="1"/>
  <c r="Q764" i="1"/>
  <c r="Q1505" i="1"/>
  <c r="Q2422" i="1"/>
  <c r="Q879" i="1"/>
  <c r="Q27" i="1"/>
  <c r="Q312" i="1"/>
  <c r="Q508" i="1"/>
  <c r="Q307" i="1"/>
  <c r="Q2198" i="1"/>
  <c r="Q1458" i="1"/>
  <c r="Q1269" i="1"/>
  <c r="Q2672" i="1"/>
  <c r="Q2770" i="1"/>
  <c r="Q1729" i="1"/>
  <c r="Q2134" i="1"/>
  <c r="Q2336" i="1"/>
  <c r="Q2243" i="1"/>
  <c r="Q843" i="1"/>
  <c r="Q1742" i="1"/>
  <c r="Q1936" i="1"/>
  <c r="Q2131" i="1"/>
  <c r="Q754" i="1"/>
  <c r="Q1619" i="1"/>
  <c r="Q2391" i="1"/>
  <c r="Q1046" i="1"/>
  <c r="Q269" i="1"/>
  <c r="Q239" i="1"/>
  <c r="Q1699" i="1"/>
  <c r="Q1740" i="1"/>
  <c r="Q500" i="1"/>
  <c r="Q546" i="1"/>
  <c r="Q2354" i="1"/>
  <c r="Q806" i="1"/>
  <c r="Q1453" i="1"/>
  <c r="Q1567" i="1"/>
  <c r="Q337" i="1"/>
  <c r="Q1931" i="1"/>
  <c r="Q2237" i="1"/>
  <c r="Q103" i="1"/>
  <c r="Q1752" i="1"/>
  <c r="Q1772" i="1"/>
  <c r="Q463" i="1"/>
  <c r="Q259" i="1"/>
  <c r="Q1436" i="1"/>
  <c r="Q774" i="1"/>
  <c r="Q729" i="1"/>
  <c r="Q1257" i="1"/>
  <c r="Q191" i="1"/>
  <c r="Q2694" i="1"/>
  <c r="Q1265" i="1"/>
  <c r="Q1722" i="1"/>
  <c r="Q812" i="1"/>
  <c r="Q1054" i="1"/>
  <c r="Q2492" i="1"/>
  <c r="Q2429" i="1"/>
  <c r="Q77" i="1"/>
  <c r="Q1839" i="1"/>
  <c r="Q400" i="1"/>
  <c r="Q1117" i="1"/>
  <c r="Q2751" i="1"/>
  <c r="Q371" i="1"/>
  <c r="Q1195" i="1"/>
  <c r="Q1894" i="1"/>
  <c r="Q443" i="1"/>
  <c r="Q776" i="1"/>
  <c r="Q2265" i="1"/>
  <c r="Q1227" i="1"/>
  <c r="Q1154" i="1"/>
  <c r="Q997" i="1"/>
  <c r="Q1474" i="1"/>
  <c r="Q2545" i="1"/>
  <c r="Q1806" i="1"/>
  <c r="Q1294" i="1"/>
  <c r="Q2525" i="1"/>
  <c r="Q234" i="1"/>
  <c r="Q434" i="1"/>
  <c r="Q961" i="1"/>
  <c r="Q1909" i="1"/>
  <c r="Q1332" i="1"/>
  <c r="Q2676" i="1"/>
  <c r="Q738" i="1"/>
  <c r="Q1655" i="1"/>
  <c r="Q1354" i="1"/>
  <c r="Q1246" i="1"/>
  <c r="Q2095" i="1"/>
  <c r="Q2344" i="1"/>
  <c r="Q1390" i="1"/>
  <c r="Q2071" i="1"/>
  <c r="Q2696" i="1"/>
  <c r="Q934" i="1"/>
  <c r="Q2685" i="1"/>
  <c r="Q1724" i="1"/>
  <c r="Q2073" i="1"/>
  <c r="Q1834" i="1"/>
  <c r="Q2171" i="1"/>
  <c r="Q2077" i="1"/>
  <c r="Q2052" i="1"/>
  <c r="Q349" i="1"/>
  <c r="Q1229" i="1"/>
  <c r="Q1083" i="1"/>
  <c r="Q1800" i="1"/>
  <c r="Q1533" i="1"/>
  <c r="Q246" i="1"/>
  <c r="Q397" i="1"/>
  <c r="Q295" i="1"/>
  <c r="Q2596" i="1"/>
  <c r="Q2713" i="1"/>
  <c r="Q1906" i="1"/>
  <c r="Q205" i="1"/>
  <c r="Q951" i="1"/>
  <c r="Q2054" i="1"/>
  <c r="Q730" i="1"/>
  <c r="Q2140" i="1"/>
  <c r="Q684" i="1"/>
  <c r="Q313" i="1"/>
  <c r="Q65" i="1"/>
  <c r="Q1642" i="1"/>
  <c r="Q1854" i="1"/>
  <c r="Q1997" i="1"/>
  <c r="Q2519" i="1"/>
  <c r="Q1421" i="1"/>
  <c r="Q566" i="1"/>
  <c r="Q671" i="1"/>
  <c r="Q2213" i="1"/>
  <c r="Q2620" i="1"/>
  <c r="Q580" i="1"/>
  <c r="Q1858" i="1"/>
  <c r="Q1932" i="1"/>
  <c r="Q1774" i="1"/>
  <c r="Q2318" i="1"/>
  <c r="Q2649" i="1"/>
  <c r="Q1959" i="1"/>
  <c r="Q2385" i="1"/>
  <c r="Q2481" i="1"/>
  <c r="Q2089" i="1"/>
  <c r="Q2377" i="1"/>
  <c r="Q338" i="1"/>
  <c r="Q2165" i="1"/>
  <c r="Q12" i="1"/>
  <c r="Q950" i="1"/>
  <c r="Q980" i="1"/>
  <c r="Q2623" i="1"/>
  <c r="Q710" i="1"/>
  <c r="Q1239" i="1"/>
  <c r="Q2330" i="1"/>
  <c r="Q2123" i="1"/>
  <c r="Q2276" i="1"/>
  <c r="Q685" i="1"/>
  <c r="Q1300" i="1"/>
  <c r="Q1767" i="1"/>
  <c r="Q1140" i="1"/>
  <c r="Q1926" i="1"/>
  <c r="Q2543" i="1"/>
  <c r="Q1494" i="1"/>
  <c r="Q1131" i="1"/>
  <c r="Q2396" i="1"/>
  <c r="Q206" i="1"/>
  <c r="Q1454" i="1"/>
  <c r="Q319" i="1"/>
  <c r="Q2169" i="1"/>
  <c r="Q449" i="1"/>
  <c r="Q1980" i="1"/>
  <c r="Q651" i="1"/>
  <c r="Q2445" i="1"/>
  <c r="Q831" i="1"/>
  <c r="Q681" i="1"/>
  <c r="Q1703" i="1"/>
  <c r="Q903" i="1"/>
  <c r="Q1779" i="1"/>
  <c r="Q1845" i="1"/>
  <c r="Q2149" i="1"/>
  <c r="Q691" i="1"/>
  <c r="Q2020" i="1"/>
  <c r="Q2103" i="1"/>
  <c r="Q2187" i="1"/>
  <c r="Q1706" i="1"/>
  <c r="Q818" i="1"/>
  <c r="Q2227" i="1"/>
  <c r="Q1605" i="1"/>
  <c r="Q152" i="1"/>
  <c r="Q690" i="1"/>
  <c r="Q1358" i="1"/>
  <c r="Q2590" i="1"/>
  <c r="Q2401" i="1"/>
  <c r="Q511" i="1"/>
  <c r="Q1827" i="1"/>
  <c r="Q2304" i="1"/>
  <c r="Q2345" i="1"/>
  <c r="Q1094" i="1"/>
  <c r="Q2527" i="1"/>
  <c r="Q2614" i="1"/>
  <c r="Q1996" i="1"/>
  <c r="Q2683" i="1"/>
  <c r="Q1861" i="1"/>
  <c r="Q207" i="1"/>
  <c r="Q2332" i="1"/>
  <c r="Q2644" i="1"/>
  <c r="Q2690" i="1"/>
  <c r="Q197" i="1"/>
  <c r="Q2017" i="1"/>
  <c r="Q1582" i="1"/>
  <c r="Q1446" i="1"/>
  <c r="Q2126" i="1"/>
  <c r="Q2233" i="1"/>
  <c r="Q1281" i="1"/>
  <c r="Q667" i="1"/>
  <c r="Q2450" i="1"/>
  <c r="Q2598" i="1"/>
  <c r="Q746" i="1"/>
  <c r="Q448" i="1"/>
  <c r="Q1717" i="1"/>
  <c r="Q2283" i="1"/>
  <c r="Q620" i="1"/>
  <c r="Q98" i="1"/>
  <c r="Q582" i="1"/>
  <c r="Q260" i="1"/>
  <c r="Q2384" i="1"/>
  <c r="Q893" i="1"/>
  <c r="Q1116" i="1"/>
  <c r="Q1562" i="1"/>
  <c r="Q2035" i="1"/>
  <c r="Q1782" i="1"/>
  <c r="Q2500" i="1"/>
  <c r="Q2029" i="1"/>
  <c r="Q840" i="1"/>
  <c r="Q613" i="1"/>
  <c r="Q2161" i="1"/>
  <c r="Q1188" i="1"/>
  <c r="Q2037" i="1"/>
  <c r="Q321" i="1"/>
  <c r="Q1607" i="1"/>
  <c r="Q2744" i="1"/>
  <c r="Q1326" i="1"/>
  <c r="Q490" i="1"/>
  <c r="Q261" i="1"/>
  <c r="Q2374" i="1"/>
  <c r="Q870" i="1"/>
  <c r="Q2430" i="1"/>
  <c r="Q2356" i="1"/>
  <c r="Q1555" i="1"/>
  <c r="Q2262" i="1"/>
  <c r="Q707" i="1"/>
  <c r="Q643" i="1"/>
  <c r="Q1302" i="1"/>
  <c r="Q803" i="1"/>
  <c r="Q2784" i="1"/>
  <c r="Q731" i="1"/>
  <c r="Q2106" i="1"/>
  <c r="Q2039" i="1"/>
  <c r="Q1377" i="1"/>
  <c r="Q715" i="1"/>
  <c r="Q161" i="1"/>
  <c r="Q940" i="1"/>
  <c r="Q1895" i="1"/>
  <c r="Q2787" i="1"/>
  <c r="Q489" i="1"/>
  <c r="Q418" i="1"/>
  <c r="Q2238" i="1"/>
  <c r="Q1120" i="1"/>
  <c r="Q640" i="1"/>
  <c r="Q2382" i="1"/>
  <c r="Q2139" i="1"/>
  <c r="Q360" i="1"/>
  <c r="Q914" i="1"/>
  <c r="Q535" i="1"/>
  <c r="Q2718" i="1"/>
  <c r="Q1357" i="1"/>
  <c r="Q1741" i="1"/>
  <c r="Q1386" i="1"/>
  <c r="Q2416" i="1"/>
  <c r="Q1124" i="1"/>
  <c r="Q1998" i="1"/>
  <c r="Q2323" i="1"/>
  <c r="Q882" i="1"/>
  <c r="Q2392" i="1"/>
  <c r="Q614" i="1"/>
  <c r="Q1219" i="1"/>
  <c r="Q305" i="1"/>
  <c r="Q131" i="1"/>
  <c r="Q459" i="1"/>
  <c r="Q1432" i="1"/>
  <c r="Q2136" i="1"/>
  <c r="Q1022" i="1"/>
  <c r="Q734" i="1"/>
  <c r="Q2062" i="1"/>
  <c r="Q542" i="1"/>
  <c r="Q211" i="1"/>
  <c r="Q2431" i="1"/>
  <c r="Q943" i="1"/>
  <c r="Q1922" i="1"/>
  <c r="Q2565" i="1"/>
  <c r="Q1565" i="1"/>
  <c r="Q2665" i="1"/>
  <c r="Q402" i="1"/>
  <c r="Q2064" i="1"/>
  <c r="Q1450" i="1"/>
  <c r="Q1784" i="1"/>
  <c r="Q1700" i="1"/>
  <c r="Q1944" i="1"/>
  <c r="Q635" i="1"/>
  <c r="Q868" i="1"/>
  <c r="Q2708" i="1"/>
  <c r="Q1108" i="1"/>
  <c r="Q1289" i="1"/>
  <c r="Q2317" i="1"/>
  <c r="Q1809" i="1"/>
  <c r="Q2231" i="1"/>
  <c r="Q1860" i="1"/>
  <c r="Q1003" i="1"/>
  <c r="Q2584" i="1"/>
  <c r="Q1709" i="1"/>
  <c r="Q2413" i="1"/>
  <c r="Q2658" i="1"/>
  <c r="Q2341" i="1"/>
  <c r="Q433" i="1"/>
  <c r="Q1381" i="1"/>
  <c r="Q344" i="1"/>
  <c r="Q2755" i="1"/>
  <c r="Q913" i="1"/>
  <c r="Q611" i="1"/>
  <c r="Q932" i="1"/>
  <c r="Q1907" i="1"/>
  <c r="Q829" i="1"/>
  <c r="Q181" i="1"/>
  <c r="Q2668" i="1"/>
  <c r="Q493" i="1"/>
  <c r="Q1778" i="1"/>
  <c r="Q574" i="1"/>
  <c r="Q61" i="1"/>
  <c r="Q1001" i="1"/>
  <c r="Q896" i="1"/>
  <c r="Q2407" i="1"/>
  <c r="Q506" i="1"/>
  <c r="Q1579" i="1"/>
  <c r="Q1346" i="1"/>
  <c r="Q2728" i="1"/>
  <c r="Q2763" i="1"/>
  <c r="Q1851" i="1"/>
  <c r="Q294" i="1"/>
  <c r="Q766" i="1"/>
  <c r="Q1777" i="1"/>
  <c r="Q2245" i="1"/>
  <c r="Q590" i="1"/>
  <c r="Q1602" i="1"/>
  <c r="Q1708" i="1"/>
  <c r="Q1617" i="1"/>
  <c r="Q2102" i="1"/>
  <c r="Q1360" i="1"/>
  <c r="Q2618" i="1"/>
  <c r="Q705" i="1"/>
  <c r="Q1503" i="1"/>
  <c r="Q751" i="1"/>
  <c r="Q2339" i="1"/>
  <c r="Q1305" i="1"/>
  <c r="Q2030" i="1"/>
  <c r="Q2780" i="1"/>
  <c r="Q2551" i="1"/>
  <c r="Q1744" i="1"/>
  <c r="Q138" i="1"/>
  <c r="Q2629" i="1"/>
  <c r="Q452" i="1"/>
  <c r="Q1928" i="1"/>
  <c r="Q1823" i="1"/>
  <c r="Q281" i="1"/>
  <c r="Q2772" i="1"/>
  <c r="Q2132" i="1"/>
  <c r="Q2025" i="1"/>
  <c r="Q902" i="1"/>
  <c r="Q2110" i="1"/>
  <c r="Q168" i="1"/>
  <c r="Q334" i="1"/>
  <c r="Q838" i="1"/>
  <c r="Q487" i="1"/>
  <c r="Q1631" i="1"/>
  <c r="Q784" i="1"/>
  <c r="Q978" i="1"/>
  <c r="Q2436" i="1"/>
  <c r="Q2031" i="1"/>
  <c r="Q1641" i="1"/>
  <c r="Q1574" i="1"/>
  <c r="Q912" i="1"/>
  <c r="Q182" i="1"/>
  <c r="Q794" i="1"/>
  <c r="Q639" i="1"/>
  <c r="Q2333" i="1"/>
  <c r="Q658" i="1"/>
  <c r="Q1502" i="1"/>
  <c r="Q2491" i="1"/>
  <c r="Q2155" i="1"/>
  <c r="Q2129" i="1"/>
  <c r="Q994" i="1"/>
  <c r="Q132" i="1"/>
  <c r="Q2164" i="1"/>
  <c r="Q315" i="1"/>
  <c r="Q2456" i="1"/>
  <c r="Q82" i="1"/>
  <c r="Q1417" i="1"/>
  <c r="Q379" i="1"/>
  <c r="Q2634" i="1"/>
  <c r="Q422" i="1"/>
  <c r="Q1394" i="1"/>
  <c r="Q173" i="1"/>
  <c r="Q457" i="1"/>
  <c r="Q1032" i="1"/>
  <c r="Q387" i="1"/>
  <c r="Q501" i="1"/>
  <c r="Q2653" i="1"/>
  <c r="Q427" i="1"/>
  <c r="Q386" i="1"/>
  <c r="Q1640" i="1"/>
  <c r="Q2506" i="1"/>
  <c r="Q1176" i="1"/>
  <c r="Q299" i="1"/>
  <c r="Q2186" i="1"/>
  <c r="Q411" i="1"/>
  <c r="Q1112" i="1"/>
  <c r="Q1313" i="1"/>
  <c r="Q2473" i="1"/>
  <c r="Q1056" i="1"/>
  <c r="Q2426" i="1"/>
  <c r="Q1041" i="1"/>
  <c r="Q828" i="1"/>
  <c r="Q174" i="1"/>
  <c r="Q1475" i="1"/>
  <c r="Q1147" i="1"/>
  <c r="Q2437" i="1"/>
  <c r="Q154" i="1"/>
  <c r="Q2247" i="1"/>
  <c r="Q1694" i="1"/>
  <c r="Q1231" i="1"/>
  <c r="Q1007" i="1"/>
  <c r="Q2511" i="1"/>
  <c r="Q1590" i="1"/>
  <c r="Q2651" i="1"/>
  <c r="Q178" i="1"/>
  <c r="Q2656" i="1"/>
  <c r="Q1738" i="1"/>
  <c r="Q1461" i="1"/>
  <c r="Q1745" i="1"/>
  <c r="Q747" i="1"/>
  <c r="Q2079" i="1"/>
  <c r="Q1134" i="1"/>
  <c r="Q652" i="1"/>
  <c r="Q148" i="1"/>
  <c r="Q538" i="1"/>
  <c r="Q626" i="1"/>
  <c r="Q2663" i="1"/>
  <c r="Q1736" i="1"/>
  <c r="Q2340" i="1"/>
  <c r="Q1992" i="1"/>
  <c r="Q1491" i="1"/>
  <c r="Q2115" i="1"/>
  <c r="Q587" i="1"/>
  <c r="Q862" i="1"/>
  <c r="Q1792" i="1"/>
  <c r="Q303" i="1"/>
  <c r="Q795" i="1"/>
  <c r="Q771" i="1"/>
  <c r="Q2196" i="1"/>
  <c r="Q679" i="1"/>
  <c r="Q2310" i="1"/>
  <c r="Q2501" i="1"/>
  <c r="Q2222" i="1"/>
  <c r="Q67" i="1"/>
  <c r="Q494" i="1"/>
  <c r="Q696" i="1"/>
  <c r="Q1611" i="1"/>
  <c r="Q1462" i="1"/>
  <c r="Q458" i="1"/>
  <c r="Q1830" i="1"/>
  <c r="Q1287" i="1"/>
  <c r="Q650" i="1"/>
  <c r="Q982" i="1"/>
  <c r="Q320" i="1"/>
  <c r="Q2507" i="1"/>
  <c r="Q1648" i="1"/>
  <c r="Q2636" i="1"/>
  <c r="Q722" i="1"/>
  <c r="Q1014" i="1"/>
  <c r="Q2249" i="1"/>
  <c r="Q871" i="1"/>
  <c r="Q2219" i="1"/>
  <c r="Q2313" i="1"/>
  <c r="Q2014" i="1"/>
  <c r="Q2689" i="1"/>
  <c r="Q2000" i="1"/>
  <c r="Q2230" i="1"/>
  <c r="Q2380" i="1"/>
  <c r="Q2591" i="1"/>
  <c r="Q53" i="1"/>
  <c r="Q1566" i="1"/>
  <c r="Q342" i="1"/>
  <c r="Q1418" i="1"/>
  <c r="Q58" i="1"/>
  <c r="Q481" i="1"/>
  <c r="Q549" i="1"/>
  <c r="Q2522" i="1"/>
  <c r="Q648" i="1"/>
  <c r="Q692" i="1"/>
  <c r="Q1370" i="1"/>
  <c r="Q2305" i="1"/>
  <c r="Q290" i="1"/>
  <c r="Q2263" i="1"/>
  <c r="Q2254" i="1"/>
  <c r="Q2160" i="1"/>
  <c r="Q1883" i="1"/>
  <c r="Q104" i="1"/>
  <c r="Q2142" i="1"/>
  <c r="Q2443" i="1"/>
  <c r="Q1868" i="1"/>
  <c r="Q2086" i="1"/>
  <c r="Q562" i="1"/>
  <c r="Q559" i="1"/>
  <c r="Q1478" i="1"/>
  <c r="Q661" i="1"/>
  <c r="Q119" i="1"/>
  <c r="Q1296" i="1"/>
  <c r="Q406" i="1"/>
  <c r="Q24" i="1"/>
  <c r="Q1238" i="1"/>
  <c r="Q897" i="1"/>
  <c r="Q1315" i="1"/>
  <c r="Q107" i="1"/>
  <c r="Q2321" i="1"/>
  <c r="Q513" i="1"/>
  <c r="Q1471" i="1"/>
  <c r="Q1391" i="1"/>
  <c r="Q1106" i="1"/>
  <c r="Q1627" i="1"/>
  <c r="Q1298" i="1"/>
  <c r="Q1686" i="1"/>
  <c r="Q2707" i="1"/>
  <c r="Q1481" i="1"/>
  <c r="Q62" i="1"/>
  <c r="Q788" i="1"/>
  <c r="Q273" i="1"/>
  <c r="Q1836" i="1"/>
  <c r="Q72" i="1"/>
  <c r="Q1718" i="1"/>
  <c r="Q235" i="1"/>
  <c r="Q1407" i="1"/>
  <c r="Q2206" i="1"/>
  <c r="Q1916" i="1"/>
  <c r="Q931" i="1"/>
  <c r="Q2158" i="1"/>
  <c r="Q2251" i="1"/>
  <c r="Q1253" i="1"/>
  <c r="Q645" i="1"/>
  <c r="Q445" i="1"/>
  <c r="Q13" i="1"/>
  <c r="Q2785" i="1"/>
  <c r="Q641" i="1"/>
  <c r="Q1422" i="1"/>
  <c r="Q2603" i="1"/>
  <c r="Q385" i="1"/>
  <c r="Q623" i="1"/>
  <c r="Q1856" i="1"/>
  <c r="Q2048" i="1"/>
  <c r="Q1719" i="1"/>
  <c r="Q699" i="1"/>
  <c r="Q1069" i="1"/>
  <c r="Q1716" i="1"/>
  <c r="Q864" i="1"/>
  <c r="Q775" i="1"/>
  <c r="Q627" i="1"/>
  <c r="Q945" i="1"/>
  <c r="Q1697" i="1"/>
  <c r="Q2607" i="1"/>
  <c r="Q826" i="1"/>
  <c r="Q1125" i="1"/>
  <c r="Q2138" i="1"/>
  <c r="Q2088" i="1"/>
  <c r="Q1221" i="1"/>
  <c r="Q505" i="1"/>
  <c r="Q1634" i="1"/>
  <c r="Q2652" i="1"/>
  <c r="Q1643" i="1"/>
  <c r="Q80" i="1"/>
  <c r="Q1846" i="1"/>
  <c r="Q2680" i="1"/>
  <c r="Q1244" i="1"/>
  <c r="Q2137" i="1"/>
  <c r="Q175" i="1"/>
  <c r="Q1290" i="1"/>
  <c r="Q933" i="1"/>
  <c r="Q2631" i="1"/>
  <c r="Q2387" i="1"/>
  <c r="Q1359" i="1"/>
  <c r="Q2552" i="1"/>
  <c r="Q2639" i="1"/>
  <c r="Q420" i="1"/>
  <c r="Q2488" i="1"/>
  <c r="Q2789" i="1"/>
  <c r="Q1601" i="1"/>
  <c r="Q947" i="1"/>
  <c r="Q267" i="1"/>
  <c r="Q1311" i="1"/>
  <c r="Q2172" i="1"/>
  <c r="Q1941" i="1"/>
  <c r="Q568" i="1"/>
  <c r="Q1252" i="1"/>
  <c r="Q461" i="1"/>
  <c r="Q1924" i="1"/>
  <c r="Q2215" i="1"/>
  <c r="Q1557" i="1"/>
  <c r="Q2273" i="1"/>
  <c r="Q1826" i="1"/>
  <c r="Q1514" i="1"/>
  <c r="Q1107" i="1"/>
  <c r="Q1935" i="1"/>
  <c r="Q2467" i="1"/>
  <c r="Q1451" i="1"/>
  <c r="Q2419" i="1"/>
  <c r="Q2577" i="1"/>
  <c r="Q925" i="1"/>
  <c r="Q1939" i="1"/>
  <c r="Q2559" i="1"/>
  <c r="Q2203" i="1"/>
  <c r="Q455" i="1"/>
  <c r="Q374" i="1"/>
  <c r="Q591" i="1"/>
  <c r="Q1691" i="1"/>
  <c r="Q1991" i="1"/>
  <c r="Q1812" i="1"/>
  <c r="Q850" i="1"/>
  <c r="Q733" i="1"/>
  <c r="Q2587" i="1"/>
  <c r="Q456" i="1"/>
  <c r="Q112" i="1"/>
  <c r="Q1242" i="1"/>
  <c r="Q601" i="1"/>
  <c r="Q2768" i="1"/>
  <c r="Q314" i="1"/>
  <c r="Q1144" i="1"/>
  <c r="Q2159" i="1"/>
  <c r="Q79" i="1"/>
  <c r="Q2256" i="1"/>
  <c r="Q1029" i="1"/>
  <c r="Q2228" i="1"/>
  <c r="Q145" i="1"/>
  <c r="Q2516" i="1"/>
  <c r="Q2601" i="1"/>
  <c r="Q2311" i="1"/>
  <c r="Q2695" i="1"/>
  <c r="Q2386" i="1"/>
  <c r="Q989" i="1"/>
  <c r="Q276" i="1"/>
  <c r="Q991" i="1"/>
  <c r="Q1720" i="1"/>
  <c r="Q2070" i="1"/>
  <c r="Q1759" i="1"/>
  <c r="Q2420" i="1"/>
  <c r="Q2363" i="1"/>
  <c r="Q1794" i="1"/>
  <c r="Q247" i="1"/>
  <c r="Q2154" i="1"/>
  <c r="Q34" i="1"/>
  <c r="Q1405" i="1"/>
  <c r="Q1151" i="1"/>
  <c r="Q1186" i="1"/>
  <c r="Q66" i="1"/>
  <c r="Q2514" i="1"/>
  <c r="Q1730" i="1"/>
  <c r="Q1963" i="1"/>
  <c r="Q2547" i="1"/>
  <c r="Q1962" i="1"/>
  <c r="Q1127" i="1"/>
  <c r="Q425" i="1"/>
  <c r="Q1384" i="1"/>
  <c r="Q340" i="1"/>
  <c r="Q142" i="1"/>
  <c r="Q621" i="1"/>
  <c r="Q612" i="1"/>
  <c r="Q2447" i="1"/>
  <c r="Q2786" i="1"/>
  <c r="Q2015" i="1"/>
  <c r="Q1933" i="1"/>
  <c r="Q1442" i="1"/>
  <c r="Q226" i="1"/>
  <c r="Q1841" i="1"/>
  <c r="Q1985" i="1"/>
  <c r="Q485" i="1"/>
  <c r="Q55" i="1"/>
  <c r="Q877" i="1"/>
  <c r="Q1079" i="1"/>
  <c r="Q2255" i="1"/>
  <c r="Q1217" i="1"/>
  <c r="Q2723" i="1"/>
  <c r="Q702" i="1"/>
  <c r="Q1402" i="1"/>
  <c r="Q683" i="1"/>
  <c r="Q2326" i="1"/>
  <c r="Q2410" i="1"/>
  <c r="Q1066" i="1"/>
  <c r="Q1571" i="1"/>
  <c r="Q2236" i="1"/>
  <c r="Q193" i="1"/>
  <c r="Q2529" i="1"/>
  <c r="Q2364" i="1"/>
  <c r="Q1220" i="1"/>
  <c r="Q1762" i="1"/>
  <c r="Q130" i="1"/>
  <c r="Q956" i="1"/>
  <c r="Q1199" i="1"/>
  <c r="Q2617" i="1"/>
  <c r="Q1449" i="1"/>
  <c r="Q363" i="1"/>
  <c r="Q2493" i="1"/>
  <c r="Q413" i="1"/>
  <c r="Q1651" i="1"/>
  <c r="Q2248" i="1"/>
  <c r="Q1063" i="1"/>
  <c r="Q1804" i="1"/>
  <c r="Q2626" i="1"/>
  <c r="Q708" i="1"/>
  <c r="Q353" i="1"/>
  <c r="Q660" i="1"/>
  <c r="Q617" i="1"/>
  <c r="Q515" i="1"/>
  <c r="Q1537" i="1"/>
  <c r="Q2701" i="1"/>
  <c r="Q1333" i="1"/>
  <c r="Q975" i="1"/>
  <c r="Q2677" i="1"/>
  <c r="Q2638" i="1"/>
  <c r="Q2750" i="1"/>
  <c r="Q447" i="1"/>
  <c r="Q1828" i="1"/>
  <c r="Q1882" i="1"/>
  <c r="Q1447" i="1"/>
  <c r="Q2270" i="1"/>
  <c r="Q110" i="1"/>
  <c r="Q720" i="1"/>
  <c r="Q437" i="1"/>
  <c r="Q569" i="1"/>
  <c r="Q2312" i="1"/>
  <c r="Q2459" i="1"/>
  <c r="Q2400" i="1"/>
  <c r="Q1025" i="1"/>
  <c r="Q817" i="1"/>
  <c r="Q763" i="1"/>
  <c r="Q1297" i="1"/>
  <c r="Q1819" i="1"/>
  <c r="Q836" i="1"/>
  <c r="Q537" i="1"/>
  <c r="Q1551" i="1"/>
  <c r="Q200" i="1"/>
  <c r="Q146" i="1"/>
  <c r="Q1578" i="1"/>
  <c r="Q1086" i="1"/>
  <c r="Q2608" i="1"/>
  <c r="Q2585" i="1"/>
  <c r="Q2281" i="1"/>
  <c r="Q969" i="1"/>
  <c r="Q1693" i="1"/>
  <c r="Q1606" i="1"/>
  <c r="Q1799" i="1"/>
  <c r="Q1754" i="1"/>
  <c r="Q1914" i="1"/>
  <c r="Q2297" i="1"/>
  <c r="Q25" i="1"/>
  <c r="Q1855" i="1"/>
  <c r="Q2146" i="1"/>
  <c r="Q2460" i="1"/>
  <c r="Q1143" i="1"/>
  <c r="Q2502" i="1"/>
  <c r="Q2272" i="1"/>
  <c r="Q1873" i="1"/>
  <c r="Q2033" i="1"/>
  <c r="Q1690" i="1"/>
  <c r="Q14" i="1"/>
  <c r="Q899" i="1"/>
  <c r="Q920" i="1"/>
  <c r="Q2496" i="1"/>
  <c r="Q326" i="1"/>
  <c r="Q1890" i="1"/>
  <c r="Q1011" i="1"/>
  <c r="Q2120" i="1"/>
  <c r="Q1685" i="1"/>
  <c r="Q1443" i="1"/>
  <c r="Q2365" i="1"/>
  <c r="Q833" i="1"/>
  <c r="Q1431" i="1"/>
  <c r="Q114" i="1"/>
  <c r="Q1559" i="1"/>
  <c r="Q1060" i="1"/>
  <c r="Q2205" i="1"/>
  <c r="Q2116" i="1"/>
  <c r="Q1689" i="1"/>
  <c r="Q954" i="1"/>
  <c r="Q129" i="1"/>
  <c r="Q1152" i="1"/>
  <c r="Q1484" i="1"/>
  <c r="Q1983" i="1"/>
  <c r="Q653" i="1"/>
  <c r="Q631" i="1"/>
  <c r="Q92" i="1"/>
  <c r="Q1654" i="1"/>
  <c r="Q347" i="1"/>
  <c r="Q2568" i="1"/>
  <c r="Q2486" i="1"/>
  <c r="Q2099" i="1"/>
  <c r="Q2734" i="1"/>
  <c r="Q1334" i="1"/>
  <c r="Q2650" i="1"/>
  <c r="Q1843" i="1"/>
  <c r="Q1055" i="1"/>
  <c r="Q830" i="1"/>
  <c r="Q1658" i="1"/>
  <c r="Q2498" i="1"/>
  <c r="Q900" i="1"/>
  <c r="Q87" i="1"/>
  <c r="Q2357" i="1"/>
  <c r="Q345" i="1"/>
  <c r="Q520" i="1"/>
  <c r="Q54" i="1"/>
  <c r="Q1885" i="1"/>
  <c r="Q2091" i="1"/>
  <c r="Q2067" i="1"/>
  <c r="Q2678" i="1"/>
  <c r="Q1702" i="1"/>
  <c r="Q866" i="1"/>
  <c r="Q2133" i="1"/>
  <c r="Q1665" i="1"/>
  <c r="Q15" i="1"/>
  <c r="Q40" i="1"/>
  <c r="Q548" i="1"/>
  <c r="Q48" i="1"/>
  <c r="Q2569" i="1"/>
  <c r="Q346" i="1"/>
  <c r="Q808" i="1"/>
  <c r="Q1960" i="1"/>
  <c r="Q1090" i="1"/>
  <c r="Q1764" i="1"/>
  <c r="Q845" i="1"/>
  <c r="Q327" i="1"/>
  <c r="Q2072" i="1"/>
  <c r="Q2457" i="1"/>
  <c r="Q16" i="1"/>
  <c r="Q761" i="1"/>
  <c r="Q2119" i="1"/>
  <c r="Q2524" i="1"/>
  <c r="Q892" i="1"/>
  <c r="Q212" i="1"/>
  <c r="Q2710" i="1"/>
  <c r="Q1002" i="1"/>
  <c r="Q1660" i="1"/>
  <c r="Q839" i="1"/>
  <c r="Q332" i="1"/>
  <c r="Q41" i="1"/>
  <c r="Q398" i="1"/>
  <c r="Q2440" i="1"/>
  <c r="Q2720" i="1"/>
  <c r="Q282" i="1"/>
  <c r="Q752" i="1"/>
  <c r="Q1393" i="1"/>
  <c r="Q1395" i="1"/>
  <c r="Q1687" i="1"/>
  <c r="Q528" i="1"/>
  <c r="Q1487" i="1"/>
  <c r="Q927" i="1"/>
  <c r="Q1166" i="1"/>
  <c r="Q1438" i="1"/>
  <c r="Q382" i="1"/>
  <c r="Q1753" i="1"/>
  <c r="Q1813" i="1"/>
  <c r="Q1698" i="1"/>
  <c r="Q2200" i="1"/>
  <c r="Q1283" i="1"/>
  <c r="Q1169" i="1"/>
  <c r="Q1080" i="1"/>
  <c r="Q358" i="1"/>
  <c r="Q2351" i="1"/>
  <c r="Q1268" i="1"/>
  <c r="Q1211" i="1"/>
  <c r="Q1610" i="1"/>
  <c r="Q1695" i="1"/>
  <c r="Q516" i="1"/>
  <c r="Q2703" i="1"/>
  <c r="Q750" i="1"/>
  <c r="Q884" i="1"/>
  <c r="Q2567" i="1"/>
  <c r="Q1545" i="1"/>
  <c r="Q1822" i="1"/>
  <c r="Q1825" i="1"/>
  <c r="Q21" i="1"/>
  <c r="Q1595" i="1"/>
  <c r="Q1982" i="1"/>
  <c r="Q32" i="1"/>
  <c r="Q1345" i="1"/>
  <c r="Q57" i="1"/>
  <c r="Q993" i="1"/>
  <c r="Q2083" i="1"/>
  <c r="Q1663" i="1"/>
  <c r="Q370" i="1"/>
  <c r="Q272" i="1"/>
  <c r="Q983" i="1"/>
  <c r="Q1961" i="1"/>
  <c r="Q2418" i="1"/>
  <c r="Q404" i="1"/>
  <c r="Q81" i="1"/>
  <c r="Q2411" i="1"/>
  <c r="Q22" i="1"/>
  <c r="Q1161" i="1"/>
  <c r="Q10" i="1"/>
  <c r="Q1934" i="1"/>
  <c r="Q1664" i="1"/>
  <c r="Q874" i="1"/>
  <c r="Q201" i="1"/>
  <c r="Q2044" i="1"/>
  <c r="Q2427" i="1"/>
  <c r="Q857" i="1"/>
  <c r="Q2075" i="1"/>
  <c r="Q2748" i="1"/>
  <c r="Q213" i="1"/>
  <c r="Q726" i="1"/>
  <c r="Q2065" i="1"/>
  <c r="Q960" i="1"/>
  <c r="Q2349" i="1"/>
  <c r="Q1701" i="1"/>
  <c r="Q1684" i="1"/>
  <c r="Q109" i="1"/>
  <c r="Q758" i="1"/>
  <c r="Q2666" i="1"/>
  <c r="Q1788" i="1"/>
  <c r="Q2335" i="1"/>
  <c r="Q2777" i="1"/>
  <c r="Q1416" i="1"/>
  <c r="Q1872" i="1"/>
  <c r="Q91" i="1"/>
  <c r="Q2370" i="1"/>
  <c r="Q800" i="1"/>
  <c r="Q1192" i="1"/>
  <c r="Q2788" i="1"/>
  <c r="Q2508" i="1"/>
  <c r="Q507" i="1"/>
  <c r="Q521" i="1"/>
  <c r="Q257" i="1"/>
  <c r="Q1241" i="1"/>
  <c r="Q2176" i="1"/>
  <c r="Q2521" i="1"/>
  <c r="Q1288" i="1"/>
  <c r="Q694" i="1"/>
  <c r="Q1408" i="1"/>
  <c r="Q2477" i="1"/>
  <c r="Q1733" i="1"/>
  <c r="Q1528" i="1"/>
  <c r="Q1593" i="1"/>
  <c r="Q1508" i="1"/>
  <c r="Q2188" i="1"/>
  <c r="Q2531" i="1"/>
  <c r="Q1006" i="1"/>
  <c r="Q388" i="1"/>
  <c r="Q2674" i="1"/>
  <c r="Q1101" i="1"/>
  <c r="Q2193" i="1"/>
  <c r="Q401" i="1"/>
  <c r="Q2503" i="1"/>
  <c r="Q2094" i="1"/>
  <c r="Q1639" i="1"/>
  <c r="Q1707" i="1"/>
  <c r="Q64" i="1"/>
  <c r="Q2730" i="1"/>
  <c r="Q959" i="1"/>
  <c r="Q1208" i="1"/>
  <c r="Q1467" i="1"/>
  <c r="Q105" i="1"/>
  <c r="Q1328" i="1"/>
  <c r="Q111" i="1"/>
  <c r="Q1406" i="1"/>
  <c r="Q1356" i="1"/>
  <c r="Q2709" i="1"/>
  <c r="Q2194" i="1"/>
  <c r="Q973" i="1"/>
  <c r="Q588" i="1"/>
  <c r="Q1320" i="1"/>
  <c r="Q83" i="1"/>
  <c r="Q251" i="1"/>
  <c r="Q1473" i="1"/>
  <c r="Q2308" i="1"/>
  <c r="Q742" i="1"/>
  <c r="Q2124" i="1"/>
  <c r="Q256" i="1"/>
  <c r="Q971" i="1"/>
  <c r="Q376" i="1"/>
  <c r="Q2465" i="1"/>
  <c r="Q885" i="1"/>
  <c r="Q192" i="1"/>
  <c r="Q2301" i="1"/>
  <c r="Q2225" i="1"/>
  <c r="Q19" i="1"/>
  <c r="Q2505" i="1"/>
  <c r="Q2574" i="1"/>
  <c r="Q139" i="1"/>
  <c r="Q1850" i="1"/>
  <c r="Q543" i="1"/>
  <c r="Q1844" i="1"/>
  <c r="Q1816" i="1"/>
  <c r="Q2007" i="1"/>
  <c r="Q2199" i="1"/>
  <c r="Q711" i="1"/>
  <c r="Q1564" i="1"/>
  <c r="Q541" i="1"/>
  <c r="Q1145" i="1"/>
  <c r="Q1330" i="1"/>
  <c r="Q1492" i="1"/>
  <c r="Q1723" i="1"/>
  <c r="Q1207" i="1"/>
  <c r="Q2049" i="1"/>
  <c r="Q86" i="1"/>
  <c r="Q1033" i="1"/>
  <c r="Q2414" i="1"/>
  <c r="Q2214" i="1"/>
  <c r="Q1254" i="1"/>
  <c r="Q2778" i="1"/>
  <c r="Q1540" i="1"/>
  <c r="Q1964" i="1"/>
  <c r="Q2399" i="1"/>
  <c r="Q523" i="1"/>
  <c r="Q2078" i="1"/>
  <c r="Q2742" i="1"/>
  <c r="Q195" i="1"/>
  <c r="Q51" i="1"/>
  <c r="Q2322" i="1"/>
  <c r="Q922" i="1"/>
  <c r="Q1919" i="1"/>
  <c r="Q59" i="1"/>
  <c r="Q1726" i="1"/>
  <c r="Q2130" i="1"/>
  <c r="Q1749" i="1"/>
  <c r="Q1807" i="1"/>
  <c r="Q1392" i="1"/>
  <c r="Q2375" i="1"/>
  <c r="Q770" i="1"/>
  <c r="Q2762" i="1"/>
  <c r="Q23" i="1"/>
  <c r="Q49" i="1"/>
  <c r="Q209" i="1"/>
  <c r="Q1815" i="1"/>
  <c r="Q118" i="1"/>
  <c r="Q1621" i="1"/>
  <c r="Q359" i="1"/>
  <c r="Q1554" i="1"/>
  <c r="Q451" i="1"/>
  <c r="Q218" i="1"/>
  <c r="Q1905" i="1"/>
  <c r="Q1234" i="1"/>
  <c r="Q424" i="1"/>
  <c r="Q1052" i="1"/>
  <c r="Q1581" i="1"/>
  <c r="Q2338" i="1"/>
  <c r="Q1506" i="1"/>
  <c r="Q1835" i="1"/>
  <c r="Q393" i="1"/>
  <c r="Q1493" i="1"/>
  <c r="Q695" i="1"/>
  <c r="Q330" i="1"/>
  <c r="Q1071" i="1"/>
  <c r="Q2604" i="1"/>
  <c r="Q2383" i="1"/>
  <c r="Q1875" i="1"/>
  <c r="Q1329" i="1"/>
  <c r="Q2093" i="1"/>
  <c r="Q1412" i="1"/>
  <c r="Q478" i="1"/>
  <c r="Q348" i="1"/>
  <c r="Q2758" i="1"/>
  <c r="Q1206" i="1"/>
  <c r="Q1849" i="1"/>
  <c r="Q1530" i="1"/>
  <c r="Q122" i="1"/>
  <c r="Q1520" i="1"/>
  <c r="Q475" i="1"/>
  <c r="Q253" i="1"/>
  <c r="Q2242" i="1"/>
  <c r="Q210" i="1"/>
  <c r="Q2662" i="1"/>
  <c r="Q1973" i="1"/>
  <c r="Q316" i="1"/>
  <c r="Q901" i="1"/>
  <c r="Q1067" i="1"/>
  <c r="Q245" i="1"/>
  <c r="Q136" i="1"/>
  <c r="Q2512" i="1"/>
  <c r="Q2523" i="1"/>
  <c r="Q686" i="1"/>
  <c r="Q2151" i="1"/>
  <c r="Q369" i="1"/>
  <c r="Q2128" i="1"/>
  <c r="Q1818" i="1"/>
  <c r="Q1285" i="1"/>
  <c r="Q583" i="1"/>
  <c r="Q1477" i="1"/>
  <c r="Q2152" i="1"/>
  <c r="Q634" i="1"/>
  <c r="Q504" i="1"/>
  <c r="Q2306" i="1"/>
  <c r="Q2388" i="1"/>
  <c r="Q1521" i="1"/>
  <c r="Q2526" i="1"/>
  <c r="Q2302" i="1"/>
  <c r="Q1162" i="1"/>
  <c r="Q361" i="1"/>
  <c r="Q904" i="1"/>
  <c r="Q2291" i="1"/>
  <c r="Q1589" i="1"/>
  <c r="Q1047" i="1"/>
  <c r="Q1616" i="1"/>
  <c r="Q1760" i="1"/>
  <c r="Q1501" i="1"/>
  <c r="Q176" i="1"/>
  <c r="Q186" i="1"/>
  <c r="Q1879" i="1"/>
  <c r="Q921" i="1"/>
  <c r="Q762" i="1"/>
  <c r="Q594" i="1"/>
  <c r="Q1350" i="1"/>
  <c r="Q2178" i="1"/>
  <c r="Q909" i="1"/>
  <c r="Q526" i="1"/>
  <c r="Q1441" i="1"/>
  <c r="Q491" i="1"/>
  <c r="Q1898" i="1"/>
  <c r="Q2765" i="1"/>
  <c r="Q2621" i="1"/>
  <c r="Q30" i="1"/>
  <c r="Q890" i="1"/>
  <c r="Q2395" i="1"/>
  <c r="Q323" i="1"/>
  <c r="Q1198" i="1"/>
  <c r="Q2185" i="1"/>
  <c r="Q2406" i="1"/>
  <c r="Q1542" i="1"/>
  <c r="Q453" i="1"/>
  <c r="Q783" i="1"/>
  <c r="Q2747" i="1"/>
  <c r="Q1927" i="1"/>
  <c r="Q604" i="1"/>
  <c r="Q2692" i="1"/>
  <c r="Q1592" i="1"/>
  <c r="Q2216" i="1"/>
  <c r="Q689" i="1"/>
  <c r="Q2069" i="1"/>
  <c r="Q222" i="1"/>
  <c r="Q2061" i="1"/>
  <c r="Q1342" i="1"/>
  <c r="Q1104" i="1"/>
  <c r="Q1787" i="1"/>
  <c r="Q544" i="1"/>
  <c r="Q1853" i="1"/>
  <c r="Q842" i="1"/>
  <c r="Q510" i="1"/>
  <c r="Q638" i="1"/>
  <c r="Q1423" i="1"/>
  <c r="Q2464" i="1"/>
  <c r="Q1591" i="1"/>
  <c r="Q2046" i="1"/>
  <c r="Q1191" i="1"/>
  <c r="Q937" i="1"/>
  <c r="Q1327" i="1"/>
  <c r="Q786" i="1"/>
  <c r="Q1038" i="1"/>
  <c r="Q2369" i="1"/>
  <c r="Q1943" i="1"/>
  <c r="Q395" i="1"/>
  <c r="Q728" i="1"/>
  <c r="Q972" i="1"/>
  <c r="Q2275" i="1"/>
  <c r="Q2286" i="1"/>
  <c r="Q687" i="1"/>
  <c r="Q1549" i="1"/>
  <c r="Q224" i="1"/>
  <c r="Q2738" i="1"/>
  <c r="Q69" i="1"/>
  <c r="Q2497" i="1"/>
  <c r="Q676" i="1"/>
  <c r="Q1403" i="1"/>
  <c r="Q2001" i="1"/>
  <c r="Q624" i="1"/>
  <c r="Q571" i="1"/>
  <c r="Q1560" i="1"/>
  <c r="Q876" i="1"/>
  <c r="Q352" i="1"/>
  <c r="Q563" i="1"/>
  <c r="Q1216" i="1"/>
  <c r="Q1820" i="1"/>
  <c r="Q1728" i="1"/>
  <c r="Q2221" i="1"/>
  <c r="Q1157" i="1"/>
  <c r="Q957" i="1"/>
  <c r="Q1015" i="1"/>
  <c r="Q2490" i="1"/>
  <c r="Q1271" i="1"/>
  <c r="Q895" i="1"/>
  <c r="Q663" i="1"/>
  <c r="Q1089" i="1"/>
  <c r="Q1489" i="1"/>
  <c r="Q1763" i="1"/>
  <c r="Q1463" i="1"/>
  <c r="Q2580" i="1"/>
  <c r="Q476" i="1"/>
  <c r="Q2191" i="1"/>
  <c r="Q2470" i="1"/>
  <c r="Q2319" i="1"/>
  <c r="Q1275" i="1"/>
  <c r="Q2008" i="1"/>
  <c r="Q2562" i="1"/>
  <c r="Q2737" i="1"/>
  <c r="Q769" i="1"/>
  <c r="Q2433" i="1"/>
  <c r="Q1414" i="1"/>
  <c r="Q1171" i="1"/>
  <c r="Q1097" i="1"/>
  <c r="Q1666" i="1"/>
  <c r="Q333" i="1"/>
  <c r="Q70" i="1"/>
  <c r="Q108" i="1"/>
  <c r="Q2053" i="1"/>
  <c r="Q2220" i="1"/>
  <c r="Q2535" i="1"/>
  <c r="Q1284" i="1"/>
  <c r="Q1093" i="1"/>
  <c r="Q756" i="1"/>
  <c r="Q1810" i="1"/>
  <c r="Q745" i="1"/>
  <c r="Q974" i="1"/>
  <c r="Q1068" i="1"/>
  <c r="Q1614" i="1"/>
  <c r="Q2684" i="1"/>
  <c r="Q356" i="1"/>
  <c r="Q423" i="1"/>
  <c r="Q2145" i="1"/>
  <c r="Q2381" i="1"/>
  <c r="Q848" i="1"/>
  <c r="Q134" i="1"/>
  <c r="Q389" i="1"/>
  <c r="Q2280" i="1"/>
  <c r="Q2195" i="1"/>
  <c r="Q622" i="1"/>
  <c r="Q527" i="1"/>
  <c r="Q2743" i="1"/>
  <c r="Q1817" i="1"/>
  <c r="Q1721" i="1"/>
  <c r="Q1653" i="1"/>
  <c r="Q1146" i="1"/>
  <c r="Q807" i="1"/>
  <c r="Q1673" i="1"/>
  <c r="Q1027" i="1"/>
  <c r="Q2573" i="1"/>
  <c r="Q2394" i="1"/>
  <c r="Q1115" i="1"/>
  <c r="Q1978" i="1"/>
  <c r="Q605" i="1"/>
  <c r="Q1031" i="1"/>
  <c r="Q121" i="1"/>
  <c r="Q1448" i="1"/>
  <c r="Q156" i="1"/>
  <c r="Q375" i="1"/>
  <c r="Q1223" i="1"/>
  <c r="Q2583" i="1"/>
  <c r="Q76" i="1"/>
  <c r="Q2791" i="1"/>
  <c r="Q1204" i="1"/>
  <c r="Q1019" i="1"/>
  <c r="Q1280" i="1"/>
  <c r="Q1499" i="1"/>
  <c r="Q2540" i="1"/>
  <c r="Q1266" i="1"/>
  <c r="Q593" i="1"/>
  <c r="Q1483" i="1"/>
  <c r="Q2455" i="1"/>
  <c r="Q1485" i="1"/>
  <c r="Q2264" i="1"/>
  <c r="Q1869" i="1"/>
  <c r="Q1482" i="1"/>
  <c r="Q1455" i="1"/>
  <c r="Q859" i="1"/>
  <c r="Q1937" i="1"/>
  <c r="Q31" i="1"/>
  <c r="Q1064" i="1"/>
  <c r="Q674" i="1"/>
  <c r="Q1553" i="1"/>
  <c r="Q208" i="1"/>
  <c r="Q560" i="1"/>
  <c r="Q1310" i="1"/>
  <c r="Q1887" i="1"/>
  <c r="Q2438" i="1"/>
  <c r="Q524" i="1"/>
  <c r="Q144" i="1"/>
  <c r="Q2051" i="1"/>
  <c r="Q396" i="1"/>
  <c r="Q2564" i="1"/>
  <c r="Q802" i="1"/>
  <c r="Q275" i="1"/>
  <c r="Q1138" i="1"/>
  <c r="Q1897" i="1"/>
  <c r="Q860" i="1"/>
  <c r="Q439" i="1"/>
  <c r="Q963" i="1"/>
  <c r="Q557" i="1"/>
  <c r="Q2181" i="1"/>
  <c r="Q1429" i="1"/>
  <c r="Q1078" i="1"/>
  <c r="Q2114" i="1"/>
  <c r="Q2615" i="1"/>
  <c r="Q1136" i="1"/>
  <c r="Q1970" i="1"/>
  <c r="Q2229" i="1"/>
  <c r="Q529" i="1"/>
  <c r="Q1674" i="1"/>
  <c r="Q1757" i="1"/>
  <c r="Q1805" i="1"/>
  <c r="Q881" i="1"/>
  <c r="Q1155" i="1"/>
  <c r="Q2468" i="1"/>
  <c r="Q2740" i="1"/>
  <c r="Q68" i="1"/>
  <c r="Q1488" i="1"/>
  <c r="Q1498" i="1"/>
  <c r="Q1599" i="1"/>
  <c r="Q1278" i="1"/>
  <c r="Q113" i="1"/>
  <c r="Q1669" i="1"/>
  <c r="Q228" i="1"/>
  <c r="Q1586" i="1"/>
  <c r="Q1129" i="1"/>
  <c r="Q2699" i="1"/>
  <c r="Q1529" i="1"/>
  <c r="Q2579" i="1"/>
  <c r="Q1863" i="1"/>
  <c r="Q2208" i="1"/>
  <c r="Q814" i="1"/>
  <c r="Q2170" i="1"/>
  <c r="Q1074" i="1"/>
  <c r="Q350" i="1"/>
  <c r="Q861" i="1"/>
  <c r="Q2660" i="1"/>
  <c r="Q847" i="1"/>
  <c r="Q799" i="1"/>
  <c r="Q2613" i="1"/>
  <c r="Q1121" i="1"/>
  <c r="Q1013" i="1"/>
  <c r="Q1024" i="1"/>
  <c r="Q2209" i="1"/>
  <c r="Q440" i="1"/>
  <c r="Q1900" i="1"/>
  <c r="Q1039" i="1"/>
  <c r="Q2532" i="1"/>
  <c r="Q2223" i="1"/>
  <c r="Q236" i="1"/>
  <c r="Q2458" i="1"/>
  <c r="Q473" i="1"/>
  <c r="Q441" i="1"/>
  <c r="Q488" i="1"/>
  <c r="Q782" i="1"/>
  <c r="Q1264" i="1"/>
  <c r="Q357" i="1"/>
  <c r="Q2630" i="1"/>
  <c r="Q716" i="1"/>
  <c r="Q1743" i="1"/>
  <c r="Q727" i="1"/>
  <c r="Q1889" i="1"/>
  <c r="Q2010" i="1"/>
  <c r="Q115" i="1"/>
  <c r="Q2397" i="1"/>
  <c r="Q232" i="1"/>
  <c r="Q1428" i="1"/>
  <c r="Q2475" i="1"/>
  <c r="Q2783" i="1"/>
  <c r="Q17" i="1"/>
  <c r="Q2560" i="1"/>
  <c r="Q1270" i="1"/>
  <c r="Q540" i="1"/>
  <c r="Q1715" i="1"/>
  <c r="Q101" i="1"/>
  <c r="Q2589" i="1"/>
  <c r="Q331" i="1"/>
  <c r="Q1139" i="1"/>
  <c r="Q2415" i="1"/>
  <c r="Q1750" i="1"/>
  <c r="Q2334" i="1"/>
  <c r="Q2474" i="1"/>
  <c r="Q465" i="1"/>
  <c r="Q1652" i="1"/>
  <c r="Q46" i="1"/>
  <c r="Q1515" i="1"/>
  <c r="Q981" i="1"/>
  <c r="Q820" i="1"/>
  <c r="Q1167" i="1"/>
  <c r="Q1030" i="1"/>
  <c r="Q2005" i="1"/>
  <c r="Q1004" i="1"/>
  <c r="Q791" i="1"/>
  <c r="Q339" i="1"/>
  <c r="Q1009" i="1"/>
  <c r="Q2006" i="1"/>
  <c r="Q849" i="1"/>
  <c r="Q1584" i="1"/>
  <c r="Q2087" i="1"/>
  <c r="Q1688" i="1"/>
  <c r="Q1859" i="1"/>
  <c r="Q985" i="1"/>
  <c r="Q44" i="1"/>
  <c r="Q1148" i="1"/>
  <c r="Q394" i="1"/>
  <c r="Q1570" i="1"/>
  <c r="Q2781" i="1"/>
  <c r="Q585" i="1"/>
  <c r="Q2633" i="1"/>
  <c r="Q2175" i="1"/>
  <c r="Q2715" i="1"/>
  <c r="Q976" i="1"/>
  <c r="Q1303" i="1"/>
  <c r="Q781" i="1"/>
  <c r="Q567" i="1"/>
  <c r="Q2499" i="1"/>
  <c r="Q889" i="1"/>
  <c r="Q2121" i="1"/>
  <c r="Q1603" i="1"/>
  <c r="Q1312" i="1"/>
  <c r="Q2389" i="1"/>
  <c r="Q1230" i="1"/>
  <c r="Q1576" i="1"/>
  <c r="Q2528" i="1"/>
  <c r="Q2741" i="1"/>
  <c r="Q2148" i="1"/>
  <c r="Q1226" i="1"/>
  <c r="Q2793" i="1"/>
  <c r="Q1201" i="1"/>
  <c r="Q2404" i="1"/>
  <c r="Q1795" i="1"/>
  <c r="Q188" i="1"/>
  <c r="Q242" i="1"/>
  <c r="Q1245" i="1"/>
  <c r="Q2127" i="1"/>
  <c r="Q1500" i="1"/>
  <c r="Q268" i="1"/>
  <c r="Q852" i="1"/>
  <c r="Q1282" i="1"/>
  <c r="Q732" i="1"/>
  <c r="Q2409" i="1"/>
  <c r="Q50" i="1"/>
  <c r="Q1410" i="1"/>
  <c r="Q2296" i="1"/>
  <c r="Q618" i="1"/>
  <c r="Q778" i="1"/>
  <c r="Q547" i="1"/>
  <c r="Q2673" i="1"/>
  <c r="Q1765" i="1"/>
  <c r="Q606" i="1"/>
  <c r="Q1769" i="1"/>
  <c r="Q1623" i="1"/>
  <c r="Q1633" i="1"/>
  <c r="Q2011" i="1"/>
  <c r="Q2439" i="1"/>
  <c r="Q1746" i="1"/>
  <c r="Q1119" i="1"/>
  <c r="Q73" i="1"/>
  <c r="Q462" i="1"/>
  <c r="Q717" i="1"/>
  <c r="Q948" i="1"/>
  <c r="Q2056" i="1"/>
  <c r="Q2261" i="1"/>
  <c r="Q1137" i="1"/>
  <c r="Q1133" i="1"/>
  <c r="Q438" i="1"/>
  <c r="Q2412" i="1"/>
  <c r="Q1158" i="1"/>
  <c r="Q1444" i="1"/>
  <c r="Q1465" i="1"/>
  <c r="Q1957" i="1"/>
  <c r="Q29" i="1"/>
  <c r="Q2268" i="1"/>
  <c r="Q390" i="1"/>
  <c r="Q825" i="1"/>
  <c r="Q2729" i="1"/>
  <c r="Q1732" i="1"/>
  <c r="Q846" i="1"/>
  <c r="Q1490" i="1"/>
  <c r="Q741" i="1"/>
  <c r="Q1267" i="1"/>
  <c r="Q1667" i="1"/>
  <c r="Q479" i="1"/>
  <c r="Q135" i="1"/>
  <c r="Q1609" i="1"/>
  <c r="Q2284" i="1"/>
  <c r="Q936" i="1"/>
  <c r="Q2027" i="1"/>
  <c r="Q2593" i="1"/>
  <c r="Q170" i="1"/>
  <c r="Q180" i="1"/>
  <c r="Q919" i="1"/>
  <c r="Q1573" i="1"/>
  <c r="Q2047" i="1"/>
  <c r="Q1569" i="1"/>
  <c r="Q1040" i="1"/>
  <c r="Q2530" i="1"/>
  <c r="Q1923" i="1"/>
  <c r="Q2510" i="1"/>
  <c r="Q2485" i="1"/>
  <c r="Q1026" i="1"/>
  <c r="Q2756" i="1"/>
  <c r="Q2767" i="1"/>
  <c r="Q74" i="1"/>
  <c r="Q509" i="1"/>
  <c r="Q1940" i="1"/>
  <c r="Q1735" i="1"/>
  <c r="Q1755" i="1"/>
  <c r="Q2285" i="1"/>
  <c r="Q429" i="1"/>
  <c r="Q2211" i="1"/>
  <c r="Q1016" i="1"/>
  <c r="Q1947" i="1"/>
  <c r="Q2108" i="1"/>
  <c r="Q968" i="1"/>
  <c r="Q793" i="1"/>
  <c r="Q632" i="1"/>
  <c r="Q2197" i="1"/>
  <c r="Q2509" i="1"/>
  <c r="Q241" i="1"/>
  <c r="Q760" i="1"/>
  <c r="Q2282" i="1"/>
  <c r="Q1789" i="1"/>
  <c r="Q1174" i="1"/>
  <c r="Q1319" i="1"/>
  <c r="Q155" i="1"/>
  <c r="Q2402" i="1"/>
  <c r="Q2428" i="1"/>
  <c r="Q165" i="1"/>
  <c r="Q2442" i="1"/>
  <c r="Q126" i="1"/>
  <c r="Q1585" i="1"/>
  <c r="Q1711" i="1"/>
  <c r="Q1425" i="1"/>
  <c r="Q1857" i="1"/>
  <c r="Q1831" i="1"/>
  <c r="Q1739" i="1"/>
  <c r="Q1775" i="1"/>
  <c r="Q603" i="1"/>
  <c r="Q718" i="1"/>
  <c r="Q1255" i="1"/>
  <c r="Q2057" i="1"/>
  <c r="Q551" i="1"/>
  <c r="Q141" i="1"/>
  <c r="Q1404" i="1"/>
  <c r="Q939" i="1"/>
  <c r="Q1184" i="1"/>
  <c r="Q2147" i="1"/>
  <c r="Q2686" i="1"/>
  <c r="Q1177" i="1"/>
  <c r="Q1170" i="1"/>
  <c r="Q1043" i="1"/>
  <c r="Q1304" i="1"/>
  <c r="Q1081" i="1"/>
  <c r="Q308" i="1"/>
  <c r="Q918" i="1"/>
  <c r="Q2732" i="1"/>
  <c r="Q381" i="1"/>
  <c r="Q2217" i="1"/>
  <c r="Q90" i="1"/>
  <c r="Q1042" i="1"/>
  <c r="Q1197" i="1"/>
  <c r="Q2294" i="1"/>
  <c r="Q1568" i="1"/>
  <c r="Q364" i="1"/>
  <c r="Q2792" i="1"/>
  <c r="Q2517" i="1"/>
  <c r="Q1797" i="1"/>
  <c r="Q2654" i="1"/>
  <c r="Q1435" i="1"/>
  <c r="Q805" i="1"/>
  <c r="Q225" i="1"/>
  <c r="Q1243" i="1"/>
  <c r="Q1049" i="1"/>
  <c r="Q536" i="1"/>
  <c r="Q1351" i="1"/>
  <c r="Q967" i="1"/>
  <c r="Q875" i="1"/>
  <c r="Q416" i="1"/>
  <c r="Q85" i="1"/>
  <c r="Q157" i="1"/>
  <c r="Q1258" i="1"/>
  <c r="Q9" i="1"/>
  <c r="Q1649" i="1"/>
  <c r="Q2013" i="1"/>
  <c r="Q1622" i="1"/>
  <c r="Q2246" i="1"/>
  <c r="Q1077" i="1"/>
  <c r="Q18" i="1"/>
  <c r="Q2393" i="1"/>
  <c r="Q887" i="1"/>
  <c r="Q970" i="1"/>
  <c r="Q1141" i="1"/>
  <c r="Q1375" i="1"/>
  <c r="Q11" i="1"/>
  <c r="Q409" i="1"/>
  <c r="Q1373" i="1"/>
  <c r="Q1259" i="1"/>
  <c r="Q1050" i="1"/>
  <c r="Q1142" i="1"/>
  <c r="Q2405" i="1"/>
  <c r="Q719" i="1"/>
  <c r="Q578" i="1"/>
  <c r="Q941" i="1"/>
  <c r="Q2036" i="1"/>
  <c r="Q1382" i="1"/>
  <c r="Q302" i="1"/>
  <c r="Q75" i="1"/>
  <c r="Q172" i="1"/>
  <c r="Q2144" i="1"/>
  <c r="Q869" i="1"/>
  <c r="Q1921" i="1"/>
  <c r="Q1604" i="1"/>
  <c r="Q2232" i="1"/>
  <c r="Q470" i="1"/>
  <c r="Q1893" i="1"/>
  <c r="Q446" i="1"/>
  <c r="Q1577" i="1"/>
  <c r="Q1783" i="1"/>
  <c r="Q1558" i="1"/>
  <c r="Q1969" i="1"/>
  <c r="Q2576" i="1"/>
  <c r="Q1123" i="1"/>
  <c r="Q1460" i="1"/>
  <c r="Q1237" i="1"/>
  <c r="Q1925" i="1"/>
  <c r="Q706" i="1"/>
  <c r="Q592" i="1"/>
  <c r="Q1224" i="1"/>
  <c r="Q1518" i="1"/>
  <c r="Q133" i="1"/>
  <c r="Q2483" i="1"/>
  <c r="Q1811" i="1"/>
  <c r="Q1092" i="1"/>
  <c r="Q2538" i="1"/>
  <c r="Q953" i="1"/>
  <c r="Q2150" i="1"/>
  <c r="Q944" i="1"/>
  <c r="Q1768" i="1"/>
  <c r="Q1496" i="1"/>
  <c r="Q1210" i="1"/>
  <c r="Q657" i="1"/>
  <c r="Q898" i="1"/>
  <c r="Q221" i="1"/>
  <c r="Q2624" i="1"/>
  <c r="Q2667" i="1"/>
  <c r="Q1710" i="1"/>
  <c r="Q2700" i="1"/>
  <c r="Q428" i="1"/>
  <c r="Q1135" i="1"/>
  <c r="Q533" i="1"/>
  <c r="Q942" i="1"/>
  <c r="Q755" i="1"/>
  <c r="Q1556" i="1"/>
  <c r="Q565" i="1"/>
  <c r="Q1509" i="1"/>
  <c r="Q777" i="1"/>
  <c r="Q2759" i="1"/>
  <c r="Q938" i="1"/>
  <c r="Q701" i="1"/>
  <c r="Q906" i="1"/>
  <c r="Q2659" i="1"/>
  <c r="Q1966" i="1"/>
  <c r="Q1801" i="1"/>
  <c r="Q863" i="1"/>
  <c r="Q2113" i="1"/>
  <c r="Q958" i="1"/>
  <c r="Q894" i="1"/>
  <c r="Q949" i="1"/>
  <c r="Q159" i="1"/>
  <c r="Q149" i="1"/>
  <c r="Q2628" i="1"/>
  <c r="Q1017" i="1"/>
  <c r="Q1037" i="1"/>
  <c r="Q2622" i="1"/>
  <c r="Q1988" i="1"/>
  <c r="Q2004" i="1"/>
  <c r="Q703" i="1"/>
  <c r="Q219" i="1"/>
  <c r="Q2177" i="1"/>
  <c r="Q2041" i="1"/>
  <c r="Q2289" i="1"/>
  <c r="Q753" i="1"/>
  <c r="Q561" i="1"/>
  <c r="Q979" i="1"/>
  <c r="Q143" i="1"/>
  <c r="Q2371" i="1"/>
  <c r="Q2687" i="1"/>
  <c r="Q2060" i="1"/>
  <c r="Q1550" i="1"/>
  <c r="Q2592" i="1"/>
  <c r="Q1624" i="1"/>
  <c r="Q616" i="1"/>
  <c r="Q1561" i="1"/>
  <c r="Q1347" i="1"/>
  <c r="Q2269" i="1"/>
  <c r="Q1156" i="1"/>
  <c r="Q1433" i="1"/>
  <c r="Q436" i="1"/>
  <c r="Q355" i="1"/>
  <c r="Q1942" i="1"/>
  <c r="Q2361" i="1"/>
  <c r="Q517" i="1"/>
  <c r="Q1075" i="1"/>
  <c r="Q670" i="1"/>
  <c r="Q2726" i="1"/>
  <c r="Q2697" i="1"/>
  <c r="Q1620" i="1"/>
  <c r="Q1682" i="1"/>
  <c r="Q263" i="1"/>
  <c r="Q2769" i="1"/>
  <c r="Q1372" i="1"/>
  <c r="Q553" i="1"/>
  <c r="Q1871" i="1"/>
  <c r="Q1105" i="1"/>
  <c r="Q2602" i="1"/>
  <c r="Q354" i="1"/>
  <c r="Q1084" i="1"/>
  <c r="Q1361" i="1"/>
  <c r="Q646" i="1"/>
  <c r="Q1336" i="1"/>
  <c r="Q1103" i="1"/>
  <c r="Q1070" i="1"/>
  <c r="Q773" i="1"/>
  <c r="Q2373" i="1"/>
  <c r="Q2549" i="1"/>
  <c r="Q987" i="1"/>
  <c r="Q1504" i="1"/>
  <c r="Q664" i="1"/>
  <c r="Q688" i="1"/>
  <c r="Q71" i="1"/>
  <c r="Q1470" i="1"/>
  <c r="Q2469" i="1"/>
  <c r="Q2451" i="1"/>
  <c r="Q444" i="1"/>
  <c r="Q2117" i="1"/>
  <c r="Q233" i="1"/>
  <c r="Q2279" i="1"/>
  <c r="Q2066" i="1"/>
  <c r="Q1910" i="1"/>
  <c r="Q2731" i="1"/>
  <c r="Q2207" i="1"/>
  <c r="Q1301" i="1"/>
  <c r="Q2034" i="1"/>
  <c r="Q1646" i="1"/>
  <c r="Q1975" i="1"/>
  <c r="Q2241" i="1"/>
  <c r="Q1824" i="1"/>
  <c r="Q391" i="1"/>
  <c r="Q779" i="1"/>
  <c r="Q229" i="1"/>
  <c r="Q1977" i="1"/>
  <c r="Q867" i="1"/>
  <c r="Q1061" i="1"/>
  <c r="Q392" i="1"/>
  <c r="Q2398" i="1"/>
  <c r="Q1632" i="1"/>
  <c r="Q1580" i="1"/>
  <c r="Q841" i="1"/>
  <c r="Q1316" i="1"/>
  <c r="Q1048" i="1"/>
  <c r="Q642" i="1"/>
  <c r="Q872" i="1"/>
  <c r="Q1535" i="1"/>
  <c r="Q1153" i="1"/>
  <c r="Q1662" i="1"/>
  <c r="Q1343" i="1"/>
  <c r="Q810" i="1"/>
  <c r="Q1427" i="1"/>
  <c r="Q1235" i="1"/>
  <c r="Q709" i="1"/>
  <c r="Q1913" i="1"/>
  <c r="Q907" i="1"/>
  <c r="Q464" i="1"/>
  <c r="Q450" i="1"/>
  <c r="Q2647" i="1"/>
  <c r="Q2606" i="1"/>
  <c r="Q2605" i="1"/>
  <c r="Q2480" i="1"/>
  <c r="Q2167" i="1"/>
  <c r="Q1331" i="1"/>
  <c r="Q999" i="1"/>
  <c r="Q2671" i="1"/>
  <c r="Q442" i="1"/>
  <c r="Q1388" i="1"/>
  <c r="Q2675" i="1"/>
  <c r="Q2513" i="1"/>
  <c r="Q1262" i="1"/>
  <c r="Q2441" i="1"/>
  <c r="Q878" i="1"/>
  <c r="Q1036" i="1"/>
  <c r="Q2098" i="1"/>
  <c r="Q2645" i="1"/>
  <c r="Q163" i="1"/>
  <c r="Q1415" i="1"/>
  <c r="Q270" i="1"/>
  <c r="Q2766" i="1"/>
  <c r="Q856" i="1"/>
  <c r="Q2012" i="1"/>
  <c r="Q42" i="1"/>
  <c r="Q2444" i="1"/>
  <c r="Q495" i="1"/>
  <c r="Q417" i="1"/>
  <c r="Q586" i="1"/>
  <c r="Q274" i="1"/>
  <c r="Q1705" i="1"/>
  <c r="Q2267" i="1"/>
  <c r="Q1413" i="1"/>
  <c r="Q471" i="1"/>
  <c r="Q158" i="1"/>
  <c r="Q227" i="1"/>
  <c r="Q1250" i="1"/>
  <c r="Q1908" i="1"/>
  <c r="Q1109" i="1"/>
  <c r="Q368" i="1"/>
  <c r="Q311" i="1"/>
  <c r="Q965" i="1"/>
  <c r="Q1758" i="1"/>
  <c r="Q2018" i="1"/>
  <c r="Q609" i="1"/>
  <c r="Q1628" i="1"/>
  <c r="Q1680" i="1"/>
  <c r="Q183" i="1"/>
  <c r="Q2721" i="1"/>
  <c r="Q530" i="1"/>
  <c r="Q2024" i="1"/>
  <c r="Q1874" i="1"/>
  <c r="Q2609" i="1"/>
  <c r="Q20" i="1"/>
  <c r="Q1076" i="1"/>
  <c r="Q1058" i="1"/>
  <c r="Q2295" i="1"/>
  <c r="Q419" i="1"/>
  <c r="Q1355" i="1"/>
  <c r="Q1190" i="1"/>
  <c r="Q2162" i="1"/>
  <c r="Q910" i="1"/>
  <c r="Q2582" i="1"/>
  <c r="Q1398" i="1"/>
  <c r="Q2712" i="1"/>
  <c r="Q1918" i="1"/>
  <c r="Q230" i="1"/>
  <c r="Q796" i="1"/>
  <c r="Q1168" i="1"/>
  <c r="Q1678" i="1"/>
  <c r="Q531" i="1"/>
  <c r="Q984" i="1"/>
  <c r="Q1008" i="1"/>
  <c r="Q2368" i="1"/>
  <c r="Q693" i="1"/>
  <c r="Q93" i="1"/>
  <c r="Q2771" i="1"/>
  <c r="Q1968" i="1"/>
  <c r="Q1113" i="1"/>
  <c r="Q1111" i="1"/>
  <c r="Q2258" i="1"/>
  <c r="Q1126" i="1"/>
  <c r="Q2657" i="1"/>
  <c r="Q244" i="1"/>
  <c r="Q1172" i="1"/>
  <c r="Q1476" i="1"/>
  <c r="Q801" i="1"/>
  <c r="Q1761" i="1"/>
  <c r="Q2288" i="1"/>
  <c r="Q2328" i="1"/>
  <c r="Q1955" i="1"/>
  <c r="Q1363" i="1"/>
  <c r="Q519" i="1"/>
  <c r="Q1803" i="1"/>
  <c r="Q2757" i="1"/>
  <c r="Q2366" i="1"/>
  <c r="Q2042" i="1"/>
  <c r="Q96" i="1"/>
  <c r="Q335" i="1"/>
  <c r="Q2201" i="1"/>
  <c r="Q1034" i="1"/>
  <c r="Q656" i="1"/>
  <c r="Q52" i="1"/>
  <c r="Q1532" i="1"/>
  <c r="Q1773" i="1"/>
  <c r="Q596" i="1"/>
  <c r="Q1613" i="1"/>
  <c r="Q816" i="1"/>
  <c r="Q1725" i="1"/>
  <c r="Q1948" i="1"/>
  <c r="Q292" i="1"/>
  <c r="Q1650" i="1"/>
  <c r="Q1737" i="1"/>
  <c r="Q2096" i="1"/>
  <c r="Q1249" i="1"/>
  <c r="Q2625" i="1"/>
  <c r="Q1181" i="1"/>
  <c r="Q499" i="1"/>
  <c r="Q304" i="1"/>
  <c r="Q1479" i="1"/>
  <c r="Q1756" i="1"/>
  <c r="Q1915" i="1"/>
  <c r="Q2661" i="1"/>
  <c r="Q558" i="1"/>
  <c r="Q834" i="1"/>
  <c r="Q1657" i="1"/>
  <c r="Q1175" i="1"/>
  <c r="Q654" i="1"/>
  <c r="Q1179" i="1"/>
  <c r="Q1364" i="1"/>
  <c r="Q1802" i="1"/>
  <c r="Q2358" i="1"/>
  <c r="Q1189" i="1"/>
  <c r="Q2682" i="1"/>
  <c r="Q33" i="1"/>
  <c r="Q1424" i="1"/>
  <c r="Q43" i="1"/>
  <c r="Q1899" i="1"/>
  <c r="Q1321" i="1"/>
  <c r="Q1696" i="1"/>
  <c r="Q610" i="1"/>
  <c r="Q223" i="1"/>
  <c r="Q2350" i="1"/>
  <c r="Q573" i="1"/>
  <c r="Q1059" i="1"/>
  <c r="Q1160" i="1"/>
  <c r="Q598" i="1"/>
  <c r="Q2342" i="1"/>
  <c r="Q636" i="1"/>
  <c r="Q1798" i="1"/>
  <c r="Q1495" i="1"/>
  <c r="Q1165" i="1"/>
  <c r="Q407" i="1"/>
  <c r="Q484" i="1"/>
  <c r="Q1636" i="1"/>
  <c r="Q1808" i="1"/>
  <c r="Q2556" i="1"/>
  <c r="Q1920" i="1"/>
  <c r="Q1770" i="1"/>
  <c r="Q792" i="1"/>
  <c r="Q2619" i="1"/>
  <c r="Q164" i="1"/>
  <c r="Q2348" i="1"/>
  <c r="Q2016" i="1"/>
  <c r="Q288" i="1"/>
  <c r="Q1045" i="1"/>
  <c r="Q410" i="1"/>
  <c r="Q1974" i="1"/>
  <c r="Q589" i="1"/>
  <c r="Q1218" i="1"/>
  <c r="Q749" i="1"/>
  <c r="Q1362" i="1"/>
  <c r="Q1365" i="1"/>
  <c r="Q240" i="1"/>
  <c r="Q1637" i="1"/>
  <c r="Q2434" i="1"/>
  <c r="Q2448" i="1"/>
  <c r="Q1369" i="1"/>
  <c r="Q1202" i="1"/>
  <c r="Q1544" i="1"/>
  <c r="Q2632" i="1"/>
  <c r="Q1635" i="1"/>
  <c r="Q1480" i="1"/>
  <c r="Q1367" i="1"/>
  <c r="Q704" i="1"/>
  <c r="Q2372" i="1"/>
  <c r="Q990" i="1"/>
  <c r="Q2068" i="1"/>
  <c r="Q1945" i="1"/>
  <c r="Q1020" i="1"/>
  <c r="Q628" i="1"/>
  <c r="Q672" i="1"/>
  <c r="Q2717" i="1"/>
  <c r="Q378" i="1"/>
  <c r="Q1981" i="1"/>
  <c r="Q2023" i="1"/>
  <c r="Q2074" i="1"/>
  <c r="Q637" i="1"/>
  <c r="Q2259" i="1"/>
  <c r="Q1173" i="1"/>
  <c r="Q600" i="1"/>
  <c r="Q2182" i="1"/>
  <c r="Q1062" i="1"/>
  <c r="Q2376" i="1"/>
  <c r="Q2218" i="1"/>
  <c r="Q254" i="1"/>
  <c r="Q946" i="1"/>
  <c r="Q905" i="1"/>
  <c r="Q1397" i="1"/>
  <c r="Q1051" i="1"/>
  <c r="Q1044" i="1"/>
  <c r="Q472" i="1"/>
  <c r="Q1232" i="1"/>
  <c r="Q415" i="1"/>
  <c r="Q1091" i="1"/>
  <c r="Q827" i="1"/>
  <c r="Q255" i="1"/>
  <c r="Q2252" i="1"/>
  <c r="Q2274" i="1"/>
  <c r="Q697" i="1"/>
  <c r="Q2141" i="1"/>
  <c r="Q1781" i="1"/>
  <c r="Q1954" i="1"/>
  <c r="Q2679" i="1"/>
  <c r="Q2278" i="1"/>
  <c r="Q858" i="1"/>
  <c r="Q1322" i="1"/>
  <c r="Q2040" i="1"/>
  <c r="Q2558" i="1"/>
  <c r="Q577" i="1"/>
  <c r="Q532" i="1"/>
  <c r="Q1876" i="1"/>
  <c r="Q2290" i="1"/>
  <c r="Q169" i="1"/>
  <c r="Q2315" i="1"/>
  <c r="Q1295" i="1"/>
  <c r="Q888" i="1"/>
  <c r="Q1065" i="1"/>
  <c r="Q2367" i="1"/>
  <c r="Q84" i="1"/>
  <c r="Q1946" i="1"/>
  <c r="Q1325" i="1"/>
  <c r="Q1952" i="1"/>
  <c r="Q2544" i="1"/>
  <c r="Q1387" i="1"/>
  <c r="Q539" i="1"/>
  <c r="Q477" i="1"/>
  <c r="Q1523" i="1"/>
  <c r="Q625" i="1"/>
  <c r="Q1228" i="1"/>
  <c r="Q496" i="1"/>
  <c r="Q1793" i="1"/>
  <c r="Q1130" i="1"/>
  <c r="Q1366" i="1"/>
  <c r="Q1972" i="1"/>
  <c r="Q633" i="1"/>
  <c r="Q2520" i="1"/>
  <c r="Q377" i="1"/>
  <c r="Q1087" i="1"/>
  <c r="Q2648" i="1"/>
  <c r="Q1439" i="1"/>
  <c r="Q1180" i="1"/>
  <c r="Q1886" i="1"/>
  <c r="Q2032" i="1"/>
  <c r="Q1790" i="1"/>
  <c r="Q2210" i="1"/>
  <c r="Q2226" i="1"/>
  <c r="Q935" i="1"/>
  <c r="Q2536" i="1"/>
  <c r="Q724" i="1"/>
  <c r="Q1683" i="1"/>
  <c r="Q2479" i="1"/>
  <c r="Q1677" i="1"/>
  <c r="Q1525" i="1"/>
  <c r="Q891" i="1"/>
  <c r="Q2355" i="1"/>
  <c r="Q2092" i="1"/>
  <c r="Q1348" i="1"/>
  <c r="Q1588" i="1"/>
  <c r="Q1341" i="1"/>
  <c r="Q780" i="1"/>
  <c r="Q1339" i="1"/>
  <c r="Q1661" i="1"/>
  <c r="Q886" i="1"/>
  <c r="Q2463" i="1"/>
  <c r="Q289" i="1"/>
  <c r="Q522" i="1"/>
  <c r="Q666" i="1"/>
  <c r="Q1692" i="1"/>
  <c r="Q813" i="1"/>
  <c r="Q996" i="1"/>
  <c r="Q2588" i="1"/>
  <c r="Q336" i="1"/>
  <c r="Q2190" i="1"/>
  <c r="Q2184" i="1"/>
  <c r="Q2774" i="1"/>
  <c r="Q2779" i="1"/>
  <c r="Q2518" i="1"/>
  <c r="Q497" i="1"/>
  <c r="Q466" i="1"/>
  <c r="Q1317" i="1"/>
  <c r="Q785" i="1"/>
  <c r="Q767" i="1"/>
  <c r="Q2495" i="1"/>
  <c r="Q2257" i="1"/>
  <c r="Q853" i="1"/>
  <c r="Q1028" i="1"/>
  <c r="Q2425" i="1"/>
  <c r="Q2320" i="1"/>
  <c r="Q1596" i="1"/>
  <c r="Q1337" i="1"/>
  <c r="Q1531" i="1"/>
  <c r="Q283" i="1"/>
  <c r="Q28" i="1"/>
  <c r="Q2352" i="1"/>
  <c r="Q187" i="1"/>
  <c r="Q341" i="1"/>
  <c r="Q1118" i="1"/>
  <c r="Q1618" i="1"/>
  <c r="Q1587" i="1"/>
  <c r="Q595" i="1"/>
  <c r="Q1380" i="1"/>
  <c r="Q1185" i="1"/>
  <c r="Q2424" i="1"/>
  <c r="Q1299" i="1"/>
  <c r="Q2179" i="1"/>
  <c r="Q166" i="1"/>
  <c r="Q309" i="1"/>
  <c r="Q1507" i="1"/>
  <c r="Q1457" i="1"/>
  <c r="Q1256" i="1"/>
  <c r="Q2300" i="1"/>
  <c r="Q1338" i="1"/>
  <c r="Q765" i="1"/>
  <c r="Q2421" i="1"/>
  <c r="Q116" i="1"/>
  <c r="Q1464" i="1"/>
  <c r="Q60" i="1"/>
  <c r="Q855" i="1"/>
  <c r="Q2362" i="1"/>
  <c r="Q2489" i="1"/>
  <c r="Q160" i="1"/>
  <c r="Q2156" i="1"/>
  <c r="Q2307" i="1"/>
  <c r="Q1832" i="1"/>
  <c r="Q1833" i="1"/>
  <c r="Q714" i="1"/>
  <c r="Q1306" i="1"/>
  <c r="Q150" i="1"/>
  <c r="Q2637" i="1"/>
  <c r="Q1272" i="1"/>
  <c r="Q1452" i="1"/>
  <c r="Q1548" i="1"/>
  <c r="Q2586" i="1"/>
  <c r="Q966" i="1"/>
  <c r="Q1430" i="1"/>
  <c r="Q2298" i="1"/>
  <c r="Q2745" i="1"/>
  <c r="Q1012" i="1"/>
  <c r="Q421" i="1"/>
  <c r="Q2080" i="1"/>
  <c r="Q366" i="1"/>
  <c r="Q1976" i="1"/>
  <c r="Q723" i="1"/>
  <c r="Q2550" i="1"/>
  <c r="Q2539" i="1"/>
  <c r="Q63" i="1"/>
  <c r="Q1314" i="1"/>
  <c r="Q100" i="1"/>
  <c r="Q1751" i="1"/>
  <c r="Q408" i="1"/>
  <c r="Q2472" i="1"/>
  <c r="Q1183" i="1"/>
  <c r="Q1018" i="1"/>
  <c r="Q713" i="1"/>
  <c r="Q117" i="1"/>
  <c r="Q757" i="1"/>
  <c r="Q1260" i="1"/>
  <c r="Q2739" i="1"/>
  <c r="Q2168" i="1"/>
  <c r="Q97" i="1"/>
  <c r="Q678" i="1"/>
  <c r="Q2597" i="1"/>
  <c r="Q2698" i="1"/>
  <c r="Q619" i="1"/>
  <c r="Q1892" i="1"/>
  <c r="Q2711" i="1"/>
  <c r="Q1291" i="1"/>
  <c r="Q1374" i="1"/>
  <c r="Q1659" i="1"/>
  <c r="Q220" i="1"/>
  <c r="Q1203" i="1"/>
  <c r="Q1563" i="1"/>
  <c r="Q1073" i="1"/>
  <c r="Q2299" i="1"/>
  <c r="Q238" i="1"/>
  <c r="Q306" i="1"/>
  <c r="Q2253" i="1"/>
  <c r="Q271" i="1"/>
  <c r="Q1385" i="1"/>
  <c r="Q325" i="1"/>
  <c r="Q1902" i="1"/>
  <c r="Q2104" i="1"/>
  <c r="Q599" i="1"/>
  <c r="Q1400" i="1"/>
  <c r="Q2153" i="1"/>
  <c r="Q2727" i="1"/>
  <c r="Q95" i="1"/>
  <c r="Q2271" i="1"/>
  <c r="O7" i="1" l="1"/>
  <c r="Q8" i="1"/>
</calcChain>
</file>

<file path=xl/sharedStrings.xml><?xml version="1.0" encoding="utf-8"?>
<sst xmlns="http://schemas.openxmlformats.org/spreadsheetml/2006/main" count="68" uniqueCount="33">
  <si>
    <t>Grid ID</t>
  </si>
  <si>
    <t>X Location (ft)</t>
  </si>
  <si>
    <t>Y Location (ft)</t>
  </si>
  <si>
    <t>Water Saturation (Sw​)</t>
  </si>
  <si>
    <t>Sw_avg</t>
  </si>
  <si>
    <t>h</t>
  </si>
  <si>
    <t>ft</t>
  </si>
  <si>
    <t>A</t>
  </si>
  <si>
    <t>acres</t>
  </si>
  <si>
    <t>φ</t>
  </si>
  <si>
    <t>Oil FVF</t>
  </si>
  <si>
    <t>res bbl/STB</t>
  </si>
  <si>
    <t>PV
(res ft3)</t>
  </si>
  <si>
    <t>OIIP
(MM STB)</t>
  </si>
  <si>
    <t>SD</t>
  </si>
  <si>
    <t>N</t>
  </si>
  <si>
    <t>RANK(i)</t>
  </si>
  <si>
    <t>P=(i-0.5)/N</t>
  </si>
  <si>
    <t>Mean</t>
  </si>
  <si>
    <t>Z(theoretical)</t>
  </si>
  <si>
    <t>Random values</t>
  </si>
  <si>
    <t>Sample no.</t>
  </si>
  <si>
    <t>Sample set no.</t>
  </si>
  <si>
    <t>Sw Average</t>
  </si>
  <si>
    <t>Grand Sw average</t>
  </si>
  <si>
    <t>Error</t>
  </si>
  <si>
    <t>OIIP(MMSTB)</t>
  </si>
  <si>
    <t>%Error in OIIP</t>
  </si>
  <si>
    <t>SE</t>
  </si>
  <si>
    <t>MSE</t>
  </si>
  <si>
    <t>RMSE</t>
  </si>
  <si>
    <t>Grid</t>
  </si>
  <si>
    <t>Sample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</si>
</sst>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000000000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5A5A5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6" fillId="9" borderId="20" applyNumberFormat="0" applyAlignment="0" applyProtection="0"/>
  </cellStyleXfs>
  <cellXfs count="54">
    <xf numFmtId="0" fontId="0" fillId="0" borderId="0" xfId="0"/>
    <xf numFmtId="0" fontId="3" fillId="0" borderId="0" xfId="0" applyFont="1"/>
    <xf numFmtId="2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2" fontId="0" fillId="0" borderId="2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1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6" fillId="9" borderId="20" xfId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'Population-Sw'!$Q$7:$Q$2794</c:f>
              <c:numCache>
                <c:formatCode>General</c:formatCode>
                <c:ptCount val="2788"/>
                <c:pt idx="0">
                  <c:v>-3.5687561582398821</c:v>
                </c:pt>
                <c:pt idx="1">
                  <c:v>-3.2698513417567736</c:v>
                </c:pt>
                <c:pt idx="2">
                  <c:v>-3.1224705800301527</c:v>
                </c:pt>
                <c:pt idx="3">
                  <c:v>-3.0220416007492266</c:v>
                </c:pt>
                <c:pt idx="4">
                  <c:v>-2.9451366546689965</c:v>
                </c:pt>
                <c:pt idx="5">
                  <c:v>-2.8824880803291006</c:v>
                </c:pt>
                <c:pt idx="6">
                  <c:v>-2.8294477889155911</c:v>
                </c:pt>
                <c:pt idx="7">
                  <c:v>-2.7833423110877873</c:v>
                </c:pt>
                <c:pt idx="8">
                  <c:v>-2.74248836655691</c:v>
                </c:pt>
                <c:pt idx="9">
                  <c:v>-2.7057554524714376</c:v>
                </c:pt>
                <c:pt idx="10">
                  <c:v>-2.6723465649805807</c:v>
                </c:pt>
                <c:pt idx="11">
                  <c:v>-2.6416781316648517</c:v>
                </c:pt>
                <c:pt idx="12">
                  <c:v>-2.6133096653846621</c:v>
                </c:pt>
                <c:pt idx="13">
                  <c:v>-2.5869002767436045</c:v>
                </c:pt>
                <c:pt idx="14">
                  <c:v>-2.5621805897711512</c:v>
                </c:pt>
                <c:pt idx="15">
                  <c:v>-2.5389339346171473</c:v>
                </c:pt>
                <c:pt idx="16">
                  <c:v>-2.5169833607026737</c:v>
                </c:pt>
                <c:pt idx="17">
                  <c:v>-2.4961824304795472</c:v>
                </c:pt>
                <c:pt idx="18">
                  <c:v>-2.4764085431022029</c:v>
                </c:pt>
                <c:pt idx="19">
                  <c:v>-2.4575579954779236</c:v>
                </c:pt>
                <c:pt idx="20">
                  <c:v>-2.4395422638528808</c:v>
                </c:pt>
                <c:pt idx="21">
                  <c:v>-2.4222851602552824</c:v>
                </c:pt>
                <c:pt idx="22">
                  <c:v>-2.4057206273563216</c:v>
                </c:pt>
                <c:pt idx="23">
                  <c:v>-2.3897910067580814</c:v>
                </c:pt>
                <c:pt idx="24">
                  <c:v>-2.3744456634852953</c:v>
                </c:pt>
                <c:pt idx="25">
                  <c:v>-2.3596398820306188</c:v>
                </c:pt>
                <c:pt idx="26">
                  <c:v>-2.3453339719152368</c:v>
                </c:pt>
                <c:pt idx="27">
                  <c:v>-2.3314925366815551</c:v>
                </c:pt>
                <c:pt idx="28">
                  <c:v>-2.3180838716609906</c:v>
                </c:pt>
                <c:pt idx="29">
                  <c:v>-2.3050794641552974</c:v>
                </c:pt>
                <c:pt idx="30">
                  <c:v>-2.2924535757684059</c:v>
                </c:pt>
                <c:pt idx="31">
                  <c:v>-2.2801828911615765</c:v>
                </c:pt>
                <c:pt idx="32">
                  <c:v>-2.2682462209146381</c:v>
                </c:pt>
                <c:pt idx="33">
                  <c:v>-2.2566242487654851</c:v>
                </c:pt>
                <c:pt idx="34">
                  <c:v>-2.2452993154846257</c:v>
                </c:pt>
                <c:pt idx="35">
                  <c:v>-2.2342552331759911</c:v>
                </c:pt>
                <c:pt idx="36">
                  <c:v>-2.2234771249912764</c:v>
                </c:pt>
                <c:pt idx="37">
                  <c:v>-2.2129512861845342</c:v>
                </c:pt>
                <c:pt idx="38">
                  <c:v>-2.2026650631769495</c:v>
                </c:pt>
                <c:pt idx="39">
                  <c:v>-2.1926067478937159</c:v>
                </c:pt>
                <c:pt idx="40">
                  <c:v>-2.1827654851094609</c:v>
                </c:pt>
                <c:pt idx="41">
                  <c:v>-2.1731311909213429</c:v>
                </c:pt>
                <c:pt idx="42">
                  <c:v>-2.1636944807793652</c:v>
                </c:pt>
                <c:pt idx="43">
                  <c:v>-2.1544466057565437</c:v>
                </c:pt>
                <c:pt idx="44">
                  <c:v>-2.1453793959490772</c:v>
                </c:pt>
                <c:pt idx="45">
                  <c:v>-2.1364852100675575</c:v>
                </c:pt>
                <c:pt idx="46">
                  <c:v>-2.1277568904216917</c:v>
                </c:pt>
                <c:pt idx="47">
                  <c:v>-2.1191877226186033</c:v>
                </c:pt>
                <c:pt idx="48">
                  <c:v>-2.1107713993928972</c:v>
                </c:pt>
                <c:pt idx="49">
                  <c:v>-2.1025019880689166</c:v>
                </c:pt>
                <c:pt idx="50">
                  <c:v>-2.0943739012248792</c:v>
                </c:pt>
                <c:pt idx="51">
                  <c:v>-2.0863818701869783</c:v>
                </c:pt>
                <c:pt idx="52">
                  <c:v>-2.0785209210311022</c:v>
                </c:pt>
                <c:pt idx="53">
                  <c:v>-2.0707863528119419</c:v>
                </c:pt>
                <c:pt idx="54">
                  <c:v>-2.0631737177751908</c:v>
                </c:pt>
                <c:pt idx="55">
                  <c:v>-2.0556788033393087</c:v>
                </c:pt>
                <c:pt idx="56">
                  <c:v>-2.0482976156597346</c:v>
                </c:pt>
                <c:pt idx="57">
                  <c:v>-2.0410263646111351</c:v>
                </c:pt>
                <c:pt idx="58">
                  <c:v>-2.0338614500429455</c:v>
                </c:pt>
                <c:pt idx="59">
                  <c:v>-2.0267994491804071</c:v>
                </c:pt>
                <c:pt idx="60">
                  <c:v>-2.019837105058079</c:v>
                </c:pt>
                <c:pt idx="61">
                  <c:v>-2.0129713158856171</c:v>
                </c:pt>
                <c:pt idx="62">
                  <c:v>-2.0061991252567997</c:v>
                </c:pt>
                <c:pt idx="63">
                  <c:v>-1.9995177131225776</c:v>
                </c:pt>
                <c:pt idx="64">
                  <c:v>-1.9929243874574782</c:v>
                </c:pt>
                <c:pt idx="65">
                  <c:v>-1.9864165765562165</c:v>
                </c:pt>
                <c:pt idx="66">
                  <c:v>-1.9799918219040145</c:v>
                </c:pt>
                <c:pt idx="67">
                  <c:v>-1.973647771569937</c:v>
                </c:pt>
                <c:pt idx="68">
                  <c:v>-1.9673821740777291</c:v>
                </c:pt>
                <c:pt idx="69">
                  <c:v>-1.9611928727131964</c:v>
                </c:pt>
                <c:pt idx="70">
                  <c:v>-1.9550778002312317</c:v>
                </c:pt>
                <c:pt idx="71">
                  <c:v>-1.9490349739291684</c:v>
                </c:pt>
                <c:pt idx="72">
                  <c:v>-1.9430624910563674</c:v>
                </c:pt>
                <c:pt idx="73">
                  <c:v>-1.93715852453277</c:v>
                </c:pt>
                <c:pt idx="74">
                  <c:v>-1.931321318951726</c:v>
                </c:pt>
                <c:pt idx="75">
                  <c:v>-1.9255491868446601</c:v>
                </c:pt>
                <c:pt idx="76">
                  <c:v>-1.9198405051872076</c:v>
                </c:pt>
                <c:pt idx="77">
                  <c:v>-1.9141937121282466</c:v>
                </c:pt>
                <c:pt idx="78">
                  <c:v>-1.9086073039249447</c:v>
                </c:pt>
                <c:pt idx="79">
                  <c:v>-1.9030798320683735</c:v>
                </c:pt>
                <c:pt idx="80">
                  <c:v>-1.8976099005856137</c:v>
                </c:pt>
                <c:pt idx="81">
                  <c:v>-1.8921961635054536</c:v>
                </c:pt>
                <c:pt idx="82">
                  <c:v>-1.8868373224758819</c:v>
                </c:pt>
                <c:pt idx="83">
                  <c:v>-1.8815321245225682</c:v>
                </c:pt>
                <c:pt idx="84">
                  <c:v>-1.8762793599383834</c:v>
                </c:pt>
                <c:pt idx="85">
                  <c:v>-1.8710778602948619</c:v>
                </c:pt>
                <c:pt idx="86">
                  <c:v>-1.8659264965672064</c:v>
                </c:pt>
                <c:pt idx="87">
                  <c:v>-1.8608241773651306</c:v>
                </c:pt>
                <c:pt idx="88">
                  <c:v>-1.8557698472624082</c:v>
                </c:pt>
                <c:pt idx="89">
                  <c:v>-1.8507624852185902</c:v>
                </c:pt>
                <c:pt idx="90">
                  <c:v>-1.8458011030868184</c:v>
                </c:pt>
                <c:pt idx="91">
                  <c:v>-1.8408847442021523</c:v>
                </c:pt>
                <c:pt idx="92">
                  <c:v>-1.8360124820452244</c:v>
                </c:pt>
                <c:pt idx="93">
                  <c:v>-1.8311834189764449</c:v>
                </c:pt>
                <c:pt idx="94">
                  <c:v>-1.8263966850363114</c:v>
                </c:pt>
                <c:pt idx="95">
                  <c:v>-1.8216514368077079</c:v>
                </c:pt>
                <c:pt idx="96">
                  <c:v>-1.8169468563363842</c:v>
                </c:pt>
                <c:pt idx="97">
                  <c:v>-1.8122821501060613</c:v>
                </c:pt>
                <c:pt idx="98">
                  <c:v>-1.8076565480648685</c:v>
                </c:pt>
                <c:pt idx="99">
                  <c:v>-1.8030693027000519</c:v>
                </c:pt>
                <c:pt idx="100">
                  <c:v>-1.7985196881580987</c:v>
                </c:pt>
                <c:pt idx="101">
                  <c:v>-1.7940069994076102</c:v>
                </c:pt>
                <c:pt idx="102">
                  <c:v>-1.789530551442466</c:v>
                </c:pt>
                <c:pt idx="103">
                  <c:v>-1.7850896785229426</c:v>
                </c:pt>
                <c:pt idx="104">
                  <c:v>-1.7806837334526524</c:v>
                </c:pt>
                <c:pt idx="105">
                  <c:v>-1.7763120868892648</c:v>
                </c:pt>
                <c:pt idx="106">
                  <c:v>-1.7719741266871492</c:v>
                </c:pt>
                <c:pt idx="107">
                  <c:v>-1.7676692572701536</c:v>
                </c:pt>
                <c:pt idx="108">
                  <c:v>-1.763396899032887</c:v>
                </c:pt>
                <c:pt idx="109">
                  <c:v>-1.7591564877689481</c:v>
                </c:pt>
                <c:pt idx="110">
                  <c:v>-1.7549474741246625</c:v>
                </c:pt>
                <c:pt idx="111">
                  <c:v>-1.7507693230769639</c:v>
                </c:pt>
                <c:pt idx="112">
                  <c:v>-1.7466215134341454</c:v>
                </c:pt>
                <c:pt idx="113">
                  <c:v>-1.7425035373582864</c:v>
                </c:pt>
                <c:pt idx="114">
                  <c:v>-1.7384148999082369</c:v>
                </c:pt>
                <c:pt idx="115">
                  <c:v>-1.7343551186020885</c:v>
                </c:pt>
                <c:pt idx="116">
                  <c:v>-1.7303237229981581</c:v>
                </c:pt>
                <c:pt idx="117">
                  <c:v>-1.726320254293531</c:v>
                </c:pt>
                <c:pt idx="118">
                  <c:v>-1.7223442649393002</c:v>
                </c:pt>
                <c:pt idx="119">
                  <c:v>-1.7183953182716616</c:v>
                </c:pt>
                <c:pt idx="120">
                  <c:v>-1.7144729881580874</c:v>
                </c:pt>
                <c:pt idx="121">
                  <c:v>-1.7105768586578463</c:v>
                </c:pt>
                <c:pt idx="122">
                  <c:v>-1.7067065236961663</c:v>
                </c:pt>
                <c:pt idx="123">
                  <c:v>-1.7028615867513979</c:v>
                </c:pt>
                <c:pt idx="124">
                  <c:v>-1.6990416605545431</c:v>
                </c:pt>
                <c:pt idx="125">
                  <c:v>-1.6952463668005777</c:v>
                </c:pt>
                <c:pt idx="126">
                  <c:v>-1.6914753358710077</c:v>
                </c:pt>
                <c:pt idx="127">
                  <c:v>-1.6877282065671413</c:v>
                </c:pt>
                <c:pt idx="128">
                  <c:v>-1.6840046258535768</c:v>
                </c:pt>
                <c:pt idx="129">
                  <c:v>-1.6803042486114439</c:v>
                </c:pt>
                <c:pt idx="130">
                  <c:v>-1.6766267374009531</c:v>
                </c:pt>
                <c:pt idx="131">
                  <c:v>-1.6729717622328313</c:v>
                </c:pt>
                <c:pt idx="132">
                  <c:v>-1.6693390003482491</c:v>
                </c:pt>
                <c:pt idx="133">
                  <c:v>-1.6657281360068608</c:v>
                </c:pt>
                <c:pt idx="134">
                  <c:v>-1.6621388602826019</c:v>
                </c:pt>
                <c:pt idx="135">
                  <c:v>-1.6585708708669016</c:v>
                </c:pt>
                <c:pt idx="136">
                  <c:v>-1.6550238718789902</c:v>
                </c:pt>
                <c:pt idx="137">
                  <c:v>-1.6514975736829922</c:v>
                </c:pt>
                <c:pt idx="138">
                  <c:v>-1.6479916927115246</c:v>
                </c:pt>
                <c:pt idx="139">
                  <c:v>-1.6445059512955067</c:v>
                </c:pt>
                <c:pt idx="140">
                  <c:v>-1.6410400774999407</c:v>
                </c:pt>
                <c:pt idx="141">
                  <c:v>-1.6375938049653909</c:v>
                </c:pt>
                <c:pt idx="142">
                  <c:v>-1.6341668727549441</c:v>
                </c:pt>
                <c:pt idx="143">
                  <c:v>-1.630759025206413</c:v>
                </c:pt>
                <c:pt idx="144">
                  <c:v>-1.6273700117895664</c:v>
                </c:pt>
                <c:pt idx="145">
                  <c:v>-1.6239995869681974</c:v>
                </c:pt>
                <c:pt idx="146">
                  <c:v>-1.6206475100668076</c:v>
                </c:pt>
                <c:pt idx="147">
                  <c:v>-1.6173135451417477</c:v>
                </c:pt>
                <c:pt idx="148">
                  <c:v>-1.6139974608566228</c:v>
                </c:pt>
                <c:pt idx="149">
                  <c:v>-1.6106990303617927</c:v>
                </c:pt>
                <c:pt idx="150">
                  <c:v>-1.6074180311778146</c:v>
                </c:pt>
                <c:pt idx="151">
                  <c:v>-1.6041542450826647</c:v>
                </c:pt>
                <c:pt idx="152">
                  <c:v>-1.6009074580025999</c:v>
                </c:pt>
                <c:pt idx="153">
                  <c:v>-1.5976774599065131</c:v>
                </c:pt>
                <c:pt idx="154">
                  <c:v>-1.5944640447036484</c:v>
                </c:pt>
                <c:pt idx="155">
                  <c:v>-1.5912670101445581</c:v>
                </c:pt>
                <c:pt idx="156">
                  <c:v>-1.5880861577251608</c:v>
                </c:pt>
                <c:pt idx="157">
                  <c:v>-1.584921292593801</c:v>
                </c:pt>
                <c:pt idx="158">
                  <c:v>-1.5817722234611891</c:v>
                </c:pt>
                <c:pt idx="159">
                  <c:v>-1.5786387625131182</c:v>
                </c:pt>
                <c:pt idx="160">
                  <c:v>-1.5755207253258505</c:v>
                </c:pt>
                <c:pt idx="161">
                  <c:v>-1.5724179307840844</c:v>
                </c:pt>
                <c:pt idx="162">
                  <c:v>-1.569330201001397</c:v>
                </c:pt>
                <c:pt idx="163">
                  <c:v>-1.5662573612430823</c:v>
                </c:pt>
                <c:pt idx="164">
                  <c:v>-1.5631992398512928</c:v>
                </c:pt>
                <c:pt idx="165">
                  <c:v>-1.560155668172406</c:v>
                </c:pt>
                <c:pt idx="166">
                  <c:v>-1.5571264804865295</c:v>
                </c:pt>
                <c:pt idx="167">
                  <c:v>-1.5541115139390809</c:v>
                </c:pt>
                <c:pt idx="168">
                  <c:v>-1.5511106084743602</c:v>
                </c:pt>
                <c:pt idx="169">
                  <c:v>-1.5481236067710449</c:v>
                </c:pt>
                <c:pt idx="170">
                  <c:v>-1.545150354179549</c:v>
                </c:pt>
                <c:pt idx="171">
                  <c:v>-1.542190698661174</c:v>
                </c:pt>
                <c:pt idx="172">
                  <c:v>-1.5392444907289915</c:v>
                </c:pt>
                <c:pt idx="173">
                  <c:v>-1.5363115833904037</c:v>
                </c:pt>
                <c:pt idx="174">
                  <c:v>-1.5333918320913194</c:v>
                </c:pt>
                <c:pt idx="175">
                  <c:v>-1.5304850946618891</c:v>
                </c:pt>
                <c:pt idx="176">
                  <c:v>-1.5275912312637558</c:v>
                </c:pt>
                <c:pt idx="177">
                  <c:v>-1.5247101043387628</c:v>
                </c:pt>
                <c:pt idx="178">
                  <c:v>-1.5218415785590729</c:v>
                </c:pt>
                <c:pt idx="179">
                  <c:v>-1.5189855207786536</c:v>
                </c:pt>
                <c:pt idx="180">
                  <c:v>-1.5161417999860818</c:v>
                </c:pt>
                <c:pt idx="181">
                  <c:v>-1.5133102872586255</c:v>
                </c:pt>
                <c:pt idx="182">
                  <c:v>-1.5104908557175598</c:v>
                </c:pt>
                <c:pt idx="183">
                  <c:v>-1.5076833804846856</c:v>
                </c:pt>
                <c:pt idx="184">
                  <c:v>-1.5048877386399935</c:v>
                </c:pt>
                <c:pt idx="185">
                  <c:v>-1.5021038091804613</c:v>
                </c:pt>
                <c:pt idx="186">
                  <c:v>-1.4993314729799272</c:v>
                </c:pt>
                <c:pt idx="187">
                  <c:v>-1.4965706127500205</c:v>
                </c:pt>
                <c:pt idx="188">
                  <c:v>-1.493821113002102</c:v>
                </c:pt>
                <c:pt idx="189">
                  <c:v>-1.4910828600102002</c:v>
                </c:pt>
                <c:pt idx="190">
                  <c:v>-1.4883557417748952</c:v>
                </c:pt>
                <c:pt idx="191">
                  <c:v>-1.4856396479881324</c:v>
                </c:pt>
                <c:pt idx="192">
                  <c:v>-1.482934469998934</c:v>
                </c:pt>
                <c:pt idx="193">
                  <c:v>-1.4802401007799737</c:v>
                </c:pt>
                <c:pt idx="194">
                  <c:v>-1.4775564348950077</c:v>
                </c:pt>
                <c:pt idx="195">
                  <c:v>-1.4748833684671105</c:v>
                </c:pt>
                <c:pt idx="196">
                  <c:v>-1.4722207991477145</c:v>
                </c:pt>
                <c:pt idx="197">
                  <c:v>-1.4695686260864109</c:v>
                </c:pt>
                <c:pt idx="198">
                  <c:v>-1.4669267499015033</c:v>
                </c:pt>
                <c:pt idx="199">
                  <c:v>-1.4642950726512822</c:v>
                </c:pt>
                <c:pt idx="200">
                  <c:v>-1.4616734978060075</c:v>
                </c:pt>
                <c:pt idx="201">
                  <c:v>-1.4590619302205656</c:v>
                </c:pt>
                <c:pt idx="202">
                  <c:v>-1.4564602761077969</c:v>
                </c:pt>
                <c:pt idx="203">
                  <c:v>-1.4538684430124635</c:v>
                </c:pt>
                <c:pt idx="204">
                  <c:v>-1.4512863397858391</c:v>
                </c:pt>
                <c:pt idx="205">
                  <c:v>-1.4487138765609107</c:v>
                </c:pt>
                <c:pt idx="206">
                  <c:v>-1.4461509647281681</c:v>
                </c:pt>
                <c:pt idx="207">
                  <c:v>-1.4435975169119621</c:v>
                </c:pt>
                <c:pt idx="208">
                  <c:v>-1.4410534469474237</c:v>
                </c:pt>
                <c:pt idx="209">
                  <c:v>-1.4385186698579233</c:v>
                </c:pt>
                <c:pt idx="210">
                  <c:v>-1.4359931018330525</c:v>
                </c:pt>
                <c:pt idx="211">
                  <c:v>-1.4334766602071201</c:v>
                </c:pt>
                <c:pt idx="212">
                  <c:v>-1.4309692634381457</c:v>
                </c:pt>
                <c:pt idx="213">
                  <c:v>-1.428470831087322</c:v>
                </c:pt>
                <c:pt idx="214">
                  <c:v>-1.4259812837989785</c:v>
                </c:pt>
                <c:pt idx="215">
                  <c:v>-1.4235005432809607</c:v>
                </c:pt>
                <c:pt idx="216">
                  <c:v>-1.4210285322854883</c:v>
                </c:pt>
                <c:pt idx="217">
                  <c:v>-1.4185651745904313</c:v>
                </c:pt>
                <c:pt idx="218">
                  <c:v>-1.4161103949809903</c:v>
                </c:pt>
                <c:pt idx="219">
                  <c:v>-1.413664119231822</c:v>
                </c:pt>
                <c:pt idx="220">
                  <c:v>-1.4112262740895367</c:v>
                </c:pt>
                <c:pt idx="221">
                  <c:v>-1.4087967872555893</c:v>
                </c:pt>
                <c:pt idx="222">
                  <c:v>-1.4063755873695374</c:v>
                </c:pt>
                <c:pt idx="223">
                  <c:v>-1.4039626039926962</c:v>
                </c:pt>
                <c:pt idx="224">
                  <c:v>-1.4015577675921223</c:v>
                </c:pt>
                <c:pt idx="225">
                  <c:v>-1.3991610095249489</c:v>
                </c:pt>
                <c:pt idx="226">
                  <c:v>-1.3967722620230769</c:v>
                </c:pt>
                <c:pt idx="227">
                  <c:v>-1.394391458178178</c:v>
                </c:pt>
                <c:pt idx="228">
                  <c:v>-1.3920185319270393</c:v>
                </c:pt>
                <c:pt idx="229">
                  <c:v>-1.3896534180371882</c:v>
                </c:pt>
                <c:pt idx="230">
                  <c:v>-1.3872960520928679</c:v>
                </c:pt>
                <c:pt idx="231">
                  <c:v>-1.3849463704812679</c:v>
                </c:pt>
                <c:pt idx="232">
                  <c:v>-1.3826043103790735</c:v>
                </c:pt>
                <c:pt idx="233">
                  <c:v>-1.3802698097392849</c:v>
                </c:pt>
                <c:pt idx="234">
                  <c:v>-1.3779428072783071</c:v>
                </c:pt>
                <c:pt idx="235">
                  <c:v>-1.3756232424633337</c:v>
                </c:pt>
                <c:pt idx="236">
                  <c:v>-1.3733110554999568</c:v>
                </c:pt>
                <c:pt idx="237">
                  <c:v>-1.3710061873200583</c:v>
                </c:pt>
                <c:pt idx="238">
                  <c:v>-1.3687085795699447</c:v>
                </c:pt>
                <c:pt idx="239">
                  <c:v>-1.3664181745987194</c:v>
                </c:pt>
                <c:pt idx="240">
                  <c:v>-1.3641349154468925</c:v>
                </c:pt>
                <c:pt idx="241">
                  <c:v>-1.3618587458352274</c:v>
                </c:pt>
                <c:pt idx="242">
                  <c:v>-1.3595896101538159</c:v>
                </c:pt>
                <c:pt idx="243">
                  <c:v>-1.3573274534513566</c:v>
                </c:pt>
                <c:pt idx="244">
                  <c:v>-1.355072221424668</c:v>
                </c:pt>
                <c:pt idx="245">
                  <c:v>-1.3528238604083931</c:v>
                </c:pt>
                <c:pt idx="246">
                  <c:v>-1.3505823173649314</c:v>
                </c:pt>
                <c:pt idx="247">
                  <c:v>-1.3483475398745393</c:v>
                </c:pt>
                <c:pt idx="248">
                  <c:v>-1.3461194761256574</c:v>
                </c:pt>
                <c:pt idx="249">
                  <c:v>-1.3438980749054099</c:v>
                </c:pt>
                <c:pt idx="250">
                  <c:v>-1.3416832855902887</c:v>
                </c:pt>
                <c:pt idx="251">
                  <c:v>-1.3394750581370303</c:v>
                </c:pt>
                <c:pt idx="252">
                  <c:v>-1.3372733430736621</c:v>
                </c:pt>
                <c:pt idx="253">
                  <c:v>-1.3350780914907188</c:v>
                </c:pt>
                <c:pt idx="254">
                  <c:v>-1.3328892550326357</c:v>
                </c:pt>
                <c:pt idx="255">
                  <c:v>-1.3307067858893096</c:v>
                </c:pt>
                <c:pt idx="256">
                  <c:v>-1.3285306367878003</c:v>
                </c:pt>
                <c:pt idx="257">
                  <c:v>-1.3263607609842245</c:v>
                </c:pt>
                <c:pt idx="258">
                  <c:v>-1.3241971122557654</c:v>
                </c:pt>
                <c:pt idx="259">
                  <c:v>-1.3220396448928655</c:v>
                </c:pt>
                <c:pt idx="260">
                  <c:v>-1.3198883136915436</c:v>
                </c:pt>
                <c:pt idx="261">
                  <c:v>-1.3177430739458669</c:v>
                </c:pt>
                <c:pt idx="262">
                  <c:v>-1.3156038814405662</c:v>
                </c:pt>
                <c:pt idx="263">
                  <c:v>-1.3134706924437776</c:v>
                </c:pt>
                <c:pt idx="264">
                  <c:v>-1.3113434636999233</c:v>
                </c:pt>
                <c:pt idx="265">
                  <c:v>-1.3092221524227365</c:v>
                </c:pt>
                <c:pt idx="266">
                  <c:v>-1.3071067162883874</c:v>
                </c:pt>
                <c:pt idx="267">
                  <c:v>-1.3049971134287632</c:v>
                </c:pt>
                <c:pt idx="268">
                  <c:v>-1.3028933024248524</c:v>
                </c:pt>
                <c:pt idx="269">
                  <c:v>-1.3007952423002616</c:v>
                </c:pt>
                <c:pt idx="270">
                  <c:v>-1.2987028925148338</c:v>
                </c:pt>
                <c:pt idx="271">
                  <c:v>-1.2966162129584005</c:v>
                </c:pt>
                <c:pt idx="272">
                  <c:v>-1.2945351639446314</c:v>
                </c:pt>
                <c:pt idx="273">
                  <c:v>-1.2924597062050065</c:v>
                </c:pt>
                <c:pt idx="274">
                  <c:v>-1.2903898008828818</c:v>
                </c:pt>
                <c:pt idx="275">
                  <c:v>-1.2883254095276757</c:v>
                </c:pt>
                <c:pt idx="276">
                  <c:v>-1.2862664940891466</c:v>
                </c:pt>
                <c:pt idx="277">
                  <c:v>-1.2842130169117758</c:v>
                </c:pt>
                <c:pt idx="278">
                  <c:v>-1.2821649407292488</c:v>
                </c:pt>
                <c:pt idx="279">
                  <c:v>-1.2801222286590417</c:v>
                </c:pt>
                <c:pt idx="280">
                  <c:v>-1.2780848441970789</c:v>
                </c:pt>
                <c:pt idx="281">
                  <c:v>-1.2760527512125144</c:v>
                </c:pt>
                <c:pt idx="282">
                  <c:v>-1.2740259139425794</c:v>
                </c:pt>
                <c:pt idx="283">
                  <c:v>-1.2720042969875314</c:v>
                </c:pt>
                <c:pt idx="284">
                  <c:v>-1.2699878653056846</c:v>
                </c:pt>
                <c:pt idx="285">
                  <c:v>-1.2679765842085293</c:v>
                </c:pt>
                <c:pt idx="286">
                  <c:v>-1.2659704193559325</c:v>
                </c:pt>
                <c:pt idx="287">
                  <c:v>-1.2639693367514198</c:v>
                </c:pt>
                <c:pt idx="288">
                  <c:v>-1.2619733027375399</c:v>
                </c:pt>
                <c:pt idx="289">
                  <c:v>-1.2599822839913104</c:v>
                </c:pt>
                <c:pt idx="290">
                  <c:v>-1.2579962475197239</c:v>
                </c:pt>
                <c:pt idx="291">
                  <c:v>-1.2560151606553549</c:v>
                </c:pt>
                <c:pt idx="292">
                  <c:v>-1.2540389910520167</c:v>
                </c:pt>
                <c:pt idx="293">
                  <c:v>-1.2520677066805115</c:v>
                </c:pt>
                <c:pt idx="294">
                  <c:v>-1.2501012758244308</c:v>
                </c:pt>
                <c:pt idx="295">
                  <c:v>-1.2481396670760452</c:v>
                </c:pt>
                <c:pt idx="296">
                  <c:v>-1.2461828493322418</c:v>
                </c:pt>
                <c:pt idx="297">
                  <c:v>-1.2442307917905493</c:v>
                </c:pt>
                <c:pt idx="298">
                  <c:v>-1.2422834639452109</c:v>
                </c:pt>
                <c:pt idx="299">
                  <c:v>-1.2403408355833341</c:v>
                </c:pt>
                <c:pt idx="300">
                  <c:v>-1.2384028767810888</c:v>
                </c:pt>
                <c:pt idx="301">
                  <c:v>-1.2364695578999878</c:v>
                </c:pt>
                <c:pt idx="302">
                  <c:v>-1.2345408495832078</c:v>
                </c:pt>
                <c:pt idx="303">
                  <c:v>-1.2326167227519795</c:v>
                </c:pt>
                <c:pt idx="304">
                  <c:v>-1.2306971486020377</c:v>
                </c:pt>
                <c:pt idx="305">
                  <c:v>-1.2287820986001166</c:v>
                </c:pt>
                <c:pt idx="306">
                  <c:v>-1.2268715444805149</c:v>
                </c:pt>
                <c:pt idx="307">
                  <c:v>-1.2249654582417127</c:v>
                </c:pt>
                <c:pt idx="308">
                  <c:v>-1.2230638121430322</c:v>
                </c:pt>
                <c:pt idx="309">
                  <c:v>-1.2211665787013577</c:v>
                </c:pt>
                <c:pt idx="310">
                  <c:v>-1.2192737306879182</c:v>
                </c:pt>
                <c:pt idx="311">
                  <c:v>-1.2173852411251018</c:v>
                </c:pt>
                <c:pt idx="312">
                  <c:v>-1.2155010832833246</c:v>
                </c:pt>
                <c:pt idx="313">
                  <c:v>-1.2136212306779619</c:v>
                </c:pt>
                <c:pt idx="314">
                  <c:v>-1.2117456570663125</c:v>
                </c:pt>
                <c:pt idx="315">
                  <c:v>-1.2098743364446169</c:v>
                </c:pt>
                <c:pt idx="316">
                  <c:v>-1.2080072430451152</c:v>
                </c:pt>
                <c:pt idx="317">
                  <c:v>-1.2061443513331642</c:v>
                </c:pt>
                <c:pt idx="318">
                  <c:v>-1.2042856360043792</c:v>
                </c:pt>
                <c:pt idx="319">
                  <c:v>-1.2024310719818381</c:v>
                </c:pt>
                <c:pt idx="320">
                  <c:v>-1.2005806344133143</c:v>
                </c:pt>
                <c:pt idx="321">
                  <c:v>-1.1987342986685641</c:v>
                </c:pt>
                <c:pt idx="322">
                  <c:v>-1.1968920403366419</c:v>
                </c:pt>
                <c:pt idx="323">
                  <c:v>-1.1950538352232662</c:v>
                </c:pt>
                <c:pt idx="324">
                  <c:v>-1.1932196593482236</c:v>
                </c:pt>
                <c:pt idx="325">
                  <c:v>-1.1913894889428069</c:v>
                </c:pt>
                <c:pt idx="326">
                  <c:v>-1.1895633004472979</c:v>
                </c:pt>
                <c:pt idx="327">
                  <c:v>-1.1877410705084814</c:v>
                </c:pt>
                <c:pt idx="328">
                  <c:v>-1.185922775977204</c:v>
                </c:pt>
                <c:pt idx="329">
                  <c:v>-1.1841083939059627</c:v>
                </c:pt>
                <c:pt idx="330">
                  <c:v>-1.1822979015465271</c:v>
                </c:pt>
                <c:pt idx="331">
                  <c:v>-1.1804912763476112</c:v>
                </c:pt>
                <c:pt idx="332">
                  <c:v>-1.178688495952559</c:v>
                </c:pt>
                <c:pt idx="333">
                  <c:v>-1.1768895381970819</c:v>
                </c:pt>
                <c:pt idx="334">
                  <c:v>-1.1750943811070156</c:v>
                </c:pt>
                <c:pt idx="335">
                  <c:v>-1.1733030028961198</c:v>
                </c:pt>
                <c:pt idx="336">
                  <c:v>-1.1715153819639057</c:v>
                </c:pt>
                <c:pt idx="337">
                  <c:v>-1.1697314968934915</c:v>
                </c:pt>
                <c:pt idx="338">
                  <c:v>-1.1679513264494967</c:v>
                </c:pt>
                <c:pt idx="339">
                  <c:v>-1.1661748495759607</c:v>
                </c:pt>
                <c:pt idx="340">
                  <c:v>-1.1644020453942938</c:v>
                </c:pt>
                <c:pt idx="341">
                  <c:v>-1.162632893201256</c:v>
                </c:pt>
                <c:pt idx="342">
                  <c:v>-1.1608673724669667</c:v>
                </c:pt>
                <c:pt idx="343">
                  <c:v>-1.1591054628329418</c:v>
                </c:pt>
                <c:pt idx="344">
                  <c:v>-1.1573471441101575</c:v>
                </c:pt>
                <c:pt idx="345">
                  <c:v>-1.1555923962771435</c:v>
                </c:pt>
                <c:pt idx="346">
                  <c:v>-1.1538411994781022</c:v>
                </c:pt>
                <c:pt idx="347">
                  <c:v>-1.1520935340210532</c:v>
                </c:pt>
                <c:pt idx="348">
                  <c:v>-1.1503493803760083</c:v>
                </c:pt>
                <c:pt idx="349">
                  <c:v>-1.1486087191731642</c:v>
                </c:pt>
                <c:pt idx="350">
                  <c:v>-1.1468715312011282</c:v>
                </c:pt>
                <c:pt idx="351">
                  <c:v>-1.145137797405166</c:v>
                </c:pt>
                <c:pt idx="352">
                  <c:v>-1.1434074988854701</c:v>
                </c:pt>
                <c:pt idx="353">
                  <c:v>-1.1416806168954581</c:v>
                </c:pt>
                <c:pt idx="354">
                  <c:v>-1.1399571328400904</c:v>
                </c:pt>
                <c:pt idx="355">
                  <c:v>-1.138237028274214</c:v>
                </c:pt>
                <c:pt idx="356">
                  <c:v>-1.1365202849009244</c:v>
                </c:pt>
                <c:pt idx="357">
                  <c:v>-1.1348068845699557</c:v>
                </c:pt>
                <c:pt idx="358">
                  <c:v>-1.1330968092760882</c:v>
                </c:pt>
                <c:pt idx="359">
                  <c:v>-1.131390041157581</c:v>
                </c:pt>
                <c:pt idx="360">
                  <c:v>-1.1296865624946224</c:v>
                </c:pt>
                <c:pt idx="361">
                  <c:v>-1.1279863557078045</c:v>
                </c:pt>
                <c:pt idx="362">
                  <c:v>-1.1262894033566151</c:v>
                </c:pt>
                <c:pt idx="363">
                  <c:v>-1.1245956881379549</c:v>
                </c:pt>
                <c:pt idx="364">
                  <c:v>-1.1229051928846678</c:v>
                </c:pt>
                <c:pt idx="365">
                  <c:v>-1.1212179005640976</c:v>
                </c:pt>
                <c:pt idx="366">
                  <c:v>-1.119533794276659</c:v>
                </c:pt>
                <c:pt idx="367">
                  <c:v>-1.1178528572544302</c:v>
                </c:pt>
                <c:pt idx="368">
                  <c:v>-1.1161750728597637</c:v>
                </c:pt>
                <c:pt idx="369">
                  <c:v>-1.1145004245839158</c:v>
                </c:pt>
                <c:pt idx="370">
                  <c:v>-1.1128288960456905</c:v>
                </c:pt>
                <c:pt idx="371">
                  <c:v>-1.1111604709901095</c:v>
                </c:pt>
                <c:pt idx="372">
                  <c:v>-1.1094951332870899</c:v>
                </c:pt>
                <c:pt idx="373">
                  <c:v>-1.1078328669301476</c:v>
                </c:pt>
                <c:pt idx="374">
                  <c:v>-1.1061736560351099</c:v>
                </c:pt>
                <c:pt idx="375">
                  <c:v>-1.104517484838855</c:v>
                </c:pt>
                <c:pt idx="376">
                  <c:v>-1.1028643376980545</c:v>
                </c:pt>
                <c:pt idx="377">
                  <c:v>-1.1012141990879452</c:v>
                </c:pt>
                <c:pt idx="378">
                  <c:v>-1.0995670536011071</c:v>
                </c:pt>
                <c:pt idx="379">
                  <c:v>-1.0979228859462657</c:v>
                </c:pt>
                <c:pt idx="380">
                  <c:v>-1.0962816809470999</c:v>
                </c:pt>
                <c:pt idx="381">
                  <c:v>-1.0946434235410734</c:v>
                </c:pt>
                <c:pt idx="382">
                  <c:v>-1.0930080987782778</c:v>
                </c:pt>
                <c:pt idx="383">
                  <c:v>-1.091375691820289</c:v>
                </c:pt>
                <c:pt idx="384">
                  <c:v>-1.0897461879390424</c:v>
                </c:pt>
                <c:pt idx="385">
                  <c:v>-1.0881195725157191</c:v>
                </c:pt>
                <c:pt idx="386">
                  <c:v>-1.0864958310396431</c:v>
                </c:pt>
                <c:pt idx="387">
                  <c:v>-1.0848749491072021</c:v>
                </c:pt>
                <c:pt idx="388">
                  <c:v>-1.0832569124207718</c:v>
                </c:pt>
                <c:pt idx="389">
                  <c:v>-1.0816417067876596</c:v>
                </c:pt>
                <c:pt idx="390">
                  <c:v>-1.0800293181190592</c:v>
                </c:pt>
                <c:pt idx="391">
                  <c:v>-1.0784197324290197</c:v>
                </c:pt>
                <c:pt idx="392">
                  <c:v>-1.076812935833424</c:v>
                </c:pt>
                <c:pt idx="393">
                  <c:v>-1.0752089145489883</c:v>
                </c:pt>
                <c:pt idx="394">
                  <c:v>-1.0736076548922593</c:v>
                </c:pt>
                <c:pt idx="395">
                  <c:v>-1.0720091432786434</c:v>
                </c:pt>
                <c:pt idx="396">
                  <c:v>-1.0704133662214286</c:v>
                </c:pt>
                <c:pt idx="397">
                  <c:v>-1.068820310330832</c:v>
                </c:pt>
                <c:pt idx="398">
                  <c:v>-1.0672299623130508</c:v>
                </c:pt>
                <c:pt idx="399">
                  <c:v>-1.0656423089693323</c:v>
                </c:pt>
                <c:pt idx="400">
                  <c:v>-1.0640573371950459</c:v>
                </c:pt>
                <c:pt idx="401">
                  <c:v>-1.0624750339787767</c:v>
                </c:pt>
                <c:pt idx="402">
                  <c:v>-1.0608953864014214</c:v>
                </c:pt>
                <c:pt idx="403">
                  <c:v>-1.0593183816353013</c:v>
                </c:pt>
                <c:pt idx="404">
                  <c:v>-1.0577440069432811</c:v>
                </c:pt>
                <c:pt idx="405">
                  <c:v>-1.0561722496779022</c:v>
                </c:pt>
                <c:pt idx="406">
                  <c:v>-1.0546030972805267</c:v>
                </c:pt>
                <c:pt idx="407">
                  <c:v>-1.0530365372804853</c:v>
                </c:pt>
                <c:pt idx="408">
                  <c:v>-1.0514725572942398</c:v>
                </c:pt>
                <c:pt idx="409">
                  <c:v>-1.0499111450245728</c:v>
                </c:pt>
                <c:pt idx="410">
                  <c:v>-1.0483522882597411</c:v>
                </c:pt>
                <c:pt idx="411">
                  <c:v>-1.0467959748726854</c:v>
                </c:pt>
                <c:pt idx="412">
                  <c:v>-1.0452421928202371</c:v>
                </c:pt>
                <c:pt idx="413">
                  <c:v>-1.0436909301423187</c:v>
                </c:pt>
                <c:pt idx="414">
                  <c:v>-1.0421421749611568</c:v>
                </c:pt>
                <c:pt idx="415">
                  <c:v>-1.0405959154805442</c:v>
                </c:pt>
                <c:pt idx="416">
                  <c:v>-1.0390521399850348</c:v>
                </c:pt>
                <c:pt idx="417">
                  <c:v>-1.0375108368392376</c:v>
                </c:pt>
                <c:pt idx="418">
                  <c:v>-1.0359719944870254</c:v>
                </c:pt>
                <c:pt idx="419">
                  <c:v>-1.0344356014508427</c:v>
                </c:pt>
                <c:pt idx="420">
                  <c:v>-1.0329016463309522</c:v>
                </c:pt>
                <c:pt idx="421">
                  <c:v>-1.0313701178047257</c:v>
                </c:pt>
                <c:pt idx="422">
                  <c:v>-1.0298410046259314</c:v>
                </c:pt>
                <c:pt idx="423">
                  <c:v>-1.0283142956240383</c:v>
                </c:pt>
                <c:pt idx="424">
                  <c:v>-1.0267899797035263</c:v>
                </c:pt>
                <c:pt idx="425">
                  <c:v>-1.0252680458431775</c:v>
                </c:pt>
                <c:pt idx="426">
                  <c:v>-1.0237484830954369</c:v>
                </c:pt>
                <c:pt idx="427">
                  <c:v>-1.0222312805857012</c:v>
                </c:pt>
                <c:pt idx="428">
                  <c:v>-1.0207164275116911</c:v>
                </c:pt>
                <c:pt idx="429">
                  <c:v>-1.0192039131427704</c:v>
                </c:pt>
                <c:pt idx="430">
                  <c:v>-1.0176937268193196</c:v>
                </c:pt>
                <c:pt idx="431">
                  <c:v>-1.0161858579520826</c:v>
                </c:pt>
                <c:pt idx="432">
                  <c:v>-1.0146802960215424</c:v>
                </c:pt>
                <c:pt idx="433">
                  <c:v>-1.013177030577286</c:v>
                </c:pt>
                <c:pt idx="434">
                  <c:v>-1.0116760512373966</c:v>
                </c:pt>
                <c:pt idx="435">
                  <c:v>-1.010177347687834</c:v>
                </c:pt>
                <c:pt idx="436">
                  <c:v>-1.0086809096818363</c:v>
                </c:pt>
                <c:pt idx="437">
                  <c:v>-1.0071867270393131</c:v>
                </c:pt>
                <c:pt idx="438">
                  <c:v>-1.0056947896462742</c:v>
                </c:pt>
                <c:pt idx="439">
                  <c:v>-1.0042050874542052</c:v>
                </c:pt>
                <c:pt idx="440">
                  <c:v>-1.0027176104795374</c:v>
                </c:pt>
                <c:pt idx="441">
                  <c:v>-1.0012323488030457</c:v>
                </c:pt>
                <c:pt idx="442">
                  <c:v>-0.99974929256929168</c:v>
                </c:pt>
                <c:pt idx="443">
                  <c:v>-0.99826843198605819</c:v>
                </c:pt>
                <c:pt idx="444">
                  <c:v>-0.99678975732380992</c:v>
                </c:pt>
                <c:pt idx="445">
                  <c:v>-0.99531325891512723</c:v>
                </c:pt>
                <c:pt idx="446">
                  <c:v>-0.99383892715419286</c:v>
                </c:pt>
                <c:pt idx="447">
                  <c:v>-0.99236675249622075</c:v>
                </c:pt>
                <c:pt idx="448">
                  <c:v>-0.99089672545695362</c:v>
                </c:pt>
                <c:pt idx="449">
                  <c:v>-0.98942883661213332</c:v>
                </c:pt>
                <c:pt idx="450">
                  <c:v>-0.98796307659698357</c:v>
                </c:pt>
                <c:pt idx="451">
                  <c:v>-0.98649943610568314</c:v>
                </c:pt>
                <c:pt idx="452">
                  <c:v>-0.98503790589088602</c:v>
                </c:pt>
                <c:pt idx="453">
                  <c:v>-0.98357847676319476</c:v>
                </c:pt>
                <c:pt idx="454">
                  <c:v>-0.98212113959067771</c:v>
                </c:pt>
                <c:pt idx="455">
                  <c:v>-0.98066588529837606</c:v>
                </c:pt>
                <c:pt idx="456">
                  <c:v>-0.97921270486781897</c:v>
                </c:pt>
                <c:pt idx="457">
                  <c:v>-0.977761589336542</c:v>
                </c:pt>
                <c:pt idx="458">
                  <c:v>-0.97631252979761474</c:v>
                </c:pt>
                <c:pt idx="459">
                  <c:v>-0.97486551739916283</c:v>
                </c:pt>
                <c:pt idx="460">
                  <c:v>-0.97342054334391392</c:v>
                </c:pt>
                <c:pt idx="461">
                  <c:v>-0.97197759888873336</c:v>
                </c:pt>
                <c:pt idx="462">
                  <c:v>-0.97053667534415833</c:v>
                </c:pt>
                <c:pt idx="463">
                  <c:v>-0.96909776407397552</c:v>
                </c:pt>
                <c:pt idx="464">
                  <c:v>-0.96766085649473688</c:v>
                </c:pt>
                <c:pt idx="465">
                  <c:v>-0.9662259440753489</c:v>
                </c:pt>
                <c:pt idx="466">
                  <c:v>-0.96479301833663123</c:v>
                </c:pt>
                <c:pt idx="467">
                  <c:v>-0.96336207085086911</c:v>
                </c:pt>
                <c:pt idx="468">
                  <c:v>-0.96193309324140042</c:v>
                </c:pt>
                <c:pt idx="469">
                  <c:v>-0.96050607718218939</c:v>
                </c:pt>
                <c:pt idx="470">
                  <c:v>-0.95908101439741089</c:v>
                </c:pt>
                <c:pt idx="471">
                  <c:v>-0.95765789666102774</c:v>
                </c:pt>
                <c:pt idx="472">
                  <c:v>-0.95623671579638736</c:v>
                </c:pt>
                <c:pt idx="473">
                  <c:v>-0.95481746367582188</c:v>
                </c:pt>
                <c:pt idx="474">
                  <c:v>-0.95340013222022513</c:v>
                </c:pt>
                <c:pt idx="475">
                  <c:v>-0.95198471339867963</c:v>
                </c:pt>
                <c:pt idx="476">
                  <c:v>-0.95057119922805444</c:v>
                </c:pt>
                <c:pt idx="477">
                  <c:v>-0.94915958177260995</c:v>
                </c:pt>
                <c:pt idx="478">
                  <c:v>-0.9477498531436207</c:v>
                </c:pt>
                <c:pt idx="479">
                  <c:v>-0.9463420054989905</c:v>
                </c:pt>
                <c:pt idx="480">
                  <c:v>-0.94493603104286916</c:v>
                </c:pt>
                <c:pt idx="481">
                  <c:v>-0.94353192202529634</c:v>
                </c:pt>
                <c:pt idx="482">
                  <c:v>-0.9421296707418092</c:v>
                </c:pt>
                <c:pt idx="483">
                  <c:v>-0.94072926953309444</c:v>
                </c:pt>
                <c:pt idx="484">
                  <c:v>-0.93933071078461428</c:v>
                </c:pt>
                <c:pt idx="485">
                  <c:v>-0.93793398692625041</c:v>
                </c:pt>
                <c:pt idx="486">
                  <c:v>-0.93653909043195804</c:v>
                </c:pt>
                <c:pt idx="487">
                  <c:v>-0.93514601381939777</c:v>
                </c:pt>
                <c:pt idx="488">
                  <c:v>-0.93375474964959926</c:v>
                </c:pt>
                <c:pt idx="489">
                  <c:v>-0.93236529052661909</c:v>
                </c:pt>
                <c:pt idx="490">
                  <c:v>-0.93097762909718262</c:v>
                </c:pt>
                <c:pt idx="491">
                  <c:v>-0.92959175805036609</c:v>
                </c:pt>
                <c:pt idx="492">
                  <c:v>-0.92820767011724803</c:v>
                </c:pt>
                <c:pt idx="493">
                  <c:v>-0.9268253580705913</c:v>
                </c:pt>
                <c:pt idx="494">
                  <c:v>-0.92544481472449469</c:v>
                </c:pt>
                <c:pt idx="495">
                  <c:v>-0.9240660329340914</c:v>
                </c:pt>
                <c:pt idx="496">
                  <c:v>-0.92268900559521316</c:v>
                </c:pt>
                <c:pt idx="497">
                  <c:v>-0.92131372564407421</c:v>
                </c:pt>
                <c:pt idx="498">
                  <c:v>-0.91994018605695815</c:v>
                </c:pt>
                <c:pt idx="499">
                  <c:v>-0.91856837984990947</c:v>
                </c:pt>
                <c:pt idx="500">
                  <c:v>-0.91719830007841041</c:v>
                </c:pt>
                <c:pt idx="501">
                  <c:v>-0.91582993983709327</c:v>
                </c:pt>
                <c:pt idx="502">
                  <c:v>-0.9144632922594228</c:v>
                </c:pt>
                <c:pt idx="503">
                  <c:v>-0.91309835051740929</c:v>
                </c:pt>
                <c:pt idx="504">
                  <c:v>-0.91173510782129263</c:v>
                </c:pt>
                <c:pt idx="505">
                  <c:v>-0.9103735574192654</c:v>
                </c:pt>
                <c:pt idx="506">
                  <c:v>-0.90901369259717724</c:v>
                </c:pt>
                <c:pt idx="507">
                  <c:v>-0.90765550667823802</c:v>
                </c:pt>
                <c:pt idx="508">
                  <c:v>-0.90629899302273975</c:v>
                </c:pt>
                <c:pt idx="509">
                  <c:v>-0.90494414502777054</c:v>
                </c:pt>
                <c:pt idx="510">
                  <c:v>-0.90359095612693663</c:v>
                </c:pt>
                <c:pt idx="511">
                  <c:v>-0.90223941979007871</c:v>
                </c:pt>
                <c:pt idx="512">
                  <c:v>-0.90088952952300361</c:v>
                </c:pt>
                <c:pt idx="513">
                  <c:v>-0.89954127886720314</c:v>
                </c:pt>
                <c:pt idx="514">
                  <c:v>-0.89819466139959669</c:v>
                </c:pt>
                <c:pt idx="515">
                  <c:v>-0.89684967073224997</c:v>
                </c:pt>
                <c:pt idx="516">
                  <c:v>-0.89550630051212277</c:v>
                </c:pt>
                <c:pt idx="517">
                  <c:v>-0.89416454442079252</c:v>
                </c:pt>
                <c:pt idx="518">
                  <c:v>-0.89282439617420672</c:v>
                </c:pt>
                <c:pt idx="519">
                  <c:v>-0.89148584952241905</c:v>
                </c:pt>
                <c:pt idx="520">
                  <c:v>-0.89014889824933852</c:v>
                </c:pt>
                <c:pt idx="521">
                  <c:v>-0.88881353617246839</c:v>
                </c:pt>
                <c:pt idx="522">
                  <c:v>-0.88747975714266836</c:v>
                </c:pt>
                <c:pt idx="523">
                  <c:v>-0.88614755504389486</c:v>
                </c:pt>
                <c:pt idx="524">
                  <c:v>-0.8848169237929584</c:v>
                </c:pt>
                <c:pt idx="525">
                  <c:v>-0.88348785733928747</c:v>
                </c:pt>
                <c:pt idx="526">
                  <c:v>-0.88216034966467749</c:v>
                </c:pt>
                <c:pt idx="527">
                  <c:v>-0.8808343947830547</c:v>
                </c:pt>
                <c:pt idx="528">
                  <c:v>-0.87950998674024572</c:v>
                </c:pt>
                <c:pt idx="529">
                  <c:v>-0.8781871196137323</c:v>
                </c:pt>
                <c:pt idx="530">
                  <c:v>-0.8768657875124275</c:v>
                </c:pt>
                <c:pt idx="531">
                  <c:v>-0.87554598457644239</c:v>
                </c:pt>
                <c:pt idx="532">
                  <c:v>-0.87422770497685598</c:v>
                </c:pt>
                <c:pt idx="533">
                  <c:v>-0.87291094291549243</c:v>
                </c:pt>
                <c:pt idx="534">
                  <c:v>-0.87159569262469383</c:v>
                </c:pt>
                <c:pt idx="535">
                  <c:v>-0.87028194836710138</c:v>
                </c:pt>
                <c:pt idx="536">
                  <c:v>-0.86896970443543375</c:v>
                </c:pt>
                <c:pt idx="537">
                  <c:v>-0.86765895515226954</c:v>
                </c:pt>
                <c:pt idx="538">
                  <c:v>-0.86634969486982716</c:v>
                </c:pt>
                <c:pt idx="539">
                  <c:v>-0.86504191796976004</c:v>
                </c:pt>
                <c:pt idx="540">
                  <c:v>-0.8637356188629367</c:v>
                </c:pt>
                <c:pt idx="541">
                  <c:v>-0.86243079198923167</c:v>
                </c:pt>
                <c:pt idx="542">
                  <c:v>-0.86112743181731921</c:v>
                </c:pt>
                <c:pt idx="543">
                  <c:v>-0.85982553284446583</c:v>
                </c:pt>
                <c:pt idx="544">
                  <c:v>-0.85852508959632723</c:v>
                </c:pt>
                <c:pt idx="545">
                  <c:v>-0.85722609662674065</c:v>
                </c:pt>
                <c:pt idx="546">
                  <c:v>-0.85592854851753331</c:v>
                </c:pt>
                <c:pt idx="547">
                  <c:v>-0.8546324398783105</c:v>
                </c:pt>
                <c:pt idx="548">
                  <c:v>-0.85333776534626893</c:v>
                </c:pt>
                <c:pt idx="549">
                  <c:v>-0.85204451958599536</c:v>
                </c:pt>
                <c:pt idx="550">
                  <c:v>-0.85075269728927749</c:v>
                </c:pt>
                <c:pt idx="551">
                  <c:v>-0.84946229317490396</c:v>
                </c:pt>
                <c:pt idx="552">
                  <c:v>-0.84817330198848184</c:v>
                </c:pt>
                <c:pt idx="553">
                  <c:v>-0.84688571850224492</c:v>
                </c:pt>
                <c:pt idx="554">
                  <c:v>-0.8455995375148615</c:v>
                </c:pt>
                <c:pt idx="555">
                  <c:v>-0.84431475385125954</c:v>
                </c:pt>
                <c:pt idx="556">
                  <c:v>-0.84303136236243192</c:v>
                </c:pt>
                <c:pt idx="557">
                  <c:v>-0.8417493579252624</c:v>
                </c:pt>
                <c:pt idx="558">
                  <c:v>-0.84046873544233791</c:v>
                </c:pt>
                <c:pt idx="559">
                  <c:v>-0.83918948984177677</c:v>
                </c:pt>
                <c:pt idx="560">
                  <c:v>-0.83791161607704512</c:v>
                </c:pt>
                <c:pt idx="561">
                  <c:v>-0.8366351091267803</c:v>
                </c:pt>
                <c:pt idx="562">
                  <c:v>-0.8353599639946242</c:v>
                </c:pt>
                <c:pt idx="563">
                  <c:v>-0.8340861757090422</c:v>
                </c:pt>
                <c:pt idx="564">
                  <c:v>-0.8328137393231565</c:v>
                </c:pt>
                <c:pt idx="565">
                  <c:v>-0.83154264991456917</c:v>
                </c:pt>
                <c:pt idx="566">
                  <c:v>-0.83027290258520536</c:v>
                </c:pt>
                <c:pt idx="567">
                  <c:v>-0.82900449246113384</c:v>
                </c:pt>
                <c:pt idx="568">
                  <c:v>-0.82773741469241069</c:v>
                </c:pt>
                <c:pt idx="569">
                  <c:v>-0.82647166445290965</c:v>
                </c:pt>
                <c:pt idx="570">
                  <c:v>-0.8252072369401583</c:v>
                </c:pt>
                <c:pt idx="571">
                  <c:v>-0.82394412737518585</c:v>
                </c:pt>
                <c:pt idx="572">
                  <c:v>-0.82268233100234811</c:v>
                </c:pt>
                <c:pt idx="573">
                  <c:v>-0.82142184308918198</c:v>
                </c:pt>
                <c:pt idx="574">
                  <c:v>-0.82016265892624407</c:v>
                </c:pt>
                <c:pt idx="575">
                  <c:v>-0.81890477382694737</c:v>
                </c:pt>
                <c:pt idx="576">
                  <c:v>-0.81764818312742049</c:v>
                </c:pt>
                <c:pt idx="577">
                  <c:v>-0.81639288218633976</c:v>
                </c:pt>
                <c:pt idx="578">
                  <c:v>-0.81513886638478783</c:v>
                </c:pt>
                <c:pt idx="579">
                  <c:v>-0.81388613112609642</c:v>
                </c:pt>
                <c:pt idx="580">
                  <c:v>-0.81263467183570204</c:v>
                </c:pt>
                <c:pt idx="581">
                  <c:v>-0.81138448396098972</c:v>
                </c:pt>
                <c:pt idx="582">
                  <c:v>-0.81013556297115752</c:v>
                </c:pt>
                <c:pt idx="583">
                  <c:v>-0.80888790435705593</c:v>
                </c:pt>
                <c:pt idx="584">
                  <c:v>-0.80764150363105824</c:v>
                </c:pt>
                <c:pt idx="585">
                  <c:v>-0.80639635632690598</c:v>
                </c:pt>
                <c:pt idx="586">
                  <c:v>-0.8051524579995728</c:v>
                </c:pt>
                <c:pt idx="587">
                  <c:v>-0.80390980422511926</c:v>
                </c:pt>
                <c:pt idx="588">
                  <c:v>-0.80266839060055795</c:v>
                </c:pt>
                <c:pt idx="589">
                  <c:v>-0.80142821274370946</c:v>
                </c:pt>
                <c:pt idx="590">
                  <c:v>-0.80018926629306653</c:v>
                </c:pt>
                <c:pt idx="591">
                  <c:v>-0.79895154690765968</c:v>
                </c:pt>
                <c:pt idx="592">
                  <c:v>-0.7977150502669198</c:v>
                </c:pt>
                <c:pt idx="593">
                  <c:v>-0.79647977207054432</c:v>
                </c:pt>
                <c:pt idx="594">
                  <c:v>-0.79524570803836336</c:v>
                </c:pt>
                <c:pt idx="595">
                  <c:v>-0.79401285391020959</c:v>
                </c:pt>
                <c:pt idx="596">
                  <c:v>-0.79278120544578601</c:v>
                </c:pt>
                <c:pt idx="597">
                  <c:v>-0.79155075842453404</c:v>
                </c:pt>
                <c:pt idx="598">
                  <c:v>-0.79032150864550987</c:v>
                </c:pt>
                <c:pt idx="599">
                  <c:v>-0.78909345192724933</c:v>
                </c:pt>
                <c:pt idx="600">
                  <c:v>-0.7878665841076492</c:v>
                </c:pt>
                <c:pt idx="601">
                  <c:v>-0.7866409010438361</c:v>
                </c:pt>
                <c:pt idx="602">
                  <c:v>-0.7854163986120406</c:v>
                </c:pt>
                <c:pt idx="603">
                  <c:v>-0.78419307270748184</c:v>
                </c:pt>
                <c:pt idx="604">
                  <c:v>-0.78297091924423179</c:v>
                </c:pt>
                <c:pt idx="605">
                  <c:v>-0.78174993415510774</c:v>
                </c:pt>
                <c:pt idx="606">
                  <c:v>-0.78053011339153777</c:v>
                </c:pt>
                <c:pt idx="607">
                  <c:v>-0.7793114529234535</c:v>
                </c:pt>
                <c:pt idx="608">
                  <c:v>-0.77809394873916149</c:v>
                </c:pt>
                <c:pt idx="609">
                  <c:v>-0.7768775968452305</c:v>
                </c:pt>
                <c:pt idx="610">
                  <c:v>-0.77566239326637487</c:v>
                </c:pt>
                <c:pt idx="611">
                  <c:v>-0.77444833404533442</c:v>
                </c:pt>
                <c:pt idx="612">
                  <c:v>-0.77323541524276318</c:v>
                </c:pt>
                <c:pt idx="613">
                  <c:v>-0.77202363293711296</c:v>
                </c:pt>
                <c:pt idx="614">
                  <c:v>-0.77081298322452296</c:v>
                </c:pt>
                <c:pt idx="615">
                  <c:v>-0.76960346221870191</c:v>
                </c:pt>
                <c:pt idx="616">
                  <c:v>-0.76839506605082453</c:v>
                </c:pt>
                <c:pt idx="617">
                  <c:v>-0.76718779086941125</c:v>
                </c:pt>
                <c:pt idx="618">
                  <c:v>-0.76598163284023002</c:v>
                </c:pt>
                <c:pt idx="619">
                  <c:v>-0.76477658814617433</c:v>
                </c:pt>
                <c:pt idx="620">
                  <c:v>-0.76357265298716637</c:v>
                </c:pt>
                <c:pt idx="621">
                  <c:v>-0.76236982358004401</c:v>
                </c:pt>
                <c:pt idx="622">
                  <c:v>-0.76116809615845538</c:v>
                </c:pt>
                <c:pt idx="623">
                  <c:v>-0.75996746697275508</c:v>
                </c:pt>
                <c:pt idx="624">
                  <c:v>-0.75876793228989581</c:v>
                </c:pt>
                <c:pt idx="625">
                  <c:v>-0.75756948839332861</c:v>
                </c:pt>
                <c:pt idx="626">
                  <c:v>-0.75637213158289784</c:v>
                </c:pt>
                <c:pt idx="627">
                  <c:v>-0.75517585817473776</c:v>
                </c:pt>
                <c:pt idx="628">
                  <c:v>-0.75398066450117585</c:v>
                </c:pt>
                <c:pt idx="629">
                  <c:v>-0.7527865469106233</c:v>
                </c:pt>
                <c:pt idx="630">
                  <c:v>-0.75159350176748529</c:v>
                </c:pt>
                <c:pt idx="631">
                  <c:v>-0.75040152545205285</c:v>
                </c:pt>
                <c:pt idx="632">
                  <c:v>-0.74921061436041148</c:v>
                </c:pt>
                <c:pt idx="633">
                  <c:v>-0.748020764904339</c:v>
                </c:pt>
                <c:pt idx="634">
                  <c:v>-0.74683197351121133</c:v>
                </c:pt>
                <c:pt idx="635">
                  <c:v>-0.74564423662390367</c:v>
                </c:pt>
                <c:pt idx="636">
                  <c:v>-0.74445755070069775</c:v>
                </c:pt>
                <c:pt idx="637">
                  <c:v>-0.74327191221518607</c:v>
                </c:pt>
                <c:pt idx="638">
                  <c:v>-0.74208731765617653</c:v>
                </c:pt>
                <c:pt idx="639">
                  <c:v>-0.74090376352760345</c:v>
                </c:pt>
                <c:pt idx="640">
                  <c:v>-0.73972124634842751</c:v>
                </c:pt>
                <c:pt idx="641">
                  <c:v>-0.73853976265255361</c:v>
                </c:pt>
                <c:pt idx="642">
                  <c:v>-0.73735930898873114</c:v>
                </c:pt>
                <c:pt idx="643">
                  <c:v>-0.73617988192046735</c:v>
                </c:pt>
                <c:pt idx="644">
                  <c:v>-0.73500147802593829</c:v>
                </c:pt>
                <c:pt idx="645">
                  <c:v>-0.73382409389789827</c:v>
                </c:pt>
                <c:pt idx="646">
                  <c:v>-0.73264772614359108</c:v>
                </c:pt>
                <c:pt idx="647">
                  <c:v>-0.73147237138466403</c:v>
                </c:pt>
                <c:pt idx="648">
                  <c:v>-0.73029802625707829</c:v>
                </c:pt>
                <c:pt idx="649">
                  <c:v>-0.72912468741102621</c:v>
                </c:pt>
                <c:pt idx="650">
                  <c:v>-0.72795235151083948</c:v>
                </c:pt>
                <c:pt idx="651">
                  <c:v>-0.7267810152349109</c:v>
                </c:pt>
                <c:pt idx="652">
                  <c:v>-0.72561067527560552</c:v>
                </c:pt>
                <c:pt idx="653">
                  <c:v>-0.72444132833917729</c:v>
                </c:pt>
                <c:pt idx="654">
                  <c:v>-0.72327297114568678</c:v>
                </c:pt>
                <c:pt idx="655">
                  <c:v>-0.72210560042891747</c:v>
                </c:pt>
                <c:pt idx="656">
                  <c:v>-0.72093921293629504</c:v>
                </c:pt>
                <c:pt idx="657">
                  <c:v>-0.71977380542880454</c:v>
                </c:pt>
                <c:pt idx="658">
                  <c:v>-0.71860937468090946</c:v>
                </c:pt>
                <c:pt idx="659">
                  <c:v>-0.71744591748047404</c:v>
                </c:pt>
                <c:pt idx="660">
                  <c:v>-0.71628343062867905</c:v>
                </c:pt>
                <c:pt idx="661">
                  <c:v>-0.71512191093994781</c:v>
                </c:pt>
                <c:pt idx="662">
                  <c:v>-0.71396135524186277</c:v>
                </c:pt>
                <c:pt idx="663">
                  <c:v>-0.71280176037509213</c:v>
                </c:pt>
                <c:pt idx="664">
                  <c:v>-0.71164312319330936</c:v>
                </c:pt>
                <c:pt idx="665">
                  <c:v>-0.71048544056311724</c:v>
                </c:pt>
                <c:pt idx="666">
                  <c:v>-0.70932870936397185</c:v>
                </c:pt>
                <c:pt idx="667">
                  <c:v>-0.70817292648810803</c:v>
                </c:pt>
                <c:pt idx="668">
                  <c:v>-0.70701808884046136</c:v>
                </c:pt>
                <c:pt idx="669">
                  <c:v>-0.70586419333859551</c:v>
                </c:pt>
                <c:pt idx="670">
                  <c:v>-0.70471123691262905</c:v>
                </c:pt>
                <c:pt idx="671">
                  <c:v>-0.70355921650516096</c:v>
                </c:pt>
                <c:pt idx="672">
                  <c:v>-0.70240812907119476</c:v>
                </c:pt>
                <c:pt idx="673">
                  <c:v>-0.70125797157807224</c:v>
                </c:pt>
                <c:pt idx="674">
                  <c:v>-0.70010874100539633</c:v>
                </c:pt>
                <c:pt idx="675">
                  <c:v>-0.69896043434496191</c:v>
                </c:pt>
                <c:pt idx="676">
                  <c:v>-0.6978130486006846</c:v>
                </c:pt>
                <c:pt idx="677">
                  <c:v>-0.69666658078852928</c:v>
                </c:pt>
                <c:pt idx="678">
                  <c:v>-0.69552102793644344</c:v>
                </c:pt>
                <c:pt idx="679">
                  <c:v>-0.69437638708428129</c:v>
                </c:pt>
                <c:pt idx="680">
                  <c:v>-0.69323265528374423</c:v>
                </c:pt>
                <c:pt idx="681">
                  <c:v>-0.69208982959830356</c:v>
                </c:pt>
                <c:pt idx="682">
                  <c:v>-0.69094790710313814</c:v>
                </c:pt>
                <c:pt idx="683">
                  <c:v>-0.68980688488506425</c:v>
                </c:pt>
                <c:pt idx="684">
                  <c:v>-0.68866676004246885</c:v>
                </c:pt>
                <c:pt idx="685">
                  <c:v>-0.68752752968524566</c:v>
                </c:pt>
                <c:pt idx="686">
                  <c:v>-0.68638919093472583</c:v>
                </c:pt>
                <c:pt idx="687">
                  <c:v>-0.68525174092361352</c:v>
                </c:pt>
                <c:pt idx="688">
                  <c:v>-0.68411517679592171</c:v>
                </c:pt>
                <c:pt idx="689">
                  <c:v>-0.68297949570690686</c:v>
                </c:pt>
                <c:pt idx="690">
                  <c:v>-0.68184469482300414</c:v>
                </c:pt>
                <c:pt idx="691">
                  <c:v>-0.68071077132176561</c:v>
                </c:pt>
                <c:pt idx="692">
                  <c:v>-0.67957772239179393</c:v>
                </c:pt>
                <c:pt idx="693">
                  <c:v>-0.67844554523268352</c:v>
                </c:pt>
                <c:pt idx="694">
                  <c:v>-0.67731423705495308</c:v>
                </c:pt>
                <c:pt idx="695">
                  <c:v>-0.67618379507998971</c:v>
                </c:pt>
                <c:pt idx="696">
                  <c:v>-0.67505421653997999</c:v>
                </c:pt>
                <c:pt idx="697">
                  <c:v>-0.67392549867785734</c:v>
                </c:pt>
                <c:pt idx="698">
                  <c:v>-0.67279763874723386</c:v>
                </c:pt>
                <c:pt idx="699">
                  <c:v>-0.67167063401234417</c:v>
                </c:pt>
                <c:pt idx="700">
                  <c:v>-0.67054448174798542</c:v>
                </c:pt>
                <c:pt idx="701">
                  <c:v>-0.66941917923945549</c:v>
                </c:pt>
                <c:pt idx="702">
                  <c:v>-0.66829472378249688</c:v>
                </c:pt>
                <c:pt idx="703">
                  <c:v>-0.66717111268323592</c:v>
                </c:pt>
                <c:pt idx="704">
                  <c:v>-0.66604834325812534</c:v>
                </c:pt>
                <c:pt idx="705">
                  <c:v>-0.66492641283388665</c:v>
                </c:pt>
                <c:pt idx="706">
                  <c:v>-0.66380531874745252</c:v>
                </c:pt>
                <c:pt idx="707">
                  <c:v>-0.66268505834591007</c:v>
                </c:pt>
                <c:pt idx="708">
                  <c:v>-0.661565628986443</c:v>
                </c:pt>
                <c:pt idx="709">
                  <c:v>-0.66044702803627786</c:v>
                </c:pt>
                <c:pt idx="710">
                  <c:v>-0.65932925287262445</c:v>
                </c:pt>
                <c:pt idx="711">
                  <c:v>-0.65821230088262495</c:v>
                </c:pt>
                <c:pt idx="712">
                  <c:v>-0.65709616946329374</c:v>
                </c:pt>
                <c:pt idx="713">
                  <c:v>-0.65598085602146772</c:v>
                </c:pt>
                <c:pt idx="714">
                  <c:v>-0.65486635797374737</c:v>
                </c:pt>
                <c:pt idx="715">
                  <c:v>-0.65375267274644666</c:v>
                </c:pt>
                <c:pt idx="716">
                  <c:v>-0.65263979777553671</c:v>
                </c:pt>
                <c:pt idx="717">
                  <c:v>-0.65152773050659363</c:v>
                </c:pt>
                <c:pt idx="718">
                  <c:v>-0.6504164683947451</c:v>
                </c:pt>
                <c:pt idx="719">
                  <c:v>-0.64930600890461865</c:v>
                </c:pt>
                <c:pt idx="720">
                  <c:v>-0.64819634951028904</c:v>
                </c:pt>
                <c:pt idx="721">
                  <c:v>-0.64708748769522595</c:v>
                </c:pt>
                <c:pt idx="722">
                  <c:v>-0.64597942095224226</c:v>
                </c:pt>
                <c:pt idx="723">
                  <c:v>-0.64487214678344551</c:v>
                </c:pt>
                <c:pt idx="724">
                  <c:v>-0.64376566270018276</c:v>
                </c:pt>
                <c:pt idx="725">
                  <c:v>-0.64265996622299348</c:v>
                </c:pt>
                <c:pt idx="726">
                  <c:v>-0.64155505488155884</c:v>
                </c:pt>
                <c:pt idx="727">
                  <c:v>-0.64045092621465016</c:v>
                </c:pt>
                <c:pt idx="728">
                  <c:v>-0.63934757777008178</c:v>
                </c:pt>
                <c:pt idx="729">
                  <c:v>-0.63824500710465992</c:v>
                </c:pt>
                <c:pt idx="730">
                  <c:v>-0.63714321178413524</c:v>
                </c:pt>
                <c:pt idx="731">
                  <c:v>-0.6360421893831536</c:v>
                </c:pt>
                <c:pt idx="732">
                  <c:v>-0.634941937485209</c:v>
                </c:pt>
                <c:pt idx="733">
                  <c:v>-0.63384245368259318</c:v>
                </c:pt>
                <c:pt idx="734">
                  <c:v>-0.63274373557635089</c:v>
                </c:pt>
                <c:pt idx="735">
                  <c:v>-0.63164578077623101</c:v>
                </c:pt>
                <c:pt idx="736">
                  <c:v>-0.63054858690063964</c:v>
                </c:pt>
                <c:pt idx="737">
                  <c:v>-0.62945215157659573</c:v>
                </c:pt>
                <c:pt idx="738">
                  <c:v>-0.62835647243968062</c:v>
                </c:pt>
                <c:pt idx="739">
                  <c:v>-0.62726154713399584</c:v>
                </c:pt>
                <c:pt idx="740">
                  <c:v>-0.62616737331211547</c:v>
                </c:pt>
                <c:pt idx="741">
                  <c:v>-0.62507394863504151</c:v>
                </c:pt>
                <c:pt idx="742">
                  <c:v>-0.62398127077215726</c:v>
                </c:pt>
                <c:pt idx="743">
                  <c:v>-0.62288933740118524</c:v>
                </c:pt>
                <c:pt idx="744">
                  <c:v>-0.62179814620813956</c:v>
                </c:pt>
                <c:pt idx="745">
                  <c:v>-0.62070769488728461</c:v>
                </c:pt>
                <c:pt idx="746">
                  <c:v>-0.61961798114108868</c:v>
                </c:pt>
                <c:pt idx="747">
                  <c:v>-0.61852900268018141</c:v>
                </c:pt>
                <c:pt idx="748">
                  <c:v>-0.61744075722331038</c:v>
                </c:pt>
                <c:pt idx="749">
                  <c:v>-0.61635324249729795</c:v>
                </c:pt>
                <c:pt idx="750">
                  <c:v>-0.61526645623699827</c:v>
                </c:pt>
                <c:pt idx="751">
                  <c:v>-0.614180396185255</c:v>
                </c:pt>
                <c:pt idx="752">
                  <c:v>-0.61309506009285741</c:v>
                </c:pt>
                <c:pt idx="753">
                  <c:v>-0.61201044571850205</c:v>
                </c:pt>
                <c:pt idx="754">
                  <c:v>-0.61092655082874692</c:v>
                </c:pt>
                <c:pt idx="755">
                  <c:v>-0.60984337319797222</c:v>
                </c:pt>
                <c:pt idx="756">
                  <c:v>-0.60876091060833881</c:v>
                </c:pt>
                <c:pt idx="757">
                  <c:v>-0.60767916084974716</c:v>
                </c:pt>
                <c:pt idx="758">
                  <c:v>-0.60659812171979677</c:v>
                </c:pt>
                <c:pt idx="759">
                  <c:v>-0.60551779102374426</c:v>
                </c:pt>
                <c:pt idx="760">
                  <c:v>-0.60443816657446614</c:v>
                </c:pt>
                <c:pt idx="761">
                  <c:v>-0.60335924619241643</c:v>
                </c:pt>
                <c:pt idx="762">
                  <c:v>-0.60228102770558778</c:v>
                </c:pt>
                <c:pt idx="763">
                  <c:v>-0.60120350894947194</c:v>
                </c:pt>
                <c:pt idx="764">
                  <c:v>-0.60012668776702083</c:v>
                </c:pt>
                <c:pt idx="765">
                  <c:v>-0.59905056200860762</c:v>
                </c:pt>
                <c:pt idx="766">
                  <c:v>-0.59797512953198761</c:v>
                </c:pt>
                <c:pt idx="767">
                  <c:v>-0.59690038820225988</c:v>
                </c:pt>
                <c:pt idx="768">
                  <c:v>-0.59582633589182954</c:v>
                </c:pt>
                <c:pt idx="769">
                  <c:v>-0.59475297048036979</c:v>
                </c:pt>
                <c:pt idx="770">
                  <c:v>-0.59368028985478305</c:v>
                </c:pt>
                <c:pt idx="771">
                  <c:v>-0.59260829190916486</c:v>
                </c:pt>
                <c:pt idx="772">
                  <c:v>-0.59153697454476595</c:v>
                </c:pt>
                <c:pt idx="773">
                  <c:v>-0.59046633566995521</c:v>
                </c:pt>
                <c:pt idx="774">
                  <c:v>-0.58939637320018334</c:v>
                </c:pt>
                <c:pt idx="775">
                  <c:v>-0.58832708505794551</c:v>
                </c:pt>
                <c:pt idx="776">
                  <c:v>-0.58725846917274527</c:v>
                </c:pt>
                <c:pt idx="777">
                  <c:v>-0.58619052348105949</c:v>
                </c:pt>
                <c:pt idx="778">
                  <c:v>-0.58512324592630072</c:v>
                </c:pt>
                <c:pt idx="779">
                  <c:v>-0.5840566344587832</c:v>
                </c:pt>
                <c:pt idx="780">
                  <c:v>-0.58299068703568524</c:v>
                </c:pt>
                <c:pt idx="781">
                  <c:v>-0.5819254016210168</c:v>
                </c:pt>
                <c:pt idx="782">
                  <c:v>-0.58086077618558296</c:v>
                </c:pt>
                <c:pt idx="783">
                  <c:v>-0.57979680870694739</c:v>
                </c:pt>
                <c:pt idx="784">
                  <c:v>-0.57873349716940148</c:v>
                </c:pt>
                <c:pt idx="785">
                  <c:v>-0.5776708395639274</c:v>
                </c:pt>
                <c:pt idx="786">
                  <c:v>-0.5766088338881642</c:v>
                </c:pt>
                <c:pt idx="787">
                  <c:v>-0.57554747814637464</c:v>
                </c:pt>
                <c:pt idx="788">
                  <c:v>-0.57448677034941065</c:v>
                </c:pt>
                <c:pt idx="789">
                  <c:v>-0.57342670851468025</c:v>
                </c:pt>
                <c:pt idx="790">
                  <c:v>-0.57236729066611447</c:v>
                </c:pt>
                <c:pt idx="791">
                  <c:v>-0.57130851483413292</c:v>
                </c:pt>
                <c:pt idx="792">
                  <c:v>-0.57025037905561271</c:v>
                </c:pt>
                <c:pt idx="793">
                  <c:v>-0.56919288137385426</c:v>
                </c:pt>
                <c:pt idx="794">
                  <c:v>-0.56813601983854922</c:v>
                </c:pt>
                <c:pt idx="795">
                  <c:v>-0.56707979250574847</c:v>
                </c:pt>
                <c:pt idx="796">
                  <c:v>-0.56602419743782895</c:v>
                </c:pt>
                <c:pt idx="797">
                  <c:v>-0.56496923270346333</c:v>
                </c:pt>
                <c:pt idx="798">
                  <c:v>-0.56391489637758696</c:v>
                </c:pt>
                <c:pt idx="799">
                  <c:v>-0.56286118654136574</c:v>
                </c:pt>
                <c:pt idx="800">
                  <c:v>-0.56180810128216707</c:v>
                </c:pt>
                <c:pt idx="801">
                  <c:v>-0.56075563869352629</c:v>
                </c:pt>
                <c:pt idx="802">
                  <c:v>-0.55970379687511707</c:v>
                </c:pt>
                <c:pt idx="803">
                  <c:v>-0.55865257393271961</c:v>
                </c:pt>
                <c:pt idx="804">
                  <c:v>-0.55760196797819095</c:v>
                </c:pt>
                <c:pt idx="805">
                  <c:v>-0.55655197712943349</c:v>
                </c:pt>
                <c:pt idx="806">
                  <c:v>-0.5555025995103664</c:v>
                </c:pt>
                <c:pt idx="807">
                  <c:v>-0.55445383325089248</c:v>
                </c:pt>
                <c:pt idx="808">
                  <c:v>-0.55340567648687189</c:v>
                </c:pt>
                <c:pt idx="809">
                  <c:v>-0.55235812736008971</c:v>
                </c:pt>
                <c:pt idx="810">
                  <c:v>-0.55131118401822798</c:v>
                </c:pt>
                <c:pt idx="811">
                  <c:v>-0.55026484461483471</c:v>
                </c:pt>
                <c:pt idx="812">
                  <c:v>-0.54921910730929668</c:v>
                </c:pt>
                <c:pt idx="813">
                  <c:v>-0.54817397026680803</c:v>
                </c:pt>
                <c:pt idx="814">
                  <c:v>-0.54712943165834393</c:v>
                </c:pt>
                <c:pt idx="815">
                  <c:v>-0.54608548966062942</c:v>
                </c:pt>
                <c:pt idx="816">
                  <c:v>-0.54504214245611271</c:v>
                </c:pt>
                <c:pt idx="817">
                  <c:v>-0.54399938823293559</c:v>
                </c:pt>
                <c:pt idx="818">
                  <c:v>-0.54295722518490674</c:v>
                </c:pt>
                <c:pt idx="819">
                  <c:v>-0.54191565151147125</c:v>
                </c:pt>
                <c:pt idx="820">
                  <c:v>-0.54087466541768547</c:v>
                </c:pt>
                <c:pt idx="821">
                  <c:v>-0.53983426511418708</c:v>
                </c:pt>
                <c:pt idx="822">
                  <c:v>-0.5387944488171692</c:v>
                </c:pt>
                <c:pt idx="823">
                  <c:v>-0.53775521474835164</c:v>
                </c:pt>
                <c:pt idx="824">
                  <c:v>-0.53671656113495403</c:v>
                </c:pt>
                <c:pt idx="825">
                  <c:v>-0.53567848620966996</c:v>
                </c:pt>
                <c:pt idx="826">
                  <c:v>-0.53464098821063788</c:v>
                </c:pt>
                <c:pt idx="827">
                  <c:v>-0.53360406538141625</c:v>
                </c:pt>
                <c:pt idx="828">
                  <c:v>-0.53256771597095598</c:v>
                </c:pt>
                <c:pt idx="829">
                  <c:v>-0.53153193823357436</c:v>
                </c:pt>
                <c:pt idx="830">
                  <c:v>-0.53049673042892764</c:v>
                </c:pt>
                <c:pt idx="831">
                  <c:v>-0.52946209082198725</c:v>
                </c:pt>
                <c:pt idx="832">
                  <c:v>-0.52842801768301095</c:v>
                </c:pt>
                <c:pt idx="833">
                  <c:v>-0.52739450928751908</c:v>
                </c:pt>
                <c:pt idx="834">
                  <c:v>-0.52636156391626743</c:v>
                </c:pt>
                <c:pt idx="835">
                  <c:v>-0.52532917985522309</c:v>
                </c:pt>
                <c:pt idx="836">
                  <c:v>-0.52429735539553801</c:v>
                </c:pt>
                <c:pt idx="837">
                  <c:v>-0.52326608883352377</c:v>
                </c:pt>
                <c:pt idx="838">
                  <c:v>-0.52223537847062673</c:v>
                </c:pt>
                <c:pt idx="839">
                  <c:v>-0.52120522261340307</c:v>
                </c:pt>
                <c:pt idx="840">
                  <c:v>-0.52017561957349379</c:v>
                </c:pt>
                <c:pt idx="841">
                  <c:v>-0.51914656766759959</c:v>
                </c:pt>
                <c:pt idx="842">
                  <c:v>-0.51811806521745762</c:v>
                </c:pt>
                <c:pt idx="843">
                  <c:v>-0.51709011054981568</c:v>
                </c:pt>
                <c:pt idx="844">
                  <c:v>-0.51606270199640825</c:v>
                </c:pt>
                <c:pt idx="845">
                  <c:v>-0.51503583789393259</c:v>
                </c:pt>
                <c:pt idx="846">
                  <c:v>-0.51400951658402494</c:v>
                </c:pt>
                <c:pt idx="847">
                  <c:v>-0.51298373641323636</c:v>
                </c:pt>
                <c:pt idx="848">
                  <c:v>-0.51195849573300822</c:v>
                </c:pt>
                <c:pt idx="849">
                  <c:v>-0.51093379289965002</c:v>
                </c:pt>
                <c:pt idx="850">
                  <c:v>-0.5099096262743148</c:v>
                </c:pt>
                <c:pt idx="851">
                  <c:v>-0.50888599422297665</c:v>
                </c:pt>
                <c:pt idx="852">
                  <c:v>-0.50786289511640614</c:v>
                </c:pt>
                <c:pt idx="853">
                  <c:v>-0.50684032733014883</c:v>
                </c:pt>
                <c:pt idx="854">
                  <c:v>-0.50581828924450123</c:v>
                </c:pt>
                <c:pt idx="855">
                  <c:v>-0.50479677924448862</c:v>
                </c:pt>
                <c:pt idx="856">
                  <c:v>-0.5037757957198411</c:v>
                </c:pt>
                <c:pt idx="857">
                  <c:v>-0.50275533706497288</c:v>
                </c:pt>
                <c:pt idx="858">
                  <c:v>-0.50173540167895858</c:v>
                </c:pt>
                <c:pt idx="859">
                  <c:v>-0.50071598796551042</c:v>
                </c:pt>
                <c:pt idx="860">
                  <c:v>-0.49969709433295773</c:v>
                </c:pt>
                <c:pt idx="861">
                  <c:v>-0.49867871919422324</c:v>
                </c:pt>
                <c:pt idx="862">
                  <c:v>-0.49766086096680168</c:v>
                </c:pt>
                <c:pt idx="863">
                  <c:v>-0.49664351807273832</c:v>
                </c:pt>
                <c:pt idx="864">
                  <c:v>-0.49562668893860612</c:v>
                </c:pt>
                <c:pt idx="865">
                  <c:v>-0.4946103719954858</c:v>
                </c:pt>
                <c:pt idx="866">
                  <c:v>-0.49359456567894278</c:v>
                </c:pt>
                <c:pt idx="867">
                  <c:v>-0.49257926842900646</c:v>
                </c:pt>
                <c:pt idx="868">
                  <c:v>-0.49156447869014919</c:v>
                </c:pt>
                <c:pt idx="869">
                  <c:v>-0.49055019491126423</c:v>
                </c:pt>
                <c:pt idx="870">
                  <c:v>-0.48953641554564636</c:v>
                </c:pt>
                <c:pt idx="871">
                  <c:v>-0.48852313905096911</c:v>
                </c:pt>
                <c:pt idx="872">
                  <c:v>-0.48751036388926444</c:v>
                </c:pt>
                <c:pt idx="873">
                  <c:v>-0.48649808852690346</c:v>
                </c:pt>
                <c:pt idx="874">
                  <c:v>-0.48548631143457388</c:v>
                </c:pt>
                <c:pt idx="875">
                  <c:v>-0.48447503108726092</c:v>
                </c:pt>
                <c:pt idx="876">
                  <c:v>-0.4834642459642261</c:v>
                </c:pt>
                <c:pt idx="877">
                  <c:v>-0.48245395454898737</c:v>
                </c:pt>
                <c:pt idx="878">
                  <c:v>-0.48144415532929918</c:v>
                </c:pt>
                <c:pt idx="879">
                  <c:v>-0.48043484679713244</c:v>
                </c:pt>
                <c:pt idx="880">
                  <c:v>-0.4794260274486532</c:v>
                </c:pt>
                <c:pt idx="881">
                  <c:v>-0.47841769578420501</c:v>
                </c:pt>
                <c:pt idx="882">
                  <c:v>-0.47740985030828814</c:v>
                </c:pt>
                <c:pt idx="883">
                  <c:v>-0.47640248952953945</c:v>
                </c:pt>
                <c:pt idx="884">
                  <c:v>-0.47539561196071395</c:v>
                </c:pt>
                <c:pt idx="885">
                  <c:v>-0.47438921611866447</c:v>
                </c:pt>
                <c:pt idx="886">
                  <c:v>-0.4733833005243232</c:v>
                </c:pt>
                <c:pt idx="887">
                  <c:v>-0.47237786370268153</c:v>
                </c:pt>
                <c:pt idx="888">
                  <c:v>-0.47137290418277183</c:v>
                </c:pt>
                <c:pt idx="889">
                  <c:v>-0.47036842049764827</c:v>
                </c:pt>
                <c:pt idx="890">
                  <c:v>-0.4693644111843675</c:v>
                </c:pt>
                <c:pt idx="891">
                  <c:v>-0.46836087478397009</c:v>
                </c:pt>
                <c:pt idx="892">
                  <c:v>-0.46735780984146197</c:v>
                </c:pt>
                <c:pt idx="893">
                  <c:v>-0.46635521490579585</c:v>
                </c:pt>
                <c:pt idx="894">
                  <c:v>-0.4653530885298523</c:v>
                </c:pt>
                <c:pt idx="895">
                  <c:v>-0.46435142927042206</c:v>
                </c:pt>
                <c:pt idx="896">
                  <c:v>-0.46335023568818712</c:v>
                </c:pt>
                <c:pt idx="897">
                  <c:v>-0.46234950634770222</c:v>
                </c:pt>
                <c:pt idx="898">
                  <c:v>-0.46134923981737819</c:v>
                </c:pt>
                <c:pt idx="899">
                  <c:v>-0.46034943466946204</c:v>
                </c:pt>
                <c:pt idx="900">
                  <c:v>-0.45935008948002087</c:v>
                </c:pt>
                <c:pt idx="901">
                  <c:v>-0.45835120282892222</c:v>
                </c:pt>
                <c:pt idx="902">
                  <c:v>-0.45735277329981761</c:v>
                </c:pt>
                <c:pt idx="903">
                  <c:v>-0.45635479948012458</c:v>
                </c:pt>
                <c:pt idx="904">
                  <c:v>-0.45535727996100966</c:v>
                </c:pt>
                <c:pt idx="905">
                  <c:v>-0.45436021333736865</c:v>
                </c:pt>
                <c:pt idx="906">
                  <c:v>-0.45336359820781214</c:v>
                </c:pt>
                <c:pt idx="907">
                  <c:v>-0.45236743317464695</c:v>
                </c:pt>
                <c:pt idx="908">
                  <c:v>-0.45137171684385863</c:v>
                </c:pt>
                <c:pt idx="909">
                  <c:v>-0.45037644782509462</c:v>
                </c:pt>
                <c:pt idx="910">
                  <c:v>-0.44938162473164778</c:v>
                </c:pt>
                <c:pt idx="911">
                  <c:v>-0.44838724618043813</c:v>
                </c:pt>
                <c:pt idx="912">
                  <c:v>-0.44739331079199768</c:v>
                </c:pt>
                <c:pt idx="913">
                  <c:v>-0.44639981719045196</c:v>
                </c:pt>
                <c:pt idx="914">
                  <c:v>-0.44540676400350493</c:v>
                </c:pt>
                <c:pt idx="915">
                  <c:v>-0.44441414986242106</c:v>
                </c:pt>
                <c:pt idx="916">
                  <c:v>-0.44342197340200989</c:v>
                </c:pt>
                <c:pt idx="917">
                  <c:v>-0.44243023326060898</c:v>
                </c:pt>
                <c:pt idx="918">
                  <c:v>-0.44143892808006729</c:v>
                </c:pt>
                <c:pt idx="919">
                  <c:v>-0.44044805650572993</c:v>
                </c:pt>
                <c:pt idx="920">
                  <c:v>-0.43945761718642123</c:v>
                </c:pt>
                <c:pt idx="921">
                  <c:v>-0.43846760877442831</c:v>
                </c:pt>
                <c:pt idx="922">
                  <c:v>-0.43747802992548634</c:v>
                </c:pt>
                <c:pt idx="923">
                  <c:v>-0.43648887929876112</c:v>
                </c:pt>
                <c:pt idx="924">
                  <c:v>-0.43550015555683441</c:v>
                </c:pt>
                <c:pt idx="925">
                  <c:v>-0.43451185736568737</c:v>
                </c:pt>
                <c:pt idx="926">
                  <c:v>-0.43352398339468556</c:v>
                </c:pt>
                <c:pt idx="927">
                  <c:v>-0.43253653231656225</c:v>
                </c:pt>
                <c:pt idx="928">
                  <c:v>-0.43154950280740451</c:v>
                </c:pt>
                <c:pt idx="929">
                  <c:v>-0.43056289354663568</c:v>
                </c:pt>
                <c:pt idx="930">
                  <c:v>-0.42957670321700203</c:v>
                </c:pt>
                <c:pt idx="931">
                  <c:v>-0.42859093050455604</c:v>
                </c:pt>
                <c:pt idx="932">
                  <c:v>-0.42760557409864203</c:v>
                </c:pt>
                <c:pt idx="933">
                  <c:v>-0.42662063269188</c:v>
                </c:pt>
                <c:pt idx="934">
                  <c:v>-0.42563610498015186</c:v>
                </c:pt>
                <c:pt idx="935">
                  <c:v>-0.42465198966258533</c:v>
                </c:pt>
                <c:pt idx="936">
                  <c:v>-0.42366828544153984</c:v>
                </c:pt>
                <c:pt idx="937">
                  <c:v>-0.42268499102259033</c:v>
                </c:pt>
                <c:pt idx="938">
                  <c:v>-0.42170210511451434</c:v>
                </c:pt>
                <c:pt idx="939">
                  <c:v>-0.42071962642927563</c:v>
                </c:pt>
                <c:pt idx="940">
                  <c:v>-0.41973755368201104</c:v>
                </c:pt>
                <c:pt idx="941">
                  <c:v>-0.41875588559101429</c:v>
                </c:pt>
                <c:pt idx="942">
                  <c:v>-0.41777462087772282</c:v>
                </c:pt>
                <c:pt idx="943">
                  <c:v>-0.41679375826670267</c:v>
                </c:pt>
                <c:pt idx="944">
                  <c:v>-0.41581329648563453</c:v>
                </c:pt>
                <c:pt idx="945">
                  <c:v>-0.41483323426529861</c:v>
                </c:pt>
                <c:pt idx="946">
                  <c:v>-0.41385357033956183</c:v>
                </c:pt>
                <c:pt idx="947">
                  <c:v>-0.41287430344536208</c:v>
                </c:pt>
                <c:pt idx="948">
                  <c:v>-0.4118954323226956</c:v>
                </c:pt>
                <c:pt idx="949">
                  <c:v>-0.41091695571460224</c:v>
                </c:pt>
                <c:pt idx="950">
                  <c:v>-0.40993887236715104</c:v>
                </c:pt>
                <c:pt idx="951">
                  <c:v>-0.40896118102942736</c:v>
                </c:pt>
                <c:pt idx="952">
                  <c:v>-0.40798388045351869</c:v>
                </c:pt>
                <c:pt idx="953">
                  <c:v>-0.40700696939450032</c:v>
                </c:pt>
                <c:pt idx="954">
                  <c:v>-0.40603044661042242</c:v>
                </c:pt>
                <c:pt idx="955">
                  <c:v>-0.40505431086229643</c:v>
                </c:pt>
                <c:pt idx="956">
                  <c:v>-0.40407856091408068</c:v>
                </c:pt>
                <c:pt idx="957">
                  <c:v>-0.40310319553266777</c:v>
                </c:pt>
                <c:pt idx="958">
                  <c:v>-0.40212821348787098</c:v>
                </c:pt>
                <c:pt idx="959">
                  <c:v>-0.40115361355241069</c:v>
                </c:pt>
                <c:pt idx="960">
                  <c:v>-0.40017939450190104</c:v>
                </c:pt>
                <c:pt idx="961">
                  <c:v>-0.39920555511483696</c:v>
                </c:pt>
                <c:pt idx="962">
                  <c:v>-0.39823209417258071</c:v>
                </c:pt>
                <c:pt idx="963">
                  <c:v>-0.39725901045934914</c:v>
                </c:pt>
                <c:pt idx="964">
                  <c:v>-0.3962863027622005</c:v>
                </c:pt>
                <c:pt idx="965">
                  <c:v>-0.39531396987102113</c:v>
                </c:pt>
                <c:pt idx="966">
                  <c:v>-0.39434201057851331</c:v>
                </c:pt>
                <c:pt idx="967">
                  <c:v>-0.39337042368018144</c:v>
                </c:pt>
                <c:pt idx="968">
                  <c:v>-0.39239920797431982</c:v>
                </c:pt>
                <c:pt idx="969">
                  <c:v>-0.3914283622620004</c:v>
                </c:pt>
                <c:pt idx="970">
                  <c:v>-0.39045788534705833</c:v>
                </c:pt>
                <c:pt idx="971">
                  <c:v>-0.38948777603608148</c:v>
                </c:pt>
                <c:pt idx="972">
                  <c:v>-0.38851803313839667</c:v>
                </c:pt>
                <c:pt idx="973">
                  <c:v>-0.38754865546605738</c:v>
                </c:pt>
                <c:pt idx="974">
                  <c:v>-0.38657964183383137</c:v>
                </c:pt>
                <c:pt idx="975">
                  <c:v>-0.38561099105918833</c:v>
                </c:pt>
                <c:pt idx="976">
                  <c:v>-0.38464270196228711</c:v>
                </c:pt>
                <c:pt idx="977">
                  <c:v>-0.38367477336596478</c:v>
                </c:pt>
                <c:pt idx="978">
                  <c:v>-0.38270720409572206</c:v>
                </c:pt>
                <c:pt idx="979">
                  <c:v>-0.38173999297971378</c:v>
                </c:pt>
                <c:pt idx="980">
                  <c:v>-0.38077313884873498</c:v>
                </c:pt>
                <c:pt idx="981">
                  <c:v>-0.37980664053620944</c:v>
                </c:pt>
                <c:pt idx="982">
                  <c:v>-0.37884049687817822</c:v>
                </c:pt>
                <c:pt idx="983">
                  <c:v>-0.37787470671328632</c:v>
                </c:pt>
                <c:pt idx="984">
                  <c:v>-0.37690926888277237</c:v>
                </c:pt>
                <c:pt idx="985">
                  <c:v>-0.37594418223045617</c:v>
                </c:pt>
                <c:pt idx="986">
                  <c:v>-0.374979445602726</c:v>
                </c:pt>
                <c:pt idx="987">
                  <c:v>-0.37401505784852862</c:v>
                </c:pt>
                <c:pt idx="988">
                  <c:v>-0.37305101781935623</c:v>
                </c:pt>
                <c:pt idx="989">
                  <c:v>-0.37208732436923569</c:v>
                </c:pt>
                <c:pt idx="990">
                  <c:v>-0.37112397635471656</c:v>
                </c:pt>
                <c:pt idx="991">
                  <c:v>-0.37016097263485925</c:v>
                </c:pt>
                <c:pt idx="992">
                  <c:v>-0.36919831207122461</c:v>
                </c:pt>
                <c:pt idx="993">
                  <c:v>-0.36823599352786157</c:v>
                </c:pt>
                <c:pt idx="994">
                  <c:v>-0.36727401587129571</c:v>
                </c:pt>
                <c:pt idx="995">
                  <c:v>-0.36631237797051897</c:v>
                </c:pt>
                <c:pt idx="996">
                  <c:v>-0.36535107869697736</c:v>
                </c:pt>
                <c:pt idx="997">
                  <c:v>-0.36439011692456047</c:v>
                </c:pt>
                <c:pt idx="998">
                  <c:v>-0.36342949152958964</c:v>
                </c:pt>
                <c:pt idx="999">
                  <c:v>-0.36246920139080774</c:v>
                </c:pt>
                <c:pt idx="1000">
                  <c:v>-0.36150924538936696</c:v>
                </c:pt>
                <c:pt idx="1001">
                  <c:v>-0.36054962240881927</c:v>
                </c:pt>
                <c:pt idx="1002">
                  <c:v>-0.35959033133510349</c:v>
                </c:pt>
                <c:pt idx="1003">
                  <c:v>-0.35863137105653659</c:v>
                </c:pt>
                <c:pt idx="1004">
                  <c:v>-0.35767274046380138</c:v>
                </c:pt>
                <c:pt idx="1005">
                  <c:v>-0.356714438449936</c:v>
                </c:pt>
                <c:pt idx="1006">
                  <c:v>-0.35575646391032334</c:v>
                </c:pt>
                <c:pt idx="1007">
                  <c:v>-0.35479881574268041</c:v>
                </c:pt>
                <c:pt idx="1008">
                  <c:v>-0.35384149284704719</c:v>
                </c:pt>
                <c:pt idx="1009">
                  <c:v>-0.35288449412577666</c:v>
                </c:pt>
                <c:pt idx="1010">
                  <c:v>-0.35192781848352345</c:v>
                </c:pt>
                <c:pt idx="1011">
                  <c:v>-0.3509714648272339</c:v>
                </c:pt>
                <c:pt idx="1012">
                  <c:v>-0.35001543206613561</c:v>
                </c:pt>
                <c:pt idx="1013">
                  <c:v>-0.34905971911172667</c:v>
                </c:pt>
                <c:pt idx="1014">
                  <c:v>-0.34810432487776538</c:v>
                </c:pt>
                <c:pt idx="1015">
                  <c:v>-0.34714924828025989</c:v>
                </c:pt>
                <c:pt idx="1016">
                  <c:v>-0.34619448823745796</c:v>
                </c:pt>
                <c:pt idx="1017">
                  <c:v>-0.34524004366983696</c:v>
                </c:pt>
                <c:pt idx="1018">
                  <c:v>-0.34428591350009269</c:v>
                </c:pt>
                <c:pt idx="1019">
                  <c:v>-0.34333209665313047</c:v>
                </c:pt>
                <c:pt idx="1020">
                  <c:v>-0.34237859205605425</c:v>
                </c:pt>
                <c:pt idx="1021">
                  <c:v>-0.34142539863815674</c:v>
                </c:pt>
                <c:pt idx="1022">
                  <c:v>-0.34047251533090916</c:v>
                </c:pt>
                <c:pt idx="1023">
                  <c:v>-0.33951994106795175</c:v>
                </c:pt>
                <c:pt idx="1024">
                  <c:v>-0.33856767478508309</c:v>
                </c:pt>
                <c:pt idx="1025">
                  <c:v>-0.33761571542025109</c:v>
                </c:pt>
                <c:pt idx="1026">
                  <c:v>-0.33666406191354192</c:v>
                </c:pt>
                <c:pt idx="1027">
                  <c:v>-0.33571271320717128</c:v>
                </c:pt>
                <c:pt idx="1028">
                  <c:v>-0.33476166824547443</c:v>
                </c:pt>
                <c:pt idx="1029">
                  <c:v>-0.33381092597489581</c:v>
                </c:pt>
                <c:pt idx="1030">
                  <c:v>-0.33286048534397994</c:v>
                </c:pt>
                <c:pt idx="1031">
                  <c:v>-0.33191034530336139</c:v>
                </c:pt>
                <c:pt idx="1032">
                  <c:v>-0.33096050480575562</c:v>
                </c:pt>
                <c:pt idx="1033">
                  <c:v>-0.33001096280594888</c:v>
                </c:pt>
                <c:pt idx="1034">
                  <c:v>-0.32906171826078889</c:v>
                </c:pt>
                <c:pt idx="1035">
                  <c:v>-0.32811277012917539</c:v>
                </c:pt>
                <c:pt idx="1036">
                  <c:v>-0.32716411737205064</c:v>
                </c:pt>
                <c:pt idx="1037">
                  <c:v>-0.32621575895239013</c:v>
                </c:pt>
                <c:pt idx="1038">
                  <c:v>-0.32526769383519272</c:v>
                </c:pt>
                <c:pt idx="1039">
                  <c:v>-0.32431992098747181</c:v>
                </c:pt>
                <c:pt idx="1040">
                  <c:v>-0.32337243937824589</c:v>
                </c:pt>
                <c:pt idx="1041">
                  <c:v>-0.32242524797852934</c:v>
                </c:pt>
                <c:pt idx="1042">
                  <c:v>-0.32147834576132267</c:v>
                </c:pt>
                <c:pt idx="1043">
                  <c:v>-0.32053173170160409</c:v>
                </c:pt>
                <c:pt idx="1044">
                  <c:v>-0.31958540477631975</c:v>
                </c:pt>
                <c:pt idx="1045">
                  <c:v>-0.3186393639643752</c:v>
                </c:pt>
                <c:pt idx="1046">
                  <c:v>-0.31769360824662579</c:v>
                </c:pt>
                <c:pt idx="1047">
                  <c:v>-0.31674813660586792</c:v>
                </c:pt>
                <c:pt idx="1048">
                  <c:v>-0.31580294802683001</c:v>
                </c:pt>
                <c:pt idx="1049">
                  <c:v>-0.31485804149616303</c:v>
                </c:pt>
                <c:pt idx="1050">
                  <c:v>-0.31391341600243272</c:v>
                </c:pt>
                <c:pt idx="1051">
                  <c:v>-0.31296907053610923</c:v>
                </c:pt>
                <c:pt idx="1052">
                  <c:v>-0.31202500408955941</c:v>
                </c:pt>
                <c:pt idx="1053">
                  <c:v>-0.31108121565703767</c:v>
                </c:pt>
                <c:pt idx="1054">
                  <c:v>-0.31013770423467679</c:v>
                </c:pt>
                <c:pt idx="1055">
                  <c:v>-0.30919446882047974</c:v>
                </c:pt>
                <c:pt idx="1056">
                  <c:v>-0.30825150841431048</c:v>
                </c:pt>
                <c:pt idx="1057">
                  <c:v>-0.30730882201788567</c:v>
                </c:pt>
                <c:pt idx="1058">
                  <c:v>-0.30636640863476594</c:v>
                </c:pt>
                <c:pt idx="1059">
                  <c:v>-0.30542426727034655</c:v>
                </c:pt>
                <c:pt idx="1060">
                  <c:v>-0.30448239693185014</c:v>
                </c:pt>
                <c:pt idx="1061">
                  <c:v>-0.30354079662831707</c:v>
                </c:pt>
                <c:pt idx="1062">
                  <c:v>-0.30259946537059762</c:v>
                </c:pt>
                <c:pt idx="1063">
                  <c:v>-0.30165840217134304</c:v>
                </c:pt>
                <c:pt idx="1064">
                  <c:v>-0.30071760604499703</c:v>
                </c:pt>
                <c:pt idx="1065">
                  <c:v>-0.29977707600778802</c:v>
                </c:pt>
                <c:pt idx="1066">
                  <c:v>-0.29883681107772014</c:v>
                </c:pt>
                <c:pt idx="1067">
                  <c:v>-0.29789681027456483</c:v>
                </c:pt>
                <c:pt idx="1068">
                  <c:v>-0.29695707261985294</c:v>
                </c:pt>
                <c:pt idx="1069">
                  <c:v>-0.29601759713686637</c:v>
                </c:pt>
                <c:pt idx="1070">
                  <c:v>-0.29507838285062976</c:v>
                </c:pt>
                <c:pt idx="1071">
                  <c:v>-0.29413942878790195</c:v>
                </c:pt>
                <c:pt idx="1072">
                  <c:v>-0.29320073397716817</c:v>
                </c:pt>
                <c:pt idx="1073">
                  <c:v>-0.29226229744863197</c:v>
                </c:pt>
                <c:pt idx="1074">
                  <c:v>-0.29132411823420695</c:v>
                </c:pt>
                <c:pt idx="1075">
                  <c:v>-0.29038619536750815</c:v>
                </c:pt>
                <c:pt idx="1076">
                  <c:v>-0.28944852788384479</c:v>
                </c:pt>
                <c:pt idx="1077">
                  <c:v>-0.28851111482021208</c:v>
                </c:pt>
                <c:pt idx="1078">
                  <c:v>-0.28757395521528289</c:v>
                </c:pt>
                <c:pt idx="1079">
                  <c:v>-0.28663704810939999</c:v>
                </c:pt>
                <c:pt idx="1080">
                  <c:v>-0.28570039254456803</c:v>
                </c:pt>
                <c:pt idx="1081">
                  <c:v>-0.28476398756444565</c:v>
                </c:pt>
                <c:pt idx="1082">
                  <c:v>-0.28382783221433788</c:v>
                </c:pt>
                <c:pt idx="1083">
                  <c:v>-0.28289192554118753</c:v>
                </c:pt>
                <c:pt idx="1084">
                  <c:v>-0.28195626659356848</c:v>
                </c:pt>
                <c:pt idx="1085">
                  <c:v>-0.28102085442167674</c:v>
                </c:pt>
                <c:pt idx="1086">
                  <c:v>-0.2800856880773237</c:v>
                </c:pt>
                <c:pt idx="1087">
                  <c:v>-0.27915076661392774</c:v>
                </c:pt>
                <c:pt idx="1088">
                  <c:v>-0.27821608908650658</c:v>
                </c:pt>
                <c:pt idx="1089">
                  <c:v>-0.27728165455167003</c:v>
                </c:pt>
                <c:pt idx="1090">
                  <c:v>-0.27634746206761213</c:v>
                </c:pt>
                <c:pt idx="1091">
                  <c:v>-0.27541351069410286</c:v>
                </c:pt>
                <c:pt idx="1092">
                  <c:v>-0.27447979949248175</c:v>
                </c:pt>
                <c:pt idx="1093">
                  <c:v>-0.27354632752564961</c:v>
                </c:pt>
                <c:pt idx="1094">
                  <c:v>-0.2726130938580611</c:v>
                </c:pt>
                <c:pt idx="1095">
                  <c:v>-0.27168009755571709</c:v>
                </c:pt>
                <c:pt idx="1096">
                  <c:v>-0.27074733768615755</c:v>
                </c:pt>
                <c:pt idx="1097">
                  <c:v>-0.26981481331845375</c:v>
                </c:pt>
                <c:pt idx="1098">
                  <c:v>-0.26888252352320119</c:v>
                </c:pt>
                <c:pt idx="1099">
                  <c:v>-0.26795046737251149</c:v>
                </c:pt>
                <c:pt idx="1100">
                  <c:v>-0.26701864394000596</c:v>
                </c:pt>
                <c:pt idx="1101">
                  <c:v>-0.2660870523008077</c:v>
                </c:pt>
                <c:pt idx="1102">
                  <c:v>-0.2651556915315344</c:v>
                </c:pt>
                <c:pt idx="1103">
                  <c:v>-0.26422456071029093</c:v>
                </c:pt>
                <c:pt idx="1104">
                  <c:v>-0.2632936589166624</c:v>
                </c:pt>
                <c:pt idx="1105">
                  <c:v>-0.26236298523170648</c:v>
                </c:pt>
                <c:pt idx="1106">
                  <c:v>-0.26143253873794686</c:v>
                </c:pt>
                <c:pt idx="1107">
                  <c:v>-0.26050231851936484</c:v>
                </c:pt>
                <c:pt idx="1108">
                  <c:v>-0.25957232366139366</c:v>
                </c:pt>
                <c:pt idx="1109">
                  <c:v>-0.25864255325091035</c:v>
                </c:pt>
                <c:pt idx="1110">
                  <c:v>-0.25771300637622913</c:v>
                </c:pt>
                <c:pt idx="1111">
                  <c:v>-0.25678368212709396</c:v>
                </c:pt>
                <c:pt idx="1112">
                  <c:v>-0.25585457959467156</c:v>
                </c:pt>
                <c:pt idx="1113">
                  <c:v>-0.25492569787154473</c:v>
                </c:pt>
                <c:pt idx="1114">
                  <c:v>-0.25399703605170504</c:v>
                </c:pt>
                <c:pt idx="1115">
                  <c:v>-0.25306859323054542</c:v>
                </c:pt>
                <c:pt idx="1116">
                  <c:v>-0.25214036850485422</c:v>
                </c:pt>
                <c:pt idx="1117">
                  <c:v>-0.25121236097280741</c:v>
                </c:pt>
                <c:pt idx="1118">
                  <c:v>-0.25028456973396213</c:v>
                </c:pt>
                <c:pt idx="1119">
                  <c:v>-0.24935699388924934</c:v>
                </c:pt>
                <c:pt idx="1120">
                  <c:v>-0.2484296325409677</c:v>
                </c:pt>
                <c:pt idx="1121">
                  <c:v>-0.24750248479277581</c:v>
                </c:pt>
                <c:pt idx="1122">
                  <c:v>-0.24657554974968629</c:v>
                </c:pt>
                <c:pt idx="1123">
                  <c:v>-0.24564882651805803</c:v>
                </c:pt>
                <c:pt idx="1124">
                  <c:v>-0.24472231420559035</c:v>
                </c:pt>
                <c:pt idx="1125">
                  <c:v>-0.24379601192131575</c:v>
                </c:pt>
                <c:pt idx="1126">
                  <c:v>-0.24286991877559316</c:v>
                </c:pt>
                <c:pt idx="1127">
                  <c:v>-0.24194403388010158</c:v>
                </c:pt>
                <c:pt idx="1128">
                  <c:v>-0.24101835634783284</c:v>
                </c:pt>
                <c:pt idx="1129">
                  <c:v>-0.24009288529308548</c:v>
                </c:pt>
                <c:pt idx="1130">
                  <c:v>-0.23916761983145798</c:v>
                </c:pt>
                <c:pt idx="1131">
                  <c:v>-0.23824255907984196</c:v>
                </c:pt>
                <c:pt idx="1132">
                  <c:v>-0.23731770215641548</c:v>
                </c:pt>
                <c:pt idx="1133">
                  <c:v>-0.236393048180637</c:v>
                </c:pt>
                <c:pt idx="1134">
                  <c:v>-0.23546859627323838</c:v>
                </c:pt>
                <c:pt idx="1135">
                  <c:v>-0.23454434555621861</c:v>
                </c:pt>
                <c:pt idx="1136">
                  <c:v>-0.233620295152837</c:v>
                </c:pt>
                <c:pt idx="1137">
                  <c:v>-0.23269644418760693</c:v>
                </c:pt>
                <c:pt idx="1138">
                  <c:v>-0.23177279178628954</c:v>
                </c:pt>
                <c:pt idx="1139">
                  <c:v>-0.23084933707588698</c:v>
                </c:pt>
                <c:pt idx="1140">
                  <c:v>-0.22992607918463584</c:v>
                </c:pt>
                <c:pt idx="1141">
                  <c:v>-0.22900301724200117</c:v>
                </c:pt>
                <c:pt idx="1142">
                  <c:v>-0.22808015037867016</c:v>
                </c:pt>
                <c:pt idx="1143">
                  <c:v>-0.22715747772654526</c:v>
                </c:pt>
                <c:pt idx="1144">
                  <c:v>-0.22623499841873837</c:v>
                </c:pt>
                <c:pt idx="1145">
                  <c:v>-0.22531271158956406</c:v>
                </c:pt>
                <c:pt idx="1146">
                  <c:v>-0.2243906163745337</c:v>
                </c:pt>
                <c:pt idx="1147">
                  <c:v>-0.223468711910349</c:v>
                </c:pt>
                <c:pt idx="1148">
                  <c:v>-0.22254699733489539</c:v>
                </c:pt>
                <c:pt idx="1149">
                  <c:v>-0.22162547178723652</c:v>
                </c:pt>
                <c:pt idx="1150">
                  <c:v>-0.22070413440760756</c:v>
                </c:pt>
                <c:pt idx="1151">
                  <c:v>-0.21978298433740898</c:v>
                </c:pt>
                <c:pt idx="1152">
                  <c:v>-0.21886202071920072</c:v>
                </c:pt>
                <c:pt idx="1153">
                  <c:v>-0.21794124269669546</c:v>
                </c:pt>
                <c:pt idx="1154">
                  <c:v>-0.2170206494147531</c:v>
                </c:pt>
                <c:pt idx="1155">
                  <c:v>-0.21610024001937436</c:v>
                </c:pt>
                <c:pt idx="1156">
                  <c:v>-0.21518001365769429</c:v>
                </c:pt>
                <c:pt idx="1157">
                  <c:v>-0.21425996947797699</c:v>
                </c:pt>
                <c:pt idx="1158">
                  <c:v>-0.21334010662960901</c:v>
                </c:pt>
                <c:pt idx="1159">
                  <c:v>-0.21242042426309329</c:v>
                </c:pt>
                <c:pt idx="1160">
                  <c:v>-0.21150092153004341</c:v>
                </c:pt>
                <c:pt idx="1161">
                  <c:v>-0.21058159758317729</c:v>
                </c:pt>
                <c:pt idx="1162">
                  <c:v>-0.2096624515763115</c:v>
                </c:pt>
                <c:pt idx="1163">
                  <c:v>-0.20874348266435511</c:v>
                </c:pt>
                <c:pt idx="1164">
                  <c:v>-0.2078246900033035</c:v>
                </c:pt>
                <c:pt idx="1165">
                  <c:v>-0.2069060727502329</c:v>
                </c:pt>
                <c:pt idx="1166">
                  <c:v>-0.20598763006329418</c:v>
                </c:pt>
                <c:pt idx="1167">
                  <c:v>-0.20506936110170701</c:v>
                </c:pt>
                <c:pt idx="1168">
                  <c:v>-0.20415126502575404</c:v>
                </c:pt>
                <c:pt idx="1169">
                  <c:v>-0.2032333409967749</c:v>
                </c:pt>
                <c:pt idx="1170">
                  <c:v>-0.20231558817716039</c:v>
                </c:pt>
                <c:pt idx="1171">
                  <c:v>-0.20139800573034686</c:v>
                </c:pt>
                <c:pt idx="1172">
                  <c:v>-0.20048059282080985</c:v>
                </c:pt>
                <c:pt idx="1173">
                  <c:v>-0.19956334861405892</c:v>
                </c:pt>
                <c:pt idx="1174">
                  <c:v>-0.19864627227663156</c:v>
                </c:pt>
                <c:pt idx="1175">
                  <c:v>-0.19772936297608754</c:v>
                </c:pt>
                <c:pt idx="1176">
                  <c:v>-0.19681261988100293</c:v>
                </c:pt>
                <c:pt idx="1177">
                  <c:v>-0.19589604216096465</c:v>
                </c:pt>
                <c:pt idx="1178">
                  <c:v>-0.19497962898656448</c:v>
                </c:pt>
                <c:pt idx="1179">
                  <c:v>-0.19406337952939384</c:v>
                </c:pt>
                <c:pt idx="1180">
                  <c:v>-0.19314729296203723</c:v>
                </c:pt>
                <c:pt idx="1181">
                  <c:v>-0.19223136845806757</c:v>
                </c:pt>
                <c:pt idx="1182">
                  <c:v>-0.19131560519204002</c:v>
                </c:pt>
                <c:pt idx="1183">
                  <c:v>-0.19040000233948629</c:v>
                </c:pt>
                <c:pt idx="1184">
                  <c:v>-0.18948455907690923</c:v>
                </c:pt>
                <c:pt idx="1185">
                  <c:v>-0.18856927458177719</c:v>
                </c:pt>
                <c:pt idx="1186">
                  <c:v>-0.18765414803251823</c:v>
                </c:pt>
                <c:pt idx="1187">
                  <c:v>-0.18673917860851502</c:v>
                </c:pt>
                <c:pt idx="1188">
                  <c:v>-0.18582436549009843</c:v>
                </c:pt>
                <c:pt idx="1189">
                  <c:v>-0.18490970785854305</c:v>
                </c:pt>
                <c:pt idx="1190">
                  <c:v>-0.18399520489606094</c:v>
                </c:pt>
                <c:pt idx="1191">
                  <c:v>-0.18308085578579619</c:v>
                </c:pt>
                <c:pt idx="1192">
                  <c:v>-0.18216665971181992</c:v>
                </c:pt>
                <c:pt idx="1193">
                  <c:v>-0.18125261585912403</c:v>
                </c:pt>
                <c:pt idx="1194">
                  <c:v>-0.18033872341361643</c:v>
                </c:pt>
                <c:pt idx="1195">
                  <c:v>-0.17942498156211523</c:v>
                </c:pt>
                <c:pt idx="1196">
                  <c:v>-0.17851138949234308</c:v>
                </c:pt>
                <c:pt idx="1197">
                  <c:v>-0.17759794639292242</c:v>
                </c:pt>
                <c:pt idx="1198">
                  <c:v>-0.17668465145336951</c:v>
                </c:pt>
                <c:pt idx="1199">
                  <c:v>-0.17577150386408924</c:v>
                </c:pt>
                <c:pt idx="1200">
                  <c:v>-0.17485850281636975</c:v>
                </c:pt>
                <c:pt idx="1201">
                  <c:v>-0.17394564750237698</c:v>
                </c:pt>
                <c:pt idx="1202">
                  <c:v>-0.17303293711514944</c:v>
                </c:pt>
                <c:pt idx="1203">
                  <c:v>-0.17212037084859269</c:v>
                </c:pt>
                <c:pt idx="1204">
                  <c:v>-0.17120794789747446</c:v>
                </c:pt>
                <c:pt idx="1205">
                  <c:v>-0.17029566745741836</c:v>
                </c:pt>
                <c:pt idx="1206">
                  <c:v>-0.16938352872489987</c:v>
                </c:pt>
                <c:pt idx="1207">
                  <c:v>-0.1684715308972401</c:v>
                </c:pt>
                <c:pt idx="1208">
                  <c:v>-0.16755967317260098</c:v>
                </c:pt>
                <c:pt idx="1209">
                  <c:v>-0.16664795474997979</c:v>
                </c:pt>
                <c:pt idx="1210">
                  <c:v>-0.165736374829204</c:v>
                </c:pt>
                <c:pt idx="1211">
                  <c:v>-0.16482493261092604</c:v>
                </c:pt>
                <c:pt idx="1212">
                  <c:v>-0.16391362729661821</c:v>
                </c:pt>
                <c:pt idx="1213">
                  <c:v>-0.16300245808856689</c:v>
                </c:pt>
                <c:pt idx="1214">
                  <c:v>-0.16209142418986822</c:v>
                </c:pt>
                <c:pt idx="1215">
                  <c:v>-0.16118052480442238</c:v>
                </c:pt>
                <c:pt idx="1216">
                  <c:v>-0.16026975913692856</c:v>
                </c:pt>
                <c:pt idx="1217">
                  <c:v>-0.15935912639287972</c:v>
                </c:pt>
                <c:pt idx="1218">
                  <c:v>-0.15844862577855756</c:v>
                </c:pt>
                <c:pt idx="1219">
                  <c:v>-0.15753825650102732</c:v>
                </c:pt>
                <c:pt idx="1220">
                  <c:v>-0.15662801776813282</c:v>
                </c:pt>
                <c:pt idx="1221">
                  <c:v>-0.1557179087884909</c:v>
                </c:pt>
                <c:pt idx="1222">
                  <c:v>-0.15480792877148691</c:v>
                </c:pt>
                <c:pt idx="1223">
                  <c:v>-0.15389807692726934</c:v>
                </c:pt>
                <c:pt idx="1224">
                  <c:v>-0.1529883524667448</c:v>
                </c:pt>
                <c:pt idx="1225">
                  <c:v>-0.15207875460157286</c:v>
                </c:pt>
                <c:pt idx="1226">
                  <c:v>-0.15116928254416112</c:v>
                </c:pt>
                <c:pt idx="1227">
                  <c:v>-0.15025993550766026</c:v>
                </c:pt>
                <c:pt idx="1228">
                  <c:v>-0.14935071270595882</c:v>
                </c:pt>
                <c:pt idx="1229">
                  <c:v>-0.14844161335367809</c:v>
                </c:pt>
                <c:pt idx="1230">
                  <c:v>-0.14753263666616753</c:v>
                </c:pt>
                <c:pt idx="1231">
                  <c:v>-0.14662378185949959</c:v>
                </c:pt>
                <c:pt idx="1232">
                  <c:v>-0.14571504815046454</c:v>
                </c:pt>
                <c:pt idx="1233">
                  <c:v>-0.14480643475656571</c:v>
                </c:pt>
                <c:pt idx="1234">
                  <c:v>-0.14389794089601454</c:v>
                </c:pt>
                <c:pt idx="1235">
                  <c:v>-0.14298956578772556</c:v>
                </c:pt>
                <c:pt idx="1236">
                  <c:v>-0.14208130865131152</c:v>
                </c:pt>
                <c:pt idx="1237">
                  <c:v>-0.14117316870707819</c:v>
                </c:pt>
                <c:pt idx="1238">
                  <c:v>-0.14026514517601993</c:v>
                </c:pt>
                <c:pt idx="1239">
                  <c:v>-0.13935723727981456</c:v>
                </c:pt>
                <c:pt idx="1240">
                  <c:v>-0.13844944424081834</c:v>
                </c:pt>
                <c:pt idx="1241">
                  <c:v>-0.13754176528206133</c:v>
                </c:pt>
                <c:pt idx="1242">
                  <c:v>-0.13663419962724227</c:v>
                </c:pt>
                <c:pt idx="1243">
                  <c:v>-0.135726746500724</c:v>
                </c:pt>
                <c:pt idx="1244">
                  <c:v>-0.13481940512752849</c:v>
                </c:pt>
                <c:pt idx="1245">
                  <c:v>-0.13391217473333164</c:v>
                </c:pt>
                <c:pt idx="1246">
                  <c:v>-0.13300505454445918</c:v>
                </c:pt>
                <c:pt idx="1247">
                  <c:v>-0.13209804378788134</c:v>
                </c:pt>
                <c:pt idx="1248">
                  <c:v>-0.13119114169120816</c:v>
                </c:pt>
                <c:pt idx="1249">
                  <c:v>-0.13028434748268469</c:v>
                </c:pt>
                <c:pt idx="1250">
                  <c:v>-0.1293776603911862</c:v>
                </c:pt>
                <c:pt idx="1251">
                  <c:v>-0.12847107964621352</c:v>
                </c:pt>
                <c:pt idx="1252">
                  <c:v>-0.12756460447788817</c:v>
                </c:pt>
                <c:pt idx="1253">
                  <c:v>-0.12665823411694727</c:v>
                </c:pt>
                <c:pt idx="1254">
                  <c:v>-0.12575196779473949</c:v>
                </c:pt>
                <c:pt idx="1255">
                  <c:v>-0.12484580474321984</c:v>
                </c:pt>
                <c:pt idx="1256">
                  <c:v>-0.12393974419494497</c:v>
                </c:pt>
                <c:pt idx="1257">
                  <c:v>-0.12303378538306858</c:v>
                </c:pt>
                <c:pt idx="1258">
                  <c:v>-0.12212792754133663</c:v>
                </c:pt>
                <c:pt idx="1259">
                  <c:v>-0.12122216990408262</c:v>
                </c:pt>
                <c:pt idx="1260">
                  <c:v>-0.12031651170622312</c:v>
                </c:pt>
                <c:pt idx="1261">
                  <c:v>-0.11941095218325239</c:v>
                </c:pt>
                <c:pt idx="1262">
                  <c:v>-0.1185054905712387</c:v>
                </c:pt>
                <c:pt idx="1263">
                  <c:v>-0.11760012610681894</c:v>
                </c:pt>
                <c:pt idx="1264">
                  <c:v>-0.11669485802719427</c:v>
                </c:pt>
                <c:pt idx="1265">
                  <c:v>-0.11578968557012537</c:v>
                </c:pt>
                <c:pt idx="1266">
                  <c:v>-0.11488460797392776</c:v>
                </c:pt>
                <c:pt idx="1267">
                  <c:v>-0.11397962447746723</c:v>
                </c:pt>
                <c:pt idx="1268">
                  <c:v>-0.11307473432015534</c:v>
                </c:pt>
                <c:pt idx="1269">
                  <c:v>-0.11216993674194431</c:v>
                </c:pt>
                <c:pt idx="1270">
                  <c:v>-0.11126523098332312</c:v>
                </c:pt>
                <c:pt idx="1271">
                  <c:v>-0.11036061628531239</c:v>
                </c:pt>
                <c:pt idx="1272">
                  <c:v>-0.10945609188946001</c:v>
                </c:pt>
                <c:pt idx="1273">
                  <c:v>-0.10855165703783649</c:v>
                </c:pt>
                <c:pt idx="1274">
                  <c:v>-0.10764731097303037</c:v>
                </c:pt>
                <c:pt idx="1275">
                  <c:v>-0.10674305293814368</c:v>
                </c:pt>
                <c:pt idx="1276">
                  <c:v>-0.10583888217678747</c:v>
                </c:pt>
                <c:pt idx="1277">
                  <c:v>-0.10493479793307681</c:v>
                </c:pt>
                <c:pt idx="1278">
                  <c:v>-0.10403079945162692</c:v>
                </c:pt>
                <c:pt idx="1279">
                  <c:v>-0.10312688597754827</c:v>
                </c:pt>
                <c:pt idx="1280">
                  <c:v>-0.10222305675644197</c:v>
                </c:pt>
                <c:pt idx="1281">
                  <c:v>-0.10131931103439541</c:v>
                </c:pt>
                <c:pt idx="1282">
                  <c:v>-0.10041564805797769</c:v>
                </c:pt>
                <c:pt idx="1283">
                  <c:v>-9.9512067074235114E-2</c:v>
                </c:pt>
                <c:pt idx="1284">
                  <c:v>-9.8608567330686667E-2</c:v>
                </c:pt>
                <c:pt idx="1285">
                  <c:v>-9.77051480753197E-2</c:v>
                </c:pt>
                <c:pt idx="1286">
                  <c:v>-9.6801808556584823E-2</c:v>
                </c:pt>
                <c:pt idx="1287">
                  <c:v>-9.5898548023392344E-2</c:v>
                </c:pt>
                <c:pt idx="1288">
                  <c:v>-9.4995365725107195E-2</c:v>
                </c:pt>
                <c:pt idx="1289">
                  <c:v>-9.4092260911544559E-2</c:v>
                </c:pt>
                <c:pt idx="1290">
                  <c:v>-9.3189232832965499E-2</c:v>
                </c:pt>
                <c:pt idx="1291">
                  <c:v>-9.2286280740072404E-2</c:v>
                </c:pt>
                <c:pt idx="1292">
                  <c:v>-9.1383403884004691E-2</c:v>
                </c:pt>
                <c:pt idx="1293">
                  <c:v>-9.0480601516334358E-2</c:v>
                </c:pt>
                <c:pt idx="1294">
                  <c:v>-8.957787288906098E-2</c:v>
                </c:pt>
                <c:pt idx="1295">
                  <c:v>-8.8675217254608321E-2</c:v>
                </c:pt>
                <c:pt idx="1296">
                  <c:v>-8.7772633865819127E-2</c:v>
                </c:pt>
                <c:pt idx="1297">
                  <c:v>-8.687012197595094E-2</c:v>
                </c:pt>
                <c:pt idx="1298">
                  <c:v>-8.5967680838671762E-2</c:v>
                </c:pt>
                <c:pt idx="1299">
                  <c:v>-8.5065309708055509E-2</c:v>
                </c:pt>
                <c:pt idx="1300">
                  <c:v>-8.4163007838577705E-2</c:v>
                </c:pt>
                <c:pt idx="1301">
                  <c:v>-8.3260774485111239E-2</c:v>
                </c:pt>
                <c:pt idx="1302">
                  <c:v>-8.2358608902921418E-2</c:v>
                </c:pt>
                <c:pt idx="1303">
                  <c:v>-8.1456510347662325E-2</c:v>
                </c:pt>
                <c:pt idx="1304">
                  <c:v>-8.0554478075372055E-2</c:v>
                </c:pt>
                <c:pt idx="1305">
                  <c:v>-7.9652511342468355E-2</c:v>
                </c:pt>
                <c:pt idx="1306">
                  <c:v>-7.8750609405744326E-2</c:v>
                </c:pt>
                <c:pt idx="1307">
                  <c:v>-7.7848771522364024E-2</c:v>
                </c:pt>
                <c:pt idx="1308">
                  <c:v>-7.694699694985821E-2</c:v>
                </c:pt>
                <c:pt idx="1309">
                  <c:v>-7.6045284946119993E-2</c:v>
                </c:pt>
                <c:pt idx="1310">
                  <c:v>-7.5143634769400031E-2</c:v>
                </c:pt>
                <c:pt idx="1311">
                  <c:v>-7.4242045678303031E-2</c:v>
                </c:pt>
                <c:pt idx="1312">
                  <c:v>-7.3340516931782854E-2</c:v>
                </c:pt>
                <c:pt idx="1313">
                  <c:v>-7.2439047789138317E-2</c:v>
                </c:pt>
                <c:pt idx="1314">
                  <c:v>-7.153763751000887E-2</c:v>
                </c:pt>
                <c:pt idx="1315">
                  <c:v>-7.063628535437029E-2</c:v>
                </c:pt>
                <c:pt idx="1316">
                  <c:v>-6.9734990582530409E-2</c:v>
                </c:pt>
                <c:pt idx="1317">
                  <c:v>-6.883375245512488E-2</c:v>
                </c:pt>
                <c:pt idx="1318">
                  <c:v>-6.7932570233112402E-2</c:v>
                </c:pt>
                <c:pt idx="1319">
                  <c:v>-6.7031443177771141E-2</c:v>
                </c:pt>
                <c:pt idx="1320">
                  <c:v>-6.6130370550694081E-2</c:v>
                </c:pt>
                <c:pt idx="1321">
                  <c:v>-6.5229351613784667E-2</c:v>
                </c:pt>
                <c:pt idx="1322">
                  <c:v>-6.4328385629252652E-2</c:v>
                </c:pt>
                <c:pt idx="1323">
                  <c:v>-6.3427471859609771E-2</c:v>
                </c:pt>
                <c:pt idx="1324">
                  <c:v>-6.2526609567665523E-2</c:v>
                </c:pt>
                <c:pt idx="1325">
                  <c:v>-6.1625798016522994E-2</c:v>
                </c:pt>
                <c:pt idx="1326">
                  <c:v>-6.0725036469574042E-2</c:v>
                </c:pt>
                <c:pt idx="1327">
                  <c:v>-5.9824324190495902E-2</c:v>
                </c:pt>
                <c:pt idx="1328">
                  <c:v>-5.8923660443246345E-2</c:v>
                </c:pt>
                <c:pt idx="1329">
                  <c:v>-5.8023044492059625E-2</c:v>
                </c:pt>
                <c:pt idx="1330">
                  <c:v>-5.7122475601442124E-2</c:v>
                </c:pt>
                <c:pt idx="1331">
                  <c:v>-5.6221953036168233E-2</c:v>
                </c:pt>
                <c:pt idx="1332">
                  <c:v>-5.532147606127609E-2</c:v>
                </c:pt>
                <c:pt idx="1333">
                  <c:v>-5.442104394206336E-2</c:v>
                </c:pt>
                <c:pt idx="1334">
                  <c:v>-5.3520655944082639E-2</c:v>
                </c:pt>
                <c:pt idx="1335">
                  <c:v>-5.2620311333137923E-2</c:v>
                </c:pt>
                <c:pt idx="1336">
                  <c:v>-5.1720009375279902E-2</c:v>
                </c:pt>
                <c:pt idx="1337">
                  <c:v>-5.0819749336801848E-2</c:v>
                </c:pt>
                <c:pt idx="1338">
                  <c:v>-4.9919530484235419E-2</c:v>
                </c:pt>
                <c:pt idx="1339">
                  <c:v>-4.9019352084346428E-2</c:v>
                </c:pt>
                <c:pt idx="1340">
                  <c:v>-4.8119213404130633E-2</c:v>
                </c:pt>
                <c:pt idx="1341">
                  <c:v>-4.7219113710809717E-2</c:v>
                </c:pt>
                <c:pt idx="1342">
                  <c:v>-4.6319052271826484E-2</c:v>
                </c:pt>
                <c:pt idx="1343">
                  <c:v>-4.5419028354841511E-2</c:v>
                </c:pt>
                <c:pt idx="1344">
                  <c:v>-4.4519041227728401E-2</c:v>
                </c:pt>
                <c:pt idx="1345">
                  <c:v>-4.3619090158569712E-2</c:v>
                </c:pt>
                <c:pt idx="1346">
                  <c:v>-4.2719174415652802E-2</c:v>
                </c:pt>
                <c:pt idx="1347">
                  <c:v>-4.181929326746564E-2</c:v>
                </c:pt>
                <c:pt idx="1348">
                  <c:v>-4.0919445982692572E-2</c:v>
                </c:pt>
                <c:pt idx="1349">
                  <c:v>-4.0019631830210331E-2</c:v>
                </c:pt>
                <c:pt idx="1350">
                  <c:v>-3.9119850079083321E-2</c:v>
                </c:pt>
                <c:pt idx="1351">
                  <c:v>-3.82200999985602E-2</c:v>
                </c:pt>
                <c:pt idx="1352">
                  <c:v>-3.7320380858069255E-2</c:v>
                </c:pt>
                <c:pt idx="1353">
                  <c:v>-3.6420691927214283E-2</c:v>
                </c:pt>
                <c:pt idx="1354">
                  <c:v>-3.5521032475770452E-2</c:v>
                </c:pt>
                <c:pt idx="1355">
                  <c:v>-3.4621401773680185E-2</c:v>
                </c:pt>
                <c:pt idx="1356">
                  <c:v>-3.372179909104895E-2</c:v>
                </c:pt>
                <c:pt idx="1357">
                  <c:v>-3.2822223698141084E-2</c:v>
                </c:pt>
                <c:pt idx="1358">
                  <c:v>-3.1922674865375852E-2</c:v>
                </c:pt>
                <c:pt idx="1359">
                  <c:v>-3.1023151863322655E-2</c:v>
                </c:pt>
                <c:pt idx="1360">
                  <c:v>-3.0123653962697755E-2</c:v>
                </c:pt>
                <c:pt idx="1361">
                  <c:v>-2.9224180434359572E-2</c:v>
                </c:pt>
                <c:pt idx="1362">
                  <c:v>-2.832473054930466E-2</c:v>
                </c:pt>
                <c:pt idx="1363">
                  <c:v>-2.742530357866358E-2</c:v>
                </c:pt>
                <c:pt idx="1364">
                  <c:v>-2.6525898793696732E-2</c:v>
                </c:pt>
                <c:pt idx="1365">
                  <c:v>-2.5626515465790221E-2</c:v>
                </c:pt>
                <c:pt idx="1366">
                  <c:v>-2.4727152866451878E-2</c:v>
                </c:pt>
                <c:pt idx="1367">
                  <c:v>-2.3827810267306546E-2</c:v>
                </c:pt>
                <c:pt idx="1368">
                  <c:v>-2.2928486940092779E-2</c:v>
                </c:pt>
                <c:pt idx="1369">
                  <c:v>-2.2029182156658163E-2</c:v>
                </c:pt>
                <c:pt idx="1370">
                  <c:v>-2.1129895188955299E-2</c:v>
                </c:pt>
                <c:pt idx="1371">
                  <c:v>-2.02306253090377E-2</c:v>
                </c:pt>
                <c:pt idx="1372">
                  <c:v>-1.9331371789055647E-2</c:v>
                </c:pt>
                <c:pt idx="1373">
                  <c:v>-1.8432133901252059E-2</c:v>
                </c:pt>
                <c:pt idx="1374">
                  <c:v>-1.7532910917958514E-2</c:v>
                </c:pt>
                <c:pt idx="1375">
                  <c:v>-1.6633702111590556E-2</c:v>
                </c:pt>
                <c:pt idx="1376">
                  <c:v>-1.5734506754644405E-2</c:v>
                </c:pt>
                <c:pt idx="1377">
                  <c:v>-1.483532411969231E-2</c:v>
                </c:pt>
                <c:pt idx="1378">
                  <c:v>-1.3936153479378498E-2</c:v>
                </c:pt>
                <c:pt idx="1379">
                  <c:v>-1.3036994106415128E-2</c:v>
                </c:pt>
                <c:pt idx="1380">
                  <c:v>-1.2137845273578125E-2</c:v>
                </c:pt>
                <c:pt idx="1381">
                  <c:v>-1.1238706253703067E-2</c:v>
                </c:pt>
                <c:pt idx="1382">
                  <c:v>-1.0339576319681224E-2</c:v>
                </c:pt>
                <c:pt idx="1383">
                  <c:v>-9.4404547444548667E-3</c:v>
                </c:pt>
                <c:pt idx="1384">
                  <c:v>-8.541340801013984E-3</c:v>
                </c:pt>
                <c:pt idx="1385">
                  <c:v>-7.6422337623916273E-3</c:v>
                </c:pt>
                <c:pt idx="1386">
                  <c:v>-6.743132901659914E-3</c:v>
                </c:pt>
                <c:pt idx="1387">
                  <c:v>-5.8440374919259287E-3</c:v>
                </c:pt>
                <c:pt idx="1388">
                  <c:v>-4.9449468063276015E-3</c:v>
                </c:pt>
                <c:pt idx="1389">
                  <c:v>-4.0458601180295897E-3</c:v>
                </c:pt>
                <c:pt idx="1390">
                  <c:v>-3.1467767002193153E-3</c:v>
                </c:pt>
                <c:pt idx="1391">
                  <c:v>-2.2476958261022869E-3</c:v>
                </c:pt>
                <c:pt idx="1392">
                  <c:v>-1.3486167688988246E-3</c:v>
                </c:pt>
                <c:pt idx="1393">
                  <c:v>-4.4953880183938924E-4</c:v>
                </c:pt>
                <c:pt idx="1394">
                  <c:v>4.4953880183925009E-4</c:v>
                </c:pt>
                <c:pt idx="1395">
                  <c:v>1.3486167688986854E-3</c:v>
                </c:pt>
                <c:pt idx="1396">
                  <c:v>2.2476958261021477E-3</c:v>
                </c:pt>
                <c:pt idx="1397">
                  <c:v>3.146776700219176E-3</c:v>
                </c:pt>
                <c:pt idx="1398">
                  <c:v>4.0458601180295897E-3</c:v>
                </c:pt>
                <c:pt idx="1399">
                  <c:v>4.9449468063276015E-3</c:v>
                </c:pt>
                <c:pt idx="1400">
                  <c:v>5.8440374919259287E-3</c:v>
                </c:pt>
                <c:pt idx="1401">
                  <c:v>6.743132901659914E-3</c:v>
                </c:pt>
                <c:pt idx="1402">
                  <c:v>7.6422337623916273E-3</c:v>
                </c:pt>
                <c:pt idx="1403">
                  <c:v>8.541340801013984E-3</c:v>
                </c:pt>
                <c:pt idx="1404">
                  <c:v>9.4404547444548667E-3</c:v>
                </c:pt>
                <c:pt idx="1405">
                  <c:v>1.0339576319681224E-2</c:v>
                </c:pt>
                <c:pt idx="1406">
                  <c:v>1.1238706253703207E-2</c:v>
                </c:pt>
                <c:pt idx="1407">
                  <c:v>1.2137845273578262E-2</c:v>
                </c:pt>
                <c:pt idx="1408">
                  <c:v>1.3036994106415269E-2</c:v>
                </c:pt>
                <c:pt idx="1409">
                  <c:v>1.3936153479378639E-2</c:v>
                </c:pt>
                <c:pt idx="1410">
                  <c:v>1.4835324119692168E-2</c:v>
                </c:pt>
                <c:pt idx="1411">
                  <c:v>1.5734506754644269E-2</c:v>
                </c:pt>
                <c:pt idx="1412">
                  <c:v>1.6633702111590414E-2</c:v>
                </c:pt>
                <c:pt idx="1413">
                  <c:v>1.7532910917958378E-2</c:v>
                </c:pt>
                <c:pt idx="1414">
                  <c:v>1.8432133901252059E-2</c:v>
                </c:pt>
                <c:pt idx="1415">
                  <c:v>1.9331371789055647E-2</c:v>
                </c:pt>
                <c:pt idx="1416">
                  <c:v>2.02306253090377E-2</c:v>
                </c:pt>
                <c:pt idx="1417">
                  <c:v>2.1129895188955299E-2</c:v>
                </c:pt>
                <c:pt idx="1418">
                  <c:v>2.2029182156658163E-2</c:v>
                </c:pt>
                <c:pt idx="1419">
                  <c:v>2.2928486940092779E-2</c:v>
                </c:pt>
                <c:pt idx="1420">
                  <c:v>2.3827810267306546E-2</c:v>
                </c:pt>
                <c:pt idx="1421">
                  <c:v>2.4727152866451878E-2</c:v>
                </c:pt>
                <c:pt idx="1422">
                  <c:v>2.562651546579036E-2</c:v>
                </c:pt>
                <c:pt idx="1423">
                  <c:v>2.6525898793696868E-2</c:v>
                </c:pt>
                <c:pt idx="1424">
                  <c:v>2.7425303578663723E-2</c:v>
                </c:pt>
                <c:pt idx="1425">
                  <c:v>2.8324730549304802E-2</c:v>
                </c:pt>
                <c:pt idx="1426">
                  <c:v>2.9224180434359436E-2</c:v>
                </c:pt>
                <c:pt idx="1427">
                  <c:v>3.0123653962697613E-2</c:v>
                </c:pt>
                <c:pt idx="1428">
                  <c:v>3.1023151863322513E-2</c:v>
                </c:pt>
                <c:pt idx="1429">
                  <c:v>3.1922674865375714E-2</c:v>
                </c:pt>
                <c:pt idx="1430">
                  <c:v>3.2822223698141084E-2</c:v>
                </c:pt>
                <c:pt idx="1431">
                  <c:v>3.372179909104895E-2</c:v>
                </c:pt>
                <c:pt idx="1432">
                  <c:v>3.4621401773680185E-2</c:v>
                </c:pt>
                <c:pt idx="1433">
                  <c:v>3.5521032475770452E-2</c:v>
                </c:pt>
                <c:pt idx="1434">
                  <c:v>3.6420691927214283E-2</c:v>
                </c:pt>
                <c:pt idx="1435">
                  <c:v>3.7320380858069255E-2</c:v>
                </c:pt>
                <c:pt idx="1436">
                  <c:v>3.82200999985602E-2</c:v>
                </c:pt>
                <c:pt idx="1437">
                  <c:v>3.9119850079083321E-2</c:v>
                </c:pt>
                <c:pt idx="1438">
                  <c:v>4.0019631830210331E-2</c:v>
                </c:pt>
                <c:pt idx="1439">
                  <c:v>4.0919445982692704E-2</c:v>
                </c:pt>
                <c:pt idx="1440">
                  <c:v>4.1819293267465779E-2</c:v>
                </c:pt>
                <c:pt idx="1441">
                  <c:v>4.2719174415652948E-2</c:v>
                </c:pt>
                <c:pt idx="1442">
                  <c:v>4.3619090158569851E-2</c:v>
                </c:pt>
                <c:pt idx="1443">
                  <c:v>4.4519041227728255E-2</c:v>
                </c:pt>
                <c:pt idx="1444">
                  <c:v>4.5419028354841365E-2</c:v>
                </c:pt>
                <c:pt idx="1445">
                  <c:v>4.6319052271826346E-2</c:v>
                </c:pt>
                <c:pt idx="1446">
                  <c:v>4.7219113710809571E-2</c:v>
                </c:pt>
                <c:pt idx="1447">
                  <c:v>4.8119213404130633E-2</c:v>
                </c:pt>
                <c:pt idx="1448">
                  <c:v>4.9019352084346428E-2</c:v>
                </c:pt>
                <c:pt idx="1449">
                  <c:v>4.9919530484235419E-2</c:v>
                </c:pt>
                <c:pt idx="1450">
                  <c:v>5.0819749336801848E-2</c:v>
                </c:pt>
                <c:pt idx="1451">
                  <c:v>5.1720009375279902E-2</c:v>
                </c:pt>
                <c:pt idx="1452">
                  <c:v>5.2620311333137923E-2</c:v>
                </c:pt>
                <c:pt idx="1453">
                  <c:v>5.3520655944082639E-2</c:v>
                </c:pt>
                <c:pt idx="1454">
                  <c:v>5.442104394206336E-2</c:v>
                </c:pt>
                <c:pt idx="1455">
                  <c:v>5.5321476061276215E-2</c:v>
                </c:pt>
                <c:pt idx="1456">
                  <c:v>5.6221953036168379E-2</c:v>
                </c:pt>
                <c:pt idx="1457">
                  <c:v>5.7122475601442263E-2</c:v>
                </c:pt>
                <c:pt idx="1458">
                  <c:v>5.8023044492059757E-2</c:v>
                </c:pt>
                <c:pt idx="1459">
                  <c:v>5.8923660443246206E-2</c:v>
                </c:pt>
                <c:pt idx="1460">
                  <c:v>5.9824324190495763E-2</c:v>
                </c:pt>
                <c:pt idx="1461">
                  <c:v>6.0725036469573904E-2</c:v>
                </c:pt>
                <c:pt idx="1462">
                  <c:v>6.1625798016522848E-2</c:v>
                </c:pt>
                <c:pt idx="1463">
                  <c:v>6.2526609567665523E-2</c:v>
                </c:pt>
                <c:pt idx="1464">
                  <c:v>6.3427471859609771E-2</c:v>
                </c:pt>
                <c:pt idx="1465">
                  <c:v>6.4328385629252652E-2</c:v>
                </c:pt>
                <c:pt idx="1466">
                  <c:v>6.5229351613784667E-2</c:v>
                </c:pt>
                <c:pt idx="1467">
                  <c:v>6.6130370550694081E-2</c:v>
                </c:pt>
                <c:pt idx="1468">
                  <c:v>6.7031443177771141E-2</c:v>
                </c:pt>
                <c:pt idx="1469">
                  <c:v>6.7932570233112402E-2</c:v>
                </c:pt>
                <c:pt idx="1470">
                  <c:v>6.883375245512488E-2</c:v>
                </c:pt>
                <c:pt idx="1471">
                  <c:v>6.9734990582530548E-2</c:v>
                </c:pt>
                <c:pt idx="1472">
                  <c:v>7.0636285354370443E-2</c:v>
                </c:pt>
                <c:pt idx="1473">
                  <c:v>7.1537637510009008E-2</c:v>
                </c:pt>
                <c:pt idx="1474">
                  <c:v>7.2439047789138455E-2</c:v>
                </c:pt>
                <c:pt idx="1475">
                  <c:v>7.3340516931782715E-2</c:v>
                </c:pt>
                <c:pt idx="1476">
                  <c:v>7.4242045678302879E-2</c:v>
                </c:pt>
                <c:pt idx="1477">
                  <c:v>7.5143634769399864E-2</c:v>
                </c:pt>
                <c:pt idx="1478">
                  <c:v>7.604528494611984E-2</c:v>
                </c:pt>
                <c:pt idx="1479">
                  <c:v>7.694699694985821E-2</c:v>
                </c:pt>
                <c:pt idx="1480">
                  <c:v>7.7848771522364024E-2</c:v>
                </c:pt>
                <c:pt idx="1481">
                  <c:v>7.8750609405744326E-2</c:v>
                </c:pt>
                <c:pt idx="1482">
                  <c:v>7.9652511342468355E-2</c:v>
                </c:pt>
                <c:pt idx="1483">
                  <c:v>8.0554478075372055E-2</c:v>
                </c:pt>
                <c:pt idx="1484">
                  <c:v>8.1456510347662325E-2</c:v>
                </c:pt>
                <c:pt idx="1485">
                  <c:v>8.2358608902921418E-2</c:v>
                </c:pt>
                <c:pt idx="1486">
                  <c:v>8.3260774485111239E-2</c:v>
                </c:pt>
                <c:pt idx="1487">
                  <c:v>8.4163007838577844E-2</c:v>
                </c:pt>
                <c:pt idx="1488">
                  <c:v>8.5065309708055634E-2</c:v>
                </c:pt>
                <c:pt idx="1489">
                  <c:v>8.59676808386719E-2</c:v>
                </c:pt>
                <c:pt idx="1490">
                  <c:v>8.6870121975951078E-2</c:v>
                </c:pt>
                <c:pt idx="1491">
                  <c:v>8.7772633865818989E-2</c:v>
                </c:pt>
                <c:pt idx="1492">
                  <c:v>8.8675217254608196E-2</c:v>
                </c:pt>
                <c:pt idx="1493">
                  <c:v>8.9577872889060842E-2</c:v>
                </c:pt>
                <c:pt idx="1494">
                  <c:v>9.0480601516334205E-2</c:v>
                </c:pt>
                <c:pt idx="1495">
                  <c:v>9.1383403884004691E-2</c:v>
                </c:pt>
                <c:pt idx="1496">
                  <c:v>9.2286280740072404E-2</c:v>
                </c:pt>
                <c:pt idx="1497">
                  <c:v>9.3189232832965499E-2</c:v>
                </c:pt>
                <c:pt idx="1498">
                  <c:v>9.4092260911544559E-2</c:v>
                </c:pt>
                <c:pt idx="1499">
                  <c:v>9.4995365725107195E-2</c:v>
                </c:pt>
                <c:pt idx="1500">
                  <c:v>9.5898548023392344E-2</c:v>
                </c:pt>
                <c:pt idx="1501">
                  <c:v>9.6801808556584823E-2</c:v>
                </c:pt>
                <c:pt idx="1502">
                  <c:v>9.77051480753197E-2</c:v>
                </c:pt>
                <c:pt idx="1503">
                  <c:v>9.8608567330686819E-2</c:v>
                </c:pt>
                <c:pt idx="1504">
                  <c:v>9.9512067074235253E-2</c:v>
                </c:pt>
                <c:pt idx="1505">
                  <c:v>0.10041564805797783</c:v>
                </c:pt>
                <c:pt idx="1506">
                  <c:v>0.10131931103439555</c:v>
                </c:pt>
                <c:pt idx="1507">
                  <c:v>0.1022230567564418</c:v>
                </c:pt>
                <c:pt idx="1508">
                  <c:v>0.10312688597754813</c:v>
                </c:pt>
                <c:pt idx="1509">
                  <c:v>0.10403079945162678</c:v>
                </c:pt>
                <c:pt idx="1510">
                  <c:v>0.10493479793307664</c:v>
                </c:pt>
                <c:pt idx="1511">
                  <c:v>0.10583888217678733</c:v>
                </c:pt>
                <c:pt idx="1512">
                  <c:v>0.10674305293814368</c:v>
                </c:pt>
                <c:pt idx="1513">
                  <c:v>0.10764731097303037</c:v>
                </c:pt>
                <c:pt idx="1514">
                  <c:v>0.10855165703783649</c:v>
                </c:pt>
                <c:pt idx="1515">
                  <c:v>0.10945609188946001</c:v>
                </c:pt>
                <c:pt idx="1516">
                  <c:v>0.11036061628531239</c:v>
                </c:pt>
                <c:pt idx="1517">
                  <c:v>0.11126523098332312</c:v>
                </c:pt>
                <c:pt idx="1518">
                  <c:v>0.11216993674194431</c:v>
                </c:pt>
                <c:pt idx="1519">
                  <c:v>0.11307473432015534</c:v>
                </c:pt>
                <c:pt idx="1520">
                  <c:v>0.11397962447746736</c:v>
                </c:pt>
                <c:pt idx="1521">
                  <c:v>0.1148846079739279</c:v>
                </c:pt>
                <c:pt idx="1522">
                  <c:v>0.11578968557012551</c:v>
                </c:pt>
                <c:pt idx="1523">
                  <c:v>0.11669485802719444</c:v>
                </c:pt>
                <c:pt idx="1524">
                  <c:v>0.11760012610681882</c:v>
                </c:pt>
                <c:pt idx="1525">
                  <c:v>0.11850549057123855</c:v>
                </c:pt>
                <c:pt idx="1526">
                  <c:v>0.11941095218325225</c:v>
                </c:pt>
                <c:pt idx="1527">
                  <c:v>0.12031651170622296</c:v>
                </c:pt>
                <c:pt idx="1528">
                  <c:v>0.12122216990408262</c:v>
                </c:pt>
                <c:pt idx="1529">
                  <c:v>0.12212792754133663</c:v>
                </c:pt>
                <c:pt idx="1530">
                  <c:v>0.12303378538306858</c:v>
                </c:pt>
                <c:pt idx="1531">
                  <c:v>0.12393974419494497</c:v>
                </c:pt>
                <c:pt idx="1532">
                  <c:v>0.12484580474321984</c:v>
                </c:pt>
                <c:pt idx="1533">
                  <c:v>0.12575196779473949</c:v>
                </c:pt>
                <c:pt idx="1534">
                  <c:v>0.12665823411694727</c:v>
                </c:pt>
                <c:pt idx="1535">
                  <c:v>0.12756460447788817</c:v>
                </c:pt>
                <c:pt idx="1536">
                  <c:v>0.12847107964621365</c:v>
                </c:pt>
                <c:pt idx="1537">
                  <c:v>0.12937766039118637</c:v>
                </c:pt>
                <c:pt idx="1538">
                  <c:v>0.1302843474826848</c:v>
                </c:pt>
                <c:pt idx="1539">
                  <c:v>0.1311911416912083</c:v>
                </c:pt>
                <c:pt idx="1540">
                  <c:v>0.1320980437878812</c:v>
                </c:pt>
                <c:pt idx="1541">
                  <c:v>0.13300505454445904</c:v>
                </c:pt>
                <c:pt idx="1542">
                  <c:v>0.1339121747333315</c:v>
                </c:pt>
                <c:pt idx="1543">
                  <c:v>0.13481940512752835</c:v>
                </c:pt>
                <c:pt idx="1544">
                  <c:v>0.135726746500724</c:v>
                </c:pt>
                <c:pt idx="1545">
                  <c:v>0.13663419962724227</c:v>
                </c:pt>
                <c:pt idx="1546">
                  <c:v>0.13754176528206133</c:v>
                </c:pt>
                <c:pt idx="1547">
                  <c:v>0.13844944424081834</c:v>
                </c:pt>
                <c:pt idx="1548">
                  <c:v>0.13935723727981456</c:v>
                </c:pt>
                <c:pt idx="1549">
                  <c:v>0.14026514517601993</c:v>
                </c:pt>
                <c:pt idx="1550">
                  <c:v>0.14117316870707819</c:v>
                </c:pt>
                <c:pt idx="1551">
                  <c:v>0.14208130865131152</c:v>
                </c:pt>
                <c:pt idx="1552">
                  <c:v>0.1429895657877257</c:v>
                </c:pt>
                <c:pt idx="1553">
                  <c:v>0.14389794089601471</c:v>
                </c:pt>
                <c:pt idx="1554">
                  <c:v>0.14480643475656585</c:v>
                </c:pt>
                <c:pt idx="1555">
                  <c:v>0.14571504815046468</c:v>
                </c:pt>
                <c:pt idx="1556">
                  <c:v>0.14662378185949945</c:v>
                </c:pt>
                <c:pt idx="1557">
                  <c:v>0.14753263666616742</c:v>
                </c:pt>
                <c:pt idx="1558">
                  <c:v>0.14844161335367792</c:v>
                </c:pt>
                <c:pt idx="1559">
                  <c:v>0.14935071270595868</c:v>
                </c:pt>
                <c:pt idx="1560">
                  <c:v>0.15025993550766026</c:v>
                </c:pt>
                <c:pt idx="1561">
                  <c:v>0.15116928254416112</c:v>
                </c:pt>
                <c:pt idx="1562">
                  <c:v>0.15207875460157286</c:v>
                </c:pt>
                <c:pt idx="1563">
                  <c:v>0.1529883524667448</c:v>
                </c:pt>
                <c:pt idx="1564">
                  <c:v>0.15389807692726934</c:v>
                </c:pt>
                <c:pt idx="1565">
                  <c:v>0.15480792877148691</c:v>
                </c:pt>
                <c:pt idx="1566">
                  <c:v>0.1557179087884909</c:v>
                </c:pt>
                <c:pt idx="1567">
                  <c:v>0.15662801776813282</c:v>
                </c:pt>
                <c:pt idx="1568">
                  <c:v>0.15753825650102746</c:v>
                </c:pt>
                <c:pt idx="1569">
                  <c:v>0.15844862577855767</c:v>
                </c:pt>
                <c:pt idx="1570">
                  <c:v>0.15935912639287986</c:v>
                </c:pt>
                <c:pt idx="1571">
                  <c:v>0.16026975913692873</c:v>
                </c:pt>
                <c:pt idx="1572">
                  <c:v>0.16118052480442224</c:v>
                </c:pt>
                <c:pt idx="1573">
                  <c:v>0.16209142418986808</c:v>
                </c:pt>
                <c:pt idx="1574">
                  <c:v>0.16300245808856675</c:v>
                </c:pt>
                <c:pt idx="1575">
                  <c:v>0.16391362729661807</c:v>
                </c:pt>
                <c:pt idx="1576">
                  <c:v>0.16482493261092604</c:v>
                </c:pt>
                <c:pt idx="1577">
                  <c:v>0.165736374829204</c:v>
                </c:pt>
                <c:pt idx="1578">
                  <c:v>0.16664795474997979</c:v>
                </c:pt>
                <c:pt idx="1579">
                  <c:v>0.16755967317260098</c:v>
                </c:pt>
                <c:pt idx="1580">
                  <c:v>0.1684715308972401</c:v>
                </c:pt>
                <c:pt idx="1581">
                  <c:v>0.16938352872489987</c:v>
                </c:pt>
                <c:pt idx="1582">
                  <c:v>0.17029566745741836</c:v>
                </c:pt>
                <c:pt idx="1583">
                  <c:v>0.17120794789747446</c:v>
                </c:pt>
                <c:pt idx="1584">
                  <c:v>0.17212037084859283</c:v>
                </c:pt>
                <c:pt idx="1585">
                  <c:v>0.17303293711514958</c:v>
                </c:pt>
                <c:pt idx="1586">
                  <c:v>0.17394564750237712</c:v>
                </c:pt>
                <c:pt idx="1587">
                  <c:v>0.17485850281636992</c:v>
                </c:pt>
                <c:pt idx="1588">
                  <c:v>0.17577150386408938</c:v>
                </c:pt>
                <c:pt idx="1589">
                  <c:v>0.17668465145336937</c:v>
                </c:pt>
                <c:pt idx="1590">
                  <c:v>0.17759794639292226</c:v>
                </c:pt>
                <c:pt idx="1591">
                  <c:v>0.17851138949234296</c:v>
                </c:pt>
                <c:pt idx="1592">
                  <c:v>0.17942498156211509</c:v>
                </c:pt>
                <c:pt idx="1593">
                  <c:v>0.18033872341361643</c:v>
                </c:pt>
                <c:pt idx="1594">
                  <c:v>0.18125261585912403</c:v>
                </c:pt>
                <c:pt idx="1595">
                  <c:v>0.18216665971181992</c:v>
                </c:pt>
                <c:pt idx="1596">
                  <c:v>0.18308085578579619</c:v>
                </c:pt>
                <c:pt idx="1597">
                  <c:v>0.18399520489606094</c:v>
                </c:pt>
                <c:pt idx="1598">
                  <c:v>0.18490970785854305</c:v>
                </c:pt>
                <c:pt idx="1599">
                  <c:v>0.18582436549009843</c:v>
                </c:pt>
                <c:pt idx="1600">
                  <c:v>0.18673917860851502</c:v>
                </c:pt>
                <c:pt idx="1601">
                  <c:v>0.18765414803251837</c:v>
                </c:pt>
                <c:pt idx="1602">
                  <c:v>0.1885692745817773</c:v>
                </c:pt>
                <c:pt idx="1603">
                  <c:v>0.18948455907690939</c:v>
                </c:pt>
                <c:pt idx="1604">
                  <c:v>0.19040000233948648</c:v>
                </c:pt>
                <c:pt idx="1605">
                  <c:v>0.19131560519203988</c:v>
                </c:pt>
                <c:pt idx="1606">
                  <c:v>0.19223136845806743</c:v>
                </c:pt>
                <c:pt idx="1607">
                  <c:v>0.19314729296203706</c:v>
                </c:pt>
                <c:pt idx="1608">
                  <c:v>0.19406337952939365</c:v>
                </c:pt>
                <c:pt idx="1609">
                  <c:v>0.19497962898656448</c:v>
                </c:pt>
                <c:pt idx="1610">
                  <c:v>0.19589604216096465</c:v>
                </c:pt>
                <c:pt idx="1611">
                  <c:v>0.19681261988100293</c:v>
                </c:pt>
                <c:pt idx="1612">
                  <c:v>0.19772936297608754</c:v>
                </c:pt>
                <c:pt idx="1613">
                  <c:v>0.19864627227663156</c:v>
                </c:pt>
                <c:pt idx="1614">
                  <c:v>0.19956334861405892</c:v>
                </c:pt>
                <c:pt idx="1615">
                  <c:v>0.20048059282080985</c:v>
                </c:pt>
                <c:pt idx="1616">
                  <c:v>0.20139800573034686</c:v>
                </c:pt>
                <c:pt idx="1617">
                  <c:v>0.20231558817716055</c:v>
                </c:pt>
                <c:pt idx="1618">
                  <c:v>0.20323334099677506</c:v>
                </c:pt>
                <c:pt idx="1619">
                  <c:v>0.2041512650257542</c:v>
                </c:pt>
                <c:pt idx="1620">
                  <c:v>0.20506936110170715</c:v>
                </c:pt>
                <c:pt idx="1621">
                  <c:v>0.20598763006329401</c:v>
                </c:pt>
                <c:pt idx="1622">
                  <c:v>0.20690607275023276</c:v>
                </c:pt>
                <c:pt idx="1623">
                  <c:v>0.20782469000330339</c:v>
                </c:pt>
                <c:pt idx="1624">
                  <c:v>0.208743482664355</c:v>
                </c:pt>
                <c:pt idx="1625">
                  <c:v>0.2096624515763115</c:v>
                </c:pt>
                <c:pt idx="1626">
                  <c:v>0.21058159758317729</c:v>
                </c:pt>
                <c:pt idx="1627">
                  <c:v>0.21150092153004341</c:v>
                </c:pt>
                <c:pt idx="1628">
                  <c:v>0.21242042426309329</c:v>
                </c:pt>
                <c:pt idx="1629">
                  <c:v>0.21334010662960901</c:v>
                </c:pt>
                <c:pt idx="1630">
                  <c:v>0.21425996947797699</c:v>
                </c:pt>
                <c:pt idx="1631">
                  <c:v>0.21518001365769429</c:v>
                </c:pt>
                <c:pt idx="1632">
                  <c:v>0.21610024001937436</c:v>
                </c:pt>
                <c:pt idx="1633">
                  <c:v>0.21702064941475321</c:v>
                </c:pt>
                <c:pt idx="1634">
                  <c:v>0.2179412426966956</c:v>
                </c:pt>
                <c:pt idx="1635">
                  <c:v>0.21886202071920088</c:v>
                </c:pt>
                <c:pt idx="1636">
                  <c:v>0.21978298433740914</c:v>
                </c:pt>
                <c:pt idx="1637">
                  <c:v>0.22070413440760742</c:v>
                </c:pt>
                <c:pt idx="1638">
                  <c:v>0.22162547178723635</c:v>
                </c:pt>
                <c:pt idx="1639">
                  <c:v>0.22254699733489522</c:v>
                </c:pt>
                <c:pt idx="1640">
                  <c:v>0.22346871191034884</c:v>
                </c:pt>
                <c:pt idx="1641">
                  <c:v>0.2243906163745337</c:v>
                </c:pt>
                <c:pt idx="1642">
                  <c:v>0.22531271158956406</c:v>
                </c:pt>
                <c:pt idx="1643">
                  <c:v>0.22623499841873837</c:v>
                </c:pt>
                <c:pt idx="1644">
                  <c:v>0.22715747772654526</c:v>
                </c:pt>
                <c:pt idx="1645">
                  <c:v>0.22808015037867016</c:v>
                </c:pt>
                <c:pt idx="1646">
                  <c:v>0.22900301724200117</c:v>
                </c:pt>
                <c:pt idx="1647">
                  <c:v>0.22992607918463584</c:v>
                </c:pt>
                <c:pt idx="1648">
                  <c:v>0.23084933707588698</c:v>
                </c:pt>
                <c:pt idx="1649">
                  <c:v>0.23177279178628971</c:v>
                </c:pt>
                <c:pt idx="1650">
                  <c:v>0.23269644418760707</c:v>
                </c:pt>
                <c:pt idx="1651">
                  <c:v>0.23362029515283711</c:v>
                </c:pt>
                <c:pt idx="1652">
                  <c:v>0.23454434555621873</c:v>
                </c:pt>
                <c:pt idx="1653">
                  <c:v>0.23546859627323824</c:v>
                </c:pt>
                <c:pt idx="1654">
                  <c:v>0.23639304818063683</c:v>
                </c:pt>
                <c:pt idx="1655">
                  <c:v>0.23731770215641532</c:v>
                </c:pt>
                <c:pt idx="1656">
                  <c:v>0.23824255907984185</c:v>
                </c:pt>
                <c:pt idx="1657">
                  <c:v>0.23916761983145798</c:v>
                </c:pt>
                <c:pt idx="1658">
                  <c:v>0.24009288529308548</c:v>
                </c:pt>
                <c:pt idx="1659">
                  <c:v>0.24101835634783284</c:v>
                </c:pt>
                <c:pt idx="1660">
                  <c:v>0.24194403388010158</c:v>
                </c:pt>
                <c:pt idx="1661">
                  <c:v>0.24286991877559316</c:v>
                </c:pt>
                <c:pt idx="1662">
                  <c:v>0.24379601192131575</c:v>
                </c:pt>
                <c:pt idx="1663">
                  <c:v>0.24472231420559035</c:v>
                </c:pt>
                <c:pt idx="1664">
                  <c:v>0.24564882651805803</c:v>
                </c:pt>
                <c:pt idx="1665">
                  <c:v>0.24657554974968629</c:v>
                </c:pt>
                <c:pt idx="1666">
                  <c:v>0.24750248479277598</c:v>
                </c:pt>
                <c:pt idx="1667">
                  <c:v>0.24842963254096781</c:v>
                </c:pt>
                <c:pt idx="1668">
                  <c:v>0.24935699388924953</c:v>
                </c:pt>
                <c:pt idx="1669">
                  <c:v>0.25028456973396224</c:v>
                </c:pt>
                <c:pt idx="1670">
                  <c:v>0.25121236097280725</c:v>
                </c:pt>
                <c:pt idx="1671">
                  <c:v>0.25214036850485405</c:v>
                </c:pt>
                <c:pt idx="1672">
                  <c:v>0.25306859323054531</c:v>
                </c:pt>
                <c:pt idx="1673">
                  <c:v>0.25399703605170487</c:v>
                </c:pt>
                <c:pt idx="1674">
                  <c:v>0.25492569787154473</c:v>
                </c:pt>
                <c:pt idx="1675">
                  <c:v>0.25585457959467156</c:v>
                </c:pt>
                <c:pt idx="1676">
                  <c:v>0.25678368212709396</c:v>
                </c:pt>
                <c:pt idx="1677">
                  <c:v>0.25771300637622913</c:v>
                </c:pt>
                <c:pt idx="1678">
                  <c:v>0.25864255325091035</c:v>
                </c:pt>
                <c:pt idx="1679">
                  <c:v>0.25957232366139366</c:v>
                </c:pt>
                <c:pt idx="1680">
                  <c:v>0.26050231851936484</c:v>
                </c:pt>
                <c:pt idx="1681">
                  <c:v>0.26143253873794686</c:v>
                </c:pt>
                <c:pt idx="1682">
                  <c:v>0.2623629852317067</c:v>
                </c:pt>
                <c:pt idx="1683">
                  <c:v>0.26329365891666257</c:v>
                </c:pt>
                <c:pt idx="1684">
                  <c:v>0.26422456071029105</c:v>
                </c:pt>
                <c:pt idx="1685">
                  <c:v>0.26515569153153451</c:v>
                </c:pt>
                <c:pt idx="1686">
                  <c:v>0.26608705230080754</c:v>
                </c:pt>
                <c:pt idx="1687">
                  <c:v>0.26701864394000585</c:v>
                </c:pt>
                <c:pt idx="1688">
                  <c:v>0.26795046737251133</c:v>
                </c:pt>
                <c:pt idx="1689">
                  <c:v>0.26888252352320108</c:v>
                </c:pt>
                <c:pt idx="1690">
                  <c:v>0.26981481331845375</c:v>
                </c:pt>
                <c:pt idx="1691">
                  <c:v>0.27074733768615755</c:v>
                </c:pt>
                <c:pt idx="1692">
                  <c:v>0.27168009755571709</c:v>
                </c:pt>
                <c:pt idx="1693">
                  <c:v>0.2726130938580611</c:v>
                </c:pt>
                <c:pt idx="1694">
                  <c:v>0.27354632752564961</c:v>
                </c:pt>
                <c:pt idx="1695">
                  <c:v>0.27447979949248175</c:v>
                </c:pt>
                <c:pt idx="1696">
                  <c:v>0.27541351069410286</c:v>
                </c:pt>
                <c:pt idx="1697">
                  <c:v>0.27634746206761213</c:v>
                </c:pt>
                <c:pt idx="1698">
                  <c:v>0.2772816545516702</c:v>
                </c:pt>
                <c:pt idx="1699">
                  <c:v>0.2782160890865068</c:v>
                </c:pt>
                <c:pt idx="1700">
                  <c:v>0.2791507666139279</c:v>
                </c:pt>
                <c:pt idx="1701">
                  <c:v>0.28008568807732387</c:v>
                </c:pt>
                <c:pt idx="1702">
                  <c:v>0.28102085442167662</c:v>
                </c:pt>
                <c:pt idx="1703">
                  <c:v>0.28195626659356832</c:v>
                </c:pt>
                <c:pt idx="1704">
                  <c:v>0.28289192554118742</c:v>
                </c:pt>
                <c:pt idx="1705">
                  <c:v>0.28382783221433777</c:v>
                </c:pt>
                <c:pt idx="1706">
                  <c:v>0.28476398756444565</c:v>
                </c:pt>
                <c:pt idx="1707">
                  <c:v>0.28570039254456803</c:v>
                </c:pt>
                <c:pt idx="1708">
                  <c:v>0.28663704810939999</c:v>
                </c:pt>
                <c:pt idx="1709">
                  <c:v>0.28757395521528289</c:v>
                </c:pt>
                <c:pt idx="1710">
                  <c:v>0.28851111482021208</c:v>
                </c:pt>
                <c:pt idx="1711">
                  <c:v>0.28944852788384479</c:v>
                </c:pt>
                <c:pt idx="1712">
                  <c:v>0.29038619536750815</c:v>
                </c:pt>
                <c:pt idx="1713">
                  <c:v>0.29132411823420695</c:v>
                </c:pt>
                <c:pt idx="1714">
                  <c:v>0.29226229744863219</c:v>
                </c:pt>
                <c:pt idx="1715">
                  <c:v>0.29320073397716839</c:v>
                </c:pt>
                <c:pt idx="1716">
                  <c:v>0.29413942878790206</c:v>
                </c:pt>
                <c:pt idx="1717">
                  <c:v>0.29507838285062987</c:v>
                </c:pt>
                <c:pt idx="1718">
                  <c:v>0.29601759713686632</c:v>
                </c:pt>
                <c:pt idx="1719">
                  <c:v>0.29695707261985277</c:v>
                </c:pt>
                <c:pt idx="1720">
                  <c:v>0.29789681027456466</c:v>
                </c:pt>
                <c:pt idx="1721">
                  <c:v>0.29883681107772003</c:v>
                </c:pt>
                <c:pt idx="1722">
                  <c:v>0.29977707600778802</c:v>
                </c:pt>
                <c:pt idx="1723">
                  <c:v>0.30071760604499703</c:v>
                </c:pt>
                <c:pt idx="1724">
                  <c:v>0.30165840217134304</c:v>
                </c:pt>
                <c:pt idx="1725">
                  <c:v>0.30259946537059762</c:v>
                </c:pt>
                <c:pt idx="1726">
                  <c:v>0.30354079662831707</c:v>
                </c:pt>
                <c:pt idx="1727">
                  <c:v>0.30448239693185014</c:v>
                </c:pt>
                <c:pt idx="1728">
                  <c:v>0.30542426727034655</c:v>
                </c:pt>
                <c:pt idx="1729">
                  <c:v>0.30636640863476594</c:v>
                </c:pt>
                <c:pt idx="1730">
                  <c:v>0.30730882201788584</c:v>
                </c:pt>
                <c:pt idx="1731">
                  <c:v>0.30825150841431065</c:v>
                </c:pt>
                <c:pt idx="1732">
                  <c:v>0.30919446882047985</c:v>
                </c:pt>
                <c:pt idx="1733">
                  <c:v>0.31013770423467696</c:v>
                </c:pt>
                <c:pt idx="1734">
                  <c:v>0.3110812156570375</c:v>
                </c:pt>
                <c:pt idx="1735">
                  <c:v>0.31202500408955924</c:v>
                </c:pt>
                <c:pt idx="1736">
                  <c:v>0.31296907053610906</c:v>
                </c:pt>
                <c:pt idx="1737">
                  <c:v>0.31391341600243255</c:v>
                </c:pt>
                <c:pt idx="1738">
                  <c:v>0.31485804149616303</c:v>
                </c:pt>
                <c:pt idx="1739">
                  <c:v>0.31580294802683001</c:v>
                </c:pt>
                <c:pt idx="1740">
                  <c:v>0.31674813660586792</c:v>
                </c:pt>
                <c:pt idx="1741">
                  <c:v>0.31769360824662579</c:v>
                </c:pt>
                <c:pt idx="1742">
                  <c:v>0.3186393639643752</c:v>
                </c:pt>
                <c:pt idx="1743">
                  <c:v>0.31958540477631975</c:v>
                </c:pt>
                <c:pt idx="1744">
                  <c:v>0.32053173170160409</c:v>
                </c:pt>
                <c:pt idx="1745">
                  <c:v>0.32147834576132267</c:v>
                </c:pt>
                <c:pt idx="1746">
                  <c:v>0.32242524797852934</c:v>
                </c:pt>
                <c:pt idx="1747">
                  <c:v>0.32337243937824606</c:v>
                </c:pt>
                <c:pt idx="1748">
                  <c:v>0.32431992098747198</c:v>
                </c:pt>
                <c:pt idx="1749">
                  <c:v>0.32526769383519277</c:v>
                </c:pt>
                <c:pt idx="1750">
                  <c:v>0.3262157589523903</c:v>
                </c:pt>
                <c:pt idx="1751">
                  <c:v>0.32716411737205059</c:v>
                </c:pt>
                <c:pt idx="1752">
                  <c:v>0.32811277012917522</c:v>
                </c:pt>
                <c:pt idx="1753">
                  <c:v>0.32906171826078873</c:v>
                </c:pt>
                <c:pt idx="1754">
                  <c:v>0.33001096280594872</c:v>
                </c:pt>
                <c:pt idx="1755">
                  <c:v>0.33096050480575562</c:v>
                </c:pt>
                <c:pt idx="1756">
                  <c:v>0.33191034530336139</c:v>
                </c:pt>
                <c:pt idx="1757">
                  <c:v>0.33286048534397994</c:v>
                </c:pt>
                <c:pt idx="1758">
                  <c:v>0.33381092597489581</c:v>
                </c:pt>
                <c:pt idx="1759">
                  <c:v>0.33476166824547443</c:v>
                </c:pt>
                <c:pt idx="1760">
                  <c:v>0.33571271320717128</c:v>
                </c:pt>
                <c:pt idx="1761">
                  <c:v>0.33666406191354192</c:v>
                </c:pt>
                <c:pt idx="1762">
                  <c:v>0.33761571542025109</c:v>
                </c:pt>
                <c:pt idx="1763">
                  <c:v>0.33856767478508326</c:v>
                </c:pt>
                <c:pt idx="1764">
                  <c:v>0.33951994106795186</c:v>
                </c:pt>
                <c:pt idx="1765">
                  <c:v>0.34047251533090928</c:v>
                </c:pt>
                <c:pt idx="1766">
                  <c:v>0.34142539863815691</c:v>
                </c:pt>
                <c:pt idx="1767">
                  <c:v>0.34237859205605409</c:v>
                </c:pt>
                <c:pt idx="1768">
                  <c:v>0.3433320966531303</c:v>
                </c:pt>
                <c:pt idx="1769">
                  <c:v>0.34428591350009258</c:v>
                </c:pt>
                <c:pt idx="1770">
                  <c:v>0.34524004366983679</c:v>
                </c:pt>
                <c:pt idx="1771">
                  <c:v>0.34619448823745796</c:v>
                </c:pt>
                <c:pt idx="1772">
                  <c:v>0.34714924828025989</c:v>
                </c:pt>
                <c:pt idx="1773">
                  <c:v>0.34810432487776538</c:v>
                </c:pt>
                <c:pt idx="1774">
                  <c:v>0.34905971911172667</c:v>
                </c:pt>
                <c:pt idx="1775">
                  <c:v>0.35001543206613561</c:v>
                </c:pt>
                <c:pt idx="1776">
                  <c:v>0.3509714648272339</c:v>
                </c:pt>
                <c:pt idx="1777">
                  <c:v>0.35192781848352345</c:v>
                </c:pt>
                <c:pt idx="1778">
                  <c:v>0.35288449412577666</c:v>
                </c:pt>
                <c:pt idx="1779">
                  <c:v>0.35384149284704736</c:v>
                </c:pt>
                <c:pt idx="1780">
                  <c:v>0.35479881574268057</c:v>
                </c:pt>
                <c:pt idx="1781">
                  <c:v>0.35575646391032362</c:v>
                </c:pt>
                <c:pt idx="1782">
                  <c:v>0.35671443844993606</c:v>
                </c:pt>
                <c:pt idx="1783">
                  <c:v>0.35767274046380121</c:v>
                </c:pt>
                <c:pt idx="1784">
                  <c:v>0.35863137105653642</c:v>
                </c:pt>
                <c:pt idx="1785">
                  <c:v>0.35959033133510332</c:v>
                </c:pt>
                <c:pt idx="1786">
                  <c:v>0.36054962240881905</c:v>
                </c:pt>
                <c:pt idx="1787">
                  <c:v>0.36150924538936696</c:v>
                </c:pt>
                <c:pt idx="1788">
                  <c:v>0.36246920139080774</c:v>
                </c:pt>
                <c:pt idx="1789">
                  <c:v>0.36342949152958964</c:v>
                </c:pt>
                <c:pt idx="1790">
                  <c:v>0.36439011692456047</c:v>
                </c:pt>
                <c:pt idx="1791">
                  <c:v>0.36535107869697736</c:v>
                </c:pt>
                <c:pt idx="1792">
                  <c:v>0.36631237797051897</c:v>
                </c:pt>
                <c:pt idx="1793">
                  <c:v>0.36727401587129571</c:v>
                </c:pt>
                <c:pt idx="1794">
                  <c:v>0.36823599352786157</c:v>
                </c:pt>
                <c:pt idx="1795">
                  <c:v>0.36919831207122478</c:v>
                </c:pt>
                <c:pt idx="1796">
                  <c:v>0.37016097263485942</c:v>
                </c:pt>
                <c:pt idx="1797">
                  <c:v>0.37112397635471672</c:v>
                </c:pt>
                <c:pt idx="1798">
                  <c:v>0.37208732436923586</c:v>
                </c:pt>
                <c:pt idx="1799">
                  <c:v>0.37305101781935607</c:v>
                </c:pt>
                <c:pt idx="1800">
                  <c:v>0.37401505784852834</c:v>
                </c:pt>
                <c:pt idx="1801">
                  <c:v>0.37497944560272578</c:v>
                </c:pt>
                <c:pt idx="1802">
                  <c:v>0.375944182230456</c:v>
                </c:pt>
                <c:pt idx="1803">
                  <c:v>0.37690926888277237</c:v>
                </c:pt>
                <c:pt idx="1804">
                  <c:v>0.37787470671328632</c:v>
                </c:pt>
                <c:pt idx="1805">
                  <c:v>0.37884049687817822</c:v>
                </c:pt>
                <c:pt idx="1806">
                  <c:v>0.37980664053620944</c:v>
                </c:pt>
                <c:pt idx="1807">
                  <c:v>0.38077313884873498</c:v>
                </c:pt>
                <c:pt idx="1808">
                  <c:v>0.38173999297971378</c:v>
                </c:pt>
                <c:pt idx="1809">
                  <c:v>0.38270720409572206</c:v>
                </c:pt>
                <c:pt idx="1810">
                  <c:v>0.38367477336596478</c:v>
                </c:pt>
                <c:pt idx="1811">
                  <c:v>0.38464270196228728</c:v>
                </c:pt>
                <c:pt idx="1812">
                  <c:v>0.38561099105918833</c:v>
                </c:pt>
                <c:pt idx="1813">
                  <c:v>0.38657964183383159</c:v>
                </c:pt>
                <c:pt idx="1814">
                  <c:v>0.38754865546605755</c:v>
                </c:pt>
                <c:pt idx="1815">
                  <c:v>0.3885180331383965</c:v>
                </c:pt>
                <c:pt idx="1816">
                  <c:v>0.3894877760360812</c:v>
                </c:pt>
                <c:pt idx="1817">
                  <c:v>0.39045788534705811</c:v>
                </c:pt>
                <c:pt idx="1818">
                  <c:v>0.39142836226200023</c:v>
                </c:pt>
                <c:pt idx="1819">
                  <c:v>0.39239920797431982</c:v>
                </c:pt>
                <c:pt idx="1820">
                  <c:v>0.39337042368018144</c:v>
                </c:pt>
                <c:pt idx="1821">
                  <c:v>0.39434201057851331</c:v>
                </c:pt>
                <c:pt idx="1822">
                  <c:v>0.39531396987102113</c:v>
                </c:pt>
                <c:pt idx="1823">
                  <c:v>0.3962863027622005</c:v>
                </c:pt>
                <c:pt idx="1824">
                  <c:v>0.39725901045934914</c:v>
                </c:pt>
                <c:pt idx="1825">
                  <c:v>0.39823209417258071</c:v>
                </c:pt>
                <c:pt idx="1826">
                  <c:v>0.39920555511483696</c:v>
                </c:pt>
                <c:pt idx="1827">
                  <c:v>0.40017939450190104</c:v>
                </c:pt>
                <c:pt idx="1828">
                  <c:v>0.40115361355241086</c:v>
                </c:pt>
                <c:pt idx="1829">
                  <c:v>0.40212821348787114</c:v>
                </c:pt>
                <c:pt idx="1830">
                  <c:v>0.40310319553266794</c:v>
                </c:pt>
                <c:pt idx="1831">
                  <c:v>0.40407856091408073</c:v>
                </c:pt>
                <c:pt idx="1832">
                  <c:v>0.40505431086229615</c:v>
                </c:pt>
                <c:pt idx="1833">
                  <c:v>0.40603044661042231</c:v>
                </c:pt>
                <c:pt idx="1834">
                  <c:v>0.4070069693945001</c:v>
                </c:pt>
                <c:pt idx="1835">
                  <c:v>0.40798388045351858</c:v>
                </c:pt>
                <c:pt idx="1836">
                  <c:v>0.40896118102942736</c:v>
                </c:pt>
                <c:pt idx="1837">
                  <c:v>0.40993887236715104</c:v>
                </c:pt>
                <c:pt idx="1838">
                  <c:v>0.41091695571460224</c:v>
                </c:pt>
                <c:pt idx="1839">
                  <c:v>0.4118954323226956</c:v>
                </c:pt>
                <c:pt idx="1840">
                  <c:v>0.41287430344536208</c:v>
                </c:pt>
                <c:pt idx="1841">
                  <c:v>0.41385357033956183</c:v>
                </c:pt>
                <c:pt idx="1842">
                  <c:v>0.41483323426529861</c:v>
                </c:pt>
                <c:pt idx="1843">
                  <c:v>0.41581329648563453</c:v>
                </c:pt>
                <c:pt idx="1844">
                  <c:v>0.4167937582667029</c:v>
                </c:pt>
                <c:pt idx="1845">
                  <c:v>0.41777462087772305</c:v>
                </c:pt>
                <c:pt idx="1846">
                  <c:v>0.41875588559101445</c:v>
                </c:pt>
                <c:pt idx="1847">
                  <c:v>0.4197375536820111</c:v>
                </c:pt>
                <c:pt idx="1848">
                  <c:v>0.42071962642927557</c:v>
                </c:pt>
                <c:pt idx="1849">
                  <c:v>0.42170210511451411</c:v>
                </c:pt>
                <c:pt idx="1850">
                  <c:v>0.42268499102259016</c:v>
                </c:pt>
                <c:pt idx="1851">
                  <c:v>0.42366828544153962</c:v>
                </c:pt>
                <c:pt idx="1852">
                  <c:v>0.42465198966258533</c:v>
                </c:pt>
                <c:pt idx="1853">
                  <c:v>0.42563610498015186</c:v>
                </c:pt>
                <c:pt idx="1854">
                  <c:v>0.42662063269188</c:v>
                </c:pt>
                <c:pt idx="1855">
                  <c:v>0.42760557409864203</c:v>
                </c:pt>
                <c:pt idx="1856">
                  <c:v>0.42859093050455604</c:v>
                </c:pt>
                <c:pt idx="1857">
                  <c:v>0.42957670321700203</c:v>
                </c:pt>
                <c:pt idx="1858">
                  <c:v>0.43056289354663568</c:v>
                </c:pt>
                <c:pt idx="1859">
                  <c:v>0.43154950280740451</c:v>
                </c:pt>
                <c:pt idx="1860">
                  <c:v>0.43253653231656247</c:v>
                </c:pt>
                <c:pt idx="1861">
                  <c:v>0.43352398339468562</c:v>
                </c:pt>
                <c:pt idx="1862">
                  <c:v>0.43451185736568765</c:v>
                </c:pt>
                <c:pt idx="1863">
                  <c:v>0.43550015555683452</c:v>
                </c:pt>
                <c:pt idx="1864">
                  <c:v>0.43648887929876096</c:v>
                </c:pt>
                <c:pt idx="1865">
                  <c:v>0.43747802992548618</c:v>
                </c:pt>
                <c:pt idx="1866">
                  <c:v>0.4384676087744282</c:v>
                </c:pt>
                <c:pt idx="1867">
                  <c:v>0.43945761718642107</c:v>
                </c:pt>
                <c:pt idx="1868">
                  <c:v>0.44044805650572993</c:v>
                </c:pt>
                <c:pt idx="1869">
                  <c:v>0.44143892808006729</c:v>
                </c:pt>
                <c:pt idx="1870">
                  <c:v>0.44243023326060898</c:v>
                </c:pt>
                <c:pt idx="1871">
                  <c:v>0.44342197340200989</c:v>
                </c:pt>
                <c:pt idx="1872">
                  <c:v>0.44441414986242106</c:v>
                </c:pt>
                <c:pt idx="1873">
                  <c:v>0.44540676400350493</c:v>
                </c:pt>
                <c:pt idx="1874">
                  <c:v>0.44639981719045196</c:v>
                </c:pt>
                <c:pt idx="1875">
                  <c:v>0.44739331079199768</c:v>
                </c:pt>
                <c:pt idx="1876">
                  <c:v>0.44838724618043835</c:v>
                </c:pt>
                <c:pt idx="1877">
                  <c:v>0.44938162473164783</c:v>
                </c:pt>
                <c:pt idx="1878">
                  <c:v>0.45037644782509495</c:v>
                </c:pt>
                <c:pt idx="1879">
                  <c:v>0.45137171684385879</c:v>
                </c:pt>
                <c:pt idx="1880">
                  <c:v>0.45236743317464684</c:v>
                </c:pt>
                <c:pt idx="1881">
                  <c:v>0.45336359820781208</c:v>
                </c:pt>
                <c:pt idx="1882">
                  <c:v>0.45436021333736842</c:v>
                </c:pt>
                <c:pt idx="1883">
                  <c:v>0.45535727996100944</c:v>
                </c:pt>
                <c:pt idx="1884">
                  <c:v>0.45635479948012458</c:v>
                </c:pt>
                <c:pt idx="1885">
                  <c:v>0.45735277329981761</c:v>
                </c:pt>
                <c:pt idx="1886">
                  <c:v>0.45835120282892222</c:v>
                </c:pt>
                <c:pt idx="1887">
                  <c:v>0.45935008948002087</c:v>
                </c:pt>
                <c:pt idx="1888">
                  <c:v>0.46034943466946204</c:v>
                </c:pt>
                <c:pt idx="1889">
                  <c:v>0.46134923981737819</c:v>
                </c:pt>
                <c:pt idx="1890">
                  <c:v>0.46234950634770222</c:v>
                </c:pt>
                <c:pt idx="1891">
                  <c:v>0.46335023568818712</c:v>
                </c:pt>
                <c:pt idx="1892">
                  <c:v>0.46435142927042217</c:v>
                </c:pt>
                <c:pt idx="1893">
                  <c:v>0.46535308852985247</c:v>
                </c:pt>
                <c:pt idx="1894">
                  <c:v>0.46635521490579601</c:v>
                </c:pt>
                <c:pt idx="1895">
                  <c:v>0.46735780984146208</c:v>
                </c:pt>
                <c:pt idx="1896">
                  <c:v>0.46836087478396987</c:v>
                </c:pt>
                <c:pt idx="1897">
                  <c:v>0.46936441118436739</c:v>
                </c:pt>
                <c:pt idx="1898">
                  <c:v>0.47036842049764804</c:v>
                </c:pt>
                <c:pt idx="1899">
                  <c:v>0.47137290418277178</c:v>
                </c:pt>
                <c:pt idx="1900">
                  <c:v>0.47237786370268137</c:v>
                </c:pt>
                <c:pt idx="1901">
                  <c:v>0.4733833005243232</c:v>
                </c:pt>
                <c:pt idx="1902">
                  <c:v>0.47438921611866447</c:v>
                </c:pt>
                <c:pt idx="1903">
                  <c:v>0.47539561196071395</c:v>
                </c:pt>
                <c:pt idx="1904">
                  <c:v>0.47640248952953945</c:v>
                </c:pt>
                <c:pt idx="1905">
                  <c:v>0.47740985030828814</c:v>
                </c:pt>
                <c:pt idx="1906">
                  <c:v>0.47841769578420501</c:v>
                </c:pt>
                <c:pt idx="1907">
                  <c:v>0.4794260274486532</c:v>
                </c:pt>
                <c:pt idx="1908">
                  <c:v>0.48043484679713244</c:v>
                </c:pt>
                <c:pt idx="1909">
                  <c:v>0.48144415532929941</c:v>
                </c:pt>
                <c:pt idx="1910">
                  <c:v>0.48245395454898754</c:v>
                </c:pt>
                <c:pt idx="1911">
                  <c:v>0.4834642459642261</c:v>
                </c:pt>
                <c:pt idx="1912">
                  <c:v>0.48447503108726098</c:v>
                </c:pt>
                <c:pt idx="1913">
                  <c:v>0.48548631143457371</c:v>
                </c:pt>
                <c:pt idx="1914">
                  <c:v>0.48649808852690329</c:v>
                </c:pt>
                <c:pt idx="1915">
                  <c:v>0.48751036388926439</c:v>
                </c:pt>
                <c:pt idx="1916">
                  <c:v>0.48852313905096884</c:v>
                </c:pt>
                <c:pt idx="1917">
                  <c:v>0.48953641554564636</c:v>
                </c:pt>
                <c:pt idx="1918">
                  <c:v>0.49055019491126423</c:v>
                </c:pt>
                <c:pt idx="1919">
                  <c:v>0.49156447869014919</c:v>
                </c:pt>
                <c:pt idx="1920">
                  <c:v>0.49257926842900646</c:v>
                </c:pt>
                <c:pt idx="1921">
                  <c:v>0.49359456567894278</c:v>
                </c:pt>
                <c:pt idx="1922">
                  <c:v>0.4946103719954858</c:v>
                </c:pt>
                <c:pt idx="1923">
                  <c:v>0.49562668893860612</c:v>
                </c:pt>
                <c:pt idx="1924">
                  <c:v>0.49664351807273832</c:v>
                </c:pt>
                <c:pt idx="1925">
                  <c:v>0.49766086096680179</c:v>
                </c:pt>
                <c:pt idx="1926">
                  <c:v>0.49867871919422341</c:v>
                </c:pt>
                <c:pt idx="1927">
                  <c:v>0.49969709433295789</c:v>
                </c:pt>
                <c:pt idx="1928">
                  <c:v>0.50071598796551064</c:v>
                </c:pt>
                <c:pt idx="1929">
                  <c:v>0.50173540167895836</c:v>
                </c:pt>
                <c:pt idx="1930">
                  <c:v>0.50275533706497277</c:v>
                </c:pt>
                <c:pt idx="1931">
                  <c:v>0.50377579571984088</c:v>
                </c:pt>
                <c:pt idx="1932">
                  <c:v>0.5047967792444884</c:v>
                </c:pt>
                <c:pt idx="1933">
                  <c:v>0.50581828924450123</c:v>
                </c:pt>
                <c:pt idx="1934">
                  <c:v>0.50684032733014883</c:v>
                </c:pt>
                <c:pt idx="1935">
                  <c:v>0.50786289511640614</c:v>
                </c:pt>
                <c:pt idx="1936">
                  <c:v>0.50888599422297665</c:v>
                </c:pt>
                <c:pt idx="1937">
                  <c:v>0.5099096262743148</c:v>
                </c:pt>
                <c:pt idx="1938">
                  <c:v>0.51093379289965002</c:v>
                </c:pt>
                <c:pt idx="1939">
                  <c:v>0.51195849573300822</c:v>
                </c:pt>
                <c:pt idx="1940">
                  <c:v>0.51298373641323636</c:v>
                </c:pt>
                <c:pt idx="1941">
                  <c:v>0.51400951658402516</c:v>
                </c:pt>
                <c:pt idx="1942">
                  <c:v>0.51503583789393281</c:v>
                </c:pt>
                <c:pt idx="1943">
                  <c:v>0.51606270199640825</c:v>
                </c:pt>
                <c:pt idx="1944">
                  <c:v>0.51709011054981568</c:v>
                </c:pt>
                <c:pt idx="1945">
                  <c:v>0.5181180652174574</c:v>
                </c:pt>
                <c:pt idx="1946">
                  <c:v>0.51914656766759937</c:v>
                </c:pt>
                <c:pt idx="1947">
                  <c:v>0.52017561957349345</c:v>
                </c:pt>
                <c:pt idx="1948">
                  <c:v>0.52120522261340296</c:v>
                </c:pt>
                <c:pt idx="1949">
                  <c:v>0.52223537847062673</c:v>
                </c:pt>
                <c:pt idx="1950">
                  <c:v>0.52326608883352377</c:v>
                </c:pt>
                <c:pt idx="1951">
                  <c:v>0.52429735539553801</c:v>
                </c:pt>
                <c:pt idx="1952">
                  <c:v>0.52532917985522309</c:v>
                </c:pt>
                <c:pt idx="1953">
                  <c:v>0.52636156391626743</c:v>
                </c:pt>
                <c:pt idx="1954">
                  <c:v>0.52739450928751908</c:v>
                </c:pt>
                <c:pt idx="1955">
                  <c:v>0.52842801768301095</c:v>
                </c:pt>
                <c:pt idx="1956">
                  <c:v>0.52946209082198725</c:v>
                </c:pt>
                <c:pt idx="1957">
                  <c:v>0.53049673042892798</c:v>
                </c:pt>
                <c:pt idx="1958">
                  <c:v>0.53153193823357436</c:v>
                </c:pt>
                <c:pt idx="1959">
                  <c:v>0.53256771597095609</c:v>
                </c:pt>
                <c:pt idx="1960">
                  <c:v>0.53360406538141636</c:v>
                </c:pt>
                <c:pt idx="1961">
                  <c:v>0.53464098821063755</c:v>
                </c:pt>
                <c:pt idx="1962">
                  <c:v>0.53567848620966962</c:v>
                </c:pt>
                <c:pt idx="1963">
                  <c:v>0.53671656113495403</c:v>
                </c:pt>
                <c:pt idx="1964">
                  <c:v>0.53775521474835131</c:v>
                </c:pt>
                <c:pt idx="1965">
                  <c:v>0.5387944488171692</c:v>
                </c:pt>
                <c:pt idx="1966">
                  <c:v>0.53983426511418708</c:v>
                </c:pt>
                <c:pt idx="1967">
                  <c:v>0.54087466541768547</c:v>
                </c:pt>
                <c:pt idx="1968">
                  <c:v>0.54191565151147125</c:v>
                </c:pt>
                <c:pt idx="1969">
                  <c:v>0.54295722518490674</c:v>
                </c:pt>
                <c:pt idx="1970">
                  <c:v>0.54399938823293559</c:v>
                </c:pt>
                <c:pt idx="1971">
                  <c:v>0.54504214245611271</c:v>
                </c:pt>
                <c:pt idx="1972">
                  <c:v>0.54608548966062942</c:v>
                </c:pt>
                <c:pt idx="1973">
                  <c:v>0.54712943165834405</c:v>
                </c:pt>
                <c:pt idx="1974">
                  <c:v>0.54817397026680836</c:v>
                </c:pt>
                <c:pt idx="1975">
                  <c:v>0.54921910730929668</c:v>
                </c:pt>
                <c:pt idx="1976">
                  <c:v>0.55026484461483516</c:v>
                </c:pt>
                <c:pt idx="1977">
                  <c:v>0.5513111840182281</c:v>
                </c:pt>
                <c:pt idx="1978">
                  <c:v>0.55235812736008971</c:v>
                </c:pt>
                <c:pt idx="1979">
                  <c:v>0.55340567648687167</c:v>
                </c:pt>
                <c:pt idx="1980">
                  <c:v>0.55445383325089237</c:v>
                </c:pt>
                <c:pt idx="1981">
                  <c:v>0.55550259951036596</c:v>
                </c:pt>
                <c:pt idx="1982">
                  <c:v>0.55655197712943349</c:v>
                </c:pt>
                <c:pt idx="1983">
                  <c:v>0.55760196797819095</c:v>
                </c:pt>
                <c:pt idx="1984">
                  <c:v>0.55865257393271961</c:v>
                </c:pt>
                <c:pt idx="1985">
                  <c:v>0.55970379687511707</c:v>
                </c:pt>
                <c:pt idx="1986">
                  <c:v>0.56075563869352629</c:v>
                </c:pt>
                <c:pt idx="1987">
                  <c:v>0.56180810128216707</c:v>
                </c:pt>
                <c:pt idx="1988">
                  <c:v>0.56286118654136574</c:v>
                </c:pt>
                <c:pt idx="1989">
                  <c:v>0.56391489637758696</c:v>
                </c:pt>
                <c:pt idx="1990">
                  <c:v>0.56496923270346355</c:v>
                </c:pt>
                <c:pt idx="1991">
                  <c:v>0.56602419743782928</c:v>
                </c:pt>
                <c:pt idx="1992">
                  <c:v>0.56707979250574858</c:v>
                </c:pt>
                <c:pt idx="1993">
                  <c:v>0.56813601983854956</c:v>
                </c:pt>
                <c:pt idx="1994">
                  <c:v>0.56919288137385415</c:v>
                </c:pt>
                <c:pt idx="1995">
                  <c:v>0.57025037905561271</c:v>
                </c:pt>
                <c:pt idx="1996">
                  <c:v>0.57130851483413292</c:v>
                </c:pt>
                <c:pt idx="1997">
                  <c:v>0.57236729066611425</c:v>
                </c:pt>
                <c:pt idx="1998">
                  <c:v>0.57342670851468025</c:v>
                </c:pt>
                <c:pt idx="1999">
                  <c:v>0.57448677034941065</c:v>
                </c:pt>
                <c:pt idx="2000">
                  <c:v>0.57554747814637464</c:v>
                </c:pt>
                <c:pt idx="2001">
                  <c:v>0.5766088338881642</c:v>
                </c:pt>
                <c:pt idx="2002">
                  <c:v>0.5776708395639274</c:v>
                </c:pt>
                <c:pt idx="2003">
                  <c:v>0.57873349716940148</c:v>
                </c:pt>
                <c:pt idx="2004">
                  <c:v>0.57979680870694739</c:v>
                </c:pt>
                <c:pt idx="2005">
                  <c:v>0.58086077618558296</c:v>
                </c:pt>
                <c:pt idx="2006">
                  <c:v>0.58192540162101736</c:v>
                </c:pt>
                <c:pt idx="2007">
                  <c:v>0.58299068703568535</c:v>
                </c:pt>
                <c:pt idx="2008">
                  <c:v>0.58405663445878298</c:v>
                </c:pt>
                <c:pt idx="2009">
                  <c:v>0.58512324592630094</c:v>
                </c:pt>
                <c:pt idx="2010">
                  <c:v>0.58619052348105938</c:v>
                </c:pt>
                <c:pt idx="2011">
                  <c:v>0.58725846917274527</c:v>
                </c:pt>
                <c:pt idx="2012">
                  <c:v>0.58832708505794529</c:v>
                </c:pt>
                <c:pt idx="2013">
                  <c:v>0.58939637320018323</c:v>
                </c:pt>
                <c:pt idx="2014">
                  <c:v>0.59046633566995521</c:v>
                </c:pt>
                <c:pt idx="2015">
                  <c:v>0.59153697454476595</c:v>
                </c:pt>
                <c:pt idx="2016">
                  <c:v>0.59260829190916486</c:v>
                </c:pt>
                <c:pt idx="2017">
                  <c:v>0.59368028985478305</c:v>
                </c:pt>
                <c:pt idx="2018">
                  <c:v>0.59475297048036979</c:v>
                </c:pt>
                <c:pt idx="2019">
                  <c:v>0.59582633589182954</c:v>
                </c:pt>
                <c:pt idx="2020">
                  <c:v>0.59690038820225988</c:v>
                </c:pt>
                <c:pt idx="2021">
                  <c:v>0.59797512953198761</c:v>
                </c:pt>
                <c:pt idx="2022">
                  <c:v>0.59905056200860762</c:v>
                </c:pt>
                <c:pt idx="2023">
                  <c:v>0.60012668776702094</c:v>
                </c:pt>
                <c:pt idx="2024">
                  <c:v>0.60120350894947183</c:v>
                </c:pt>
                <c:pt idx="2025">
                  <c:v>0.60228102770558778</c:v>
                </c:pt>
                <c:pt idx="2026">
                  <c:v>0.6033592461924161</c:v>
                </c:pt>
                <c:pt idx="2027">
                  <c:v>0.60443816657446614</c:v>
                </c:pt>
                <c:pt idx="2028">
                  <c:v>0.60551779102374415</c:v>
                </c:pt>
                <c:pt idx="2029">
                  <c:v>0.60659812171979666</c:v>
                </c:pt>
                <c:pt idx="2030">
                  <c:v>0.60767916084974716</c:v>
                </c:pt>
                <c:pt idx="2031">
                  <c:v>0.60876091060833881</c:v>
                </c:pt>
                <c:pt idx="2032">
                  <c:v>0.60984337319797222</c:v>
                </c:pt>
                <c:pt idx="2033">
                  <c:v>0.61092655082874692</c:v>
                </c:pt>
                <c:pt idx="2034">
                  <c:v>0.61201044571850205</c:v>
                </c:pt>
                <c:pt idx="2035">
                  <c:v>0.61309506009285741</c:v>
                </c:pt>
                <c:pt idx="2036">
                  <c:v>0.614180396185255</c:v>
                </c:pt>
                <c:pt idx="2037">
                  <c:v>0.61526645623699827</c:v>
                </c:pt>
                <c:pt idx="2038">
                  <c:v>0.61635324249729806</c:v>
                </c:pt>
                <c:pt idx="2039">
                  <c:v>0.61744075722331049</c:v>
                </c:pt>
                <c:pt idx="2040">
                  <c:v>0.61852900268018141</c:v>
                </c:pt>
                <c:pt idx="2041">
                  <c:v>0.61961798114108868</c:v>
                </c:pt>
                <c:pt idx="2042">
                  <c:v>0.62070769488728439</c:v>
                </c:pt>
                <c:pt idx="2043">
                  <c:v>0.62179814620813945</c:v>
                </c:pt>
                <c:pt idx="2044">
                  <c:v>0.62288933740118491</c:v>
                </c:pt>
                <c:pt idx="2045">
                  <c:v>0.62398127077215726</c:v>
                </c:pt>
                <c:pt idx="2046">
                  <c:v>0.62507394863504151</c:v>
                </c:pt>
                <c:pt idx="2047">
                  <c:v>0.62616737331211547</c:v>
                </c:pt>
                <c:pt idx="2048">
                  <c:v>0.62726154713399584</c:v>
                </c:pt>
                <c:pt idx="2049">
                  <c:v>0.62835647243968062</c:v>
                </c:pt>
                <c:pt idx="2050">
                  <c:v>0.62945215157659573</c:v>
                </c:pt>
                <c:pt idx="2051">
                  <c:v>0.63054858690063964</c:v>
                </c:pt>
                <c:pt idx="2052">
                  <c:v>0.63164578077623101</c:v>
                </c:pt>
                <c:pt idx="2053">
                  <c:v>0.63274373557635089</c:v>
                </c:pt>
                <c:pt idx="2054">
                  <c:v>0.63384245368259318</c:v>
                </c:pt>
                <c:pt idx="2055">
                  <c:v>0.63494193748520911</c:v>
                </c:pt>
                <c:pt idx="2056">
                  <c:v>0.63604218938315382</c:v>
                </c:pt>
                <c:pt idx="2057">
                  <c:v>0.63714321178413513</c:v>
                </c:pt>
                <c:pt idx="2058">
                  <c:v>0.63824500710465981</c:v>
                </c:pt>
                <c:pt idx="2059">
                  <c:v>0.63934757777008144</c:v>
                </c:pt>
                <c:pt idx="2060">
                  <c:v>0.64045092621464972</c:v>
                </c:pt>
                <c:pt idx="2061">
                  <c:v>0.64155505488155873</c:v>
                </c:pt>
                <c:pt idx="2062">
                  <c:v>0.64265996622299337</c:v>
                </c:pt>
                <c:pt idx="2063">
                  <c:v>0.64376566270018276</c:v>
                </c:pt>
                <c:pt idx="2064">
                  <c:v>0.64487214678344551</c:v>
                </c:pt>
                <c:pt idx="2065">
                  <c:v>0.64597942095224226</c:v>
                </c:pt>
                <c:pt idx="2066">
                  <c:v>0.64708748769522595</c:v>
                </c:pt>
                <c:pt idx="2067">
                  <c:v>0.64819634951028904</c:v>
                </c:pt>
                <c:pt idx="2068">
                  <c:v>0.64930600890461865</c:v>
                </c:pt>
                <c:pt idx="2069">
                  <c:v>0.6504164683947451</c:v>
                </c:pt>
                <c:pt idx="2070">
                  <c:v>0.65152773050659363</c:v>
                </c:pt>
                <c:pt idx="2071">
                  <c:v>0.65263979777553727</c:v>
                </c:pt>
                <c:pt idx="2072">
                  <c:v>0.65375267274644699</c:v>
                </c:pt>
                <c:pt idx="2073">
                  <c:v>0.65486635797374781</c:v>
                </c:pt>
                <c:pt idx="2074">
                  <c:v>0.65598085602146783</c:v>
                </c:pt>
                <c:pt idx="2075">
                  <c:v>0.65709616946329386</c:v>
                </c:pt>
                <c:pt idx="2076">
                  <c:v>0.65821230088262472</c:v>
                </c:pt>
                <c:pt idx="2077">
                  <c:v>0.65932925287262478</c:v>
                </c:pt>
                <c:pt idx="2078">
                  <c:v>0.66044702803627753</c:v>
                </c:pt>
                <c:pt idx="2079">
                  <c:v>0.661565628986443</c:v>
                </c:pt>
                <c:pt idx="2080">
                  <c:v>0.66268505834591007</c:v>
                </c:pt>
                <c:pt idx="2081">
                  <c:v>0.66380531874745252</c:v>
                </c:pt>
                <c:pt idx="2082">
                  <c:v>0.66492641283388665</c:v>
                </c:pt>
                <c:pt idx="2083">
                  <c:v>0.66604834325812534</c:v>
                </c:pt>
                <c:pt idx="2084">
                  <c:v>0.66717111268323592</c:v>
                </c:pt>
                <c:pt idx="2085">
                  <c:v>0.66829472378249688</c:v>
                </c:pt>
                <c:pt idx="2086">
                  <c:v>0.66941917923945549</c:v>
                </c:pt>
                <c:pt idx="2087">
                  <c:v>0.67054448174798553</c:v>
                </c:pt>
                <c:pt idx="2088">
                  <c:v>0.6716706340123445</c:v>
                </c:pt>
                <c:pt idx="2089">
                  <c:v>0.67279763874723375</c:v>
                </c:pt>
                <c:pt idx="2090">
                  <c:v>0.673925498677857</c:v>
                </c:pt>
                <c:pt idx="2091">
                  <c:v>0.67505421653998043</c:v>
                </c:pt>
                <c:pt idx="2092">
                  <c:v>0.67618379507998938</c:v>
                </c:pt>
                <c:pt idx="2093">
                  <c:v>0.67731423705495308</c:v>
                </c:pt>
                <c:pt idx="2094">
                  <c:v>0.67844554523268352</c:v>
                </c:pt>
                <c:pt idx="2095">
                  <c:v>0.67957772239179393</c:v>
                </c:pt>
                <c:pt idx="2096">
                  <c:v>0.68071077132176561</c:v>
                </c:pt>
                <c:pt idx="2097">
                  <c:v>0.68184469482300414</c:v>
                </c:pt>
                <c:pt idx="2098">
                  <c:v>0.68297949570690686</c:v>
                </c:pt>
                <c:pt idx="2099">
                  <c:v>0.68411517679592171</c:v>
                </c:pt>
                <c:pt idx="2100">
                  <c:v>0.68525174092361352</c:v>
                </c:pt>
                <c:pt idx="2101">
                  <c:v>0.68638919093472583</c:v>
                </c:pt>
                <c:pt idx="2102">
                  <c:v>0.68752752968524566</c:v>
                </c:pt>
                <c:pt idx="2103">
                  <c:v>0.68866676004246885</c:v>
                </c:pt>
                <c:pt idx="2104">
                  <c:v>0.68980688488506425</c:v>
                </c:pt>
                <c:pt idx="2105">
                  <c:v>0.69094790710313814</c:v>
                </c:pt>
                <c:pt idx="2106">
                  <c:v>0.69208982959830423</c:v>
                </c:pt>
                <c:pt idx="2107">
                  <c:v>0.69323265528374434</c:v>
                </c:pt>
                <c:pt idx="2108">
                  <c:v>0.69437638708428173</c:v>
                </c:pt>
                <c:pt idx="2109">
                  <c:v>0.69552102793644344</c:v>
                </c:pt>
                <c:pt idx="2110">
                  <c:v>0.69666658078852928</c:v>
                </c:pt>
                <c:pt idx="2111">
                  <c:v>0.6978130486006846</c:v>
                </c:pt>
                <c:pt idx="2112">
                  <c:v>0.69896043434496191</c:v>
                </c:pt>
                <c:pt idx="2113">
                  <c:v>0.70010874100539633</c:v>
                </c:pt>
                <c:pt idx="2114">
                  <c:v>0.70125797157807224</c:v>
                </c:pt>
                <c:pt idx="2115">
                  <c:v>0.70240812907119476</c:v>
                </c:pt>
                <c:pt idx="2116">
                  <c:v>0.70355921650516096</c:v>
                </c:pt>
                <c:pt idx="2117">
                  <c:v>0.70471123691262905</c:v>
                </c:pt>
                <c:pt idx="2118">
                  <c:v>0.70586419333859551</c:v>
                </c:pt>
                <c:pt idx="2119">
                  <c:v>0.70701808884046136</c:v>
                </c:pt>
                <c:pt idx="2120">
                  <c:v>0.70817292648810803</c:v>
                </c:pt>
                <c:pt idx="2121">
                  <c:v>0.7093287093639723</c:v>
                </c:pt>
                <c:pt idx="2122">
                  <c:v>0.71048544056311713</c:v>
                </c:pt>
                <c:pt idx="2123">
                  <c:v>0.71164312319330925</c:v>
                </c:pt>
                <c:pt idx="2124">
                  <c:v>0.71280176037509191</c:v>
                </c:pt>
                <c:pt idx="2125">
                  <c:v>0.71396135524186277</c:v>
                </c:pt>
                <c:pt idx="2126">
                  <c:v>0.71512191093994781</c:v>
                </c:pt>
                <c:pt idx="2127">
                  <c:v>0.71628343062867905</c:v>
                </c:pt>
                <c:pt idx="2128">
                  <c:v>0.71744591748047404</c:v>
                </c:pt>
                <c:pt idx="2129">
                  <c:v>0.71860937468090946</c:v>
                </c:pt>
                <c:pt idx="2130">
                  <c:v>0.71977380542880454</c:v>
                </c:pt>
                <c:pt idx="2131">
                  <c:v>0.72093921293629504</c:v>
                </c:pt>
                <c:pt idx="2132">
                  <c:v>0.72210560042891747</c:v>
                </c:pt>
                <c:pt idx="2133">
                  <c:v>0.72327297114568678</c:v>
                </c:pt>
                <c:pt idx="2134">
                  <c:v>0.72444132833917729</c:v>
                </c:pt>
                <c:pt idx="2135">
                  <c:v>0.72561067527560552</c:v>
                </c:pt>
                <c:pt idx="2136">
                  <c:v>0.7267810152349109</c:v>
                </c:pt>
                <c:pt idx="2137">
                  <c:v>0.72795235151083948</c:v>
                </c:pt>
                <c:pt idx="2138">
                  <c:v>0.72912468741102621</c:v>
                </c:pt>
                <c:pt idx="2139">
                  <c:v>0.73029802625707907</c:v>
                </c:pt>
                <c:pt idx="2140">
                  <c:v>0.73147237138466448</c:v>
                </c:pt>
                <c:pt idx="2141">
                  <c:v>0.73264772614359142</c:v>
                </c:pt>
                <c:pt idx="2142">
                  <c:v>0.73382409389789827</c:v>
                </c:pt>
                <c:pt idx="2143">
                  <c:v>0.73500147802593829</c:v>
                </c:pt>
                <c:pt idx="2144">
                  <c:v>0.73617988192046735</c:v>
                </c:pt>
                <c:pt idx="2145">
                  <c:v>0.73735930898873114</c:v>
                </c:pt>
                <c:pt idx="2146">
                  <c:v>0.73853976265255361</c:v>
                </c:pt>
                <c:pt idx="2147">
                  <c:v>0.73972124634842751</c:v>
                </c:pt>
                <c:pt idx="2148">
                  <c:v>0.74090376352760345</c:v>
                </c:pt>
                <c:pt idx="2149">
                  <c:v>0.74208731765617653</c:v>
                </c:pt>
                <c:pt idx="2150">
                  <c:v>0.74327191221518607</c:v>
                </c:pt>
                <c:pt idx="2151">
                  <c:v>0.74445755070069775</c:v>
                </c:pt>
                <c:pt idx="2152">
                  <c:v>0.74564423662390367</c:v>
                </c:pt>
                <c:pt idx="2153">
                  <c:v>0.74683197351121133</c:v>
                </c:pt>
                <c:pt idx="2154">
                  <c:v>0.74802076490433922</c:v>
                </c:pt>
                <c:pt idx="2155">
                  <c:v>0.74921061436041136</c:v>
                </c:pt>
                <c:pt idx="2156">
                  <c:v>0.75040152545205274</c:v>
                </c:pt>
                <c:pt idx="2157">
                  <c:v>0.75159350176748485</c:v>
                </c:pt>
                <c:pt idx="2158">
                  <c:v>0.7527865469106233</c:v>
                </c:pt>
                <c:pt idx="2159">
                  <c:v>0.75398066450117585</c:v>
                </c:pt>
                <c:pt idx="2160">
                  <c:v>0.75517585817473776</c:v>
                </c:pt>
                <c:pt idx="2161">
                  <c:v>0.75637213158289784</c:v>
                </c:pt>
                <c:pt idx="2162">
                  <c:v>0.75756948839332861</c:v>
                </c:pt>
                <c:pt idx="2163">
                  <c:v>0.75876793228989581</c:v>
                </c:pt>
                <c:pt idx="2164">
                  <c:v>0.75996746697275508</c:v>
                </c:pt>
                <c:pt idx="2165">
                  <c:v>0.76116809615845538</c:v>
                </c:pt>
                <c:pt idx="2166">
                  <c:v>0.76236982358004401</c:v>
                </c:pt>
                <c:pt idx="2167">
                  <c:v>0.76357265298716637</c:v>
                </c:pt>
                <c:pt idx="2168">
                  <c:v>0.76477658814617433</c:v>
                </c:pt>
                <c:pt idx="2169">
                  <c:v>0.76598163284023002</c:v>
                </c:pt>
                <c:pt idx="2170">
                  <c:v>0.76718779086941169</c:v>
                </c:pt>
                <c:pt idx="2171">
                  <c:v>0.76839506605082353</c:v>
                </c:pt>
                <c:pt idx="2172">
                  <c:v>0.76960346221870246</c:v>
                </c:pt>
                <c:pt idx="2173">
                  <c:v>0.77081298322452285</c:v>
                </c:pt>
                <c:pt idx="2174">
                  <c:v>0.77202363293711296</c:v>
                </c:pt>
                <c:pt idx="2175">
                  <c:v>0.77323541524276318</c:v>
                </c:pt>
                <c:pt idx="2176">
                  <c:v>0.77444833404533442</c:v>
                </c:pt>
                <c:pt idx="2177">
                  <c:v>0.77566239326637487</c:v>
                </c:pt>
                <c:pt idx="2178">
                  <c:v>0.7768775968452305</c:v>
                </c:pt>
                <c:pt idx="2179">
                  <c:v>0.77809394873916149</c:v>
                </c:pt>
                <c:pt idx="2180">
                  <c:v>0.7793114529234535</c:v>
                </c:pt>
                <c:pt idx="2181">
                  <c:v>0.78053011339153777</c:v>
                </c:pt>
                <c:pt idx="2182">
                  <c:v>0.78174993415510774</c:v>
                </c:pt>
                <c:pt idx="2183">
                  <c:v>0.78297091924423179</c:v>
                </c:pt>
                <c:pt idx="2184">
                  <c:v>0.78419307270748184</c:v>
                </c:pt>
                <c:pt idx="2185">
                  <c:v>0.7854163986120406</c:v>
                </c:pt>
                <c:pt idx="2186">
                  <c:v>0.78664090104383599</c:v>
                </c:pt>
                <c:pt idx="2187">
                  <c:v>0.78786658410764931</c:v>
                </c:pt>
                <c:pt idx="2188">
                  <c:v>0.78909345192724911</c:v>
                </c:pt>
                <c:pt idx="2189">
                  <c:v>0.79032150864550943</c:v>
                </c:pt>
                <c:pt idx="2190">
                  <c:v>0.79155075842453404</c:v>
                </c:pt>
                <c:pt idx="2191">
                  <c:v>0.79278120544578601</c:v>
                </c:pt>
                <c:pt idx="2192">
                  <c:v>0.79401285391020959</c:v>
                </c:pt>
                <c:pt idx="2193">
                  <c:v>0.79524570803836336</c:v>
                </c:pt>
                <c:pt idx="2194">
                  <c:v>0.79647977207054432</c:v>
                </c:pt>
                <c:pt idx="2195">
                  <c:v>0.7977150502669198</c:v>
                </c:pt>
                <c:pt idx="2196">
                  <c:v>0.79895154690765968</c:v>
                </c:pt>
                <c:pt idx="2197">
                  <c:v>0.80018926629306653</c:v>
                </c:pt>
                <c:pt idx="2198">
                  <c:v>0.80142821274370946</c:v>
                </c:pt>
                <c:pt idx="2199">
                  <c:v>0.80266839060055795</c:v>
                </c:pt>
                <c:pt idx="2200">
                  <c:v>0.80390980422511926</c:v>
                </c:pt>
                <c:pt idx="2201">
                  <c:v>0.8051524579995728</c:v>
                </c:pt>
                <c:pt idx="2202">
                  <c:v>0.80639635632690643</c:v>
                </c:pt>
                <c:pt idx="2203">
                  <c:v>0.80764150363105747</c:v>
                </c:pt>
                <c:pt idx="2204">
                  <c:v>0.80888790435705482</c:v>
                </c:pt>
                <c:pt idx="2205">
                  <c:v>0.81013556297115696</c:v>
                </c:pt>
                <c:pt idx="2206">
                  <c:v>0.81138448396098972</c:v>
                </c:pt>
                <c:pt idx="2207">
                  <c:v>0.81263467183570204</c:v>
                </c:pt>
                <c:pt idx="2208">
                  <c:v>0.81388613112609642</c:v>
                </c:pt>
                <c:pt idx="2209">
                  <c:v>0.81513886638478783</c:v>
                </c:pt>
                <c:pt idx="2210">
                  <c:v>0.81639288218633976</c:v>
                </c:pt>
                <c:pt idx="2211">
                  <c:v>0.81764818312742049</c:v>
                </c:pt>
                <c:pt idx="2212">
                  <c:v>0.81890477382694737</c:v>
                </c:pt>
                <c:pt idx="2213">
                  <c:v>0.82016265892624407</c:v>
                </c:pt>
                <c:pt idx="2214">
                  <c:v>0.82142184308918198</c:v>
                </c:pt>
                <c:pt idx="2215">
                  <c:v>0.82268233100234811</c:v>
                </c:pt>
                <c:pt idx="2216">
                  <c:v>0.82394412737518585</c:v>
                </c:pt>
                <c:pt idx="2217">
                  <c:v>0.8252072369401583</c:v>
                </c:pt>
                <c:pt idx="2218">
                  <c:v>0.82647166445290965</c:v>
                </c:pt>
                <c:pt idx="2219">
                  <c:v>0.82773741469241113</c:v>
                </c:pt>
                <c:pt idx="2220">
                  <c:v>0.82900449246113395</c:v>
                </c:pt>
                <c:pt idx="2221">
                  <c:v>0.83027290258520436</c:v>
                </c:pt>
                <c:pt idx="2222">
                  <c:v>0.83154264991456894</c:v>
                </c:pt>
                <c:pt idx="2223">
                  <c:v>0.8328137393231565</c:v>
                </c:pt>
                <c:pt idx="2224">
                  <c:v>0.8340861757090422</c:v>
                </c:pt>
                <c:pt idx="2225">
                  <c:v>0.8353599639946242</c:v>
                </c:pt>
                <c:pt idx="2226">
                  <c:v>0.8366351091267803</c:v>
                </c:pt>
                <c:pt idx="2227">
                  <c:v>0.83791161607704512</c:v>
                </c:pt>
                <c:pt idx="2228">
                  <c:v>0.83918948984177677</c:v>
                </c:pt>
                <c:pt idx="2229">
                  <c:v>0.84046873544233791</c:v>
                </c:pt>
                <c:pt idx="2230">
                  <c:v>0.8417493579252624</c:v>
                </c:pt>
                <c:pt idx="2231">
                  <c:v>0.84303136236243192</c:v>
                </c:pt>
                <c:pt idx="2232">
                  <c:v>0.84431475385125954</c:v>
                </c:pt>
                <c:pt idx="2233">
                  <c:v>0.8455995375148615</c:v>
                </c:pt>
                <c:pt idx="2234">
                  <c:v>0.84688571850224492</c:v>
                </c:pt>
                <c:pt idx="2235">
                  <c:v>0.84817330198848195</c:v>
                </c:pt>
                <c:pt idx="2236">
                  <c:v>0.84946229317490418</c:v>
                </c:pt>
                <c:pt idx="2237">
                  <c:v>0.85075269728927738</c:v>
                </c:pt>
                <c:pt idx="2238">
                  <c:v>0.85204451958599592</c:v>
                </c:pt>
                <c:pt idx="2239">
                  <c:v>0.85333776534626893</c:v>
                </c:pt>
                <c:pt idx="2240">
                  <c:v>0.8546324398783105</c:v>
                </c:pt>
                <c:pt idx="2241">
                  <c:v>0.85592854851753331</c:v>
                </c:pt>
                <c:pt idx="2242">
                  <c:v>0.85722609662674065</c:v>
                </c:pt>
                <c:pt idx="2243">
                  <c:v>0.85852508959632723</c:v>
                </c:pt>
                <c:pt idx="2244">
                  <c:v>0.85982553284446583</c:v>
                </c:pt>
                <c:pt idx="2245">
                  <c:v>0.86112743181731921</c:v>
                </c:pt>
                <c:pt idx="2246">
                  <c:v>0.86243079198923167</c:v>
                </c:pt>
                <c:pt idx="2247">
                  <c:v>0.8637356188629367</c:v>
                </c:pt>
                <c:pt idx="2248">
                  <c:v>0.86504191796976004</c:v>
                </c:pt>
                <c:pt idx="2249">
                  <c:v>0.86634969486982716</c:v>
                </c:pt>
                <c:pt idx="2250">
                  <c:v>0.86765895515226954</c:v>
                </c:pt>
                <c:pt idx="2251">
                  <c:v>0.86896970443543387</c:v>
                </c:pt>
                <c:pt idx="2252">
                  <c:v>0.8702819483671016</c:v>
                </c:pt>
                <c:pt idx="2253">
                  <c:v>0.87159569262469305</c:v>
                </c:pt>
                <c:pt idx="2254">
                  <c:v>0.87291094291549154</c:v>
                </c:pt>
                <c:pt idx="2255">
                  <c:v>0.87422770497685598</c:v>
                </c:pt>
                <c:pt idx="2256">
                  <c:v>0.87554598457644239</c:v>
                </c:pt>
                <c:pt idx="2257">
                  <c:v>0.8768657875124275</c:v>
                </c:pt>
                <c:pt idx="2258">
                  <c:v>0.8781871196137323</c:v>
                </c:pt>
                <c:pt idx="2259">
                  <c:v>0.87950998674024572</c:v>
                </c:pt>
                <c:pt idx="2260">
                  <c:v>0.8808343947830547</c:v>
                </c:pt>
                <c:pt idx="2261">
                  <c:v>0.88216034966467749</c:v>
                </c:pt>
                <c:pt idx="2262">
                  <c:v>0.88348785733928747</c:v>
                </c:pt>
                <c:pt idx="2263">
                  <c:v>0.8848169237929584</c:v>
                </c:pt>
                <c:pt idx="2264">
                  <c:v>0.88614755504389486</c:v>
                </c:pt>
                <c:pt idx="2265">
                  <c:v>0.88747975714266836</c:v>
                </c:pt>
                <c:pt idx="2266">
                  <c:v>0.88881353617246839</c:v>
                </c:pt>
                <c:pt idx="2267">
                  <c:v>0.89014889824933874</c:v>
                </c:pt>
                <c:pt idx="2268">
                  <c:v>0.89148584952241927</c:v>
                </c:pt>
                <c:pt idx="2269">
                  <c:v>0.89282439617420584</c:v>
                </c:pt>
                <c:pt idx="2270">
                  <c:v>0.89416454442079096</c:v>
                </c:pt>
                <c:pt idx="2271">
                  <c:v>0.89550630051212277</c:v>
                </c:pt>
                <c:pt idx="2272">
                  <c:v>0.89684967073224997</c:v>
                </c:pt>
                <c:pt idx="2273">
                  <c:v>0.89819466139959669</c:v>
                </c:pt>
                <c:pt idx="2274">
                  <c:v>0.89954127886720314</c:v>
                </c:pt>
                <c:pt idx="2275">
                  <c:v>0.90088952952300361</c:v>
                </c:pt>
                <c:pt idx="2276">
                  <c:v>0.90223941979007871</c:v>
                </c:pt>
                <c:pt idx="2277">
                  <c:v>0.90359095612693663</c:v>
                </c:pt>
                <c:pt idx="2278">
                  <c:v>0.90494414502777054</c:v>
                </c:pt>
                <c:pt idx="2279">
                  <c:v>0.90629899302273975</c:v>
                </c:pt>
                <c:pt idx="2280">
                  <c:v>0.90765550667823802</c:v>
                </c:pt>
                <c:pt idx="2281">
                  <c:v>0.90901369259717724</c:v>
                </c:pt>
                <c:pt idx="2282">
                  <c:v>0.9103735574192654</c:v>
                </c:pt>
                <c:pt idx="2283">
                  <c:v>0.91173510782129141</c:v>
                </c:pt>
                <c:pt idx="2284">
                  <c:v>0.91309835051740795</c:v>
                </c:pt>
                <c:pt idx="2285">
                  <c:v>0.91446329225942358</c:v>
                </c:pt>
                <c:pt idx="2286">
                  <c:v>0.91582993983709171</c:v>
                </c:pt>
                <c:pt idx="2287">
                  <c:v>0.91719830007840952</c:v>
                </c:pt>
                <c:pt idx="2288">
                  <c:v>0.91856837984990947</c:v>
                </c:pt>
                <c:pt idx="2289">
                  <c:v>0.91994018605695815</c:v>
                </c:pt>
                <c:pt idx="2290">
                  <c:v>0.92131372564407421</c:v>
                </c:pt>
                <c:pt idx="2291">
                  <c:v>0.92268900559521316</c:v>
                </c:pt>
                <c:pt idx="2292">
                  <c:v>0.9240660329340914</c:v>
                </c:pt>
                <c:pt idx="2293">
                  <c:v>0.92544481472449469</c:v>
                </c:pt>
                <c:pt idx="2294">
                  <c:v>0.9268253580705913</c:v>
                </c:pt>
                <c:pt idx="2295">
                  <c:v>0.92820767011724803</c:v>
                </c:pt>
                <c:pt idx="2296">
                  <c:v>0.92959175805036609</c:v>
                </c:pt>
                <c:pt idx="2297">
                  <c:v>0.93097762909718262</c:v>
                </c:pt>
                <c:pt idx="2298">
                  <c:v>0.93236529052661909</c:v>
                </c:pt>
                <c:pt idx="2299">
                  <c:v>0.93375474964959926</c:v>
                </c:pt>
                <c:pt idx="2300">
                  <c:v>0.9351460138193971</c:v>
                </c:pt>
                <c:pt idx="2301">
                  <c:v>0.93653909043195749</c:v>
                </c:pt>
                <c:pt idx="2302">
                  <c:v>0.93793398692625107</c:v>
                </c:pt>
                <c:pt idx="2303">
                  <c:v>0.93933071078461339</c:v>
                </c:pt>
                <c:pt idx="2304">
                  <c:v>0.94072926953309444</c:v>
                </c:pt>
                <c:pt idx="2305">
                  <c:v>0.9421296707418092</c:v>
                </c:pt>
                <c:pt idx="2306">
                  <c:v>0.94353192202529634</c:v>
                </c:pt>
                <c:pt idx="2307">
                  <c:v>0.94493603104286916</c:v>
                </c:pt>
                <c:pt idx="2308">
                  <c:v>0.9463420054989905</c:v>
                </c:pt>
                <c:pt idx="2309">
                  <c:v>0.9477498531436207</c:v>
                </c:pt>
                <c:pt idx="2310">
                  <c:v>0.94915958177260995</c:v>
                </c:pt>
                <c:pt idx="2311">
                  <c:v>0.95057119922805444</c:v>
                </c:pt>
                <c:pt idx="2312">
                  <c:v>0.95198471339867963</c:v>
                </c:pt>
                <c:pt idx="2313">
                  <c:v>0.95340013222022513</c:v>
                </c:pt>
                <c:pt idx="2314">
                  <c:v>0.95481746367582188</c:v>
                </c:pt>
                <c:pt idx="2315">
                  <c:v>0.95623671579638736</c:v>
                </c:pt>
                <c:pt idx="2316">
                  <c:v>0.95765789666102985</c:v>
                </c:pt>
                <c:pt idx="2317">
                  <c:v>0.959081014397411</c:v>
                </c:pt>
                <c:pt idx="2318">
                  <c:v>0.96050607718219194</c:v>
                </c:pt>
                <c:pt idx="2319">
                  <c:v>0.9619330932413992</c:v>
                </c:pt>
                <c:pt idx="2320">
                  <c:v>0.96336207085086911</c:v>
                </c:pt>
                <c:pt idx="2321">
                  <c:v>0.96479301833663123</c:v>
                </c:pt>
                <c:pt idx="2322">
                  <c:v>0.9662259440753489</c:v>
                </c:pt>
                <c:pt idx="2323">
                  <c:v>0.96766085649473688</c:v>
                </c:pt>
                <c:pt idx="2324">
                  <c:v>0.96909776407397552</c:v>
                </c:pt>
                <c:pt idx="2325">
                  <c:v>0.97053667534415833</c:v>
                </c:pt>
                <c:pt idx="2326">
                  <c:v>0.97197759888873336</c:v>
                </c:pt>
                <c:pt idx="2327">
                  <c:v>0.97342054334391392</c:v>
                </c:pt>
                <c:pt idx="2328">
                  <c:v>0.97486551739916283</c:v>
                </c:pt>
                <c:pt idx="2329">
                  <c:v>0.97631252979761474</c:v>
                </c:pt>
                <c:pt idx="2330">
                  <c:v>0.977761589336542</c:v>
                </c:pt>
                <c:pt idx="2331">
                  <c:v>0.97921270486781897</c:v>
                </c:pt>
                <c:pt idx="2332">
                  <c:v>0.98066588529837528</c:v>
                </c:pt>
                <c:pt idx="2333">
                  <c:v>0.98212113959067471</c:v>
                </c:pt>
                <c:pt idx="2334">
                  <c:v>0.98357847676319332</c:v>
                </c:pt>
                <c:pt idx="2335">
                  <c:v>0.9850379058908848</c:v>
                </c:pt>
                <c:pt idx="2336">
                  <c:v>0.98649943610568314</c:v>
                </c:pt>
                <c:pt idx="2337">
                  <c:v>0.98796307659698357</c:v>
                </c:pt>
                <c:pt idx="2338">
                  <c:v>0.98942883661213332</c:v>
                </c:pt>
                <c:pt idx="2339">
                  <c:v>0.99089672545695362</c:v>
                </c:pt>
                <c:pt idx="2340">
                  <c:v>0.99236675249622075</c:v>
                </c:pt>
                <c:pt idx="2341">
                  <c:v>0.99383892715419286</c:v>
                </c:pt>
                <c:pt idx="2342">
                  <c:v>0.99531325891512723</c:v>
                </c:pt>
                <c:pt idx="2343">
                  <c:v>0.99678975732380992</c:v>
                </c:pt>
                <c:pt idx="2344">
                  <c:v>0.99826843198605819</c:v>
                </c:pt>
                <c:pt idx="2345">
                  <c:v>0.99974929256929168</c:v>
                </c:pt>
                <c:pt idx="2346">
                  <c:v>1.0012323488030457</c:v>
                </c:pt>
                <c:pt idx="2347">
                  <c:v>1.0027176104795374</c:v>
                </c:pt>
                <c:pt idx="2348">
                  <c:v>1.0042050874542043</c:v>
                </c:pt>
                <c:pt idx="2349">
                  <c:v>1.0056947896462709</c:v>
                </c:pt>
                <c:pt idx="2350">
                  <c:v>1.0071867270393178</c:v>
                </c:pt>
                <c:pt idx="2351">
                  <c:v>1.0086809096818377</c:v>
                </c:pt>
                <c:pt idx="2352">
                  <c:v>1.010177347687834</c:v>
                </c:pt>
                <c:pt idx="2353">
                  <c:v>1.0116760512373966</c:v>
                </c:pt>
                <c:pt idx="2354">
                  <c:v>1.013177030577286</c:v>
                </c:pt>
                <c:pt idx="2355">
                  <c:v>1.0146802960215424</c:v>
                </c:pt>
                <c:pt idx="2356">
                  <c:v>1.0161858579520826</c:v>
                </c:pt>
                <c:pt idx="2357">
                  <c:v>1.0176937268193196</c:v>
                </c:pt>
                <c:pt idx="2358">
                  <c:v>1.0192039131427704</c:v>
                </c:pt>
                <c:pt idx="2359">
                  <c:v>1.0207164275116911</c:v>
                </c:pt>
                <c:pt idx="2360">
                  <c:v>1.0222312805857012</c:v>
                </c:pt>
                <c:pt idx="2361">
                  <c:v>1.0237484830954369</c:v>
                </c:pt>
                <c:pt idx="2362">
                  <c:v>1.0252680458431775</c:v>
                </c:pt>
                <c:pt idx="2363">
                  <c:v>1.0267899797035263</c:v>
                </c:pt>
                <c:pt idx="2364">
                  <c:v>1.0283142956240383</c:v>
                </c:pt>
                <c:pt idx="2365">
                  <c:v>1.029841004625929</c:v>
                </c:pt>
                <c:pt idx="2366">
                  <c:v>1.0313701178047245</c:v>
                </c:pt>
                <c:pt idx="2367">
                  <c:v>1.0329016463309537</c:v>
                </c:pt>
                <c:pt idx="2368">
                  <c:v>1.0344356014508451</c:v>
                </c:pt>
                <c:pt idx="2369">
                  <c:v>1.0359719944870254</c:v>
                </c:pt>
                <c:pt idx="2370">
                  <c:v>1.0375108368392376</c:v>
                </c:pt>
                <c:pt idx="2371">
                  <c:v>1.0390521399850348</c:v>
                </c:pt>
                <c:pt idx="2372">
                  <c:v>1.0405959154805442</c:v>
                </c:pt>
                <c:pt idx="2373">
                  <c:v>1.0421421749611568</c:v>
                </c:pt>
                <c:pt idx="2374">
                  <c:v>1.0436909301423187</c:v>
                </c:pt>
                <c:pt idx="2375">
                  <c:v>1.0452421928202371</c:v>
                </c:pt>
                <c:pt idx="2376">
                  <c:v>1.0467959748726854</c:v>
                </c:pt>
                <c:pt idx="2377">
                  <c:v>1.0483522882597411</c:v>
                </c:pt>
                <c:pt idx="2378">
                  <c:v>1.0499111450245728</c:v>
                </c:pt>
                <c:pt idx="2379">
                  <c:v>1.0514725572942398</c:v>
                </c:pt>
                <c:pt idx="2380">
                  <c:v>1.0530365372804853</c:v>
                </c:pt>
                <c:pt idx="2381">
                  <c:v>1.0546030972805267</c:v>
                </c:pt>
                <c:pt idx="2382">
                  <c:v>1.0561722496779029</c:v>
                </c:pt>
                <c:pt idx="2383">
                  <c:v>1.0577440069432806</c:v>
                </c:pt>
                <c:pt idx="2384">
                  <c:v>1.0593183816353009</c:v>
                </c:pt>
                <c:pt idx="2385">
                  <c:v>1.0608953864014214</c:v>
                </c:pt>
                <c:pt idx="2386">
                  <c:v>1.0624750339787767</c:v>
                </c:pt>
                <c:pt idx="2387">
                  <c:v>1.0640573371950459</c:v>
                </c:pt>
                <c:pt idx="2388">
                  <c:v>1.0656423089693323</c:v>
                </c:pt>
                <c:pt idx="2389">
                  <c:v>1.0672299623130508</c:v>
                </c:pt>
                <c:pt idx="2390">
                  <c:v>1.068820310330832</c:v>
                </c:pt>
                <c:pt idx="2391">
                  <c:v>1.0704133662214286</c:v>
                </c:pt>
                <c:pt idx="2392">
                  <c:v>1.0720091432786434</c:v>
                </c:pt>
                <c:pt idx="2393">
                  <c:v>1.0736076548922593</c:v>
                </c:pt>
                <c:pt idx="2394">
                  <c:v>1.0752089145489883</c:v>
                </c:pt>
                <c:pt idx="2395">
                  <c:v>1.076812935833424</c:v>
                </c:pt>
                <c:pt idx="2396">
                  <c:v>1.0784197324290197</c:v>
                </c:pt>
                <c:pt idx="2397">
                  <c:v>1.0800293181190592</c:v>
                </c:pt>
                <c:pt idx="2398">
                  <c:v>1.0816417067876598</c:v>
                </c:pt>
                <c:pt idx="2399">
                  <c:v>1.0832569124207716</c:v>
                </c:pt>
                <c:pt idx="2400">
                  <c:v>1.0848749491072016</c:v>
                </c:pt>
                <c:pt idx="2401">
                  <c:v>1.0864958310396431</c:v>
                </c:pt>
                <c:pt idx="2402">
                  <c:v>1.0881195725157191</c:v>
                </c:pt>
                <c:pt idx="2403">
                  <c:v>1.0897461879390424</c:v>
                </c:pt>
                <c:pt idx="2404">
                  <c:v>1.091375691820289</c:v>
                </c:pt>
                <c:pt idx="2405">
                  <c:v>1.0930080987782778</c:v>
                </c:pt>
                <c:pt idx="2406">
                  <c:v>1.0946434235410734</c:v>
                </c:pt>
                <c:pt idx="2407">
                  <c:v>1.0962816809470999</c:v>
                </c:pt>
                <c:pt idx="2408">
                  <c:v>1.0979228859462657</c:v>
                </c:pt>
                <c:pt idx="2409">
                  <c:v>1.0995670536011071</c:v>
                </c:pt>
                <c:pt idx="2410">
                  <c:v>1.1012141990879452</c:v>
                </c:pt>
                <c:pt idx="2411">
                  <c:v>1.1028643376980545</c:v>
                </c:pt>
                <c:pt idx="2412">
                  <c:v>1.104517484838855</c:v>
                </c:pt>
                <c:pt idx="2413">
                  <c:v>1.1061736560351103</c:v>
                </c:pt>
                <c:pt idx="2414">
                  <c:v>1.1078328669301474</c:v>
                </c:pt>
                <c:pt idx="2415">
                  <c:v>1.1094951332870897</c:v>
                </c:pt>
                <c:pt idx="2416">
                  <c:v>1.1111604709901091</c:v>
                </c:pt>
                <c:pt idx="2417">
                  <c:v>1.1128288960456905</c:v>
                </c:pt>
                <c:pt idx="2418">
                  <c:v>1.1145004245839158</c:v>
                </c:pt>
                <c:pt idx="2419">
                  <c:v>1.1161750728597637</c:v>
                </c:pt>
                <c:pt idx="2420">
                  <c:v>1.1178528572544302</c:v>
                </c:pt>
                <c:pt idx="2421">
                  <c:v>1.119533794276659</c:v>
                </c:pt>
                <c:pt idx="2422">
                  <c:v>1.1212179005640976</c:v>
                </c:pt>
                <c:pt idx="2423">
                  <c:v>1.1229051928846678</c:v>
                </c:pt>
                <c:pt idx="2424">
                  <c:v>1.1245956881379549</c:v>
                </c:pt>
                <c:pt idx="2425">
                  <c:v>1.1262894033566151</c:v>
                </c:pt>
                <c:pt idx="2426">
                  <c:v>1.1279863557078045</c:v>
                </c:pt>
                <c:pt idx="2427">
                  <c:v>1.1296865624946224</c:v>
                </c:pt>
                <c:pt idx="2428">
                  <c:v>1.131390041157581</c:v>
                </c:pt>
                <c:pt idx="2429">
                  <c:v>1.1330968092760887</c:v>
                </c:pt>
                <c:pt idx="2430">
                  <c:v>1.1348068845699553</c:v>
                </c:pt>
                <c:pt idx="2431">
                  <c:v>1.1365202849009246</c:v>
                </c:pt>
                <c:pt idx="2432">
                  <c:v>1.1382370282742142</c:v>
                </c:pt>
                <c:pt idx="2433">
                  <c:v>1.1399571328400904</c:v>
                </c:pt>
                <c:pt idx="2434">
                  <c:v>1.1416806168954581</c:v>
                </c:pt>
                <c:pt idx="2435">
                  <c:v>1.1434074988854701</c:v>
                </c:pt>
                <c:pt idx="2436">
                  <c:v>1.145137797405166</c:v>
                </c:pt>
                <c:pt idx="2437">
                  <c:v>1.1468715312011282</c:v>
                </c:pt>
                <c:pt idx="2438">
                  <c:v>1.1486087191731642</c:v>
                </c:pt>
                <c:pt idx="2439">
                  <c:v>1.1503493803760083</c:v>
                </c:pt>
                <c:pt idx="2440">
                  <c:v>1.1520935340210532</c:v>
                </c:pt>
                <c:pt idx="2441">
                  <c:v>1.1538411994781022</c:v>
                </c:pt>
                <c:pt idx="2442">
                  <c:v>1.1555923962771435</c:v>
                </c:pt>
                <c:pt idx="2443">
                  <c:v>1.1573471441101575</c:v>
                </c:pt>
                <c:pt idx="2444">
                  <c:v>1.1591054628329418</c:v>
                </c:pt>
                <c:pt idx="2445">
                  <c:v>1.1608673724669667</c:v>
                </c:pt>
                <c:pt idx="2446">
                  <c:v>1.162632893201256</c:v>
                </c:pt>
                <c:pt idx="2447">
                  <c:v>1.1644020453942938</c:v>
                </c:pt>
                <c:pt idx="2448">
                  <c:v>1.1661748495759605</c:v>
                </c:pt>
                <c:pt idx="2449">
                  <c:v>1.1679513264494963</c:v>
                </c:pt>
                <c:pt idx="2450">
                  <c:v>1.1697314968934915</c:v>
                </c:pt>
                <c:pt idx="2451">
                  <c:v>1.1715153819639057</c:v>
                </c:pt>
                <c:pt idx="2452">
                  <c:v>1.1733030028961198</c:v>
                </c:pt>
                <c:pt idx="2453">
                  <c:v>1.1750943811070156</c:v>
                </c:pt>
                <c:pt idx="2454">
                  <c:v>1.1768895381970819</c:v>
                </c:pt>
                <c:pt idx="2455">
                  <c:v>1.178688495952559</c:v>
                </c:pt>
                <c:pt idx="2456">
                  <c:v>1.1804912763476112</c:v>
                </c:pt>
                <c:pt idx="2457">
                  <c:v>1.1822979015465271</c:v>
                </c:pt>
                <c:pt idx="2458">
                  <c:v>1.1841083939059627</c:v>
                </c:pt>
                <c:pt idx="2459">
                  <c:v>1.185922775977204</c:v>
                </c:pt>
                <c:pt idx="2460">
                  <c:v>1.1877410705084814</c:v>
                </c:pt>
                <c:pt idx="2461">
                  <c:v>1.1895633004472983</c:v>
                </c:pt>
                <c:pt idx="2462">
                  <c:v>1.1913894889428078</c:v>
                </c:pt>
                <c:pt idx="2463">
                  <c:v>1.193219659348224</c:v>
                </c:pt>
                <c:pt idx="2464">
                  <c:v>1.1950538352232658</c:v>
                </c:pt>
                <c:pt idx="2465">
                  <c:v>1.1968920403366414</c:v>
                </c:pt>
                <c:pt idx="2466">
                  <c:v>1.1987342986685641</c:v>
                </c:pt>
                <c:pt idx="2467">
                  <c:v>1.2005806344133143</c:v>
                </c:pt>
                <c:pt idx="2468">
                  <c:v>1.2024310719818381</c:v>
                </c:pt>
                <c:pt idx="2469">
                  <c:v>1.2042856360043792</c:v>
                </c:pt>
                <c:pt idx="2470">
                  <c:v>1.2061443513331642</c:v>
                </c:pt>
                <c:pt idx="2471">
                  <c:v>1.2080072430451152</c:v>
                </c:pt>
                <c:pt idx="2472">
                  <c:v>1.2098743364446169</c:v>
                </c:pt>
                <c:pt idx="2473">
                  <c:v>1.2117456570663125</c:v>
                </c:pt>
                <c:pt idx="2474">
                  <c:v>1.2136212306779619</c:v>
                </c:pt>
                <c:pt idx="2475">
                  <c:v>1.2155010832833246</c:v>
                </c:pt>
                <c:pt idx="2476">
                  <c:v>1.2173852411251018</c:v>
                </c:pt>
                <c:pt idx="2477">
                  <c:v>1.2192737306879198</c:v>
                </c:pt>
                <c:pt idx="2478">
                  <c:v>1.2211665787013584</c:v>
                </c:pt>
                <c:pt idx="2479">
                  <c:v>1.2230638121430313</c:v>
                </c:pt>
                <c:pt idx="2480">
                  <c:v>1.2249654582417131</c:v>
                </c:pt>
                <c:pt idx="2481">
                  <c:v>1.2268715444805147</c:v>
                </c:pt>
                <c:pt idx="2482">
                  <c:v>1.2287820986001159</c:v>
                </c:pt>
                <c:pt idx="2483">
                  <c:v>1.2306971486020377</c:v>
                </c:pt>
                <c:pt idx="2484">
                  <c:v>1.2326167227519795</c:v>
                </c:pt>
                <c:pt idx="2485">
                  <c:v>1.2345408495832078</c:v>
                </c:pt>
                <c:pt idx="2486">
                  <c:v>1.2364695578999878</c:v>
                </c:pt>
                <c:pt idx="2487">
                  <c:v>1.2384028767810888</c:v>
                </c:pt>
                <c:pt idx="2488">
                  <c:v>1.2403408355833341</c:v>
                </c:pt>
                <c:pt idx="2489">
                  <c:v>1.2422834639452109</c:v>
                </c:pt>
                <c:pt idx="2490">
                  <c:v>1.2442307917905493</c:v>
                </c:pt>
                <c:pt idx="2491">
                  <c:v>1.2461828493322418</c:v>
                </c:pt>
                <c:pt idx="2492">
                  <c:v>1.2481396670760452</c:v>
                </c:pt>
                <c:pt idx="2493">
                  <c:v>1.2501012758244301</c:v>
                </c:pt>
                <c:pt idx="2494">
                  <c:v>1.2520677066805106</c:v>
                </c:pt>
                <c:pt idx="2495">
                  <c:v>1.2540389910520175</c:v>
                </c:pt>
                <c:pt idx="2496">
                  <c:v>1.2560151606553542</c:v>
                </c:pt>
                <c:pt idx="2497">
                  <c:v>1.2579962475197233</c:v>
                </c:pt>
                <c:pt idx="2498">
                  <c:v>1.2599822839913117</c:v>
                </c:pt>
                <c:pt idx="2499">
                  <c:v>1.2619733027375399</c:v>
                </c:pt>
                <c:pt idx="2500">
                  <c:v>1.2639693367514198</c:v>
                </c:pt>
                <c:pt idx="2501">
                  <c:v>1.2659704193559325</c:v>
                </c:pt>
                <c:pt idx="2502">
                  <c:v>1.2679765842085293</c:v>
                </c:pt>
                <c:pt idx="2503">
                  <c:v>1.2699878653056846</c:v>
                </c:pt>
                <c:pt idx="2504">
                  <c:v>1.2720042969875314</c:v>
                </c:pt>
                <c:pt idx="2505">
                  <c:v>1.2740259139425794</c:v>
                </c:pt>
                <c:pt idx="2506">
                  <c:v>1.2760527512125144</c:v>
                </c:pt>
                <c:pt idx="2507">
                  <c:v>1.2780848441970789</c:v>
                </c:pt>
                <c:pt idx="2508">
                  <c:v>1.2801222286590417</c:v>
                </c:pt>
                <c:pt idx="2509">
                  <c:v>1.2821649407292492</c:v>
                </c:pt>
                <c:pt idx="2510">
                  <c:v>1.2842130169117758</c:v>
                </c:pt>
                <c:pt idx="2511">
                  <c:v>1.2862664940891466</c:v>
                </c:pt>
                <c:pt idx="2512">
                  <c:v>1.2883254095276753</c:v>
                </c:pt>
                <c:pt idx="2513">
                  <c:v>1.2903898008828814</c:v>
                </c:pt>
                <c:pt idx="2514">
                  <c:v>1.2924597062050058</c:v>
                </c:pt>
                <c:pt idx="2515">
                  <c:v>1.2945351639446314</c:v>
                </c:pt>
                <c:pt idx="2516">
                  <c:v>1.2966162129584005</c:v>
                </c:pt>
                <c:pt idx="2517">
                  <c:v>1.2987028925148338</c:v>
                </c:pt>
                <c:pt idx="2518">
                  <c:v>1.3007952423002616</c:v>
                </c:pt>
                <c:pt idx="2519">
                  <c:v>1.3028933024248524</c:v>
                </c:pt>
                <c:pt idx="2520">
                  <c:v>1.3049971134287632</c:v>
                </c:pt>
                <c:pt idx="2521">
                  <c:v>1.3071067162883874</c:v>
                </c:pt>
                <c:pt idx="2522">
                  <c:v>1.3092221524227365</c:v>
                </c:pt>
                <c:pt idx="2523">
                  <c:v>1.3113434636999233</c:v>
                </c:pt>
                <c:pt idx="2524">
                  <c:v>1.3134706924437776</c:v>
                </c:pt>
                <c:pt idx="2525">
                  <c:v>1.3156038814405662</c:v>
                </c:pt>
                <c:pt idx="2526">
                  <c:v>1.3177430739458669</c:v>
                </c:pt>
                <c:pt idx="2527">
                  <c:v>1.3198883136915445</c:v>
                </c:pt>
                <c:pt idx="2528">
                  <c:v>1.3220396448928664</c:v>
                </c:pt>
                <c:pt idx="2529">
                  <c:v>1.3241971122557661</c:v>
                </c:pt>
                <c:pt idx="2530">
                  <c:v>1.3263607609842238</c:v>
                </c:pt>
                <c:pt idx="2531">
                  <c:v>1.3285306367878009</c:v>
                </c:pt>
                <c:pt idx="2532">
                  <c:v>1.3307067858893096</c:v>
                </c:pt>
                <c:pt idx="2533">
                  <c:v>1.3328892550326357</c:v>
                </c:pt>
                <c:pt idx="2534">
                  <c:v>1.3350780914907188</c:v>
                </c:pt>
                <c:pt idx="2535">
                  <c:v>1.3372733430736621</c:v>
                </c:pt>
                <c:pt idx="2536">
                  <c:v>1.3394750581370303</c:v>
                </c:pt>
                <c:pt idx="2537">
                  <c:v>1.3416832855902887</c:v>
                </c:pt>
                <c:pt idx="2538">
                  <c:v>1.3438980749054099</c:v>
                </c:pt>
                <c:pt idx="2539">
                  <c:v>1.3461194761256574</c:v>
                </c:pt>
                <c:pt idx="2540">
                  <c:v>1.3483475398745393</c:v>
                </c:pt>
                <c:pt idx="2541">
                  <c:v>1.3505823173649314</c:v>
                </c:pt>
                <c:pt idx="2542">
                  <c:v>1.3528238604083949</c:v>
                </c:pt>
                <c:pt idx="2543">
                  <c:v>1.3550722214246682</c:v>
                </c:pt>
                <c:pt idx="2544">
                  <c:v>1.3573274534513584</c:v>
                </c:pt>
                <c:pt idx="2545">
                  <c:v>1.3595896101538165</c:v>
                </c:pt>
                <c:pt idx="2546">
                  <c:v>1.3618587458352285</c:v>
                </c:pt>
                <c:pt idx="2547">
                  <c:v>1.364134915446892</c:v>
                </c:pt>
                <c:pt idx="2548">
                  <c:v>1.3664181745987194</c:v>
                </c:pt>
                <c:pt idx="2549">
                  <c:v>1.3687085795699447</c:v>
                </c:pt>
                <c:pt idx="2550">
                  <c:v>1.3710061873200583</c:v>
                </c:pt>
                <c:pt idx="2551">
                  <c:v>1.3733110554999568</c:v>
                </c:pt>
                <c:pt idx="2552">
                  <c:v>1.3756232424633337</c:v>
                </c:pt>
                <c:pt idx="2553">
                  <c:v>1.3779428072783071</c:v>
                </c:pt>
                <c:pt idx="2554">
                  <c:v>1.3802698097392849</c:v>
                </c:pt>
                <c:pt idx="2555">
                  <c:v>1.3826043103790735</c:v>
                </c:pt>
                <c:pt idx="2556">
                  <c:v>1.3849463704812679</c:v>
                </c:pt>
                <c:pt idx="2557">
                  <c:v>1.3872960520928679</c:v>
                </c:pt>
                <c:pt idx="2558">
                  <c:v>1.3896534180371902</c:v>
                </c:pt>
                <c:pt idx="2559">
                  <c:v>1.3920185319270373</c:v>
                </c:pt>
                <c:pt idx="2560">
                  <c:v>1.3943914581781796</c:v>
                </c:pt>
                <c:pt idx="2561">
                  <c:v>1.3967722620230776</c:v>
                </c:pt>
                <c:pt idx="2562">
                  <c:v>1.399161009524948</c:v>
                </c:pt>
                <c:pt idx="2563">
                  <c:v>1.4015577675921238</c:v>
                </c:pt>
                <c:pt idx="2564">
                  <c:v>1.4039626039926962</c:v>
                </c:pt>
                <c:pt idx="2565">
                  <c:v>1.4063755873695374</c:v>
                </c:pt>
                <c:pt idx="2566">
                  <c:v>1.4087967872555893</c:v>
                </c:pt>
                <c:pt idx="2567">
                  <c:v>1.4112262740895367</c:v>
                </c:pt>
                <c:pt idx="2568">
                  <c:v>1.413664119231822</c:v>
                </c:pt>
                <c:pt idx="2569">
                  <c:v>1.4161103949809903</c:v>
                </c:pt>
                <c:pt idx="2570">
                  <c:v>1.4185651745904313</c:v>
                </c:pt>
                <c:pt idx="2571">
                  <c:v>1.4210285322854883</c:v>
                </c:pt>
                <c:pt idx="2572">
                  <c:v>1.4235005432809607</c:v>
                </c:pt>
                <c:pt idx="2573">
                  <c:v>1.4259812837989785</c:v>
                </c:pt>
                <c:pt idx="2574">
                  <c:v>1.428470831087322</c:v>
                </c:pt>
                <c:pt idx="2575">
                  <c:v>1.4309692634381443</c:v>
                </c:pt>
                <c:pt idx="2576">
                  <c:v>1.4334766602071207</c:v>
                </c:pt>
                <c:pt idx="2577">
                  <c:v>1.4359931018330541</c:v>
                </c:pt>
                <c:pt idx="2578">
                  <c:v>1.4385186698579233</c:v>
                </c:pt>
                <c:pt idx="2579">
                  <c:v>1.4410534469474241</c:v>
                </c:pt>
                <c:pt idx="2580">
                  <c:v>1.4435975169119624</c:v>
                </c:pt>
                <c:pt idx="2581">
                  <c:v>1.4461509647281685</c:v>
                </c:pt>
                <c:pt idx="2582">
                  <c:v>1.4487138765609109</c:v>
                </c:pt>
                <c:pt idx="2583">
                  <c:v>1.4512863397858391</c:v>
                </c:pt>
                <c:pt idx="2584">
                  <c:v>1.4538684430124638</c:v>
                </c:pt>
                <c:pt idx="2585">
                  <c:v>1.4564602761077976</c:v>
                </c:pt>
                <c:pt idx="2586">
                  <c:v>1.4590619302205661</c:v>
                </c:pt>
                <c:pt idx="2587">
                  <c:v>1.4616734978060082</c:v>
                </c:pt>
                <c:pt idx="2588">
                  <c:v>1.4642950726512829</c:v>
                </c:pt>
                <c:pt idx="2589">
                  <c:v>1.4669267499015035</c:v>
                </c:pt>
                <c:pt idx="2590">
                  <c:v>1.4695686260864118</c:v>
                </c:pt>
                <c:pt idx="2591">
                  <c:v>1.4722207991477154</c:v>
                </c:pt>
                <c:pt idx="2592">
                  <c:v>1.4748833684671112</c:v>
                </c:pt>
                <c:pt idx="2593">
                  <c:v>1.4775564348950074</c:v>
                </c:pt>
                <c:pt idx="2594">
                  <c:v>1.4802401007799733</c:v>
                </c:pt>
                <c:pt idx="2595">
                  <c:v>1.482934469998934</c:v>
                </c:pt>
                <c:pt idx="2596">
                  <c:v>1.4856396479881326</c:v>
                </c:pt>
                <c:pt idx="2597">
                  <c:v>1.4883557417748952</c:v>
                </c:pt>
                <c:pt idx="2598">
                  <c:v>1.4910828600102004</c:v>
                </c:pt>
                <c:pt idx="2599">
                  <c:v>1.4938211130021022</c:v>
                </c:pt>
                <c:pt idx="2600">
                  <c:v>1.4965706127500205</c:v>
                </c:pt>
                <c:pt idx="2601">
                  <c:v>1.4993314729799281</c:v>
                </c:pt>
                <c:pt idx="2602">
                  <c:v>1.5021038091804613</c:v>
                </c:pt>
                <c:pt idx="2603">
                  <c:v>1.5048877386399939</c:v>
                </c:pt>
                <c:pt idx="2604">
                  <c:v>1.5076833804846861</c:v>
                </c:pt>
                <c:pt idx="2605">
                  <c:v>1.5104908557175603</c:v>
                </c:pt>
                <c:pt idx="2606">
                  <c:v>1.5133102872586259</c:v>
                </c:pt>
                <c:pt idx="2607">
                  <c:v>1.5161417999860829</c:v>
                </c:pt>
                <c:pt idx="2608">
                  <c:v>1.5189855207786545</c:v>
                </c:pt>
                <c:pt idx="2609">
                  <c:v>1.5218415785590738</c:v>
                </c:pt>
                <c:pt idx="2610">
                  <c:v>1.5247101043387628</c:v>
                </c:pt>
                <c:pt idx="2611">
                  <c:v>1.5275912312637558</c:v>
                </c:pt>
                <c:pt idx="2612">
                  <c:v>1.5304850946618891</c:v>
                </c:pt>
                <c:pt idx="2613">
                  <c:v>1.5333918320913198</c:v>
                </c:pt>
                <c:pt idx="2614">
                  <c:v>1.5363115833904037</c:v>
                </c:pt>
                <c:pt idx="2615">
                  <c:v>1.5392444907289911</c:v>
                </c:pt>
                <c:pt idx="2616">
                  <c:v>1.542190698661174</c:v>
                </c:pt>
                <c:pt idx="2617">
                  <c:v>1.545150354179549</c:v>
                </c:pt>
                <c:pt idx="2618">
                  <c:v>1.5481236067710449</c:v>
                </c:pt>
                <c:pt idx="2619">
                  <c:v>1.5511106084743602</c:v>
                </c:pt>
                <c:pt idx="2620">
                  <c:v>1.5541115139390813</c:v>
                </c:pt>
                <c:pt idx="2621">
                  <c:v>1.5571264804865295</c:v>
                </c:pt>
                <c:pt idx="2622">
                  <c:v>1.560155668172406</c:v>
                </c:pt>
                <c:pt idx="2623">
                  <c:v>1.5631992398512935</c:v>
                </c:pt>
                <c:pt idx="2624">
                  <c:v>1.5662573612430826</c:v>
                </c:pt>
                <c:pt idx="2625">
                  <c:v>1.5693302010013974</c:v>
                </c:pt>
                <c:pt idx="2626">
                  <c:v>1.5724179307840838</c:v>
                </c:pt>
                <c:pt idx="2627">
                  <c:v>1.5755207253258503</c:v>
                </c:pt>
                <c:pt idx="2628">
                  <c:v>1.5786387625131177</c:v>
                </c:pt>
                <c:pt idx="2629">
                  <c:v>1.5817722234611888</c:v>
                </c:pt>
                <c:pt idx="2630">
                  <c:v>1.5849212925938005</c:v>
                </c:pt>
                <c:pt idx="2631">
                  <c:v>1.5880861577251608</c:v>
                </c:pt>
                <c:pt idx="2632">
                  <c:v>1.5912670101445581</c:v>
                </c:pt>
                <c:pt idx="2633">
                  <c:v>1.5944640447036484</c:v>
                </c:pt>
                <c:pt idx="2634">
                  <c:v>1.5976774599065131</c:v>
                </c:pt>
                <c:pt idx="2635">
                  <c:v>1.6009074580025999</c:v>
                </c:pt>
                <c:pt idx="2636">
                  <c:v>1.6041542450826647</c:v>
                </c:pt>
                <c:pt idx="2637">
                  <c:v>1.6074180311778146</c:v>
                </c:pt>
                <c:pt idx="2638">
                  <c:v>1.6106990303617927</c:v>
                </c:pt>
                <c:pt idx="2639">
                  <c:v>1.6139974608566234</c:v>
                </c:pt>
                <c:pt idx="2640">
                  <c:v>1.6173135451417484</c:v>
                </c:pt>
                <c:pt idx="2641">
                  <c:v>1.6206475100668076</c:v>
                </c:pt>
                <c:pt idx="2642">
                  <c:v>1.6239995869681965</c:v>
                </c:pt>
                <c:pt idx="2643">
                  <c:v>1.6273700117895662</c:v>
                </c:pt>
                <c:pt idx="2644">
                  <c:v>1.6307590252064119</c:v>
                </c:pt>
                <c:pt idx="2645">
                  <c:v>1.6341668727549439</c:v>
                </c:pt>
                <c:pt idx="2646">
                  <c:v>1.6375938049653909</c:v>
                </c:pt>
                <c:pt idx="2647">
                  <c:v>1.6410400774999403</c:v>
                </c:pt>
                <c:pt idx="2648">
                  <c:v>1.6445059512955067</c:v>
                </c:pt>
                <c:pt idx="2649">
                  <c:v>1.6479916927115246</c:v>
                </c:pt>
                <c:pt idx="2650">
                  <c:v>1.6514975736829922</c:v>
                </c:pt>
                <c:pt idx="2651">
                  <c:v>1.6550238718789902</c:v>
                </c:pt>
                <c:pt idx="2652">
                  <c:v>1.658570870866902</c:v>
                </c:pt>
                <c:pt idx="2653">
                  <c:v>1.6621388602826019</c:v>
                </c:pt>
                <c:pt idx="2654">
                  <c:v>1.6657281360068612</c:v>
                </c:pt>
                <c:pt idx="2655">
                  <c:v>1.6693390003482491</c:v>
                </c:pt>
                <c:pt idx="2656">
                  <c:v>1.6729717622328317</c:v>
                </c:pt>
                <c:pt idx="2657">
                  <c:v>1.676626737400954</c:v>
                </c:pt>
                <c:pt idx="2658">
                  <c:v>1.680304248611443</c:v>
                </c:pt>
                <c:pt idx="2659">
                  <c:v>1.6840046258535759</c:v>
                </c:pt>
                <c:pt idx="2660">
                  <c:v>1.6877282065671406</c:v>
                </c:pt>
                <c:pt idx="2661">
                  <c:v>1.6914753358710071</c:v>
                </c:pt>
                <c:pt idx="2662">
                  <c:v>1.6952463668005777</c:v>
                </c:pt>
                <c:pt idx="2663">
                  <c:v>1.6990416605545431</c:v>
                </c:pt>
                <c:pt idx="2664">
                  <c:v>1.7028615867513979</c:v>
                </c:pt>
                <c:pt idx="2665">
                  <c:v>1.7067065236961663</c:v>
                </c:pt>
                <c:pt idx="2666">
                  <c:v>1.7105768586578463</c:v>
                </c:pt>
                <c:pt idx="2667">
                  <c:v>1.7144729881580878</c:v>
                </c:pt>
                <c:pt idx="2668">
                  <c:v>1.7183953182716616</c:v>
                </c:pt>
                <c:pt idx="2669">
                  <c:v>1.7223442649393006</c:v>
                </c:pt>
                <c:pt idx="2670">
                  <c:v>1.726320254293531</c:v>
                </c:pt>
                <c:pt idx="2671">
                  <c:v>1.7303237229981581</c:v>
                </c:pt>
                <c:pt idx="2672">
                  <c:v>1.7343551186020891</c:v>
                </c:pt>
                <c:pt idx="2673">
                  <c:v>1.7384148999082374</c:v>
                </c:pt>
                <c:pt idx="2674">
                  <c:v>1.7425035373582876</c:v>
                </c:pt>
                <c:pt idx="2675">
                  <c:v>1.7466215134341447</c:v>
                </c:pt>
                <c:pt idx="2676">
                  <c:v>1.7507693230769634</c:v>
                </c:pt>
                <c:pt idx="2677">
                  <c:v>1.754947474124662</c:v>
                </c:pt>
                <c:pt idx="2678">
                  <c:v>1.7591564877689472</c:v>
                </c:pt>
                <c:pt idx="2679">
                  <c:v>1.7633968990328865</c:v>
                </c:pt>
                <c:pt idx="2680">
                  <c:v>1.7676692572701533</c:v>
                </c:pt>
                <c:pt idx="2681">
                  <c:v>1.7719741266871492</c:v>
                </c:pt>
                <c:pt idx="2682">
                  <c:v>1.7763120868892648</c:v>
                </c:pt>
                <c:pt idx="2683">
                  <c:v>1.7806837334526524</c:v>
                </c:pt>
                <c:pt idx="2684">
                  <c:v>1.7850896785229433</c:v>
                </c:pt>
                <c:pt idx="2685">
                  <c:v>1.7895305514424666</c:v>
                </c:pt>
                <c:pt idx="2686">
                  <c:v>1.7940069994076109</c:v>
                </c:pt>
                <c:pt idx="2687">
                  <c:v>1.7985196881580989</c:v>
                </c:pt>
                <c:pt idx="2688">
                  <c:v>1.8030693027000528</c:v>
                </c:pt>
                <c:pt idx="2689">
                  <c:v>1.8076565480648688</c:v>
                </c:pt>
                <c:pt idx="2690">
                  <c:v>1.812282150106062</c:v>
                </c:pt>
                <c:pt idx="2691">
                  <c:v>1.8169468563363838</c:v>
                </c:pt>
                <c:pt idx="2692">
                  <c:v>1.8216514368077072</c:v>
                </c:pt>
                <c:pt idx="2693">
                  <c:v>1.8263966850363107</c:v>
                </c:pt>
                <c:pt idx="2694">
                  <c:v>1.8311834189764442</c:v>
                </c:pt>
                <c:pt idx="2695">
                  <c:v>1.8360124820452237</c:v>
                </c:pt>
                <c:pt idx="2696">
                  <c:v>1.8408847442021521</c:v>
                </c:pt>
                <c:pt idx="2697">
                  <c:v>1.8458011030868184</c:v>
                </c:pt>
                <c:pt idx="2698">
                  <c:v>1.8507624852185902</c:v>
                </c:pt>
                <c:pt idx="2699">
                  <c:v>1.8557698472624082</c:v>
                </c:pt>
                <c:pt idx="2700">
                  <c:v>1.8608241773651306</c:v>
                </c:pt>
                <c:pt idx="2701">
                  <c:v>1.8659264965672064</c:v>
                </c:pt>
                <c:pt idx="2702">
                  <c:v>1.8710778602948619</c:v>
                </c:pt>
                <c:pt idx="2703">
                  <c:v>1.876279359938384</c:v>
                </c:pt>
                <c:pt idx="2704">
                  <c:v>1.8815321245225691</c:v>
                </c:pt>
                <c:pt idx="2705">
                  <c:v>1.8868373224758828</c:v>
                </c:pt>
                <c:pt idx="2706">
                  <c:v>1.8921961635054541</c:v>
                </c:pt>
                <c:pt idx="2707">
                  <c:v>1.8976099005856133</c:v>
                </c:pt>
                <c:pt idx="2708">
                  <c:v>1.9030798320683731</c:v>
                </c:pt>
                <c:pt idx="2709">
                  <c:v>1.9086073039249438</c:v>
                </c:pt>
                <c:pt idx="2710">
                  <c:v>1.9141937121282462</c:v>
                </c:pt>
                <c:pt idx="2711">
                  <c:v>1.9198405051872072</c:v>
                </c:pt>
                <c:pt idx="2712">
                  <c:v>1.9255491868446599</c:v>
                </c:pt>
                <c:pt idx="2713">
                  <c:v>1.9313213189517258</c:v>
                </c:pt>
                <c:pt idx="2714">
                  <c:v>1.93715852453277</c:v>
                </c:pt>
                <c:pt idx="2715">
                  <c:v>1.9430624910563674</c:v>
                </c:pt>
                <c:pt idx="2716">
                  <c:v>1.9490349739291684</c:v>
                </c:pt>
                <c:pt idx="2717">
                  <c:v>1.9550778002312319</c:v>
                </c:pt>
                <c:pt idx="2718">
                  <c:v>1.9611928727131966</c:v>
                </c:pt>
                <c:pt idx="2719">
                  <c:v>1.96738217407773</c:v>
                </c:pt>
                <c:pt idx="2720">
                  <c:v>1.9736477715699376</c:v>
                </c:pt>
                <c:pt idx="2721">
                  <c:v>1.9799918219040149</c:v>
                </c:pt>
                <c:pt idx="2722">
                  <c:v>1.9864165765562174</c:v>
                </c:pt>
                <c:pt idx="2723">
                  <c:v>1.9929243874574774</c:v>
                </c:pt>
                <c:pt idx="2724">
                  <c:v>1.999517713122577</c:v>
                </c:pt>
                <c:pt idx="2725">
                  <c:v>2.0061991252567983</c:v>
                </c:pt>
                <c:pt idx="2726">
                  <c:v>2.0129713158856162</c:v>
                </c:pt>
                <c:pt idx="2727">
                  <c:v>2.0198371050580786</c:v>
                </c:pt>
                <c:pt idx="2728">
                  <c:v>2.0267994491804067</c:v>
                </c:pt>
                <c:pt idx="2729">
                  <c:v>2.0338614500429455</c:v>
                </c:pt>
                <c:pt idx="2730">
                  <c:v>2.0410263646111351</c:v>
                </c:pt>
                <c:pt idx="2731">
                  <c:v>2.0482976156597346</c:v>
                </c:pt>
                <c:pt idx="2732">
                  <c:v>2.0556788033393087</c:v>
                </c:pt>
                <c:pt idx="2733">
                  <c:v>2.0631737177751912</c:v>
                </c:pt>
                <c:pt idx="2734">
                  <c:v>2.0707863528119423</c:v>
                </c:pt>
                <c:pt idx="2735">
                  <c:v>2.0785209210311031</c:v>
                </c:pt>
                <c:pt idx="2736">
                  <c:v>2.0863818701869787</c:v>
                </c:pt>
                <c:pt idx="2737">
                  <c:v>2.0943739012248801</c:v>
                </c:pt>
                <c:pt idx="2738">
                  <c:v>2.1025019880689184</c:v>
                </c:pt>
                <c:pt idx="2739">
                  <c:v>2.1107713993928963</c:v>
                </c:pt>
                <c:pt idx="2740">
                  <c:v>2.1191877226186029</c:v>
                </c:pt>
                <c:pt idx="2741">
                  <c:v>2.1277568904216899</c:v>
                </c:pt>
                <c:pt idx="2742">
                  <c:v>2.1364852100675571</c:v>
                </c:pt>
                <c:pt idx="2743">
                  <c:v>2.1453793959490768</c:v>
                </c:pt>
                <c:pt idx="2744">
                  <c:v>2.1544466057565428</c:v>
                </c:pt>
                <c:pt idx="2745">
                  <c:v>2.1636944807793634</c:v>
                </c:pt>
                <c:pt idx="2746">
                  <c:v>2.1731311909213424</c:v>
                </c:pt>
                <c:pt idx="2747">
                  <c:v>2.1827654851094609</c:v>
                </c:pt>
                <c:pt idx="2748">
                  <c:v>2.1926067478937172</c:v>
                </c:pt>
                <c:pt idx="2749">
                  <c:v>2.2026650631769504</c:v>
                </c:pt>
                <c:pt idx="2750">
                  <c:v>2.2129512861845346</c:v>
                </c:pt>
                <c:pt idx="2751">
                  <c:v>2.2234771249912777</c:v>
                </c:pt>
                <c:pt idx="2752">
                  <c:v>2.2342552331759924</c:v>
                </c:pt>
                <c:pt idx="2753">
                  <c:v>2.2452993154846275</c:v>
                </c:pt>
                <c:pt idx="2754">
                  <c:v>2.2566242487654868</c:v>
                </c:pt>
                <c:pt idx="2755">
                  <c:v>2.2682462209146403</c:v>
                </c:pt>
                <c:pt idx="2756">
                  <c:v>2.2801828911615751</c:v>
                </c:pt>
                <c:pt idx="2757">
                  <c:v>2.292453575768405</c:v>
                </c:pt>
                <c:pt idx="2758">
                  <c:v>2.3050794641552956</c:v>
                </c:pt>
                <c:pt idx="2759">
                  <c:v>2.3180838716609893</c:v>
                </c:pt>
                <c:pt idx="2760">
                  <c:v>2.3314925366815529</c:v>
                </c:pt>
                <c:pt idx="2761">
                  <c:v>2.345333971915236</c:v>
                </c:pt>
                <c:pt idx="2762">
                  <c:v>2.3596398820306175</c:v>
                </c:pt>
                <c:pt idx="2763">
                  <c:v>2.3744456634852953</c:v>
                </c:pt>
                <c:pt idx="2764">
                  <c:v>2.3897910067580828</c:v>
                </c:pt>
                <c:pt idx="2765">
                  <c:v>2.405720627356323</c:v>
                </c:pt>
                <c:pt idx="2766">
                  <c:v>2.4222851602552833</c:v>
                </c:pt>
                <c:pt idx="2767">
                  <c:v>2.4395422638528821</c:v>
                </c:pt>
                <c:pt idx="2768">
                  <c:v>2.457557995477925</c:v>
                </c:pt>
                <c:pt idx="2769">
                  <c:v>2.4764085431022047</c:v>
                </c:pt>
                <c:pt idx="2770">
                  <c:v>2.4961824304795486</c:v>
                </c:pt>
                <c:pt idx="2771">
                  <c:v>2.5169833607026773</c:v>
                </c:pt>
                <c:pt idx="2772">
                  <c:v>2.5389339346171442</c:v>
                </c:pt>
                <c:pt idx="2773">
                  <c:v>2.5621805897711489</c:v>
                </c:pt>
                <c:pt idx="2774">
                  <c:v>2.5869002767436013</c:v>
                </c:pt>
                <c:pt idx="2775">
                  <c:v>2.6133096653846599</c:v>
                </c:pt>
                <c:pt idx="2776">
                  <c:v>2.6416781316648503</c:v>
                </c:pt>
                <c:pt idx="2777">
                  <c:v>2.6723465649805789</c:v>
                </c:pt>
                <c:pt idx="2778">
                  <c:v>2.7057554524714367</c:v>
                </c:pt>
                <c:pt idx="2779">
                  <c:v>2.74248836655691</c:v>
                </c:pt>
                <c:pt idx="2780">
                  <c:v>2.7833423110877873</c:v>
                </c:pt>
                <c:pt idx="2781">
                  <c:v>2.8294477889155938</c:v>
                </c:pt>
                <c:pt idx="2782">
                  <c:v>2.8824880803291024</c:v>
                </c:pt>
                <c:pt idx="2783">
                  <c:v>2.9451366546690014</c:v>
                </c:pt>
                <c:pt idx="2784">
                  <c:v>3.0220416007492337</c:v>
                </c:pt>
                <c:pt idx="2785">
                  <c:v>3.1224705800301642</c:v>
                </c:pt>
                <c:pt idx="2786">
                  <c:v>3.2698513417567963</c:v>
                </c:pt>
                <c:pt idx="2787">
                  <c:v>3.5687561582399581</c:v>
                </c:pt>
              </c:numCache>
            </c:numRef>
          </c:xVal>
          <c:yVal>
            <c:numRef>
              <c:f>'Population-Sw'!$G$7:$G$2794</c:f>
              <c:numCache>
                <c:formatCode>General</c:formatCode>
                <c:ptCount val="2788"/>
                <c:pt idx="0">
                  <c:v>9.7767965972124671E-2</c:v>
                </c:pt>
                <c:pt idx="1">
                  <c:v>0.1112502035115665</c:v>
                </c:pt>
                <c:pt idx="2">
                  <c:v>0.12527051012292464</c:v>
                </c:pt>
                <c:pt idx="3">
                  <c:v>0.12590685831845214</c:v>
                </c:pt>
                <c:pt idx="4">
                  <c:v>0.12834175609328069</c:v>
                </c:pt>
                <c:pt idx="5">
                  <c:v>0.13024964269701167</c:v>
                </c:pt>
                <c:pt idx="6">
                  <c:v>0.13324663734487815</c:v>
                </c:pt>
                <c:pt idx="7">
                  <c:v>0.13730314892849749</c:v>
                </c:pt>
                <c:pt idx="8">
                  <c:v>0.13802602553761273</c:v>
                </c:pt>
                <c:pt idx="9">
                  <c:v>0.13960391459128033</c:v>
                </c:pt>
                <c:pt idx="10">
                  <c:v>0.14076337182490539</c:v>
                </c:pt>
                <c:pt idx="11">
                  <c:v>0.14268675308570217</c:v>
                </c:pt>
                <c:pt idx="12">
                  <c:v>0.14681890079261359</c:v>
                </c:pt>
                <c:pt idx="13">
                  <c:v>0.14784838709499887</c:v>
                </c:pt>
                <c:pt idx="14">
                  <c:v>0.14812267408034199</c:v>
                </c:pt>
                <c:pt idx="15">
                  <c:v>0.15349248063739471</c:v>
                </c:pt>
                <c:pt idx="16">
                  <c:v>0.15456921600332038</c:v>
                </c:pt>
                <c:pt idx="17">
                  <c:v>0.15474206973187565</c:v>
                </c:pt>
                <c:pt idx="18">
                  <c:v>0.15600186198547178</c:v>
                </c:pt>
                <c:pt idx="19">
                  <c:v>0.15741331690782934</c:v>
                </c:pt>
                <c:pt idx="20">
                  <c:v>0.16006873185384238</c:v>
                </c:pt>
                <c:pt idx="21">
                  <c:v>0.16298703235387493</c:v>
                </c:pt>
                <c:pt idx="22">
                  <c:v>0.16463567287802236</c:v>
                </c:pt>
                <c:pt idx="23">
                  <c:v>0.16705315988024144</c:v>
                </c:pt>
                <c:pt idx="24">
                  <c:v>0.16850348717082814</c:v>
                </c:pt>
                <c:pt idx="25">
                  <c:v>0.16867317196988255</c:v>
                </c:pt>
                <c:pt idx="26">
                  <c:v>0.1702942516573813</c:v>
                </c:pt>
                <c:pt idx="27">
                  <c:v>0.17424723955470345</c:v>
                </c:pt>
                <c:pt idx="28">
                  <c:v>0.1742594673937467</c:v>
                </c:pt>
                <c:pt idx="29">
                  <c:v>0.17573314423966677</c:v>
                </c:pt>
                <c:pt idx="30">
                  <c:v>0.17586860715297528</c:v>
                </c:pt>
                <c:pt idx="31">
                  <c:v>0.1762212340414146</c:v>
                </c:pt>
                <c:pt idx="32">
                  <c:v>0.17682925177900266</c:v>
                </c:pt>
                <c:pt idx="33">
                  <c:v>0.1771788739321358</c:v>
                </c:pt>
                <c:pt idx="34">
                  <c:v>0.17739113018187394</c:v>
                </c:pt>
                <c:pt idx="35">
                  <c:v>0.1779952845211599</c:v>
                </c:pt>
                <c:pt idx="36">
                  <c:v>0.17818650128762428</c:v>
                </c:pt>
                <c:pt idx="37">
                  <c:v>0.17850298364480086</c:v>
                </c:pt>
                <c:pt idx="38">
                  <c:v>0.17869179821590234</c:v>
                </c:pt>
                <c:pt idx="39">
                  <c:v>0.17887654739847436</c:v>
                </c:pt>
                <c:pt idx="40">
                  <c:v>0.17901803860587207</c:v>
                </c:pt>
                <c:pt idx="41">
                  <c:v>0.17946229125682392</c:v>
                </c:pt>
                <c:pt idx="42">
                  <c:v>0.17950109192903402</c:v>
                </c:pt>
                <c:pt idx="43">
                  <c:v>0.18023266799415844</c:v>
                </c:pt>
                <c:pt idx="44">
                  <c:v>0.18086754954819187</c:v>
                </c:pt>
                <c:pt idx="45">
                  <c:v>0.18109156661605427</c:v>
                </c:pt>
                <c:pt idx="46">
                  <c:v>0.18126467606398355</c:v>
                </c:pt>
                <c:pt idx="47">
                  <c:v>0.18207842428591128</c:v>
                </c:pt>
                <c:pt idx="48">
                  <c:v>0.18210857152649976</c:v>
                </c:pt>
                <c:pt idx="49">
                  <c:v>0.18445514547564537</c:v>
                </c:pt>
                <c:pt idx="50">
                  <c:v>0.18453067847117308</c:v>
                </c:pt>
                <c:pt idx="51">
                  <c:v>0.18851836827122903</c:v>
                </c:pt>
                <c:pt idx="52">
                  <c:v>0.18884469110088814</c:v>
                </c:pt>
                <c:pt idx="53">
                  <c:v>0.18935104815442416</c:v>
                </c:pt>
                <c:pt idx="54">
                  <c:v>0.18968784507442379</c:v>
                </c:pt>
                <c:pt idx="55">
                  <c:v>0.19087456426407901</c:v>
                </c:pt>
                <c:pt idx="56">
                  <c:v>0.19159219344382558</c:v>
                </c:pt>
                <c:pt idx="57">
                  <c:v>0.19214081674825556</c:v>
                </c:pt>
                <c:pt idx="58">
                  <c:v>0.19311738616595028</c:v>
                </c:pt>
                <c:pt idx="59">
                  <c:v>0.19382533920557535</c:v>
                </c:pt>
                <c:pt idx="60">
                  <c:v>0.19385470315364614</c:v>
                </c:pt>
                <c:pt idx="61">
                  <c:v>0.19390702891167802</c:v>
                </c:pt>
                <c:pt idx="62">
                  <c:v>0.19502507347716264</c:v>
                </c:pt>
                <c:pt idx="63">
                  <c:v>0.19522539401788924</c:v>
                </c:pt>
                <c:pt idx="64">
                  <c:v>0.19529688431158737</c:v>
                </c:pt>
                <c:pt idx="65">
                  <c:v>0.19589970457971506</c:v>
                </c:pt>
                <c:pt idx="66">
                  <c:v>0.19651643446712808</c:v>
                </c:pt>
                <c:pt idx="67">
                  <c:v>0.19660426203995435</c:v>
                </c:pt>
                <c:pt idx="68">
                  <c:v>0.19716649511152473</c:v>
                </c:pt>
                <c:pt idx="69">
                  <c:v>0.19765733082982642</c:v>
                </c:pt>
                <c:pt idx="70">
                  <c:v>0.19840915984168614</c:v>
                </c:pt>
                <c:pt idx="71">
                  <c:v>0.19866562927832682</c:v>
                </c:pt>
                <c:pt idx="72">
                  <c:v>0.19930426014935185</c:v>
                </c:pt>
                <c:pt idx="73">
                  <c:v>0.19964729124876207</c:v>
                </c:pt>
                <c:pt idx="74">
                  <c:v>0.20033280224819472</c:v>
                </c:pt>
                <c:pt idx="75">
                  <c:v>0.20089807536266199</c:v>
                </c:pt>
                <c:pt idx="76">
                  <c:v>0.20096122447198003</c:v>
                </c:pt>
                <c:pt idx="77">
                  <c:v>0.20098156060200573</c:v>
                </c:pt>
                <c:pt idx="78">
                  <c:v>0.20112831225905195</c:v>
                </c:pt>
                <c:pt idx="79">
                  <c:v>0.20176205424786456</c:v>
                </c:pt>
                <c:pt idx="80">
                  <c:v>0.20245172163984332</c:v>
                </c:pt>
                <c:pt idx="81">
                  <c:v>0.20272188264602814</c:v>
                </c:pt>
                <c:pt idx="82">
                  <c:v>0.20379350692366741</c:v>
                </c:pt>
                <c:pt idx="83">
                  <c:v>0.2041816440249167</c:v>
                </c:pt>
                <c:pt idx="84">
                  <c:v>0.20476728550487383</c:v>
                </c:pt>
                <c:pt idx="85">
                  <c:v>0.20683717446805353</c:v>
                </c:pt>
                <c:pt idx="86">
                  <c:v>0.20688740212181014</c:v>
                </c:pt>
                <c:pt idx="87">
                  <c:v>0.20745371195932943</c:v>
                </c:pt>
                <c:pt idx="88">
                  <c:v>0.20754153819525373</c:v>
                </c:pt>
                <c:pt idx="89">
                  <c:v>0.2078546479875116</c:v>
                </c:pt>
                <c:pt idx="90">
                  <c:v>0.20838720843375041</c:v>
                </c:pt>
                <c:pt idx="91">
                  <c:v>0.20881247577524484</c:v>
                </c:pt>
                <c:pt idx="92">
                  <c:v>0.20895765469999011</c:v>
                </c:pt>
                <c:pt idx="93">
                  <c:v>0.208999548963474</c:v>
                </c:pt>
                <c:pt idx="94">
                  <c:v>0.20939397021043538</c:v>
                </c:pt>
                <c:pt idx="95">
                  <c:v>0.20943330569272753</c:v>
                </c:pt>
                <c:pt idx="96">
                  <c:v>0.20964405200083069</c:v>
                </c:pt>
                <c:pt idx="97">
                  <c:v>0.20967662695270747</c:v>
                </c:pt>
                <c:pt idx="98">
                  <c:v>0.21032122220289337</c:v>
                </c:pt>
                <c:pt idx="99">
                  <c:v>0.21111069157877727</c:v>
                </c:pt>
                <c:pt idx="100">
                  <c:v>0.21137393500593149</c:v>
                </c:pt>
                <c:pt idx="101">
                  <c:v>0.21149444533659376</c:v>
                </c:pt>
                <c:pt idx="102">
                  <c:v>0.21168936278205422</c:v>
                </c:pt>
                <c:pt idx="103">
                  <c:v>0.21194743298959848</c:v>
                </c:pt>
                <c:pt idx="104">
                  <c:v>0.21238654691955663</c:v>
                </c:pt>
                <c:pt idx="105">
                  <c:v>0.21246075631588354</c:v>
                </c:pt>
                <c:pt idx="106">
                  <c:v>0.21288016832557752</c:v>
                </c:pt>
                <c:pt idx="107">
                  <c:v>0.21307229411036238</c:v>
                </c:pt>
                <c:pt idx="108">
                  <c:v>0.21337347945167801</c:v>
                </c:pt>
                <c:pt idx="109">
                  <c:v>0.21342721647865331</c:v>
                </c:pt>
                <c:pt idx="110">
                  <c:v>0.21372485036549113</c:v>
                </c:pt>
                <c:pt idx="111">
                  <c:v>0.21396441280505557</c:v>
                </c:pt>
                <c:pt idx="112">
                  <c:v>0.21418070426914976</c:v>
                </c:pt>
                <c:pt idx="113">
                  <c:v>0.21455810084065005</c:v>
                </c:pt>
                <c:pt idx="114">
                  <c:v>0.21494339207531782</c:v>
                </c:pt>
                <c:pt idx="115">
                  <c:v>0.21500308748251779</c:v>
                </c:pt>
                <c:pt idx="116">
                  <c:v>0.21514197212585648</c:v>
                </c:pt>
                <c:pt idx="117">
                  <c:v>0.21527756321633743</c:v>
                </c:pt>
                <c:pt idx="118">
                  <c:v>0.21534427945745177</c:v>
                </c:pt>
                <c:pt idx="119">
                  <c:v>0.21567884843178994</c:v>
                </c:pt>
                <c:pt idx="120">
                  <c:v>0.21587150988463366</c:v>
                </c:pt>
                <c:pt idx="121">
                  <c:v>0.21691322396875093</c:v>
                </c:pt>
                <c:pt idx="122">
                  <c:v>0.21712415341961364</c:v>
                </c:pt>
                <c:pt idx="123">
                  <c:v>0.21784199611061322</c:v>
                </c:pt>
                <c:pt idx="124">
                  <c:v>0.21785404169222117</c:v>
                </c:pt>
                <c:pt idx="125">
                  <c:v>0.21804714436005385</c:v>
                </c:pt>
                <c:pt idx="126">
                  <c:v>0.21812886478401025</c:v>
                </c:pt>
                <c:pt idx="127">
                  <c:v>0.21813580857025189</c:v>
                </c:pt>
                <c:pt idx="128">
                  <c:v>0.21841714541473173</c:v>
                </c:pt>
                <c:pt idx="129">
                  <c:v>0.2185628422369976</c:v>
                </c:pt>
                <c:pt idx="130">
                  <c:v>0.2185983440785346</c:v>
                </c:pt>
                <c:pt idx="131">
                  <c:v>0.218675897797177</c:v>
                </c:pt>
                <c:pt idx="132">
                  <c:v>0.21869521236763481</c:v>
                </c:pt>
                <c:pt idx="133">
                  <c:v>0.21927581687574757</c:v>
                </c:pt>
                <c:pt idx="134">
                  <c:v>0.21940182197036068</c:v>
                </c:pt>
                <c:pt idx="135">
                  <c:v>0.21943320334871383</c:v>
                </c:pt>
                <c:pt idx="136">
                  <c:v>0.21958948679553184</c:v>
                </c:pt>
                <c:pt idx="137">
                  <c:v>0.21976447316664088</c:v>
                </c:pt>
                <c:pt idx="138">
                  <c:v>0.22015303419781482</c:v>
                </c:pt>
                <c:pt idx="139">
                  <c:v>0.22064234248859219</c:v>
                </c:pt>
                <c:pt idx="140">
                  <c:v>0.22071499037683287</c:v>
                </c:pt>
                <c:pt idx="141">
                  <c:v>0.22074260847411642</c:v>
                </c:pt>
                <c:pt idx="142">
                  <c:v>0.2209128179971479</c:v>
                </c:pt>
                <c:pt idx="143">
                  <c:v>0.22105937662135983</c:v>
                </c:pt>
                <c:pt idx="144">
                  <c:v>0.22154948402834668</c:v>
                </c:pt>
                <c:pt idx="145">
                  <c:v>0.22163065635808923</c:v>
                </c:pt>
                <c:pt idx="146">
                  <c:v>0.22197002304840285</c:v>
                </c:pt>
                <c:pt idx="147">
                  <c:v>0.22200505842696572</c:v>
                </c:pt>
                <c:pt idx="148">
                  <c:v>0.22248179837637602</c:v>
                </c:pt>
                <c:pt idx="149">
                  <c:v>0.22251399614932713</c:v>
                </c:pt>
                <c:pt idx="150">
                  <c:v>0.22283126624240884</c:v>
                </c:pt>
                <c:pt idx="151">
                  <c:v>0.22284467826716403</c:v>
                </c:pt>
                <c:pt idx="152">
                  <c:v>0.22291481251626452</c:v>
                </c:pt>
                <c:pt idx="153">
                  <c:v>0.2229411299680539</c:v>
                </c:pt>
                <c:pt idx="154">
                  <c:v>0.22340022213848337</c:v>
                </c:pt>
                <c:pt idx="155">
                  <c:v>0.22353088496396786</c:v>
                </c:pt>
                <c:pt idx="156">
                  <c:v>0.22366228745933212</c:v>
                </c:pt>
                <c:pt idx="157">
                  <c:v>0.22374187237305282</c:v>
                </c:pt>
                <c:pt idx="158">
                  <c:v>0.22412714576107234</c:v>
                </c:pt>
                <c:pt idx="159">
                  <c:v>0.22422268049810745</c:v>
                </c:pt>
                <c:pt idx="160">
                  <c:v>0.22434932550937131</c:v>
                </c:pt>
                <c:pt idx="161">
                  <c:v>0.22461953148021657</c:v>
                </c:pt>
                <c:pt idx="162">
                  <c:v>0.22495512919213587</c:v>
                </c:pt>
                <c:pt idx="163">
                  <c:v>0.22529297243944849</c:v>
                </c:pt>
                <c:pt idx="164">
                  <c:v>0.22532144234409462</c:v>
                </c:pt>
                <c:pt idx="165">
                  <c:v>0.22538283478700805</c:v>
                </c:pt>
                <c:pt idx="166">
                  <c:v>0.2255506594538387</c:v>
                </c:pt>
                <c:pt idx="167">
                  <c:v>0.22564845304839609</c:v>
                </c:pt>
                <c:pt idx="168">
                  <c:v>0.22589428145384655</c:v>
                </c:pt>
                <c:pt idx="169">
                  <c:v>0.22620406069680427</c:v>
                </c:pt>
                <c:pt idx="170">
                  <c:v>0.22636378676055924</c:v>
                </c:pt>
                <c:pt idx="171">
                  <c:v>0.22643629439036778</c:v>
                </c:pt>
                <c:pt idx="172">
                  <c:v>0.22643909474324592</c:v>
                </c:pt>
                <c:pt idx="173">
                  <c:v>0.22694420792598691</c:v>
                </c:pt>
                <c:pt idx="174">
                  <c:v>0.22783691842351561</c:v>
                </c:pt>
                <c:pt idx="175">
                  <c:v>0.22817666257529506</c:v>
                </c:pt>
                <c:pt idx="176">
                  <c:v>0.22835652323186373</c:v>
                </c:pt>
                <c:pt idx="177">
                  <c:v>0.22841712284400217</c:v>
                </c:pt>
                <c:pt idx="178">
                  <c:v>0.22853922774001151</c:v>
                </c:pt>
                <c:pt idx="179">
                  <c:v>0.22906353427969961</c:v>
                </c:pt>
                <c:pt idx="180">
                  <c:v>0.22922358475958859</c:v>
                </c:pt>
                <c:pt idx="181">
                  <c:v>0.22951655833768919</c:v>
                </c:pt>
                <c:pt idx="182">
                  <c:v>0.22968763025131778</c:v>
                </c:pt>
                <c:pt idx="183">
                  <c:v>0.23031711839953273</c:v>
                </c:pt>
                <c:pt idx="184">
                  <c:v>0.23037805061277694</c:v>
                </c:pt>
                <c:pt idx="185">
                  <c:v>0.23057535891080455</c:v>
                </c:pt>
                <c:pt idx="186">
                  <c:v>0.2308615781032004</c:v>
                </c:pt>
                <c:pt idx="187">
                  <c:v>0.23106315432512584</c:v>
                </c:pt>
                <c:pt idx="188">
                  <c:v>0.231500188747439</c:v>
                </c:pt>
                <c:pt idx="189">
                  <c:v>0.2326430096823604</c:v>
                </c:pt>
                <c:pt idx="190">
                  <c:v>0.23291612059816547</c:v>
                </c:pt>
                <c:pt idx="191">
                  <c:v>0.23350400235519841</c:v>
                </c:pt>
                <c:pt idx="192">
                  <c:v>0.23367801218198647</c:v>
                </c:pt>
                <c:pt idx="193">
                  <c:v>0.23392925598382197</c:v>
                </c:pt>
                <c:pt idx="194">
                  <c:v>0.23434460403866414</c:v>
                </c:pt>
                <c:pt idx="195">
                  <c:v>0.23455034457676402</c:v>
                </c:pt>
                <c:pt idx="196">
                  <c:v>0.23459846730239664</c:v>
                </c:pt>
                <c:pt idx="197">
                  <c:v>0.23481613606366514</c:v>
                </c:pt>
                <c:pt idx="198">
                  <c:v>0.23491678901842028</c:v>
                </c:pt>
                <c:pt idx="199">
                  <c:v>0.2350337770223942</c:v>
                </c:pt>
                <c:pt idx="200">
                  <c:v>0.2353209607171543</c:v>
                </c:pt>
                <c:pt idx="201">
                  <c:v>0.23538728140701604</c:v>
                </c:pt>
                <c:pt idx="202">
                  <c:v>0.23567989755012614</c:v>
                </c:pt>
                <c:pt idx="203">
                  <c:v>0.23646693685429848</c:v>
                </c:pt>
                <c:pt idx="204">
                  <c:v>0.2369787459034372</c:v>
                </c:pt>
                <c:pt idx="205">
                  <c:v>0.2371883480996152</c:v>
                </c:pt>
                <c:pt idx="206">
                  <c:v>0.23732515764097811</c:v>
                </c:pt>
                <c:pt idx="207">
                  <c:v>0.2381369305252368</c:v>
                </c:pt>
                <c:pt idx="208">
                  <c:v>0.23823704249221447</c:v>
                </c:pt>
                <c:pt idx="209">
                  <c:v>0.23827405802156476</c:v>
                </c:pt>
                <c:pt idx="210">
                  <c:v>0.23850976196038431</c:v>
                </c:pt>
                <c:pt idx="211">
                  <c:v>0.23881795685395329</c:v>
                </c:pt>
                <c:pt idx="212">
                  <c:v>0.23901309463250175</c:v>
                </c:pt>
                <c:pt idx="213">
                  <c:v>0.23901353073733256</c:v>
                </c:pt>
                <c:pt idx="214">
                  <c:v>0.23902540120924393</c:v>
                </c:pt>
                <c:pt idx="215">
                  <c:v>0.23916278492346199</c:v>
                </c:pt>
                <c:pt idx="216">
                  <c:v>0.23925929723918954</c:v>
                </c:pt>
                <c:pt idx="217">
                  <c:v>0.23954965211640122</c:v>
                </c:pt>
                <c:pt idx="218">
                  <c:v>0.23977645408003004</c:v>
                </c:pt>
                <c:pt idx="219">
                  <c:v>0.23977762319202911</c:v>
                </c:pt>
                <c:pt idx="220">
                  <c:v>0.23979954126781755</c:v>
                </c:pt>
                <c:pt idx="221">
                  <c:v>0.23998729927700488</c:v>
                </c:pt>
                <c:pt idx="222">
                  <c:v>0.24013580692217876</c:v>
                </c:pt>
                <c:pt idx="223">
                  <c:v>0.24027404716389081</c:v>
                </c:pt>
                <c:pt idx="224">
                  <c:v>0.24105210409034539</c:v>
                </c:pt>
                <c:pt idx="225">
                  <c:v>0.24106804991883518</c:v>
                </c:pt>
                <c:pt idx="226">
                  <c:v>0.24147989804469383</c:v>
                </c:pt>
                <c:pt idx="227">
                  <c:v>0.24174565274064025</c:v>
                </c:pt>
                <c:pt idx="228">
                  <c:v>0.24186177087050464</c:v>
                </c:pt>
                <c:pt idx="229">
                  <c:v>0.24189021964987734</c:v>
                </c:pt>
                <c:pt idx="230">
                  <c:v>0.24226821080574695</c:v>
                </c:pt>
                <c:pt idx="231">
                  <c:v>0.24248608182295844</c:v>
                </c:pt>
                <c:pt idx="232">
                  <c:v>0.24260046093624532</c:v>
                </c:pt>
                <c:pt idx="233">
                  <c:v>0.24291821232292082</c:v>
                </c:pt>
                <c:pt idx="234">
                  <c:v>0.24310479748602476</c:v>
                </c:pt>
                <c:pt idx="235">
                  <c:v>0.24320621590159255</c:v>
                </c:pt>
                <c:pt idx="236">
                  <c:v>0.24322917808631767</c:v>
                </c:pt>
                <c:pt idx="237">
                  <c:v>0.24344419219638516</c:v>
                </c:pt>
                <c:pt idx="238">
                  <c:v>0.2437188633420439</c:v>
                </c:pt>
                <c:pt idx="239">
                  <c:v>0.24406956004463448</c:v>
                </c:pt>
                <c:pt idx="240">
                  <c:v>0.24407468268218024</c:v>
                </c:pt>
                <c:pt idx="241">
                  <c:v>0.24423176581835337</c:v>
                </c:pt>
                <c:pt idx="242">
                  <c:v>0.24427841737336572</c:v>
                </c:pt>
                <c:pt idx="243">
                  <c:v>0.24428830270843854</c:v>
                </c:pt>
                <c:pt idx="244">
                  <c:v>0.24432830489389229</c:v>
                </c:pt>
                <c:pt idx="245">
                  <c:v>0.24435058681955352</c:v>
                </c:pt>
                <c:pt idx="246">
                  <c:v>0.24437335391055759</c:v>
                </c:pt>
                <c:pt idx="247">
                  <c:v>0.2446180631640868</c:v>
                </c:pt>
                <c:pt idx="248">
                  <c:v>0.2447998685156236</c:v>
                </c:pt>
                <c:pt idx="249">
                  <c:v>0.24485471011831458</c:v>
                </c:pt>
                <c:pt idx="250">
                  <c:v>0.24531810197458159</c:v>
                </c:pt>
                <c:pt idx="251">
                  <c:v>0.24534228432352106</c:v>
                </c:pt>
                <c:pt idx="252">
                  <c:v>0.24541289602201771</c:v>
                </c:pt>
                <c:pt idx="253">
                  <c:v>0.24544154303373078</c:v>
                </c:pt>
                <c:pt idx="254">
                  <c:v>0.24555959688515211</c:v>
                </c:pt>
                <c:pt idx="255">
                  <c:v>0.24572629357543377</c:v>
                </c:pt>
                <c:pt idx="256">
                  <c:v>0.24633671319870198</c:v>
                </c:pt>
                <c:pt idx="257">
                  <c:v>0.24653253939398789</c:v>
                </c:pt>
                <c:pt idx="258">
                  <c:v>0.24677317026146256</c:v>
                </c:pt>
                <c:pt idx="259">
                  <c:v>0.2473563401776564</c:v>
                </c:pt>
                <c:pt idx="260">
                  <c:v>0.24739780295925712</c:v>
                </c:pt>
                <c:pt idx="261">
                  <c:v>0.24744935954777442</c:v>
                </c:pt>
                <c:pt idx="262">
                  <c:v>0.24759559431412248</c:v>
                </c:pt>
                <c:pt idx="263">
                  <c:v>0.24791475272109317</c:v>
                </c:pt>
                <c:pt idx="264">
                  <c:v>0.24794478490189892</c:v>
                </c:pt>
                <c:pt idx="265">
                  <c:v>0.2481978430327636</c:v>
                </c:pt>
                <c:pt idx="266">
                  <c:v>0.24839461955285358</c:v>
                </c:pt>
                <c:pt idx="267">
                  <c:v>0.24867484726439609</c:v>
                </c:pt>
                <c:pt idx="268">
                  <c:v>0.24876304012427158</c:v>
                </c:pt>
                <c:pt idx="269">
                  <c:v>0.24897587318120523</c:v>
                </c:pt>
                <c:pt idx="270">
                  <c:v>0.24900032133945132</c:v>
                </c:pt>
                <c:pt idx="271">
                  <c:v>0.24931512890203655</c:v>
                </c:pt>
                <c:pt idx="272">
                  <c:v>0.24944567887376745</c:v>
                </c:pt>
                <c:pt idx="273">
                  <c:v>0.24947919565994919</c:v>
                </c:pt>
                <c:pt idx="274">
                  <c:v>0.24962129875149353</c:v>
                </c:pt>
                <c:pt idx="275">
                  <c:v>0.2497586170501761</c:v>
                </c:pt>
                <c:pt idx="276">
                  <c:v>0.24984630380820422</c:v>
                </c:pt>
                <c:pt idx="277">
                  <c:v>0.24984861589097856</c:v>
                </c:pt>
                <c:pt idx="278">
                  <c:v>0.24986717458941349</c:v>
                </c:pt>
                <c:pt idx="279">
                  <c:v>0.24997873450298902</c:v>
                </c:pt>
                <c:pt idx="280">
                  <c:v>0.24999517872173344</c:v>
                </c:pt>
                <c:pt idx="281">
                  <c:v>0.25030189188309837</c:v>
                </c:pt>
                <c:pt idx="282">
                  <c:v>0.25030760047110923</c:v>
                </c:pt>
                <c:pt idx="283">
                  <c:v>0.25044535073153579</c:v>
                </c:pt>
                <c:pt idx="284">
                  <c:v>0.25095099728834591</c:v>
                </c:pt>
                <c:pt idx="285">
                  <c:v>0.25116593501088652</c:v>
                </c:pt>
                <c:pt idx="286">
                  <c:v>0.25118184538111737</c:v>
                </c:pt>
                <c:pt idx="287">
                  <c:v>0.25144345961041065</c:v>
                </c:pt>
                <c:pt idx="288">
                  <c:v>0.25145685181310629</c:v>
                </c:pt>
                <c:pt idx="289">
                  <c:v>0.25145688812463685</c:v>
                </c:pt>
                <c:pt idx="290">
                  <c:v>0.25175393068008384</c:v>
                </c:pt>
                <c:pt idx="291">
                  <c:v>0.25221276960415256</c:v>
                </c:pt>
                <c:pt idx="292">
                  <c:v>0.25222913427164195</c:v>
                </c:pt>
                <c:pt idx="293">
                  <c:v>0.25223144934645536</c:v>
                </c:pt>
                <c:pt idx="294">
                  <c:v>0.25239643397689421</c:v>
                </c:pt>
                <c:pt idx="295">
                  <c:v>0.25251737933609797</c:v>
                </c:pt>
                <c:pt idx="296">
                  <c:v>0.25267000019632391</c:v>
                </c:pt>
                <c:pt idx="297">
                  <c:v>0.2527184150261082</c:v>
                </c:pt>
                <c:pt idx="298">
                  <c:v>0.25283887699846924</c:v>
                </c:pt>
                <c:pt idx="299">
                  <c:v>0.25300971324391319</c:v>
                </c:pt>
                <c:pt idx="300">
                  <c:v>0.25352122212308836</c:v>
                </c:pt>
                <c:pt idx="301">
                  <c:v>0.25353262541784072</c:v>
                </c:pt>
                <c:pt idx="302">
                  <c:v>0.25361016206210207</c:v>
                </c:pt>
                <c:pt idx="303">
                  <c:v>0.25382593069985165</c:v>
                </c:pt>
                <c:pt idx="304">
                  <c:v>0.25415104979930792</c:v>
                </c:pt>
                <c:pt idx="305">
                  <c:v>0.2541903323760405</c:v>
                </c:pt>
                <c:pt idx="306">
                  <c:v>0.25420684929021886</c:v>
                </c:pt>
                <c:pt idx="307">
                  <c:v>0.25423199875820779</c:v>
                </c:pt>
                <c:pt idx="308">
                  <c:v>0.25458856438488398</c:v>
                </c:pt>
                <c:pt idx="309">
                  <c:v>0.25467159093105163</c:v>
                </c:pt>
                <c:pt idx="310">
                  <c:v>0.25494544526622975</c:v>
                </c:pt>
                <c:pt idx="311">
                  <c:v>0.25496634205304508</c:v>
                </c:pt>
                <c:pt idx="312">
                  <c:v>0.25515969405398603</c:v>
                </c:pt>
                <c:pt idx="313">
                  <c:v>0.25576555687521996</c:v>
                </c:pt>
                <c:pt idx="314">
                  <c:v>0.25578468243325836</c:v>
                </c:pt>
                <c:pt idx="315">
                  <c:v>0.25586161320618961</c:v>
                </c:pt>
                <c:pt idx="316">
                  <c:v>0.25618839742741417</c:v>
                </c:pt>
                <c:pt idx="317">
                  <c:v>0.25671112495547788</c:v>
                </c:pt>
                <c:pt idx="318">
                  <c:v>0.25675827928168943</c:v>
                </c:pt>
                <c:pt idx="319">
                  <c:v>0.25676012367292733</c:v>
                </c:pt>
                <c:pt idx="320">
                  <c:v>0.2571197413124155</c:v>
                </c:pt>
                <c:pt idx="321">
                  <c:v>0.25726695163065361</c:v>
                </c:pt>
                <c:pt idx="322">
                  <c:v>0.2573280598880941</c:v>
                </c:pt>
                <c:pt idx="323">
                  <c:v>0.25735170991645356</c:v>
                </c:pt>
                <c:pt idx="324">
                  <c:v>0.2574721568239785</c:v>
                </c:pt>
                <c:pt idx="325">
                  <c:v>0.25770986048133582</c:v>
                </c:pt>
                <c:pt idx="326">
                  <c:v>0.25780217829523433</c:v>
                </c:pt>
                <c:pt idx="327">
                  <c:v>0.25811023938732625</c:v>
                </c:pt>
                <c:pt idx="328">
                  <c:v>0.25813107723138645</c:v>
                </c:pt>
                <c:pt idx="329">
                  <c:v>0.2581580971484258</c:v>
                </c:pt>
                <c:pt idx="330">
                  <c:v>0.25849391639521169</c:v>
                </c:pt>
                <c:pt idx="331">
                  <c:v>0.25887356445472604</c:v>
                </c:pt>
                <c:pt idx="332">
                  <c:v>0.2589926950260879</c:v>
                </c:pt>
                <c:pt idx="333">
                  <c:v>0.25903391993598779</c:v>
                </c:pt>
                <c:pt idx="334">
                  <c:v>0.2592924055714711</c:v>
                </c:pt>
                <c:pt idx="335">
                  <c:v>0.25948769877338806</c:v>
                </c:pt>
                <c:pt idx="336">
                  <c:v>0.25960523953509773</c:v>
                </c:pt>
                <c:pt idx="337">
                  <c:v>0.25960895394096689</c:v>
                </c:pt>
                <c:pt idx="338">
                  <c:v>0.2597906694433062</c:v>
                </c:pt>
                <c:pt idx="339">
                  <c:v>0.25982749557394968</c:v>
                </c:pt>
                <c:pt idx="340">
                  <c:v>0.2599060382752405</c:v>
                </c:pt>
                <c:pt idx="341">
                  <c:v>0.2601044473376628</c:v>
                </c:pt>
                <c:pt idx="342">
                  <c:v>0.26013445924538681</c:v>
                </c:pt>
                <c:pt idx="343">
                  <c:v>0.26028832173587957</c:v>
                </c:pt>
                <c:pt idx="344">
                  <c:v>0.26034789553683102</c:v>
                </c:pt>
                <c:pt idx="345">
                  <c:v>0.26055347133233425</c:v>
                </c:pt>
                <c:pt idx="346">
                  <c:v>0.26076932633090399</c:v>
                </c:pt>
                <c:pt idx="347">
                  <c:v>0.26077800550873265</c:v>
                </c:pt>
                <c:pt idx="348">
                  <c:v>0.26081139093506367</c:v>
                </c:pt>
                <c:pt idx="349">
                  <c:v>0.26100502749285187</c:v>
                </c:pt>
                <c:pt idx="350">
                  <c:v>0.26142794978757833</c:v>
                </c:pt>
                <c:pt idx="351">
                  <c:v>0.26148175038227478</c:v>
                </c:pt>
                <c:pt idx="352">
                  <c:v>0.26149827776161383</c:v>
                </c:pt>
                <c:pt idx="353">
                  <c:v>0.26155630545805558</c:v>
                </c:pt>
                <c:pt idx="354">
                  <c:v>0.26166216843343348</c:v>
                </c:pt>
                <c:pt idx="355">
                  <c:v>0.26167665939382506</c:v>
                </c:pt>
                <c:pt idx="356">
                  <c:v>0.26168042823398407</c:v>
                </c:pt>
                <c:pt idx="357">
                  <c:v>0.26171970327455851</c:v>
                </c:pt>
                <c:pt idx="358">
                  <c:v>0.26203330112229206</c:v>
                </c:pt>
                <c:pt idx="359">
                  <c:v>0.26207169336706071</c:v>
                </c:pt>
                <c:pt idx="360">
                  <c:v>0.26207550114446621</c:v>
                </c:pt>
                <c:pt idx="361">
                  <c:v>0.26225268079117592</c:v>
                </c:pt>
                <c:pt idx="362">
                  <c:v>0.26239035208340455</c:v>
                </c:pt>
                <c:pt idx="363">
                  <c:v>0.262679573644297</c:v>
                </c:pt>
                <c:pt idx="364">
                  <c:v>0.26281016553798897</c:v>
                </c:pt>
                <c:pt idx="365">
                  <c:v>0.26313343232716774</c:v>
                </c:pt>
                <c:pt idx="366">
                  <c:v>0.26325030986969727</c:v>
                </c:pt>
                <c:pt idx="367">
                  <c:v>0.26333851057374658</c:v>
                </c:pt>
                <c:pt idx="368">
                  <c:v>0.26372351220035972</c:v>
                </c:pt>
                <c:pt idx="369">
                  <c:v>0.26397399150635281</c:v>
                </c:pt>
                <c:pt idx="370">
                  <c:v>0.26401372595471984</c:v>
                </c:pt>
                <c:pt idx="371">
                  <c:v>0.26427194134407683</c:v>
                </c:pt>
                <c:pt idx="372">
                  <c:v>0.26428811211805969</c:v>
                </c:pt>
                <c:pt idx="373">
                  <c:v>0.26431600285783519</c:v>
                </c:pt>
                <c:pt idx="374">
                  <c:v>0.26438917868449141</c:v>
                </c:pt>
                <c:pt idx="375">
                  <c:v>0.26443311688695448</c:v>
                </c:pt>
                <c:pt idx="376">
                  <c:v>0.26445256114241472</c:v>
                </c:pt>
                <c:pt idx="377">
                  <c:v>0.26463122327911065</c:v>
                </c:pt>
                <c:pt idx="378">
                  <c:v>0.26493498864668241</c:v>
                </c:pt>
                <c:pt idx="379">
                  <c:v>0.26495949493503002</c:v>
                </c:pt>
                <c:pt idx="380">
                  <c:v>0.26533219952206949</c:v>
                </c:pt>
                <c:pt idx="381">
                  <c:v>0.265341961318874</c:v>
                </c:pt>
                <c:pt idx="382">
                  <c:v>0.26546049134711736</c:v>
                </c:pt>
                <c:pt idx="383">
                  <c:v>0.26563068939660084</c:v>
                </c:pt>
                <c:pt idx="384">
                  <c:v>0.26565633048819937</c:v>
                </c:pt>
                <c:pt idx="385">
                  <c:v>0.26579770760885457</c:v>
                </c:pt>
                <c:pt idx="386">
                  <c:v>0.26604163825770888</c:v>
                </c:pt>
                <c:pt idx="387">
                  <c:v>0.26607801051944613</c:v>
                </c:pt>
                <c:pt idx="388">
                  <c:v>0.26635242291997119</c:v>
                </c:pt>
                <c:pt idx="389">
                  <c:v>0.26635756207733396</c:v>
                </c:pt>
                <c:pt idx="390">
                  <c:v>0.26641057904886761</c:v>
                </c:pt>
                <c:pt idx="391">
                  <c:v>0.26642930043043117</c:v>
                </c:pt>
                <c:pt idx="392">
                  <c:v>0.26648949067717914</c:v>
                </c:pt>
                <c:pt idx="393">
                  <c:v>0.26659741864469499</c:v>
                </c:pt>
                <c:pt idx="394">
                  <c:v>0.26669707175878826</c:v>
                </c:pt>
                <c:pt idx="395">
                  <c:v>0.26684888180490923</c:v>
                </c:pt>
                <c:pt idx="396">
                  <c:v>0.26690455935450486</c:v>
                </c:pt>
                <c:pt idx="397">
                  <c:v>0.26714468138798547</c:v>
                </c:pt>
                <c:pt idx="398">
                  <c:v>0.26724284495001766</c:v>
                </c:pt>
                <c:pt idx="399">
                  <c:v>0.26732266945539751</c:v>
                </c:pt>
                <c:pt idx="400">
                  <c:v>0.26742896391692389</c:v>
                </c:pt>
                <c:pt idx="401">
                  <c:v>0.26756111480456124</c:v>
                </c:pt>
                <c:pt idx="402">
                  <c:v>0.26756479201997513</c:v>
                </c:pt>
                <c:pt idx="403">
                  <c:v>0.26779877407871977</c:v>
                </c:pt>
                <c:pt idx="404">
                  <c:v>0.26780406613549057</c:v>
                </c:pt>
                <c:pt idx="405">
                  <c:v>0.26810330040515001</c:v>
                </c:pt>
                <c:pt idx="406">
                  <c:v>0.26832951065252725</c:v>
                </c:pt>
                <c:pt idx="407">
                  <c:v>0.26840855104281447</c:v>
                </c:pt>
                <c:pt idx="408">
                  <c:v>0.26868800970145812</c:v>
                </c:pt>
                <c:pt idx="409">
                  <c:v>0.26881577374906729</c:v>
                </c:pt>
                <c:pt idx="410">
                  <c:v>0.26894324274437731</c:v>
                </c:pt>
                <c:pt idx="411">
                  <c:v>0.26911433291201486</c:v>
                </c:pt>
                <c:pt idx="412">
                  <c:v>0.26956593311583826</c:v>
                </c:pt>
                <c:pt idx="413">
                  <c:v>0.26963147056187009</c:v>
                </c:pt>
                <c:pt idx="414">
                  <c:v>0.26974741646518702</c:v>
                </c:pt>
                <c:pt idx="415">
                  <c:v>0.26978850483596811</c:v>
                </c:pt>
                <c:pt idx="416">
                  <c:v>0.26986151731694602</c:v>
                </c:pt>
                <c:pt idx="417">
                  <c:v>0.26993582040216502</c:v>
                </c:pt>
                <c:pt idx="418">
                  <c:v>0.26996479411702351</c:v>
                </c:pt>
                <c:pt idx="419">
                  <c:v>0.27000473930789493</c:v>
                </c:pt>
                <c:pt idx="420">
                  <c:v>0.27018604233114374</c:v>
                </c:pt>
                <c:pt idx="421">
                  <c:v>0.2702013925550425</c:v>
                </c:pt>
                <c:pt idx="422">
                  <c:v>0.27022633207157476</c:v>
                </c:pt>
                <c:pt idx="423">
                  <c:v>0.27036961914247976</c:v>
                </c:pt>
                <c:pt idx="424">
                  <c:v>0.27037253776441644</c:v>
                </c:pt>
                <c:pt idx="425">
                  <c:v>0.27053064238511204</c:v>
                </c:pt>
                <c:pt idx="426">
                  <c:v>0.27074410326497095</c:v>
                </c:pt>
                <c:pt idx="427">
                  <c:v>0.27082374120218089</c:v>
                </c:pt>
                <c:pt idx="428">
                  <c:v>0.27112125680531945</c:v>
                </c:pt>
                <c:pt idx="429">
                  <c:v>0.27121197548361831</c:v>
                </c:pt>
                <c:pt idx="430">
                  <c:v>0.27121996313968372</c:v>
                </c:pt>
                <c:pt idx="431">
                  <c:v>0.27139308306254351</c:v>
                </c:pt>
                <c:pt idx="432">
                  <c:v>0.27170860658448831</c:v>
                </c:pt>
                <c:pt idx="433">
                  <c:v>0.27185525890103424</c:v>
                </c:pt>
                <c:pt idx="434">
                  <c:v>0.27190035774407512</c:v>
                </c:pt>
                <c:pt idx="435">
                  <c:v>0.27192707933069044</c:v>
                </c:pt>
                <c:pt idx="436">
                  <c:v>0.27197904640169379</c:v>
                </c:pt>
                <c:pt idx="437">
                  <c:v>0.27201901565795461</c:v>
                </c:pt>
                <c:pt idx="438">
                  <c:v>0.27232126058614153</c:v>
                </c:pt>
                <c:pt idx="439">
                  <c:v>0.27234866471681057</c:v>
                </c:pt>
                <c:pt idx="440">
                  <c:v>0.2723525847119882</c:v>
                </c:pt>
                <c:pt idx="441">
                  <c:v>0.27241819022031821</c:v>
                </c:pt>
                <c:pt idx="442">
                  <c:v>0.27269834558107509</c:v>
                </c:pt>
                <c:pt idx="443">
                  <c:v>0.27279038033700959</c:v>
                </c:pt>
                <c:pt idx="444">
                  <c:v>0.27284845157121729</c:v>
                </c:pt>
                <c:pt idx="445">
                  <c:v>0.27305502252291514</c:v>
                </c:pt>
                <c:pt idx="446">
                  <c:v>0.27309496796258487</c:v>
                </c:pt>
                <c:pt idx="447">
                  <c:v>0.27323415223429387</c:v>
                </c:pt>
                <c:pt idx="448">
                  <c:v>0.27359102764158427</c:v>
                </c:pt>
                <c:pt idx="449">
                  <c:v>0.27360810018907683</c:v>
                </c:pt>
                <c:pt idx="450">
                  <c:v>0.27368041302993468</c:v>
                </c:pt>
                <c:pt idx="451">
                  <c:v>0.27375450312071753</c:v>
                </c:pt>
                <c:pt idx="452">
                  <c:v>0.27411415802270495</c:v>
                </c:pt>
                <c:pt idx="453">
                  <c:v>0.27419179732471433</c:v>
                </c:pt>
                <c:pt idx="454">
                  <c:v>0.27424923490857983</c:v>
                </c:pt>
                <c:pt idx="455">
                  <c:v>0.27429201346843068</c:v>
                </c:pt>
                <c:pt idx="456">
                  <c:v>0.27431558653572946</c:v>
                </c:pt>
                <c:pt idx="457">
                  <c:v>0.2745391238506954</c:v>
                </c:pt>
                <c:pt idx="458">
                  <c:v>0.27467764482887719</c:v>
                </c:pt>
                <c:pt idx="459">
                  <c:v>0.27499198185775742</c:v>
                </c:pt>
                <c:pt idx="460">
                  <c:v>0.27499357725323714</c:v>
                </c:pt>
                <c:pt idx="461">
                  <c:v>0.27516878148011514</c:v>
                </c:pt>
                <c:pt idx="462">
                  <c:v>0.27518574073617486</c:v>
                </c:pt>
                <c:pt idx="463">
                  <c:v>0.27524851839914372</c:v>
                </c:pt>
                <c:pt idx="464">
                  <c:v>0.27527932124798987</c:v>
                </c:pt>
                <c:pt idx="465">
                  <c:v>0.27534100896218083</c:v>
                </c:pt>
                <c:pt idx="466">
                  <c:v>0.27560956439926787</c:v>
                </c:pt>
                <c:pt idx="467">
                  <c:v>0.27584487133501168</c:v>
                </c:pt>
                <c:pt idx="468">
                  <c:v>0.27598870069631837</c:v>
                </c:pt>
                <c:pt idx="469">
                  <c:v>0.2760465427293482</c:v>
                </c:pt>
                <c:pt idx="470">
                  <c:v>0.27611444592579054</c:v>
                </c:pt>
                <c:pt idx="471">
                  <c:v>0.27613757196591865</c:v>
                </c:pt>
                <c:pt idx="472">
                  <c:v>0.27615100465385334</c:v>
                </c:pt>
                <c:pt idx="473">
                  <c:v>0.27619797965452375</c:v>
                </c:pt>
                <c:pt idx="474">
                  <c:v>0.27620677090246726</c:v>
                </c:pt>
                <c:pt idx="475">
                  <c:v>0.27644893081051253</c:v>
                </c:pt>
                <c:pt idx="476">
                  <c:v>0.27645321848280308</c:v>
                </c:pt>
                <c:pt idx="477">
                  <c:v>0.27649194859418103</c:v>
                </c:pt>
                <c:pt idx="478">
                  <c:v>0.27670468505580614</c:v>
                </c:pt>
                <c:pt idx="479">
                  <c:v>0.27671253520736849</c:v>
                </c:pt>
                <c:pt idx="480">
                  <c:v>0.27683747404722059</c:v>
                </c:pt>
                <c:pt idx="481">
                  <c:v>0.27686962083065381</c:v>
                </c:pt>
                <c:pt idx="482">
                  <c:v>0.2769021705650786</c:v>
                </c:pt>
                <c:pt idx="483">
                  <c:v>0.27692286308941605</c:v>
                </c:pt>
                <c:pt idx="484">
                  <c:v>0.27692579118715765</c:v>
                </c:pt>
                <c:pt idx="485">
                  <c:v>0.27726857692947759</c:v>
                </c:pt>
                <c:pt idx="486">
                  <c:v>0.27730854959129714</c:v>
                </c:pt>
                <c:pt idx="487">
                  <c:v>0.27748177076464969</c:v>
                </c:pt>
                <c:pt idx="488">
                  <c:v>0.27750840279023808</c:v>
                </c:pt>
                <c:pt idx="489">
                  <c:v>0.27759988910271527</c:v>
                </c:pt>
                <c:pt idx="490">
                  <c:v>0.27784085269862241</c:v>
                </c:pt>
                <c:pt idx="491">
                  <c:v>0.27785000282831263</c:v>
                </c:pt>
                <c:pt idx="492">
                  <c:v>0.27804611395250067</c:v>
                </c:pt>
                <c:pt idx="493">
                  <c:v>0.27805040231210609</c:v>
                </c:pt>
                <c:pt idx="494">
                  <c:v>0.27809137008444951</c:v>
                </c:pt>
                <c:pt idx="495">
                  <c:v>0.27811857094551828</c:v>
                </c:pt>
                <c:pt idx="496">
                  <c:v>0.27817545643518032</c:v>
                </c:pt>
                <c:pt idx="497">
                  <c:v>0.27818367874928984</c:v>
                </c:pt>
                <c:pt idx="498">
                  <c:v>0.27824726845787218</c:v>
                </c:pt>
                <c:pt idx="499">
                  <c:v>0.27834697311996748</c:v>
                </c:pt>
                <c:pt idx="500">
                  <c:v>0.27835016988094735</c:v>
                </c:pt>
                <c:pt idx="501">
                  <c:v>0.27865308504901598</c:v>
                </c:pt>
                <c:pt idx="502">
                  <c:v>0.27872228623247286</c:v>
                </c:pt>
                <c:pt idx="503">
                  <c:v>0.2788714807055695</c:v>
                </c:pt>
                <c:pt idx="504">
                  <c:v>0.27916201420063441</c:v>
                </c:pt>
                <c:pt idx="505">
                  <c:v>0.27926768597879525</c:v>
                </c:pt>
                <c:pt idx="506">
                  <c:v>0.27932165840972401</c:v>
                </c:pt>
                <c:pt idx="507">
                  <c:v>0.27965438867868531</c:v>
                </c:pt>
                <c:pt idx="508">
                  <c:v>0.2797010889841392</c:v>
                </c:pt>
                <c:pt idx="509">
                  <c:v>0.27981404249335384</c:v>
                </c:pt>
                <c:pt idx="510">
                  <c:v>0.2798330416764947</c:v>
                </c:pt>
                <c:pt idx="511">
                  <c:v>0.27984252807154908</c:v>
                </c:pt>
                <c:pt idx="512">
                  <c:v>0.27987237089063288</c:v>
                </c:pt>
                <c:pt idx="513">
                  <c:v>0.27991398159393061</c:v>
                </c:pt>
                <c:pt idx="514">
                  <c:v>0.28021442437657884</c:v>
                </c:pt>
                <c:pt idx="515">
                  <c:v>0.28040746371977893</c:v>
                </c:pt>
                <c:pt idx="516">
                  <c:v>0.28043413754630198</c:v>
                </c:pt>
                <c:pt idx="517">
                  <c:v>0.28046376766836945</c:v>
                </c:pt>
                <c:pt idx="518">
                  <c:v>0.2804872651438397</c:v>
                </c:pt>
                <c:pt idx="519">
                  <c:v>0.28070973352686945</c:v>
                </c:pt>
                <c:pt idx="520">
                  <c:v>0.28074288024376115</c:v>
                </c:pt>
                <c:pt idx="521">
                  <c:v>0.28081256961358636</c:v>
                </c:pt>
                <c:pt idx="522">
                  <c:v>0.28109360972345843</c:v>
                </c:pt>
                <c:pt idx="523">
                  <c:v>0.28111035824489145</c:v>
                </c:pt>
                <c:pt idx="524">
                  <c:v>0.28116213241895011</c:v>
                </c:pt>
                <c:pt idx="525">
                  <c:v>0.28120906808046003</c:v>
                </c:pt>
                <c:pt idx="526">
                  <c:v>0.28124715091729013</c:v>
                </c:pt>
                <c:pt idx="527">
                  <c:v>0.28150412881338716</c:v>
                </c:pt>
                <c:pt idx="528">
                  <c:v>0.28166564288090506</c:v>
                </c:pt>
                <c:pt idx="529">
                  <c:v>0.28173136823279171</c:v>
                </c:pt>
                <c:pt idx="530">
                  <c:v>0.28173398220593737</c:v>
                </c:pt>
                <c:pt idx="531">
                  <c:v>0.28176999126824492</c:v>
                </c:pt>
                <c:pt idx="532">
                  <c:v>0.28182249663805953</c:v>
                </c:pt>
                <c:pt idx="533">
                  <c:v>0.28193927568798327</c:v>
                </c:pt>
                <c:pt idx="534">
                  <c:v>0.28195381335119812</c:v>
                </c:pt>
                <c:pt idx="535">
                  <c:v>0.2820004600177034</c:v>
                </c:pt>
                <c:pt idx="536">
                  <c:v>0.28208800131905554</c:v>
                </c:pt>
                <c:pt idx="537">
                  <c:v>0.28212038919024712</c:v>
                </c:pt>
                <c:pt idx="538">
                  <c:v>0.28213271321944067</c:v>
                </c:pt>
                <c:pt idx="539">
                  <c:v>0.28215049117533891</c:v>
                </c:pt>
                <c:pt idx="540">
                  <c:v>0.28226816323777981</c:v>
                </c:pt>
                <c:pt idx="541">
                  <c:v>0.28254202061471961</c:v>
                </c:pt>
                <c:pt idx="542">
                  <c:v>0.28260722083043061</c:v>
                </c:pt>
                <c:pt idx="543">
                  <c:v>0.28294923915977671</c:v>
                </c:pt>
                <c:pt idx="544">
                  <c:v>0.28295931249905693</c:v>
                </c:pt>
                <c:pt idx="545">
                  <c:v>0.28316127599286156</c:v>
                </c:pt>
                <c:pt idx="546">
                  <c:v>0.28330436733192721</c:v>
                </c:pt>
                <c:pt idx="547">
                  <c:v>0.28351796311368116</c:v>
                </c:pt>
                <c:pt idx="548">
                  <c:v>0.28378091120816906</c:v>
                </c:pt>
                <c:pt idx="549">
                  <c:v>0.28390587079135282</c:v>
                </c:pt>
                <c:pt idx="550">
                  <c:v>0.28393389842785477</c:v>
                </c:pt>
                <c:pt idx="551">
                  <c:v>0.28413227199863822</c:v>
                </c:pt>
                <c:pt idx="552">
                  <c:v>0.28418234276013676</c:v>
                </c:pt>
                <c:pt idx="553">
                  <c:v>0.28431685712213051</c:v>
                </c:pt>
                <c:pt idx="554">
                  <c:v>0.28431768974935123</c:v>
                </c:pt>
                <c:pt idx="555">
                  <c:v>0.28435222910566754</c:v>
                </c:pt>
                <c:pt idx="556">
                  <c:v>0.28450312038535241</c:v>
                </c:pt>
                <c:pt idx="557">
                  <c:v>0.28451848763144738</c:v>
                </c:pt>
                <c:pt idx="558">
                  <c:v>0.28453440741015601</c:v>
                </c:pt>
                <c:pt idx="559">
                  <c:v>0.28461212390414731</c:v>
                </c:pt>
                <c:pt idx="560">
                  <c:v>0.28475186217583714</c:v>
                </c:pt>
                <c:pt idx="561">
                  <c:v>0.28491629618148895</c:v>
                </c:pt>
                <c:pt idx="562">
                  <c:v>0.28493859609885475</c:v>
                </c:pt>
                <c:pt idx="563">
                  <c:v>0.2849839764400342</c:v>
                </c:pt>
                <c:pt idx="564">
                  <c:v>0.28525843280232649</c:v>
                </c:pt>
                <c:pt idx="565">
                  <c:v>0.28560835896395864</c:v>
                </c:pt>
                <c:pt idx="566">
                  <c:v>0.28588382104421284</c:v>
                </c:pt>
                <c:pt idx="567">
                  <c:v>0.28590708599510067</c:v>
                </c:pt>
                <c:pt idx="568">
                  <c:v>0.28599166254357933</c:v>
                </c:pt>
                <c:pt idx="569">
                  <c:v>0.28606286169569217</c:v>
                </c:pt>
                <c:pt idx="570">
                  <c:v>0.28610799074183146</c:v>
                </c:pt>
                <c:pt idx="571">
                  <c:v>0.28612918844498519</c:v>
                </c:pt>
                <c:pt idx="572">
                  <c:v>0.28623358899020501</c:v>
                </c:pt>
                <c:pt idx="573">
                  <c:v>0.28631501726954756</c:v>
                </c:pt>
                <c:pt idx="574">
                  <c:v>0.28645337776124763</c:v>
                </c:pt>
                <c:pt idx="575">
                  <c:v>0.28646712445499384</c:v>
                </c:pt>
                <c:pt idx="576">
                  <c:v>0.28652549843438624</c:v>
                </c:pt>
                <c:pt idx="577">
                  <c:v>0.28653060337831243</c:v>
                </c:pt>
                <c:pt idx="578">
                  <c:v>0.28662335823739593</c:v>
                </c:pt>
                <c:pt idx="579">
                  <c:v>0.28667714945175438</c:v>
                </c:pt>
                <c:pt idx="580">
                  <c:v>0.28686943285803923</c:v>
                </c:pt>
                <c:pt idx="581">
                  <c:v>0.28721033745666247</c:v>
                </c:pt>
                <c:pt idx="582">
                  <c:v>0.28729071170852433</c:v>
                </c:pt>
                <c:pt idx="583">
                  <c:v>0.28747223654514559</c:v>
                </c:pt>
                <c:pt idx="584">
                  <c:v>0.28753820456513773</c:v>
                </c:pt>
                <c:pt idx="585">
                  <c:v>0.28763195394306479</c:v>
                </c:pt>
                <c:pt idx="586">
                  <c:v>0.28791801833057018</c:v>
                </c:pt>
                <c:pt idx="587">
                  <c:v>0.28792286277766271</c:v>
                </c:pt>
                <c:pt idx="588">
                  <c:v>0.28800939334879411</c:v>
                </c:pt>
                <c:pt idx="589">
                  <c:v>0.28801747436261027</c:v>
                </c:pt>
                <c:pt idx="590">
                  <c:v>0.28803368551127928</c:v>
                </c:pt>
                <c:pt idx="591">
                  <c:v>0.28803570610658302</c:v>
                </c:pt>
                <c:pt idx="592">
                  <c:v>0.28813141669880082</c:v>
                </c:pt>
                <c:pt idx="593">
                  <c:v>0.28840743884457282</c:v>
                </c:pt>
                <c:pt idx="594">
                  <c:v>0.28859574461968784</c:v>
                </c:pt>
                <c:pt idx="595">
                  <c:v>0.2886746259242553</c:v>
                </c:pt>
                <c:pt idx="596">
                  <c:v>0.28877185218671225</c:v>
                </c:pt>
                <c:pt idx="597">
                  <c:v>0.28890868317505347</c:v>
                </c:pt>
                <c:pt idx="598">
                  <c:v>0.28895169377246888</c:v>
                </c:pt>
                <c:pt idx="599">
                  <c:v>0.28903635141679823</c:v>
                </c:pt>
                <c:pt idx="600">
                  <c:v>0.2890687617817404</c:v>
                </c:pt>
                <c:pt idx="601">
                  <c:v>0.28921763131817196</c:v>
                </c:pt>
                <c:pt idx="602">
                  <c:v>0.28921798856325981</c:v>
                </c:pt>
                <c:pt idx="603">
                  <c:v>0.28924070525800694</c:v>
                </c:pt>
                <c:pt idx="604">
                  <c:v>0.28924486701010677</c:v>
                </c:pt>
                <c:pt idx="605">
                  <c:v>0.28933367494418544</c:v>
                </c:pt>
                <c:pt idx="606">
                  <c:v>0.28941367014259306</c:v>
                </c:pt>
                <c:pt idx="607">
                  <c:v>0.28945288263269869</c:v>
                </c:pt>
                <c:pt idx="608">
                  <c:v>0.28949785331094618</c:v>
                </c:pt>
                <c:pt idx="609">
                  <c:v>0.28950707458030334</c:v>
                </c:pt>
                <c:pt idx="610">
                  <c:v>0.28958442902209436</c:v>
                </c:pt>
                <c:pt idx="611">
                  <c:v>0.2896227542840038</c:v>
                </c:pt>
                <c:pt idx="612">
                  <c:v>0.28974673219606994</c:v>
                </c:pt>
                <c:pt idx="613">
                  <c:v>0.28976219449629115</c:v>
                </c:pt>
                <c:pt idx="614">
                  <c:v>0.28994214226898274</c:v>
                </c:pt>
                <c:pt idx="615">
                  <c:v>0.2900993785603298</c:v>
                </c:pt>
                <c:pt idx="616">
                  <c:v>0.29016530819571695</c:v>
                </c:pt>
                <c:pt idx="617">
                  <c:v>0.29028840178866488</c:v>
                </c:pt>
                <c:pt idx="618">
                  <c:v>0.29031210740897634</c:v>
                </c:pt>
                <c:pt idx="619">
                  <c:v>0.290387367717172</c:v>
                </c:pt>
                <c:pt idx="620">
                  <c:v>0.29056396794196881</c:v>
                </c:pt>
                <c:pt idx="621">
                  <c:v>0.29066687131277014</c:v>
                </c:pt>
                <c:pt idx="622">
                  <c:v>0.29075896876765006</c:v>
                </c:pt>
                <c:pt idx="623">
                  <c:v>0.29092145397479907</c:v>
                </c:pt>
                <c:pt idx="624">
                  <c:v>0.29092343459047337</c:v>
                </c:pt>
                <c:pt idx="625">
                  <c:v>0.29114894158119897</c:v>
                </c:pt>
                <c:pt idx="626">
                  <c:v>0.29125159163163128</c:v>
                </c:pt>
                <c:pt idx="627">
                  <c:v>0.29131730905011965</c:v>
                </c:pt>
                <c:pt idx="628">
                  <c:v>0.29144358974538093</c:v>
                </c:pt>
                <c:pt idx="629">
                  <c:v>0.29146088153076438</c:v>
                </c:pt>
                <c:pt idx="630">
                  <c:v>0.29158822040919347</c:v>
                </c:pt>
                <c:pt idx="631">
                  <c:v>0.2916445721242743</c:v>
                </c:pt>
                <c:pt idx="632">
                  <c:v>0.29167338838880402</c:v>
                </c:pt>
                <c:pt idx="633">
                  <c:v>0.29175387276617548</c:v>
                </c:pt>
                <c:pt idx="634">
                  <c:v>0.29179664480472162</c:v>
                </c:pt>
                <c:pt idx="635">
                  <c:v>0.29214226242312219</c:v>
                </c:pt>
                <c:pt idx="636">
                  <c:v>0.2921864682256422</c:v>
                </c:pt>
                <c:pt idx="637">
                  <c:v>0.2922446224066696</c:v>
                </c:pt>
                <c:pt idx="638">
                  <c:v>0.29228868117248019</c:v>
                </c:pt>
                <c:pt idx="639">
                  <c:v>0.29265707414687214</c:v>
                </c:pt>
                <c:pt idx="640">
                  <c:v>0.29266487280466469</c:v>
                </c:pt>
                <c:pt idx="641">
                  <c:v>0.29270789678560838</c:v>
                </c:pt>
                <c:pt idx="642">
                  <c:v>0.29284923028188004</c:v>
                </c:pt>
                <c:pt idx="643">
                  <c:v>0.29300046657386386</c:v>
                </c:pt>
                <c:pt idx="644">
                  <c:v>0.2930849578070307</c:v>
                </c:pt>
                <c:pt idx="645">
                  <c:v>0.29309927945794434</c:v>
                </c:pt>
                <c:pt idx="646">
                  <c:v>0.29323172505733242</c:v>
                </c:pt>
                <c:pt idx="647">
                  <c:v>0.29330558421265612</c:v>
                </c:pt>
                <c:pt idx="648">
                  <c:v>0.29337590934214935</c:v>
                </c:pt>
                <c:pt idx="649">
                  <c:v>0.29355663929622927</c:v>
                </c:pt>
                <c:pt idx="650">
                  <c:v>0.29379110786821599</c:v>
                </c:pt>
                <c:pt idx="651">
                  <c:v>0.29388038117330728</c:v>
                </c:pt>
                <c:pt idx="652">
                  <c:v>0.29422031868972121</c:v>
                </c:pt>
                <c:pt idx="653">
                  <c:v>0.2943359117931269</c:v>
                </c:pt>
                <c:pt idx="654">
                  <c:v>0.29440967823421221</c:v>
                </c:pt>
                <c:pt idx="655">
                  <c:v>0.29458821497007087</c:v>
                </c:pt>
                <c:pt idx="656">
                  <c:v>0.29486496777793503</c:v>
                </c:pt>
                <c:pt idx="657">
                  <c:v>0.29493535304038615</c:v>
                </c:pt>
                <c:pt idx="658">
                  <c:v>0.29509653820758808</c:v>
                </c:pt>
                <c:pt idx="659">
                  <c:v>0.29518787276222469</c:v>
                </c:pt>
                <c:pt idx="660">
                  <c:v>0.295382274987669</c:v>
                </c:pt>
                <c:pt idx="661">
                  <c:v>0.29543597316033859</c:v>
                </c:pt>
                <c:pt idx="662">
                  <c:v>0.29552071980718697</c:v>
                </c:pt>
                <c:pt idx="663">
                  <c:v>0.29562180169640967</c:v>
                </c:pt>
                <c:pt idx="664">
                  <c:v>0.29571290173603276</c:v>
                </c:pt>
                <c:pt idx="665">
                  <c:v>0.29579758058638966</c:v>
                </c:pt>
                <c:pt idx="666">
                  <c:v>0.29581109237716019</c:v>
                </c:pt>
                <c:pt idx="667">
                  <c:v>0.29583349923161384</c:v>
                </c:pt>
                <c:pt idx="668">
                  <c:v>0.2958485525918641</c:v>
                </c:pt>
                <c:pt idx="669">
                  <c:v>0.29591677298203278</c:v>
                </c:pt>
                <c:pt idx="670">
                  <c:v>0.29595774921353768</c:v>
                </c:pt>
                <c:pt idx="671">
                  <c:v>0.29597010806137897</c:v>
                </c:pt>
                <c:pt idx="672">
                  <c:v>0.2960658287915926</c:v>
                </c:pt>
                <c:pt idx="673">
                  <c:v>0.2960930022192968</c:v>
                </c:pt>
                <c:pt idx="674">
                  <c:v>0.29613741151979556</c:v>
                </c:pt>
                <c:pt idx="675">
                  <c:v>0.29614714398826331</c:v>
                </c:pt>
                <c:pt idx="676">
                  <c:v>0.29627869253015665</c:v>
                </c:pt>
                <c:pt idx="677">
                  <c:v>0.29636426398577226</c:v>
                </c:pt>
                <c:pt idx="678">
                  <c:v>0.29637095375072353</c:v>
                </c:pt>
                <c:pt idx="679">
                  <c:v>0.29655111361564013</c:v>
                </c:pt>
                <c:pt idx="680">
                  <c:v>0.2965688646698888</c:v>
                </c:pt>
                <c:pt idx="681">
                  <c:v>0.29658890614838551</c:v>
                </c:pt>
                <c:pt idx="682">
                  <c:v>0.29661475744192456</c:v>
                </c:pt>
                <c:pt idx="683">
                  <c:v>0.29663463906914578</c:v>
                </c:pt>
                <c:pt idx="684">
                  <c:v>0.29671314738607235</c:v>
                </c:pt>
                <c:pt idx="685">
                  <c:v>0.29673142311635181</c:v>
                </c:pt>
                <c:pt idx="686">
                  <c:v>0.29686023734140143</c:v>
                </c:pt>
                <c:pt idx="687">
                  <c:v>0.29716551405927549</c:v>
                </c:pt>
                <c:pt idx="688">
                  <c:v>0.29724290554894295</c:v>
                </c:pt>
                <c:pt idx="689">
                  <c:v>0.2975205679519311</c:v>
                </c:pt>
                <c:pt idx="690">
                  <c:v>0.29762774530833891</c:v>
                </c:pt>
                <c:pt idx="691">
                  <c:v>0.2977367365698198</c:v>
                </c:pt>
                <c:pt idx="692">
                  <c:v>0.29777511846608051</c:v>
                </c:pt>
                <c:pt idx="693">
                  <c:v>0.29792551674996592</c:v>
                </c:pt>
                <c:pt idx="694">
                  <c:v>0.29811298937232211</c:v>
                </c:pt>
                <c:pt idx="695">
                  <c:v>0.29820123768875473</c:v>
                </c:pt>
                <c:pt idx="696">
                  <c:v>0.29829288147676014</c:v>
                </c:pt>
                <c:pt idx="697">
                  <c:v>0.29836328191855283</c:v>
                </c:pt>
                <c:pt idx="698">
                  <c:v>0.29853134143955973</c:v>
                </c:pt>
                <c:pt idx="699">
                  <c:v>0.29854553977596537</c:v>
                </c:pt>
                <c:pt idx="700">
                  <c:v>0.29855161874799135</c:v>
                </c:pt>
                <c:pt idx="701">
                  <c:v>0.29867304502008851</c:v>
                </c:pt>
                <c:pt idx="702">
                  <c:v>0.29871062880205762</c:v>
                </c:pt>
                <c:pt idx="703">
                  <c:v>0.29877391633884709</c:v>
                </c:pt>
                <c:pt idx="704">
                  <c:v>0.29882021090128202</c:v>
                </c:pt>
                <c:pt idx="705">
                  <c:v>0.2988386517468774</c:v>
                </c:pt>
                <c:pt idx="706">
                  <c:v>0.29900469328965584</c:v>
                </c:pt>
                <c:pt idx="707">
                  <c:v>0.29905880958506414</c:v>
                </c:pt>
                <c:pt idx="708">
                  <c:v>0.29909055706688731</c:v>
                </c:pt>
                <c:pt idx="709">
                  <c:v>0.29909764937460298</c:v>
                </c:pt>
                <c:pt idx="710">
                  <c:v>0.29915376331032928</c:v>
                </c:pt>
                <c:pt idx="711">
                  <c:v>0.29917441615142204</c:v>
                </c:pt>
                <c:pt idx="712">
                  <c:v>0.29922530055906643</c:v>
                </c:pt>
                <c:pt idx="713">
                  <c:v>0.29926321627777519</c:v>
                </c:pt>
                <c:pt idx="714">
                  <c:v>0.29933729600008374</c:v>
                </c:pt>
                <c:pt idx="715">
                  <c:v>0.29948743038640629</c:v>
                </c:pt>
                <c:pt idx="716">
                  <c:v>0.29950641576191372</c:v>
                </c:pt>
                <c:pt idx="717">
                  <c:v>0.29952023701498443</c:v>
                </c:pt>
                <c:pt idx="718">
                  <c:v>0.29955273203355992</c:v>
                </c:pt>
                <c:pt idx="719">
                  <c:v>0.29964599211241427</c:v>
                </c:pt>
                <c:pt idx="720">
                  <c:v>0.29967729557695844</c:v>
                </c:pt>
                <c:pt idx="721">
                  <c:v>0.29976823651848328</c:v>
                </c:pt>
                <c:pt idx="722">
                  <c:v>0.29981334938405868</c:v>
                </c:pt>
                <c:pt idx="723">
                  <c:v>0.29987241589472785</c:v>
                </c:pt>
                <c:pt idx="724">
                  <c:v>0.29990949817280638</c:v>
                </c:pt>
                <c:pt idx="725">
                  <c:v>0.30005008205582057</c:v>
                </c:pt>
                <c:pt idx="726">
                  <c:v>0.30021322421734364</c:v>
                </c:pt>
                <c:pt idx="727">
                  <c:v>0.30021915440929153</c:v>
                </c:pt>
                <c:pt idx="728">
                  <c:v>0.30022177285606921</c:v>
                </c:pt>
                <c:pt idx="729">
                  <c:v>0.30033958107328018</c:v>
                </c:pt>
                <c:pt idx="730">
                  <c:v>0.30036525947362946</c:v>
                </c:pt>
                <c:pt idx="731">
                  <c:v>0.30043196932803318</c:v>
                </c:pt>
                <c:pt idx="732">
                  <c:v>0.3006916296027492</c:v>
                </c:pt>
                <c:pt idx="733">
                  <c:v>0.30088663779719804</c:v>
                </c:pt>
                <c:pt idx="734">
                  <c:v>0.30089451235363801</c:v>
                </c:pt>
                <c:pt idx="735">
                  <c:v>0.30107327423056374</c:v>
                </c:pt>
                <c:pt idx="736">
                  <c:v>0.30118795837966261</c:v>
                </c:pt>
                <c:pt idx="737">
                  <c:v>0.30121612022891142</c:v>
                </c:pt>
                <c:pt idx="738">
                  <c:v>0.30124602511069692</c:v>
                </c:pt>
                <c:pt idx="739">
                  <c:v>0.30128498588539626</c:v>
                </c:pt>
                <c:pt idx="740">
                  <c:v>0.3013903080044445</c:v>
                </c:pt>
                <c:pt idx="741">
                  <c:v>0.30146389183738187</c:v>
                </c:pt>
                <c:pt idx="742">
                  <c:v>0.30147976600302306</c:v>
                </c:pt>
                <c:pt idx="743">
                  <c:v>0.30155170862409336</c:v>
                </c:pt>
                <c:pt idx="744">
                  <c:v>0.30156602110456121</c:v>
                </c:pt>
                <c:pt idx="745">
                  <c:v>0.30170423066469249</c:v>
                </c:pt>
                <c:pt idx="746">
                  <c:v>0.30176559897583144</c:v>
                </c:pt>
                <c:pt idx="747">
                  <c:v>0.30179598859797246</c:v>
                </c:pt>
                <c:pt idx="748">
                  <c:v>0.30184223293726609</c:v>
                </c:pt>
                <c:pt idx="749">
                  <c:v>0.30204515344000327</c:v>
                </c:pt>
                <c:pt idx="750">
                  <c:v>0.30211340062273229</c:v>
                </c:pt>
                <c:pt idx="751">
                  <c:v>0.3021614157216031</c:v>
                </c:pt>
                <c:pt idx="752">
                  <c:v>0.30216499303984579</c:v>
                </c:pt>
                <c:pt idx="753">
                  <c:v>0.30232609953502637</c:v>
                </c:pt>
                <c:pt idx="754">
                  <c:v>0.30245743539950676</c:v>
                </c:pt>
                <c:pt idx="755">
                  <c:v>0.30255805681271469</c:v>
                </c:pt>
                <c:pt idx="756">
                  <c:v>0.30257605899076523</c:v>
                </c:pt>
                <c:pt idx="757">
                  <c:v>0.30264162057595689</c:v>
                </c:pt>
                <c:pt idx="758">
                  <c:v>0.30266137864111931</c:v>
                </c:pt>
                <c:pt idx="759">
                  <c:v>0.30292763032081055</c:v>
                </c:pt>
                <c:pt idx="760">
                  <c:v>0.30292892320651565</c:v>
                </c:pt>
                <c:pt idx="761">
                  <c:v>0.30296235210407446</c:v>
                </c:pt>
                <c:pt idx="762">
                  <c:v>0.30305320518450696</c:v>
                </c:pt>
                <c:pt idx="763">
                  <c:v>0.30325554743273453</c:v>
                </c:pt>
                <c:pt idx="764">
                  <c:v>0.30326773595647677</c:v>
                </c:pt>
                <c:pt idx="765">
                  <c:v>0.30326823182264068</c:v>
                </c:pt>
                <c:pt idx="766">
                  <c:v>0.30351167976261467</c:v>
                </c:pt>
                <c:pt idx="767">
                  <c:v>0.30356754379152645</c:v>
                </c:pt>
                <c:pt idx="768">
                  <c:v>0.30367320864477831</c:v>
                </c:pt>
                <c:pt idx="769">
                  <c:v>0.30385402568123698</c:v>
                </c:pt>
                <c:pt idx="770">
                  <c:v>0.30404816366457882</c:v>
                </c:pt>
                <c:pt idx="771">
                  <c:v>0.30406107284511941</c:v>
                </c:pt>
                <c:pt idx="772">
                  <c:v>0.30425666595683093</c:v>
                </c:pt>
                <c:pt idx="773">
                  <c:v>0.30431237803379518</c:v>
                </c:pt>
                <c:pt idx="774">
                  <c:v>0.30432209318417486</c:v>
                </c:pt>
                <c:pt idx="775">
                  <c:v>0.30445641195041873</c:v>
                </c:pt>
                <c:pt idx="776">
                  <c:v>0.30446850089725702</c:v>
                </c:pt>
                <c:pt idx="777">
                  <c:v>0.30467881598697893</c:v>
                </c:pt>
                <c:pt idx="778">
                  <c:v>0.30478267196674552</c:v>
                </c:pt>
                <c:pt idx="779">
                  <c:v>0.30489160004615223</c:v>
                </c:pt>
                <c:pt idx="780">
                  <c:v>0.30504776805954253</c:v>
                </c:pt>
                <c:pt idx="781">
                  <c:v>0.30519701659003556</c:v>
                </c:pt>
                <c:pt idx="782">
                  <c:v>0.30529318603190364</c:v>
                </c:pt>
                <c:pt idx="783">
                  <c:v>0.30545239682292508</c:v>
                </c:pt>
                <c:pt idx="784">
                  <c:v>0.30545433119956866</c:v>
                </c:pt>
                <c:pt idx="785">
                  <c:v>0.30552931142599621</c:v>
                </c:pt>
                <c:pt idx="786">
                  <c:v>0.30560827926170592</c:v>
                </c:pt>
                <c:pt idx="787">
                  <c:v>0.30572320804613745</c:v>
                </c:pt>
                <c:pt idx="788">
                  <c:v>0.30572794199446235</c:v>
                </c:pt>
                <c:pt idx="789">
                  <c:v>0.30592971594837665</c:v>
                </c:pt>
                <c:pt idx="790">
                  <c:v>0.30594210952528905</c:v>
                </c:pt>
                <c:pt idx="791">
                  <c:v>0.30596119666275012</c:v>
                </c:pt>
                <c:pt idx="792">
                  <c:v>0.30610191284804211</c:v>
                </c:pt>
                <c:pt idx="793">
                  <c:v>0.30614178032635164</c:v>
                </c:pt>
                <c:pt idx="794">
                  <c:v>0.30623966327416319</c:v>
                </c:pt>
                <c:pt idx="795">
                  <c:v>0.30627211737736071</c:v>
                </c:pt>
                <c:pt idx="796">
                  <c:v>0.30627914647285026</c:v>
                </c:pt>
                <c:pt idx="797">
                  <c:v>0.30638192893268501</c:v>
                </c:pt>
                <c:pt idx="798">
                  <c:v>0.30647617396264693</c:v>
                </c:pt>
                <c:pt idx="799">
                  <c:v>0.3065741483431092</c:v>
                </c:pt>
                <c:pt idx="800">
                  <c:v>0.30666065776668444</c:v>
                </c:pt>
                <c:pt idx="801">
                  <c:v>0.30683257610840697</c:v>
                </c:pt>
                <c:pt idx="802">
                  <c:v>0.30685750734178535</c:v>
                </c:pt>
                <c:pt idx="803">
                  <c:v>0.30687668852353528</c:v>
                </c:pt>
                <c:pt idx="804">
                  <c:v>0.306886708018897</c:v>
                </c:pt>
                <c:pt idx="805">
                  <c:v>0.30699326009650463</c:v>
                </c:pt>
                <c:pt idx="806">
                  <c:v>0.30716063926182269</c:v>
                </c:pt>
                <c:pt idx="807">
                  <c:v>0.30722499116601343</c:v>
                </c:pt>
                <c:pt idx="808">
                  <c:v>0.3072772175808004</c:v>
                </c:pt>
                <c:pt idx="809">
                  <c:v>0.3074389573393792</c:v>
                </c:pt>
                <c:pt idx="810">
                  <c:v>0.30745106968236546</c:v>
                </c:pt>
                <c:pt idx="811">
                  <c:v>0.30763578964422028</c:v>
                </c:pt>
                <c:pt idx="812">
                  <c:v>0.30768080460027597</c:v>
                </c:pt>
                <c:pt idx="813">
                  <c:v>0.30771287531645763</c:v>
                </c:pt>
                <c:pt idx="814">
                  <c:v>0.30794716881986284</c:v>
                </c:pt>
                <c:pt idx="815">
                  <c:v>0.30795729655848098</c:v>
                </c:pt>
                <c:pt idx="816">
                  <c:v>0.3079888724614106</c:v>
                </c:pt>
                <c:pt idx="817">
                  <c:v>0.30801125518235239</c:v>
                </c:pt>
                <c:pt idx="818">
                  <c:v>0.30802941334020778</c:v>
                </c:pt>
                <c:pt idx="819">
                  <c:v>0.30813542180075182</c:v>
                </c:pt>
                <c:pt idx="820">
                  <c:v>0.30823174844433576</c:v>
                </c:pt>
                <c:pt idx="821">
                  <c:v>0.30826601211033039</c:v>
                </c:pt>
                <c:pt idx="822">
                  <c:v>0.30827500614689279</c:v>
                </c:pt>
                <c:pt idx="823">
                  <c:v>0.30841931957911312</c:v>
                </c:pt>
                <c:pt idx="824">
                  <c:v>0.30846353066801663</c:v>
                </c:pt>
                <c:pt idx="825">
                  <c:v>0.30850483388868644</c:v>
                </c:pt>
                <c:pt idx="826">
                  <c:v>0.30852924454327407</c:v>
                </c:pt>
                <c:pt idx="827">
                  <c:v>0.30863888459395705</c:v>
                </c:pt>
                <c:pt idx="828">
                  <c:v>0.30867802615766077</c:v>
                </c:pt>
                <c:pt idx="829">
                  <c:v>0.30872059740282337</c:v>
                </c:pt>
                <c:pt idx="830">
                  <c:v>0.30883540568922668</c:v>
                </c:pt>
                <c:pt idx="831">
                  <c:v>0.30892943465041744</c:v>
                </c:pt>
                <c:pt idx="832">
                  <c:v>0.30907814872181283</c:v>
                </c:pt>
                <c:pt idx="833">
                  <c:v>0.30912260752398424</c:v>
                </c:pt>
                <c:pt idx="834">
                  <c:v>0.30913965278594646</c:v>
                </c:pt>
                <c:pt idx="835">
                  <c:v>0.30915236620514408</c:v>
                </c:pt>
                <c:pt idx="836">
                  <c:v>0.3092264261017752</c:v>
                </c:pt>
                <c:pt idx="837">
                  <c:v>0.30924839447577063</c:v>
                </c:pt>
                <c:pt idx="838">
                  <c:v>0.30932095662731923</c:v>
                </c:pt>
                <c:pt idx="839">
                  <c:v>0.30952060908636148</c:v>
                </c:pt>
                <c:pt idx="840">
                  <c:v>0.30965028011533385</c:v>
                </c:pt>
                <c:pt idx="841">
                  <c:v>0.3096524673397944</c:v>
                </c:pt>
                <c:pt idx="842">
                  <c:v>0.30966517363969942</c:v>
                </c:pt>
                <c:pt idx="843">
                  <c:v>0.30979654157616404</c:v>
                </c:pt>
                <c:pt idx="844">
                  <c:v>0.30994695946638445</c:v>
                </c:pt>
                <c:pt idx="845">
                  <c:v>0.31011527597127342</c:v>
                </c:pt>
                <c:pt idx="846">
                  <c:v>0.31012129308587388</c:v>
                </c:pt>
                <c:pt idx="847">
                  <c:v>0.31015212666849135</c:v>
                </c:pt>
                <c:pt idx="848">
                  <c:v>0.31031511581429</c:v>
                </c:pt>
                <c:pt idx="849">
                  <c:v>0.31039957227634335</c:v>
                </c:pt>
                <c:pt idx="850">
                  <c:v>0.31046616744462957</c:v>
                </c:pt>
                <c:pt idx="851">
                  <c:v>0.31048966661138483</c:v>
                </c:pt>
                <c:pt idx="852">
                  <c:v>0.31053258096048764</c:v>
                </c:pt>
                <c:pt idx="853">
                  <c:v>0.3106334406561988</c:v>
                </c:pt>
                <c:pt idx="854">
                  <c:v>0.31068885730421031</c:v>
                </c:pt>
                <c:pt idx="855">
                  <c:v>0.31072306668447169</c:v>
                </c:pt>
                <c:pt idx="856">
                  <c:v>0.31082779201596367</c:v>
                </c:pt>
                <c:pt idx="857">
                  <c:v>0.31087809106901726</c:v>
                </c:pt>
                <c:pt idx="858">
                  <c:v>0.31097319274526647</c:v>
                </c:pt>
                <c:pt idx="859">
                  <c:v>0.31097611349355586</c:v>
                </c:pt>
                <c:pt idx="860">
                  <c:v>0.31106133470734487</c:v>
                </c:pt>
                <c:pt idx="861">
                  <c:v>0.31115074932332015</c:v>
                </c:pt>
                <c:pt idx="862">
                  <c:v>0.31136039529026482</c:v>
                </c:pt>
                <c:pt idx="863">
                  <c:v>0.31136947666988263</c:v>
                </c:pt>
                <c:pt idx="864">
                  <c:v>0.31146258908230451</c:v>
                </c:pt>
                <c:pt idx="865">
                  <c:v>0.31150384288935129</c:v>
                </c:pt>
                <c:pt idx="866">
                  <c:v>0.31162436810923289</c:v>
                </c:pt>
                <c:pt idx="867">
                  <c:v>0.31176605031675858</c:v>
                </c:pt>
                <c:pt idx="868">
                  <c:v>0.31186497227734583</c:v>
                </c:pt>
                <c:pt idx="869">
                  <c:v>0.3118734093397465</c:v>
                </c:pt>
                <c:pt idx="870">
                  <c:v>0.31209910634178439</c:v>
                </c:pt>
                <c:pt idx="871">
                  <c:v>0.31227295751469086</c:v>
                </c:pt>
                <c:pt idx="872">
                  <c:v>0.31227534945894059</c:v>
                </c:pt>
                <c:pt idx="873">
                  <c:v>0.31230676435001775</c:v>
                </c:pt>
                <c:pt idx="874">
                  <c:v>0.31254569284839706</c:v>
                </c:pt>
                <c:pt idx="875">
                  <c:v>0.31255004982531748</c:v>
                </c:pt>
                <c:pt idx="876">
                  <c:v>0.31265980073619409</c:v>
                </c:pt>
                <c:pt idx="877">
                  <c:v>0.31269413548815883</c:v>
                </c:pt>
                <c:pt idx="878">
                  <c:v>0.31283516840038883</c:v>
                </c:pt>
                <c:pt idx="879">
                  <c:v>0.31287262346368261</c:v>
                </c:pt>
                <c:pt idx="880">
                  <c:v>0.31288093234204378</c:v>
                </c:pt>
                <c:pt idx="881">
                  <c:v>0.31289741689740957</c:v>
                </c:pt>
                <c:pt idx="882">
                  <c:v>0.31294521622504706</c:v>
                </c:pt>
                <c:pt idx="883">
                  <c:v>0.31306316368709269</c:v>
                </c:pt>
                <c:pt idx="884">
                  <c:v>0.31314301990753418</c:v>
                </c:pt>
                <c:pt idx="885">
                  <c:v>0.31323589960323572</c:v>
                </c:pt>
                <c:pt idx="886">
                  <c:v>0.31327026582723139</c:v>
                </c:pt>
                <c:pt idx="887">
                  <c:v>0.31332214913728607</c:v>
                </c:pt>
                <c:pt idx="888">
                  <c:v>0.3134429125337389</c:v>
                </c:pt>
                <c:pt idx="889">
                  <c:v>0.31346130720984422</c:v>
                </c:pt>
                <c:pt idx="890">
                  <c:v>0.3135315721073122</c:v>
                </c:pt>
                <c:pt idx="891">
                  <c:v>0.31353255424808546</c:v>
                </c:pt>
                <c:pt idx="892">
                  <c:v>0.31375569982797241</c:v>
                </c:pt>
                <c:pt idx="893">
                  <c:v>0.31386955202152778</c:v>
                </c:pt>
                <c:pt idx="894">
                  <c:v>0.31388602108692309</c:v>
                </c:pt>
                <c:pt idx="895">
                  <c:v>0.31389486595407651</c:v>
                </c:pt>
                <c:pt idx="896">
                  <c:v>0.31389539562822305</c:v>
                </c:pt>
                <c:pt idx="897">
                  <c:v>0.31392407233469688</c:v>
                </c:pt>
                <c:pt idx="898">
                  <c:v>0.31393753865464735</c:v>
                </c:pt>
                <c:pt idx="899">
                  <c:v>0.31405107811991029</c:v>
                </c:pt>
                <c:pt idx="900">
                  <c:v>0.31406793920538867</c:v>
                </c:pt>
                <c:pt idx="901">
                  <c:v>0.31427550473766469</c:v>
                </c:pt>
                <c:pt idx="902">
                  <c:v>0.31460125295083541</c:v>
                </c:pt>
                <c:pt idx="903">
                  <c:v>0.31462262521384055</c:v>
                </c:pt>
                <c:pt idx="904">
                  <c:v>0.31462505150993147</c:v>
                </c:pt>
                <c:pt idx="905">
                  <c:v>0.31478295249962412</c:v>
                </c:pt>
                <c:pt idx="906">
                  <c:v>0.31486367506056945</c:v>
                </c:pt>
                <c:pt idx="907">
                  <c:v>0.31492241036544161</c:v>
                </c:pt>
                <c:pt idx="908">
                  <c:v>0.31496802990292655</c:v>
                </c:pt>
                <c:pt idx="909">
                  <c:v>0.31512208045200674</c:v>
                </c:pt>
                <c:pt idx="910">
                  <c:v>0.31517237362324879</c:v>
                </c:pt>
                <c:pt idx="911">
                  <c:v>0.31519051656764691</c:v>
                </c:pt>
                <c:pt idx="912">
                  <c:v>0.3152109561502407</c:v>
                </c:pt>
                <c:pt idx="913">
                  <c:v>0.31525035816183211</c:v>
                </c:pt>
                <c:pt idx="914">
                  <c:v>0.31532762655017793</c:v>
                </c:pt>
                <c:pt idx="915">
                  <c:v>0.31536346142774141</c:v>
                </c:pt>
                <c:pt idx="916">
                  <c:v>0.31536965349626223</c:v>
                </c:pt>
                <c:pt idx="917">
                  <c:v>0.31548168526798276</c:v>
                </c:pt>
                <c:pt idx="918">
                  <c:v>0.31563980827579896</c:v>
                </c:pt>
                <c:pt idx="919">
                  <c:v>0.31582272616689816</c:v>
                </c:pt>
                <c:pt idx="920">
                  <c:v>0.31590523883242405</c:v>
                </c:pt>
                <c:pt idx="921">
                  <c:v>0.31613829805129323</c:v>
                </c:pt>
                <c:pt idx="922">
                  <c:v>0.31625009111507396</c:v>
                </c:pt>
                <c:pt idx="923">
                  <c:v>0.31631955528333316</c:v>
                </c:pt>
                <c:pt idx="924">
                  <c:v>0.31642676481275067</c:v>
                </c:pt>
                <c:pt idx="925">
                  <c:v>0.31661268976430923</c:v>
                </c:pt>
                <c:pt idx="926">
                  <c:v>0.31675830481963069</c:v>
                </c:pt>
                <c:pt idx="927">
                  <c:v>0.31692863735776061</c:v>
                </c:pt>
                <c:pt idx="928">
                  <c:v>0.31700019035835147</c:v>
                </c:pt>
                <c:pt idx="929">
                  <c:v>0.31700758403599399</c:v>
                </c:pt>
                <c:pt idx="930">
                  <c:v>0.3170107297603284</c:v>
                </c:pt>
                <c:pt idx="931">
                  <c:v>0.31704446187873137</c:v>
                </c:pt>
                <c:pt idx="932">
                  <c:v>0.31706191183543991</c:v>
                </c:pt>
                <c:pt idx="933">
                  <c:v>0.31712429915290918</c:v>
                </c:pt>
                <c:pt idx="934">
                  <c:v>0.31733639385052437</c:v>
                </c:pt>
                <c:pt idx="935">
                  <c:v>0.31736866541574976</c:v>
                </c:pt>
                <c:pt idx="936">
                  <c:v>0.31736956391238408</c:v>
                </c:pt>
                <c:pt idx="937">
                  <c:v>0.31737983098104772</c:v>
                </c:pt>
                <c:pt idx="938">
                  <c:v>0.31762376431600903</c:v>
                </c:pt>
                <c:pt idx="939">
                  <c:v>0.31763258387220078</c:v>
                </c:pt>
                <c:pt idx="940">
                  <c:v>0.31776807533018403</c:v>
                </c:pt>
                <c:pt idx="941">
                  <c:v>0.31782892534451995</c:v>
                </c:pt>
                <c:pt idx="942">
                  <c:v>0.31783984303342877</c:v>
                </c:pt>
                <c:pt idx="943">
                  <c:v>0.31805584268870435</c:v>
                </c:pt>
                <c:pt idx="944">
                  <c:v>0.31822016456377877</c:v>
                </c:pt>
                <c:pt idx="945">
                  <c:v>0.31822434324784998</c:v>
                </c:pt>
                <c:pt idx="946">
                  <c:v>0.31824788710292923</c:v>
                </c:pt>
                <c:pt idx="947">
                  <c:v>0.31828722997644693</c:v>
                </c:pt>
                <c:pt idx="948">
                  <c:v>0.31834637668769827</c:v>
                </c:pt>
                <c:pt idx="949">
                  <c:v>0.3183466220170838</c:v>
                </c:pt>
                <c:pt idx="950">
                  <c:v>0.31835156525772651</c:v>
                </c:pt>
                <c:pt idx="951">
                  <c:v>0.31836851092795398</c:v>
                </c:pt>
                <c:pt idx="952">
                  <c:v>0.3183857728311113</c:v>
                </c:pt>
                <c:pt idx="953">
                  <c:v>0.31843115677884415</c:v>
                </c:pt>
                <c:pt idx="954">
                  <c:v>0.31847559094549827</c:v>
                </c:pt>
                <c:pt idx="955">
                  <c:v>0.31860180995804072</c:v>
                </c:pt>
                <c:pt idx="956">
                  <c:v>0.3186062820469916</c:v>
                </c:pt>
                <c:pt idx="957">
                  <c:v>0.31868225285617119</c:v>
                </c:pt>
                <c:pt idx="958">
                  <c:v>0.31929179850380879</c:v>
                </c:pt>
                <c:pt idx="959">
                  <c:v>0.31929483769736594</c:v>
                </c:pt>
                <c:pt idx="960">
                  <c:v>0.31935192464933254</c:v>
                </c:pt>
                <c:pt idx="961">
                  <c:v>0.31936249590362364</c:v>
                </c:pt>
                <c:pt idx="962">
                  <c:v>0.31940010665688018</c:v>
                </c:pt>
                <c:pt idx="963">
                  <c:v>0.31943214980683055</c:v>
                </c:pt>
                <c:pt idx="964">
                  <c:v>0.31948043002641674</c:v>
                </c:pt>
                <c:pt idx="965">
                  <c:v>0.31956277052230553</c:v>
                </c:pt>
                <c:pt idx="966">
                  <c:v>0.3196078041180288</c:v>
                </c:pt>
                <c:pt idx="967">
                  <c:v>0.3196974120538098</c:v>
                </c:pt>
                <c:pt idx="968">
                  <c:v>0.31993338097178931</c:v>
                </c:pt>
                <c:pt idx="969">
                  <c:v>0.31996027508118713</c:v>
                </c:pt>
                <c:pt idx="970">
                  <c:v>0.32006919787149696</c:v>
                </c:pt>
                <c:pt idx="971">
                  <c:v>0.32008152960017039</c:v>
                </c:pt>
                <c:pt idx="972">
                  <c:v>0.32023498930832694</c:v>
                </c:pt>
                <c:pt idx="973">
                  <c:v>0.32024251112393648</c:v>
                </c:pt>
                <c:pt idx="974">
                  <c:v>0.32026803247509911</c:v>
                </c:pt>
                <c:pt idx="975">
                  <c:v>0.32034679645264386</c:v>
                </c:pt>
                <c:pt idx="976">
                  <c:v>0.32051126663484558</c:v>
                </c:pt>
                <c:pt idx="977">
                  <c:v>0.32052096156899434</c:v>
                </c:pt>
                <c:pt idx="978">
                  <c:v>0.32057129661131689</c:v>
                </c:pt>
                <c:pt idx="979">
                  <c:v>0.32059762252081403</c:v>
                </c:pt>
                <c:pt idx="980">
                  <c:v>0.32068943670780864</c:v>
                </c:pt>
                <c:pt idx="981">
                  <c:v>0.32079841903957257</c:v>
                </c:pt>
                <c:pt idx="982">
                  <c:v>0.32088681005099384</c:v>
                </c:pt>
                <c:pt idx="983">
                  <c:v>0.3209516441049442</c:v>
                </c:pt>
                <c:pt idx="984">
                  <c:v>0.32095981153206454</c:v>
                </c:pt>
                <c:pt idx="985">
                  <c:v>0.32104274793333942</c:v>
                </c:pt>
                <c:pt idx="986">
                  <c:v>0.32117364764926898</c:v>
                </c:pt>
                <c:pt idx="987">
                  <c:v>0.32122109894349765</c:v>
                </c:pt>
                <c:pt idx="988">
                  <c:v>0.32123912324910725</c:v>
                </c:pt>
                <c:pt idx="989">
                  <c:v>0.32144495821007268</c:v>
                </c:pt>
                <c:pt idx="990">
                  <c:v>0.32149632362566471</c:v>
                </c:pt>
                <c:pt idx="991">
                  <c:v>0.32156263249591505</c:v>
                </c:pt>
                <c:pt idx="992">
                  <c:v>0.32169517563247296</c:v>
                </c:pt>
                <c:pt idx="993">
                  <c:v>0.32184861205813176</c:v>
                </c:pt>
                <c:pt idx="994">
                  <c:v>0.32187910362414046</c:v>
                </c:pt>
                <c:pt idx="995">
                  <c:v>0.32193698118268221</c:v>
                </c:pt>
                <c:pt idx="996">
                  <c:v>0.3219550409964077</c:v>
                </c:pt>
                <c:pt idx="997">
                  <c:v>0.32199809983344746</c:v>
                </c:pt>
                <c:pt idx="998">
                  <c:v>0.32213623198526603</c:v>
                </c:pt>
                <c:pt idx="999">
                  <c:v>0.3221653417470553</c:v>
                </c:pt>
                <c:pt idx="1000">
                  <c:v>0.3221978316077147</c:v>
                </c:pt>
                <c:pt idx="1001">
                  <c:v>0.32246654850520784</c:v>
                </c:pt>
                <c:pt idx="1002">
                  <c:v>0.32268147819654119</c:v>
                </c:pt>
                <c:pt idx="1003">
                  <c:v>0.3227097902489327</c:v>
                </c:pt>
                <c:pt idx="1004">
                  <c:v>0.32271210615846452</c:v>
                </c:pt>
                <c:pt idx="1005">
                  <c:v>0.32275691932896811</c:v>
                </c:pt>
                <c:pt idx="1006">
                  <c:v>0.32277917498506314</c:v>
                </c:pt>
                <c:pt idx="1007">
                  <c:v>0.32283393762197343</c:v>
                </c:pt>
                <c:pt idx="1008">
                  <c:v>0.3228728525874518</c:v>
                </c:pt>
                <c:pt idx="1009">
                  <c:v>0.3229159466799103</c:v>
                </c:pt>
                <c:pt idx="1010">
                  <c:v>0.32296321915960319</c:v>
                </c:pt>
                <c:pt idx="1011">
                  <c:v>0.32296766597121479</c:v>
                </c:pt>
                <c:pt idx="1012">
                  <c:v>0.32319214958900905</c:v>
                </c:pt>
                <c:pt idx="1013">
                  <c:v>0.32323782225962505</c:v>
                </c:pt>
                <c:pt idx="1014">
                  <c:v>0.32332853261359884</c:v>
                </c:pt>
                <c:pt idx="1015">
                  <c:v>0.32333524158047044</c:v>
                </c:pt>
                <c:pt idx="1016">
                  <c:v>0.32335146269582599</c:v>
                </c:pt>
                <c:pt idx="1017">
                  <c:v>0.32357704720536257</c:v>
                </c:pt>
                <c:pt idx="1018">
                  <c:v>0.32357893104010416</c:v>
                </c:pt>
                <c:pt idx="1019">
                  <c:v>0.32360818778280043</c:v>
                </c:pt>
                <c:pt idx="1020">
                  <c:v>0.32385174412625906</c:v>
                </c:pt>
                <c:pt idx="1021">
                  <c:v>0.32388305800229084</c:v>
                </c:pt>
                <c:pt idx="1022">
                  <c:v>0.32392123083126501</c:v>
                </c:pt>
                <c:pt idx="1023">
                  <c:v>0.32395398764875522</c:v>
                </c:pt>
                <c:pt idx="1024">
                  <c:v>0.32396148950076814</c:v>
                </c:pt>
                <c:pt idx="1025">
                  <c:v>0.32396229965117684</c:v>
                </c:pt>
                <c:pt idx="1026">
                  <c:v>0.3240703275841389</c:v>
                </c:pt>
                <c:pt idx="1027">
                  <c:v>0.3241456836178212</c:v>
                </c:pt>
                <c:pt idx="1028">
                  <c:v>0.32417511947566779</c:v>
                </c:pt>
                <c:pt idx="1029">
                  <c:v>0.32425247392125567</c:v>
                </c:pt>
                <c:pt idx="1030">
                  <c:v>0.32428067050464904</c:v>
                </c:pt>
                <c:pt idx="1031">
                  <c:v>0.32429367075784976</c:v>
                </c:pt>
                <c:pt idx="1032">
                  <c:v>0.32453229650429682</c:v>
                </c:pt>
                <c:pt idx="1033">
                  <c:v>0.32464317989882613</c:v>
                </c:pt>
                <c:pt idx="1034">
                  <c:v>0.32466364827807287</c:v>
                </c:pt>
                <c:pt idx="1035">
                  <c:v>0.32472270174385198</c:v>
                </c:pt>
                <c:pt idx="1036">
                  <c:v>0.32484778696477212</c:v>
                </c:pt>
                <c:pt idx="1037">
                  <c:v>0.32513005727551297</c:v>
                </c:pt>
                <c:pt idx="1038">
                  <c:v>0.3252241383264588</c:v>
                </c:pt>
                <c:pt idx="1039">
                  <c:v>0.32524091228836438</c:v>
                </c:pt>
                <c:pt idx="1040">
                  <c:v>0.3252759540659943</c:v>
                </c:pt>
                <c:pt idx="1041">
                  <c:v>0.32535944591676769</c:v>
                </c:pt>
                <c:pt idx="1042">
                  <c:v>0.32538871942026515</c:v>
                </c:pt>
                <c:pt idx="1043">
                  <c:v>0.32577887870678857</c:v>
                </c:pt>
                <c:pt idx="1044">
                  <c:v>0.32617138098819015</c:v>
                </c:pt>
                <c:pt idx="1045">
                  <c:v>0.32624334988495679</c:v>
                </c:pt>
                <c:pt idx="1046">
                  <c:v>0.32638342983373814</c:v>
                </c:pt>
                <c:pt idx="1047">
                  <c:v>0.32640172852741034</c:v>
                </c:pt>
                <c:pt idx="1048">
                  <c:v>0.32645816340155143</c:v>
                </c:pt>
                <c:pt idx="1049">
                  <c:v>0.32657942112883076</c:v>
                </c:pt>
                <c:pt idx="1050">
                  <c:v>0.32674430848174091</c:v>
                </c:pt>
                <c:pt idx="1051">
                  <c:v>0.32674562110666167</c:v>
                </c:pt>
                <c:pt idx="1052">
                  <c:v>0.32681782853450503</c:v>
                </c:pt>
                <c:pt idx="1053">
                  <c:v>0.32686222426676603</c:v>
                </c:pt>
                <c:pt idx="1054">
                  <c:v>0.32690729196173068</c:v>
                </c:pt>
                <c:pt idx="1055">
                  <c:v>0.32694114595627644</c:v>
                </c:pt>
                <c:pt idx="1056">
                  <c:v>0.32697579422284706</c:v>
                </c:pt>
                <c:pt idx="1057">
                  <c:v>0.32707806913663218</c:v>
                </c:pt>
                <c:pt idx="1058">
                  <c:v>0.32711867349470997</c:v>
                </c:pt>
                <c:pt idx="1059">
                  <c:v>0.32712792364198034</c:v>
                </c:pt>
                <c:pt idx="1060">
                  <c:v>0.32722965844330537</c:v>
                </c:pt>
                <c:pt idx="1061">
                  <c:v>0.32741547640617424</c:v>
                </c:pt>
                <c:pt idx="1062">
                  <c:v>0.32745312904214485</c:v>
                </c:pt>
                <c:pt idx="1063">
                  <c:v>0.32757522324415544</c:v>
                </c:pt>
                <c:pt idx="1064">
                  <c:v>0.3276817407021006</c:v>
                </c:pt>
                <c:pt idx="1065">
                  <c:v>0.32768403632433046</c:v>
                </c:pt>
                <c:pt idx="1066">
                  <c:v>0.3277390277148835</c:v>
                </c:pt>
                <c:pt idx="1067">
                  <c:v>0.32777727520864602</c:v>
                </c:pt>
                <c:pt idx="1068">
                  <c:v>0.32780130589905643</c:v>
                </c:pt>
                <c:pt idx="1069">
                  <c:v>0.32791352209374774</c:v>
                </c:pt>
                <c:pt idx="1070">
                  <c:v>0.32794731989265158</c:v>
                </c:pt>
                <c:pt idx="1071">
                  <c:v>0.32800888479859197</c:v>
                </c:pt>
                <c:pt idx="1072">
                  <c:v>0.32819091763227698</c:v>
                </c:pt>
                <c:pt idx="1073">
                  <c:v>0.32827633460394895</c:v>
                </c:pt>
                <c:pt idx="1074">
                  <c:v>0.32831538321934683</c:v>
                </c:pt>
                <c:pt idx="1075">
                  <c:v>0.3283762125191938</c:v>
                </c:pt>
                <c:pt idx="1076">
                  <c:v>0.32839559489248599</c:v>
                </c:pt>
                <c:pt idx="1077">
                  <c:v>0.32872718277417107</c:v>
                </c:pt>
                <c:pt idx="1078">
                  <c:v>0.32874928839807782</c:v>
                </c:pt>
                <c:pt idx="1079">
                  <c:v>0.32886549502194751</c:v>
                </c:pt>
                <c:pt idx="1080">
                  <c:v>0.32895552881821499</c:v>
                </c:pt>
                <c:pt idx="1081">
                  <c:v>0.32897282388716453</c:v>
                </c:pt>
                <c:pt idx="1082">
                  <c:v>0.32910021578266996</c:v>
                </c:pt>
                <c:pt idx="1083">
                  <c:v>0.32925152947039282</c:v>
                </c:pt>
                <c:pt idx="1084">
                  <c:v>0.32926677253686604</c:v>
                </c:pt>
                <c:pt idx="1085">
                  <c:v>0.32935591627386346</c:v>
                </c:pt>
                <c:pt idx="1086">
                  <c:v>0.3295341848631122</c:v>
                </c:pt>
                <c:pt idx="1087">
                  <c:v>0.32966073754019071</c:v>
                </c:pt>
                <c:pt idx="1088">
                  <c:v>0.32968388004681121</c:v>
                </c:pt>
                <c:pt idx="1089">
                  <c:v>0.32973011099182048</c:v>
                </c:pt>
                <c:pt idx="1090">
                  <c:v>0.3298184785275462</c:v>
                </c:pt>
                <c:pt idx="1091">
                  <c:v>0.32983615466103688</c:v>
                </c:pt>
                <c:pt idx="1092">
                  <c:v>0.33004280622094939</c:v>
                </c:pt>
                <c:pt idx="1093">
                  <c:v>0.33008102931791711</c:v>
                </c:pt>
                <c:pt idx="1094">
                  <c:v>0.33011014046399589</c:v>
                </c:pt>
                <c:pt idx="1095">
                  <c:v>0.33011894458946234</c:v>
                </c:pt>
                <c:pt idx="1096">
                  <c:v>0.3301208367604711</c:v>
                </c:pt>
                <c:pt idx="1097">
                  <c:v>0.33014137202356048</c:v>
                </c:pt>
                <c:pt idx="1098">
                  <c:v>0.33024664488933864</c:v>
                </c:pt>
                <c:pt idx="1099">
                  <c:v>0.33026241608191992</c:v>
                </c:pt>
                <c:pt idx="1100">
                  <c:v>0.33027901299276163</c:v>
                </c:pt>
                <c:pt idx="1101">
                  <c:v>0.33031015927700758</c:v>
                </c:pt>
                <c:pt idx="1102">
                  <c:v>0.33033116310552496</c:v>
                </c:pt>
                <c:pt idx="1103">
                  <c:v>0.33038959188202033</c:v>
                </c:pt>
                <c:pt idx="1104">
                  <c:v>0.33040209275405658</c:v>
                </c:pt>
                <c:pt idx="1105">
                  <c:v>0.33040637359984387</c:v>
                </c:pt>
                <c:pt idx="1106">
                  <c:v>0.33054332809387732</c:v>
                </c:pt>
                <c:pt idx="1107">
                  <c:v>0.33068447365162451</c:v>
                </c:pt>
                <c:pt idx="1108">
                  <c:v>0.33076541155777778</c:v>
                </c:pt>
                <c:pt idx="1109">
                  <c:v>0.33093544845855583</c:v>
                </c:pt>
                <c:pt idx="1110">
                  <c:v>0.3309363087733137</c:v>
                </c:pt>
                <c:pt idx="1111">
                  <c:v>0.3311907125650253</c:v>
                </c:pt>
                <c:pt idx="1112">
                  <c:v>0.33120686530506532</c:v>
                </c:pt>
                <c:pt idx="1113">
                  <c:v>0.33120778569338316</c:v>
                </c:pt>
                <c:pt idx="1114">
                  <c:v>0.33124662304821295</c:v>
                </c:pt>
                <c:pt idx="1115">
                  <c:v>0.33136380966990409</c:v>
                </c:pt>
                <c:pt idx="1116">
                  <c:v>0.33137722877524373</c:v>
                </c:pt>
                <c:pt idx="1117">
                  <c:v>0.33139933213734341</c:v>
                </c:pt>
                <c:pt idx="1118">
                  <c:v>0.33143158712832055</c:v>
                </c:pt>
                <c:pt idx="1119">
                  <c:v>0.33143967426893101</c:v>
                </c:pt>
                <c:pt idx="1120">
                  <c:v>0.33155122259047298</c:v>
                </c:pt>
                <c:pt idx="1121">
                  <c:v>0.33172697022906544</c:v>
                </c:pt>
                <c:pt idx="1122">
                  <c:v>0.33195779706046413</c:v>
                </c:pt>
                <c:pt idx="1123">
                  <c:v>0.3320089721421472</c:v>
                </c:pt>
                <c:pt idx="1124">
                  <c:v>0.33224848064608847</c:v>
                </c:pt>
                <c:pt idx="1125">
                  <c:v>0.3323534786612049</c:v>
                </c:pt>
                <c:pt idx="1126">
                  <c:v>0.33253530353555316</c:v>
                </c:pt>
                <c:pt idx="1127">
                  <c:v>0.33263087186018531</c:v>
                </c:pt>
                <c:pt idx="1128">
                  <c:v>0.33265210714413318</c:v>
                </c:pt>
                <c:pt idx="1129">
                  <c:v>0.33268055219174697</c:v>
                </c:pt>
                <c:pt idx="1130">
                  <c:v>0.3328261832705745</c:v>
                </c:pt>
                <c:pt idx="1131">
                  <c:v>0.33292143599220225</c:v>
                </c:pt>
                <c:pt idx="1132">
                  <c:v>0.33299009587943057</c:v>
                </c:pt>
                <c:pt idx="1133">
                  <c:v>0.33308311911174165</c:v>
                </c:pt>
                <c:pt idx="1134">
                  <c:v>0.33311811356887855</c:v>
                </c:pt>
                <c:pt idx="1135">
                  <c:v>0.33314422629936491</c:v>
                </c:pt>
                <c:pt idx="1136">
                  <c:v>0.33323335595256753</c:v>
                </c:pt>
                <c:pt idx="1137">
                  <c:v>0.33335958488904205</c:v>
                </c:pt>
                <c:pt idx="1138">
                  <c:v>0.33338647846456027</c:v>
                </c:pt>
                <c:pt idx="1139">
                  <c:v>0.33360622324760753</c:v>
                </c:pt>
                <c:pt idx="1140">
                  <c:v>0.33360967804679964</c:v>
                </c:pt>
                <c:pt idx="1141">
                  <c:v>0.33371205240197943</c:v>
                </c:pt>
                <c:pt idx="1142">
                  <c:v>0.33373400513146956</c:v>
                </c:pt>
                <c:pt idx="1143">
                  <c:v>0.33375728006195643</c:v>
                </c:pt>
                <c:pt idx="1144">
                  <c:v>0.33388775327221587</c:v>
                </c:pt>
                <c:pt idx="1145">
                  <c:v>0.33388810202699154</c:v>
                </c:pt>
                <c:pt idx="1146">
                  <c:v>0.3339680507193768</c:v>
                </c:pt>
                <c:pt idx="1147">
                  <c:v>0.33408404027622574</c:v>
                </c:pt>
                <c:pt idx="1148">
                  <c:v>0.33412661503985797</c:v>
                </c:pt>
                <c:pt idx="1149">
                  <c:v>0.33414260179626398</c:v>
                </c:pt>
                <c:pt idx="1150">
                  <c:v>0.33418640928539989</c:v>
                </c:pt>
                <c:pt idx="1151">
                  <c:v>0.33422715161387917</c:v>
                </c:pt>
                <c:pt idx="1152">
                  <c:v>0.33423057548308416</c:v>
                </c:pt>
                <c:pt idx="1153">
                  <c:v>0.33423501948161954</c:v>
                </c:pt>
                <c:pt idx="1154">
                  <c:v>0.33444415280766066</c:v>
                </c:pt>
                <c:pt idx="1155">
                  <c:v>0.33454768087662595</c:v>
                </c:pt>
                <c:pt idx="1156">
                  <c:v>0.33460688279835454</c:v>
                </c:pt>
                <c:pt idx="1157">
                  <c:v>0.33482619202061542</c:v>
                </c:pt>
                <c:pt idx="1158">
                  <c:v>0.33485220082947886</c:v>
                </c:pt>
                <c:pt idx="1159">
                  <c:v>0.33485665352721938</c:v>
                </c:pt>
                <c:pt idx="1160">
                  <c:v>0.33491366859979244</c:v>
                </c:pt>
                <c:pt idx="1161">
                  <c:v>0.3350099076407369</c:v>
                </c:pt>
                <c:pt idx="1162">
                  <c:v>0.3350193225373938</c:v>
                </c:pt>
                <c:pt idx="1163">
                  <c:v>0.33506696772531536</c:v>
                </c:pt>
                <c:pt idx="1164">
                  <c:v>0.33518954358551195</c:v>
                </c:pt>
                <c:pt idx="1165">
                  <c:v>0.33554337800291245</c:v>
                </c:pt>
                <c:pt idx="1166">
                  <c:v>0.33554403380549541</c:v>
                </c:pt>
                <c:pt idx="1167">
                  <c:v>0.33560846204802819</c:v>
                </c:pt>
                <c:pt idx="1168">
                  <c:v>0.33566877882953561</c:v>
                </c:pt>
                <c:pt idx="1169">
                  <c:v>0.3357561796619839</c:v>
                </c:pt>
                <c:pt idx="1170">
                  <c:v>0.33577493045982537</c:v>
                </c:pt>
                <c:pt idx="1171">
                  <c:v>0.33580732987919043</c:v>
                </c:pt>
                <c:pt idx="1172">
                  <c:v>0.33585645278495035</c:v>
                </c:pt>
                <c:pt idx="1173">
                  <c:v>0.33610049035136874</c:v>
                </c:pt>
                <c:pt idx="1174">
                  <c:v>0.33616862619749438</c:v>
                </c:pt>
                <c:pt idx="1175">
                  <c:v>0.33626560680699352</c:v>
                </c:pt>
                <c:pt idx="1176">
                  <c:v>0.33636117939899141</c:v>
                </c:pt>
                <c:pt idx="1177">
                  <c:v>0.33643047023490763</c:v>
                </c:pt>
                <c:pt idx="1178">
                  <c:v>0.3364414648695031</c:v>
                </c:pt>
                <c:pt idx="1179">
                  <c:v>0.33654886165652614</c:v>
                </c:pt>
                <c:pt idx="1180">
                  <c:v>0.33674163452356409</c:v>
                </c:pt>
                <c:pt idx="1181">
                  <c:v>0.33674240923784554</c:v>
                </c:pt>
                <c:pt idx="1182">
                  <c:v>0.336918887539159</c:v>
                </c:pt>
                <c:pt idx="1183">
                  <c:v>0.33695819451102238</c:v>
                </c:pt>
                <c:pt idx="1184">
                  <c:v>0.33698116796897776</c:v>
                </c:pt>
                <c:pt idx="1185">
                  <c:v>0.33702498294018368</c:v>
                </c:pt>
                <c:pt idx="1186">
                  <c:v>0.33704779815281521</c:v>
                </c:pt>
                <c:pt idx="1187">
                  <c:v>0.33705602742689356</c:v>
                </c:pt>
                <c:pt idx="1188">
                  <c:v>0.33706840283688655</c:v>
                </c:pt>
                <c:pt idx="1189">
                  <c:v>0.33717135469902049</c:v>
                </c:pt>
                <c:pt idx="1190">
                  <c:v>0.33719644834270995</c:v>
                </c:pt>
                <c:pt idx="1191">
                  <c:v>0.33732842574943683</c:v>
                </c:pt>
                <c:pt idx="1192">
                  <c:v>0.33732982384799626</c:v>
                </c:pt>
                <c:pt idx="1193">
                  <c:v>0.33735714889940521</c:v>
                </c:pt>
                <c:pt idx="1194">
                  <c:v>0.33740171658116741</c:v>
                </c:pt>
                <c:pt idx="1195">
                  <c:v>0.33756524039168267</c:v>
                </c:pt>
                <c:pt idx="1196">
                  <c:v>0.3375899959771208</c:v>
                </c:pt>
                <c:pt idx="1197">
                  <c:v>0.33771823908361182</c:v>
                </c:pt>
                <c:pt idx="1198">
                  <c:v>0.33773392527075191</c:v>
                </c:pt>
                <c:pt idx="1199">
                  <c:v>0.33777928002213498</c:v>
                </c:pt>
                <c:pt idx="1200">
                  <c:v>0.3378194769059073</c:v>
                </c:pt>
                <c:pt idx="1201">
                  <c:v>0.3378425293763454</c:v>
                </c:pt>
                <c:pt idx="1202">
                  <c:v>0.33786940523081171</c:v>
                </c:pt>
                <c:pt idx="1203">
                  <c:v>0.33788711495677187</c:v>
                </c:pt>
                <c:pt idx="1204">
                  <c:v>0.33788936297259381</c:v>
                </c:pt>
                <c:pt idx="1205">
                  <c:v>0.33793337525537764</c:v>
                </c:pt>
                <c:pt idx="1206">
                  <c:v>0.33824552083579723</c:v>
                </c:pt>
                <c:pt idx="1207">
                  <c:v>0.33834000358537347</c:v>
                </c:pt>
                <c:pt idx="1208">
                  <c:v>0.33834904083509953</c:v>
                </c:pt>
                <c:pt idx="1209">
                  <c:v>0.33851985467187673</c:v>
                </c:pt>
                <c:pt idx="1210">
                  <c:v>0.33856815555868042</c:v>
                </c:pt>
                <c:pt idx="1211">
                  <c:v>0.33860596197871207</c:v>
                </c:pt>
                <c:pt idx="1212">
                  <c:v>0.33878394488990105</c:v>
                </c:pt>
                <c:pt idx="1213">
                  <c:v>0.33880968179177245</c:v>
                </c:pt>
                <c:pt idx="1214">
                  <c:v>0.33897435828242373</c:v>
                </c:pt>
                <c:pt idx="1215">
                  <c:v>0.33905701331404398</c:v>
                </c:pt>
                <c:pt idx="1216">
                  <c:v>0.33916633182030353</c:v>
                </c:pt>
                <c:pt idx="1217">
                  <c:v>0.3392087108107667</c:v>
                </c:pt>
                <c:pt idx="1218">
                  <c:v>0.33924358528652343</c:v>
                </c:pt>
                <c:pt idx="1219">
                  <c:v>0.33932082415063897</c:v>
                </c:pt>
                <c:pt idx="1220">
                  <c:v>0.33935002476496373</c:v>
                </c:pt>
                <c:pt idx="1221">
                  <c:v>0.33942394413151933</c:v>
                </c:pt>
                <c:pt idx="1222">
                  <c:v>0.33975794308762375</c:v>
                </c:pt>
                <c:pt idx="1223">
                  <c:v>0.33978486399651459</c:v>
                </c:pt>
                <c:pt idx="1224">
                  <c:v>0.33982013306059267</c:v>
                </c:pt>
                <c:pt idx="1225">
                  <c:v>0.33983117708294741</c:v>
                </c:pt>
                <c:pt idx="1226">
                  <c:v>0.33985375217707919</c:v>
                </c:pt>
                <c:pt idx="1227">
                  <c:v>0.33987913607028436</c:v>
                </c:pt>
                <c:pt idx="1228">
                  <c:v>0.34006971920246459</c:v>
                </c:pt>
                <c:pt idx="1229">
                  <c:v>0.34018654594511732</c:v>
                </c:pt>
                <c:pt idx="1230">
                  <c:v>0.34025389851501192</c:v>
                </c:pt>
                <c:pt idx="1231">
                  <c:v>0.34035518513063939</c:v>
                </c:pt>
                <c:pt idx="1232">
                  <c:v>0.34037931140671557</c:v>
                </c:pt>
                <c:pt idx="1233">
                  <c:v>0.34038767810295922</c:v>
                </c:pt>
                <c:pt idx="1234">
                  <c:v>0.34040734112051846</c:v>
                </c:pt>
                <c:pt idx="1235">
                  <c:v>0.34041523949785663</c:v>
                </c:pt>
                <c:pt idx="1236">
                  <c:v>0.34050066164351195</c:v>
                </c:pt>
                <c:pt idx="1237">
                  <c:v>0.34057649635391024</c:v>
                </c:pt>
                <c:pt idx="1238">
                  <c:v>0.34062122425294039</c:v>
                </c:pt>
                <c:pt idx="1239">
                  <c:v>0.34079816041647887</c:v>
                </c:pt>
                <c:pt idx="1240">
                  <c:v>0.34119766299046433</c:v>
                </c:pt>
                <c:pt idx="1241">
                  <c:v>0.34119836897789535</c:v>
                </c:pt>
                <c:pt idx="1242">
                  <c:v>0.34123063939883358</c:v>
                </c:pt>
                <c:pt idx="1243">
                  <c:v>0.34131837097635015</c:v>
                </c:pt>
                <c:pt idx="1244">
                  <c:v>0.34134420873981519</c:v>
                </c:pt>
                <c:pt idx="1245">
                  <c:v>0.34138426364442898</c:v>
                </c:pt>
                <c:pt idx="1246">
                  <c:v>0.34144996712154146</c:v>
                </c:pt>
                <c:pt idx="1247">
                  <c:v>0.34145240340387112</c:v>
                </c:pt>
                <c:pt idx="1248">
                  <c:v>0.34145286006100034</c:v>
                </c:pt>
                <c:pt idx="1249">
                  <c:v>0.3414552325456548</c:v>
                </c:pt>
                <c:pt idx="1250">
                  <c:v>0.34146086560557076</c:v>
                </c:pt>
                <c:pt idx="1251">
                  <c:v>0.34167886092529987</c:v>
                </c:pt>
                <c:pt idx="1252">
                  <c:v>0.34173098636684823</c:v>
                </c:pt>
                <c:pt idx="1253">
                  <c:v>0.34199143234942603</c:v>
                </c:pt>
                <c:pt idx="1254">
                  <c:v>0.34220379284927693</c:v>
                </c:pt>
                <c:pt idx="1255">
                  <c:v>0.34220872183220008</c:v>
                </c:pt>
                <c:pt idx="1256">
                  <c:v>0.34225137062385036</c:v>
                </c:pt>
                <c:pt idx="1257">
                  <c:v>0.34230074725213266</c:v>
                </c:pt>
                <c:pt idx="1258">
                  <c:v>0.34231529828357865</c:v>
                </c:pt>
                <c:pt idx="1259">
                  <c:v>0.34236109127865794</c:v>
                </c:pt>
                <c:pt idx="1260">
                  <c:v>0.34241967519541783</c:v>
                </c:pt>
                <c:pt idx="1261">
                  <c:v>0.34242077148938638</c:v>
                </c:pt>
                <c:pt idx="1262">
                  <c:v>0.34244264418849929</c:v>
                </c:pt>
                <c:pt idx="1263">
                  <c:v>0.34259257847408009</c:v>
                </c:pt>
                <c:pt idx="1264">
                  <c:v>0.34275990488901675</c:v>
                </c:pt>
                <c:pt idx="1265">
                  <c:v>0.34320665023846708</c:v>
                </c:pt>
                <c:pt idx="1266">
                  <c:v>0.34326945920345725</c:v>
                </c:pt>
                <c:pt idx="1267">
                  <c:v>0.34329480246493393</c:v>
                </c:pt>
                <c:pt idx="1268">
                  <c:v>0.3433740136887089</c:v>
                </c:pt>
                <c:pt idx="1269">
                  <c:v>0.34349861976775981</c:v>
                </c:pt>
                <c:pt idx="1270">
                  <c:v>0.34351221534467252</c:v>
                </c:pt>
                <c:pt idx="1271">
                  <c:v>0.34360438507776564</c:v>
                </c:pt>
                <c:pt idx="1272">
                  <c:v>0.34367829083788776</c:v>
                </c:pt>
                <c:pt idx="1273">
                  <c:v>0.34384393770518634</c:v>
                </c:pt>
                <c:pt idx="1274">
                  <c:v>0.34387650113382212</c:v>
                </c:pt>
                <c:pt idx="1275">
                  <c:v>0.34387709120116799</c:v>
                </c:pt>
                <c:pt idx="1276">
                  <c:v>0.34397279679624254</c:v>
                </c:pt>
                <c:pt idx="1277">
                  <c:v>0.34399464463520396</c:v>
                </c:pt>
                <c:pt idx="1278">
                  <c:v>0.34408565557039117</c:v>
                </c:pt>
                <c:pt idx="1279">
                  <c:v>0.34436810719187527</c:v>
                </c:pt>
                <c:pt idx="1280">
                  <c:v>0.34439269944469841</c:v>
                </c:pt>
                <c:pt idx="1281">
                  <c:v>0.34446669417832554</c:v>
                </c:pt>
                <c:pt idx="1282">
                  <c:v>0.34447456345532496</c:v>
                </c:pt>
                <c:pt idx="1283">
                  <c:v>0.34458285202170752</c:v>
                </c:pt>
                <c:pt idx="1284">
                  <c:v>0.34469993809680899</c:v>
                </c:pt>
                <c:pt idx="1285">
                  <c:v>0.34475659613999504</c:v>
                </c:pt>
                <c:pt idx="1286">
                  <c:v>0.34480071497507148</c:v>
                </c:pt>
                <c:pt idx="1287">
                  <c:v>0.34510692641818169</c:v>
                </c:pt>
                <c:pt idx="1288">
                  <c:v>0.34514019400014029</c:v>
                </c:pt>
                <c:pt idx="1289">
                  <c:v>0.34515877336601591</c:v>
                </c:pt>
                <c:pt idx="1290">
                  <c:v>0.34522003696844705</c:v>
                </c:pt>
                <c:pt idx="1291">
                  <c:v>0.34526042721310868</c:v>
                </c:pt>
                <c:pt idx="1292">
                  <c:v>0.34531239295380245</c:v>
                </c:pt>
                <c:pt idx="1293">
                  <c:v>0.3453320669003212</c:v>
                </c:pt>
                <c:pt idx="1294">
                  <c:v>0.34547246838651707</c:v>
                </c:pt>
                <c:pt idx="1295">
                  <c:v>0.34555233771557797</c:v>
                </c:pt>
                <c:pt idx="1296">
                  <c:v>0.34561128517925416</c:v>
                </c:pt>
                <c:pt idx="1297">
                  <c:v>0.345630839146087</c:v>
                </c:pt>
                <c:pt idx="1298">
                  <c:v>0.34566408568481694</c:v>
                </c:pt>
                <c:pt idx="1299">
                  <c:v>0.34570172874653876</c:v>
                </c:pt>
                <c:pt idx="1300">
                  <c:v>0.34570496306177795</c:v>
                </c:pt>
                <c:pt idx="1301">
                  <c:v>0.34580211771751768</c:v>
                </c:pt>
                <c:pt idx="1302">
                  <c:v>0.34580779959295882</c:v>
                </c:pt>
                <c:pt idx="1303">
                  <c:v>0.34581574638088558</c:v>
                </c:pt>
                <c:pt idx="1304">
                  <c:v>0.34596363685780218</c:v>
                </c:pt>
                <c:pt idx="1305">
                  <c:v>0.34604835815148588</c:v>
                </c:pt>
                <c:pt idx="1306">
                  <c:v>0.34604961687826463</c:v>
                </c:pt>
                <c:pt idx="1307">
                  <c:v>0.34619028870355589</c:v>
                </c:pt>
                <c:pt idx="1308">
                  <c:v>0.3462412991418769</c:v>
                </c:pt>
                <c:pt idx="1309">
                  <c:v>0.34649037672687644</c:v>
                </c:pt>
                <c:pt idx="1310">
                  <c:v>0.34653474754635216</c:v>
                </c:pt>
                <c:pt idx="1311">
                  <c:v>0.34653533330980896</c:v>
                </c:pt>
                <c:pt idx="1312">
                  <c:v>0.34654354885530581</c:v>
                </c:pt>
                <c:pt idx="1313">
                  <c:v>0.34655797674087524</c:v>
                </c:pt>
                <c:pt idx="1314">
                  <c:v>0.34668914319913319</c:v>
                </c:pt>
                <c:pt idx="1315">
                  <c:v>0.34675127619284368</c:v>
                </c:pt>
                <c:pt idx="1316">
                  <c:v>0.34687015088957662</c:v>
                </c:pt>
                <c:pt idx="1317">
                  <c:v>0.34688595176418213</c:v>
                </c:pt>
                <c:pt idx="1318">
                  <c:v>0.34709926934347102</c:v>
                </c:pt>
                <c:pt idx="1319">
                  <c:v>0.34715854409013669</c:v>
                </c:pt>
                <c:pt idx="1320">
                  <c:v>0.34731101440522394</c:v>
                </c:pt>
                <c:pt idx="1321">
                  <c:v>0.34737509158133434</c:v>
                </c:pt>
                <c:pt idx="1322">
                  <c:v>0.34743333339933552</c:v>
                </c:pt>
                <c:pt idx="1323">
                  <c:v>0.34746123663616457</c:v>
                </c:pt>
                <c:pt idx="1324">
                  <c:v>0.34749208869485171</c:v>
                </c:pt>
                <c:pt idx="1325">
                  <c:v>0.34750339548432818</c:v>
                </c:pt>
                <c:pt idx="1326">
                  <c:v>0.34754578593741187</c:v>
                </c:pt>
                <c:pt idx="1327">
                  <c:v>0.34756778895538853</c:v>
                </c:pt>
                <c:pt idx="1328">
                  <c:v>0.34757762296979455</c:v>
                </c:pt>
                <c:pt idx="1329">
                  <c:v>0.34769994228763806</c:v>
                </c:pt>
                <c:pt idx="1330">
                  <c:v>0.34779197297243042</c:v>
                </c:pt>
                <c:pt idx="1331">
                  <c:v>0.3479690527029794</c:v>
                </c:pt>
                <c:pt idx="1332">
                  <c:v>0.34820648370039275</c:v>
                </c:pt>
                <c:pt idx="1333">
                  <c:v>0.34826188534869562</c:v>
                </c:pt>
                <c:pt idx="1334">
                  <c:v>0.34827819320869779</c:v>
                </c:pt>
                <c:pt idx="1335">
                  <c:v>0.34835864593446642</c:v>
                </c:pt>
                <c:pt idx="1336">
                  <c:v>0.34837530843323938</c:v>
                </c:pt>
                <c:pt idx="1337">
                  <c:v>0.34838235132618406</c:v>
                </c:pt>
                <c:pt idx="1338">
                  <c:v>0.34845619325962573</c:v>
                </c:pt>
                <c:pt idx="1339">
                  <c:v>0.3485855367378668</c:v>
                </c:pt>
                <c:pt idx="1340">
                  <c:v>0.3486217222541797</c:v>
                </c:pt>
                <c:pt idx="1341">
                  <c:v>0.3487466800985346</c:v>
                </c:pt>
                <c:pt idx="1342">
                  <c:v>0.34877238938174843</c:v>
                </c:pt>
                <c:pt idx="1343">
                  <c:v>0.34879440343874929</c:v>
                </c:pt>
                <c:pt idx="1344">
                  <c:v>0.34882415102923897</c:v>
                </c:pt>
                <c:pt idx="1345">
                  <c:v>0.34884558201142357</c:v>
                </c:pt>
                <c:pt idx="1346">
                  <c:v>0.34886106990213284</c:v>
                </c:pt>
                <c:pt idx="1347">
                  <c:v>0.34889353497100806</c:v>
                </c:pt>
                <c:pt idx="1348">
                  <c:v>0.34903868013918754</c:v>
                </c:pt>
                <c:pt idx="1349">
                  <c:v>0.34907999329216566</c:v>
                </c:pt>
                <c:pt idx="1350">
                  <c:v>0.34910258714576115</c:v>
                </c:pt>
                <c:pt idx="1351">
                  <c:v>0.34913397547850872</c:v>
                </c:pt>
                <c:pt idx="1352">
                  <c:v>0.34914198387823348</c:v>
                </c:pt>
                <c:pt idx="1353">
                  <c:v>0.34920710300340008</c:v>
                </c:pt>
                <c:pt idx="1354">
                  <c:v>0.3492231198591092</c:v>
                </c:pt>
                <c:pt idx="1355">
                  <c:v>0.34923482185694327</c:v>
                </c:pt>
                <c:pt idx="1356">
                  <c:v>0.34923761209404419</c:v>
                </c:pt>
                <c:pt idx="1357">
                  <c:v>0.34926417389581244</c:v>
                </c:pt>
                <c:pt idx="1358">
                  <c:v>0.34926652685983323</c:v>
                </c:pt>
                <c:pt idx="1359">
                  <c:v>0.34932678303973957</c:v>
                </c:pt>
                <c:pt idx="1360">
                  <c:v>0.3493395030511095</c:v>
                </c:pt>
                <c:pt idx="1361">
                  <c:v>0.34944896706452705</c:v>
                </c:pt>
                <c:pt idx="1362">
                  <c:v>0.34947212120955662</c:v>
                </c:pt>
                <c:pt idx="1363">
                  <c:v>0.34959427287501477</c:v>
                </c:pt>
                <c:pt idx="1364">
                  <c:v>0.34962603180903246</c:v>
                </c:pt>
                <c:pt idx="1365">
                  <c:v>0.34964356116519563</c:v>
                </c:pt>
                <c:pt idx="1366">
                  <c:v>0.34977764803121092</c:v>
                </c:pt>
                <c:pt idx="1367">
                  <c:v>0.34981095908348814</c:v>
                </c:pt>
                <c:pt idx="1368">
                  <c:v>0.34982941528850148</c:v>
                </c:pt>
                <c:pt idx="1369">
                  <c:v>0.34985272125000855</c:v>
                </c:pt>
                <c:pt idx="1370">
                  <c:v>0.34986438530427816</c:v>
                </c:pt>
                <c:pt idx="1371">
                  <c:v>0.3498738607590936</c:v>
                </c:pt>
                <c:pt idx="1372">
                  <c:v>0.34994401044170048</c:v>
                </c:pt>
                <c:pt idx="1373">
                  <c:v>0.35000595615847846</c:v>
                </c:pt>
                <c:pt idx="1374">
                  <c:v>0.35001782573006002</c:v>
                </c:pt>
                <c:pt idx="1375">
                  <c:v>0.35002143558698601</c:v>
                </c:pt>
                <c:pt idx="1376">
                  <c:v>0.35010623237387872</c:v>
                </c:pt>
                <c:pt idx="1377">
                  <c:v>0.35011660029307651</c:v>
                </c:pt>
                <c:pt idx="1378">
                  <c:v>0.35012190729888709</c:v>
                </c:pt>
                <c:pt idx="1379">
                  <c:v>0.35044380106305778</c:v>
                </c:pt>
                <c:pt idx="1380">
                  <c:v>0.3505328022455656</c:v>
                </c:pt>
                <c:pt idx="1381">
                  <c:v>0.35056773433852856</c:v>
                </c:pt>
                <c:pt idx="1382">
                  <c:v>0.35058695010407814</c:v>
                </c:pt>
                <c:pt idx="1383">
                  <c:v>0.35060252228433475</c:v>
                </c:pt>
                <c:pt idx="1384">
                  <c:v>0.35064201893131397</c:v>
                </c:pt>
                <c:pt idx="1385">
                  <c:v>0.3506765381653339</c:v>
                </c:pt>
                <c:pt idx="1386">
                  <c:v>0.35091810287481523</c:v>
                </c:pt>
                <c:pt idx="1387">
                  <c:v>0.35100825029294608</c:v>
                </c:pt>
                <c:pt idx="1388">
                  <c:v>0.3511047156575266</c:v>
                </c:pt>
                <c:pt idx="1389">
                  <c:v>0.35114418562993266</c:v>
                </c:pt>
                <c:pt idx="1390">
                  <c:v>0.35117372179140788</c:v>
                </c:pt>
                <c:pt idx="1391">
                  <c:v>0.35130261490800674</c:v>
                </c:pt>
                <c:pt idx="1392">
                  <c:v>0.35142108205339057</c:v>
                </c:pt>
                <c:pt idx="1393">
                  <c:v>0.35150172053451484</c:v>
                </c:pt>
                <c:pt idx="1394">
                  <c:v>0.3515120708128755</c:v>
                </c:pt>
                <c:pt idx="1395">
                  <c:v>0.3518230344350563</c:v>
                </c:pt>
                <c:pt idx="1396">
                  <c:v>0.35209633261683515</c:v>
                </c:pt>
                <c:pt idx="1397">
                  <c:v>0.35213629707483135</c:v>
                </c:pt>
                <c:pt idx="1398">
                  <c:v>0.35216957676404287</c:v>
                </c:pt>
                <c:pt idx="1399">
                  <c:v>0.35244727286113658</c:v>
                </c:pt>
                <c:pt idx="1400">
                  <c:v>0.35288529574083699</c:v>
                </c:pt>
                <c:pt idx="1401">
                  <c:v>0.35288940372018651</c:v>
                </c:pt>
                <c:pt idx="1402">
                  <c:v>0.35294756812328065</c:v>
                </c:pt>
                <c:pt idx="1403">
                  <c:v>0.35296117767525342</c:v>
                </c:pt>
                <c:pt idx="1404">
                  <c:v>0.3530594961293948</c:v>
                </c:pt>
                <c:pt idx="1405">
                  <c:v>0.3531042553322063</c:v>
                </c:pt>
                <c:pt idx="1406">
                  <c:v>0.35314317032837111</c:v>
                </c:pt>
                <c:pt idx="1407">
                  <c:v>0.3532715882884937</c:v>
                </c:pt>
                <c:pt idx="1408">
                  <c:v>0.35334079975916399</c:v>
                </c:pt>
                <c:pt idx="1409">
                  <c:v>0.35334200120211912</c:v>
                </c:pt>
                <c:pt idx="1410">
                  <c:v>0.35342648490068213</c:v>
                </c:pt>
                <c:pt idx="1411">
                  <c:v>0.35347770320017058</c:v>
                </c:pt>
                <c:pt idx="1412">
                  <c:v>0.35358155780756334</c:v>
                </c:pt>
                <c:pt idx="1413">
                  <c:v>0.35366507427721489</c:v>
                </c:pt>
                <c:pt idx="1414">
                  <c:v>0.35381854863312573</c:v>
                </c:pt>
                <c:pt idx="1415">
                  <c:v>0.35389506698743461</c:v>
                </c:pt>
                <c:pt idx="1416">
                  <c:v>0.35398905878696202</c:v>
                </c:pt>
                <c:pt idx="1417">
                  <c:v>0.35426155069431442</c:v>
                </c:pt>
                <c:pt idx="1418">
                  <c:v>0.35433898242454764</c:v>
                </c:pt>
                <c:pt idx="1419">
                  <c:v>0.35439162081612557</c:v>
                </c:pt>
                <c:pt idx="1420">
                  <c:v>0.35439892554985214</c:v>
                </c:pt>
                <c:pt idx="1421">
                  <c:v>0.35448642436270694</c:v>
                </c:pt>
                <c:pt idx="1422">
                  <c:v>0.35449385523936078</c:v>
                </c:pt>
                <c:pt idx="1423">
                  <c:v>0.35451397404186913</c:v>
                </c:pt>
                <c:pt idx="1424">
                  <c:v>0.35460890030235837</c:v>
                </c:pt>
                <c:pt idx="1425">
                  <c:v>0.35463756452303852</c:v>
                </c:pt>
                <c:pt idx="1426">
                  <c:v>0.35481409230152855</c:v>
                </c:pt>
                <c:pt idx="1427">
                  <c:v>0.35502646518359215</c:v>
                </c:pt>
                <c:pt idx="1428">
                  <c:v>0.35503610552484444</c:v>
                </c:pt>
                <c:pt idx="1429">
                  <c:v>0.35506871238082216</c:v>
                </c:pt>
                <c:pt idx="1430">
                  <c:v>0.35506918616283084</c:v>
                </c:pt>
                <c:pt idx="1431">
                  <c:v>0.35510019969804107</c:v>
                </c:pt>
                <c:pt idx="1432">
                  <c:v>0.35515459609563127</c:v>
                </c:pt>
                <c:pt idx="1433">
                  <c:v>0.35519403760040097</c:v>
                </c:pt>
                <c:pt idx="1434">
                  <c:v>0.3552032608019326</c:v>
                </c:pt>
                <c:pt idx="1435">
                  <c:v>0.35520355591505992</c:v>
                </c:pt>
                <c:pt idx="1436">
                  <c:v>0.35525934513525703</c:v>
                </c:pt>
                <c:pt idx="1437">
                  <c:v>0.35526515653812468</c:v>
                </c:pt>
                <c:pt idx="1438">
                  <c:v>0.35527739806964481</c:v>
                </c:pt>
                <c:pt idx="1439">
                  <c:v>0.35531936689151278</c:v>
                </c:pt>
                <c:pt idx="1440">
                  <c:v>0.35535514241911897</c:v>
                </c:pt>
                <c:pt idx="1441">
                  <c:v>0.35554861859783027</c:v>
                </c:pt>
                <c:pt idx="1442">
                  <c:v>0.35558742666269494</c:v>
                </c:pt>
                <c:pt idx="1443">
                  <c:v>0.35561254439797746</c:v>
                </c:pt>
                <c:pt idx="1444">
                  <c:v>0.35563179758402769</c:v>
                </c:pt>
                <c:pt idx="1445">
                  <c:v>0.35566730162937327</c:v>
                </c:pt>
                <c:pt idx="1446">
                  <c:v>0.35567816730084667</c:v>
                </c:pt>
                <c:pt idx="1447">
                  <c:v>0.35571030806208076</c:v>
                </c:pt>
                <c:pt idx="1448">
                  <c:v>0.35575373916557601</c:v>
                </c:pt>
                <c:pt idx="1449">
                  <c:v>0.35589000182561004</c:v>
                </c:pt>
                <c:pt idx="1450">
                  <c:v>0.35597310797874132</c:v>
                </c:pt>
                <c:pt idx="1451">
                  <c:v>0.35599649051127064</c:v>
                </c:pt>
                <c:pt idx="1452">
                  <c:v>0.3560092879598557</c:v>
                </c:pt>
                <c:pt idx="1453">
                  <c:v>0.35617258563337467</c:v>
                </c:pt>
                <c:pt idx="1454">
                  <c:v>0.35620061265942149</c:v>
                </c:pt>
                <c:pt idx="1455">
                  <c:v>0.35629879422791477</c:v>
                </c:pt>
                <c:pt idx="1456">
                  <c:v>0.35634080039220506</c:v>
                </c:pt>
                <c:pt idx="1457">
                  <c:v>0.35638155502791247</c:v>
                </c:pt>
                <c:pt idx="1458">
                  <c:v>0.35654369028158245</c:v>
                </c:pt>
                <c:pt idx="1459">
                  <c:v>0.35662230224694053</c:v>
                </c:pt>
                <c:pt idx="1460">
                  <c:v>0.35663056303432517</c:v>
                </c:pt>
                <c:pt idx="1461">
                  <c:v>0.35671868250498229</c:v>
                </c:pt>
                <c:pt idx="1462">
                  <c:v>0.35681989949504783</c:v>
                </c:pt>
                <c:pt idx="1463">
                  <c:v>0.3568524288985423</c:v>
                </c:pt>
                <c:pt idx="1464">
                  <c:v>0.35685503392448897</c:v>
                </c:pt>
                <c:pt idx="1465">
                  <c:v>0.35708924751714111</c:v>
                </c:pt>
                <c:pt idx="1466">
                  <c:v>0.35714018884715909</c:v>
                </c:pt>
                <c:pt idx="1467">
                  <c:v>0.35715493081492244</c:v>
                </c:pt>
                <c:pt idx="1468">
                  <c:v>0.35720867379275462</c:v>
                </c:pt>
                <c:pt idx="1469">
                  <c:v>0.35740132762208793</c:v>
                </c:pt>
                <c:pt idx="1470">
                  <c:v>0.35751501672236219</c:v>
                </c:pt>
                <c:pt idx="1471">
                  <c:v>0.35763006373815281</c:v>
                </c:pt>
                <c:pt idx="1472">
                  <c:v>0.35766381570878014</c:v>
                </c:pt>
                <c:pt idx="1473">
                  <c:v>0.35804000189661445</c:v>
                </c:pt>
                <c:pt idx="1474">
                  <c:v>0.35809765594276416</c:v>
                </c:pt>
                <c:pt idx="1475">
                  <c:v>0.3581401255148754</c:v>
                </c:pt>
                <c:pt idx="1476">
                  <c:v>0.35818499092023282</c:v>
                </c:pt>
                <c:pt idx="1477">
                  <c:v>0.35828339334816339</c:v>
                </c:pt>
                <c:pt idx="1478">
                  <c:v>0.35832812787152674</c:v>
                </c:pt>
                <c:pt idx="1479">
                  <c:v>0.35841879075482336</c:v>
                </c:pt>
                <c:pt idx="1480">
                  <c:v>0.35843318772500787</c:v>
                </c:pt>
                <c:pt idx="1481">
                  <c:v>0.3584657695781488</c:v>
                </c:pt>
                <c:pt idx="1482">
                  <c:v>0.35850294186069531</c:v>
                </c:pt>
                <c:pt idx="1483">
                  <c:v>0.35854256331877499</c:v>
                </c:pt>
                <c:pt idx="1484">
                  <c:v>0.35862862797969802</c:v>
                </c:pt>
                <c:pt idx="1485">
                  <c:v>0.35877327578303453</c:v>
                </c:pt>
                <c:pt idx="1486">
                  <c:v>0.35878359223325418</c:v>
                </c:pt>
                <c:pt idx="1487">
                  <c:v>0.35878584208035524</c:v>
                </c:pt>
                <c:pt idx="1488">
                  <c:v>0.35885841784853129</c:v>
                </c:pt>
                <c:pt idx="1489">
                  <c:v>0.35889660390057782</c:v>
                </c:pt>
                <c:pt idx="1490">
                  <c:v>0.35893594109715832</c:v>
                </c:pt>
                <c:pt idx="1491">
                  <c:v>0.35915465675561381</c:v>
                </c:pt>
                <c:pt idx="1492">
                  <c:v>0.35917957487092816</c:v>
                </c:pt>
                <c:pt idx="1493">
                  <c:v>0.3594118967672561</c:v>
                </c:pt>
                <c:pt idx="1494">
                  <c:v>0.35945774472316472</c:v>
                </c:pt>
                <c:pt idx="1495">
                  <c:v>0.35956759413398154</c:v>
                </c:pt>
                <c:pt idx="1496">
                  <c:v>0.35958923547201349</c:v>
                </c:pt>
                <c:pt idx="1497">
                  <c:v>0.3595913363877869</c:v>
                </c:pt>
                <c:pt idx="1498">
                  <c:v>0.35991538138154683</c:v>
                </c:pt>
                <c:pt idx="1499">
                  <c:v>0.36003165418526439</c:v>
                </c:pt>
                <c:pt idx="1500">
                  <c:v>0.36016439904847619</c:v>
                </c:pt>
                <c:pt idx="1501">
                  <c:v>0.36021276609029135</c:v>
                </c:pt>
                <c:pt idx="1502">
                  <c:v>0.36021284676872334</c:v>
                </c:pt>
                <c:pt idx="1503">
                  <c:v>0.36036338907232746</c:v>
                </c:pt>
                <c:pt idx="1504">
                  <c:v>0.36046945128778507</c:v>
                </c:pt>
                <c:pt idx="1505">
                  <c:v>0.3605894609612561</c:v>
                </c:pt>
                <c:pt idx="1506">
                  <c:v>0.36062505532059785</c:v>
                </c:pt>
                <c:pt idx="1507">
                  <c:v>0.36068904344204394</c:v>
                </c:pt>
                <c:pt idx="1508">
                  <c:v>0.3607436094244888</c:v>
                </c:pt>
                <c:pt idx="1509">
                  <c:v>0.36075674901197841</c:v>
                </c:pt>
                <c:pt idx="1510">
                  <c:v>0.36079875807885869</c:v>
                </c:pt>
                <c:pt idx="1511">
                  <c:v>0.36091182019030932</c:v>
                </c:pt>
                <c:pt idx="1512">
                  <c:v>0.36095026645830669</c:v>
                </c:pt>
                <c:pt idx="1513">
                  <c:v>0.3609554986189355</c:v>
                </c:pt>
                <c:pt idx="1514">
                  <c:v>0.36095581024330614</c:v>
                </c:pt>
                <c:pt idx="1515">
                  <c:v>0.36097968272150593</c:v>
                </c:pt>
                <c:pt idx="1516">
                  <c:v>0.36111331933419594</c:v>
                </c:pt>
                <c:pt idx="1517">
                  <c:v>0.36116920788999074</c:v>
                </c:pt>
                <c:pt idx="1518">
                  <c:v>0.36117517452897163</c:v>
                </c:pt>
                <c:pt idx="1519">
                  <c:v>0.36126206659982563</c:v>
                </c:pt>
                <c:pt idx="1520">
                  <c:v>0.36131667002384088</c:v>
                </c:pt>
                <c:pt idx="1521">
                  <c:v>0.36133583493773141</c:v>
                </c:pt>
                <c:pt idx="1522">
                  <c:v>0.36138017431233355</c:v>
                </c:pt>
                <c:pt idx="1523">
                  <c:v>0.3615520287327893</c:v>
                </c:pt>
                <c:pt idx="1524">
                  <c:v>0.36160305026875356</c:v>
                </c:pt>
                <c:pt idx="1525">
                  <c:v>0.36162530728786418</c:v>
                </c:pt>
                <c:pt idx="1526">
                  <c:v>0.36165395561631519</c:v>
                </c:pt>
                <c:pt idx="1527">
                  <c:v>0.36168878309218327</c:v>
                </c:pt>
                <c:pt idx="1528">
                  <c:v>0.361784307995827</c:v>
                </c:pt>
                <c:pt idx="1529">
                  <c:v>0.36180616376930558</c:v>
                </c:pt>
                <c:pt idx="1530">
                  <c:v>0.36188243110341328</c:v>
                </c:pt>
                <c:pt idx="1531">
                  <c:v>0.36192904568816769</c:v>
                </c:pt>
                <c:pt idx="1532">
                  <c:v>0.36195040612187707</c:v>
                </c:pt>
                <c:pt idx="1533">
                  <c:v>0.36240163945698489</c:v>
                </c:pt>
                <c:pt idx="1534">
                  <c:v>0.36252325302141253</c:v>
                </c:pt>
                <c:pt idx="1535">
                  <c:v>0.36255832098499957</c:v>
                </c:pt>
                <c:pt idx="1536">
                  <c:v>0.36258415684517054</c:v>
                </c:pt>
                <c:pt idx="1537">
                  <c:v>0.36276075353447862</c:v>
                </c:pt>
                <c:pt idx="1538">
                  <c:v>0.36297123459130376</c:v>
                </c:pt>
                <c:pt idx="1539">
                  <c:v>0.36305994255577712</c:v>
                </c:pt>
                <c:pt idx="1540">
                  <c:v>0.36309463171262202</c:v>
                </c:pt>
                <c:pt idx="1541">
                  <c:v>0.36321211610956272</c:v>
                </c:pt>
                <c:pt idx="1542">
                  <c:v>0.36321665953297239</c:v>
                </c:pt>
                <c:pt idx="1543">
                  <c:v>0.36323519550608091</c:v>
                </c:pt>
                <c:pt idx="1544">
                  <c:v>0.36323957086880487</c:v>
                </c:pt>
                <c:pt idx="1545">
                  <c:v>0.3632668398908237</c:v>
                </c:pt>
                <c:pt idx="1546">
                  <c:v>0.36329936703380239</c:v>
                </c:pt>
                <c:pt idx="1547">
                  <c:v>0.36353304764851957</c:v>
                </c:pt>
                <c:pt idx="1548">
                  <c:v>0.36354456617956299</c:v>
                </c:pt>
                <c:pt idx="1549">
                  <c:v>0.36359732922419974</c:v>
                </c:pt>
                <c:pt idx="1550">
                  <c:v>0.36365516417686394</c:v>
                </c:pt>
                <c:pt idx="1551">
                  <c:v>0.36366723178723331</c:v>
                </c:pt>
                <c:pt idx="1552">
                  <c:v>0.36377980722706277</c:v>
                </c:pt>
                <c:pt idx="1553">
                  <c:v>0.36379097363161256</c:v>
                </c:pt>
                <c:pt idx="1554">
                  <c:v>0.36381655801387891</c:v>
                </c:pt>
                <c:pt idx="1555">
                  <c:v>0.36388597199112166</c:v>
                </c:pt>
                <c:pt idx="1556">
                  <c:v>0.36389032395343718</c:v>
                </c:pt>
                <c:pt idx="1557">
                  <c:v>0.36406449379898198</c:v>
                </c:pt>
                <c:pt idx="1558">
                  <c:v>0.3642099728120603</c:v>
                </c:pt>
                <c:pt idx="1559">
                  <c:v>0.36423023416584932</c:v>
                </c:pt>
                <c:pt idx="1560">
                  <c:v>0.3642396470759206</c:v>
                </c:pt>
                <c:pt idx="1561">
                  <c:v>0.36432289933169049</c:v>
                </c:pt>
                <c:pt idx="1562">
                  <c:v>0.36436014641237685</c:v>
                </c:pt>
                <c:pt idx="1563">
                  <c:v>0.36438362730767099</c:v>
                </c:pt>
                <c:pt idx="1564">
                  <c:v>0.36440423207280775</c:v>
                </c:pt>
                <c:pt idx="1565">
                  <c:v>0.36449082926166615</c:v>
                </c:pt>
                <c:pt idx="1566">
                  <c:v>0.36450964642556016</c:v>
                </c:pt>
                <c:pt idx="1567">
                  <c:v>0.36455807421194641</c:v>
                </c:pt>
                <c:pt idx="1568">
                  <c:v>0.36456548442760434</c:v>
                </c:pt>
                <c:pt idx="1569">
                  <c:v>0.364734030136245</c:v>
                </c:pt>
                <c:pt idx="1570">
                  <c:v>0.36476561649190831</c:v>
                </c:pt>
                <c:pt idx="1571">
                  <c:v>0.36482839270708073</c:v>
                </c:pt>
                <c:pt idx="1572">
                  <c:v>0.3648949054524333</c:v>
                </c:pt>
                <c:pt idx="1573">
                  <c:v>0.36506155788140865</c:v>
                </c:pt>
                <c:pt idx="1574">
                  <c:v>0.36509241409902032</c:v>
                </c:pt>
                <c:pt idx="1575">
                  <c:v>0.36521128751151871</c:v>
                </c:pt>
                <c:pt idx="1576">
                  <c:v>0.36523803341892747</c:v>
                </c:pt>
                <c:pt idx="1577">
                  <c:v>0.36525108305188897</c:v>
                </c:pt>
                <c:pt idx="1578">
                  <c:v>0.36536669990327458</c:v>
                </c:pt>
                <c:pt idx="1579">
                  <c:v>0.3653756257591238</c:v>
                </c:pt>
                <c:pt idx="1580">
                  <c:v>0.36538098171895333</c:v>
                </c:pt>
                <c:pt idx="1581">
                  <c:v>0.3657114788300922</c:v>
                </c:pt>
                <c:pt idx="1582">
                  <c:v>0.36592745894249229</c:v>
                </c:pt>
                <c:pt idx="1583">
                  <c:v>0.36594669822227888</c:v>
                </c:pt>
                <c:pt idx="1584">
                  <c:v>0.36612829993597873</c:v>
                </c:pt>
                <c:pt idx="1585">
                  <c:v>0.36618590197261625</c:v>
                </c:pt>
                <c:pt idx="1586">
                  <c:v>0.36621565429771269</c:v>
                </c:pt>
                <c:pt idx="1587">
                  <c:v>0.3662746436836235</c:v>
                </c:pt>
                <c:pt idx="1588">
                  <c:v>0.36628351824891842</c:v>
                </c:pt>
                <c:pt idx="1589">
                  <c:v>0.3662910064671564</c:v>
                </c:pt>
                <c:pt idx="1590">
                  <c:v>0.36633776801734952</c:v>
                </c:pt>
                <c:pt idx="1591">
                  <c:v>0.36639869443102879</c:v>
                </c:pt>
                <c:pt idx="1592">
                  <c:v>0.36641068808265848</c:v>
                </c:pt>
                <c:pt idx="1593">
                  <c:v>0.36644025802887165</c:v>
                </c:pt>
                <c:pt idx="1594">
                  <c:v>0.36651452038694515</c:v>
                </c:pt>
                <c:pt idx="1595">
                  <c:v>0.366563621318932</c:v>
                </c:pt>
                <c:pt idx="1596">
                  <c:v>0.36669220394501068</c:v>
                </c:pt>
                <c:pt idx="1597">
                  <c:v>0.36669347981249706</c:v>
                </c:pt>
                <c:pt idx="1598">
                  <c:v>0.3668013741589608</c:v>
                </c:pt>
                <c:pt idx="1599">
                  <c:v>0.36681049776347735</c:v>
                </c:pt>
                <c:pt idx="1600">
                  <c:v>0.36693093586507031</c:v>
                </c:pt>
                <c:pt idx="1601">
                  <c:v>0.3669726417152992</c:v>
                </c:pt>
                <c:pt idx="1602">
                  <c:v>0.36701284107101229</c:v>
                </c:pt>
                <c:pt idx="1603">
                  <c:v>0.36716991745590571</c:v>
                </c:pt>
                <c:pt idx="1604">
                  <c:v>0.36724884860500551</c:v>
                </c:pt>
                <c:pt idx="1605">
                  <c:v>0.3673335078379768</c:v>
                </c:pt>
                <c:pt idx="1606">
                  <c:v>0.36735912672219523</c:v>
                </c:pt>
                <c:pt idx="1607">
                  <c:v>0.36751452640726401</c:v>
                </c:pt>
                <c:pt idx="1608">
                  <c:v>0.36756318602848603</c:v>
                </c:pt>
                <c:pt idx="1609">
                  <c:v>0.36770245041616295</c:v>
                </c:pt>
                <c:pt idx="1610">
                  <c:v>0.36783033422423866</c:v>
                </c:pt>
                <c:pt idx="1611">
                  <c:v>0.36786532638913355</c:v>
                </c:pt>
                <c:pt idx="1612">
                  <c:v>0.36789381182868797</c:v>
                </c:pt>
                <c:pt idx="1613">
                  <c:v>0.36793838334085249</c:v>
                </c:pt>
                <c:pt idx="1614">
                  <c:v>0.36813839573928281</c:v>
                </c:pt>
                <c:pt idx="1615">
                  <c:v>0.36819203112692622</c:v>
                </c:pt>
                <c:pt idx="1616">
                  <c:v>0.36820686769592176</c:v>
                </c:pt>
                <c:pt idx="1617">
                  <c:v>0.36825144691500339</c:v>
                </c:pt>
                <c:pt idx="1618">
                  <c:v>0.36832888572507816</c:v>
                </c:pt>
                <c:pt idx="1619">
                  <c:v>0.36835263580166933</c:v>
                </c:pt>
                <c:pt idx="1620">
                  <c:v>0.36836380628143039</c:v>
                </c:pt>
                <c:pt idx="1621">
                  <c:v>0.36840162075053662</c:v>
                </c:pt>
                <c:pt idx="1622">
                  <c:v>0.36844214274557485</c:v>
                </c:pt>
                <c:pt idx="1623">
                  <c:v>0.36852816401972621</c:v>
                </c:pt>
                <c:pt idx="1624">
                  <c:v>0.36855935759266356</c:v>
                </c:pt>
                <c:pt idx="1625">
                  <c:v>0.36859169731636193</c:v>
                </c:pt>
                <c:pt idx="1626">
                  <c:v>0.36869044460368322</c:v>
                </c:pt>
                <c:pt idx="1627">
                  <c:v>0.36871838693111425</c:v>
                </c:pt>
                <c:pt idx="1628">
                  <c:v>0.36876534645845316</c:v>
                </c:pt>
                <c:pt idx="1629">
                  <c:v>0.36883988831768455</c:v>
                </c:pt>
                <c:pt idx="1630">
                  <c:v>0.36895777838629318</c:v>
                </c:pt>
                <c:pt idx="1631">
                  <c:v>0.36900371871958754</c:v>
                </c:pt>
                <c:pt idx="1632">
                  <c:v>0.36907504054071849</c:v>
                </c:pt>
                <c:pt idx="1633">
                  <c:v>0.36916144707977538</c:v>
                </c:pt>
                <c:pt idx="1634">
                  <c:v>0.36923881707862671</c:v>
                </c:pt>
                <c:pt idx="1635">
                  <c:v>0.36944148470907862</c:v>
                </c:pt>
                <c:pt idx="1636">
                  <c:v>0.36948358937695042</c:v>
                </c:pt>
                <c:pt idx="1637">
                  <c:v>0.36950780699512809</c:v>
                </c:pt>
                <c:pt idx="1638">
                  <c:v>0.36966227117760025</c:v>
                </c:pt>
                <c:pt idx="1639">
                  <c:v>0.36972443777902281</c:v>
                </c:pt>
                <c:pt idx="1640">
                  <c:v>0.36978380740542616</c:v>
                </c:pt>
                <c:pt idx="1641">
                  <c:v>0.36979089232835322</c:v>
                </c:pt>
                <c:pt idx="1642">
                  <c:v>0.36985100251583813</c:v>
                </c:pt>
                <c:pt idx="1643">
                  <c:v>0.36988268481997244</c:v>
                </c:pt>
                <c:pt idx="1644">
                  <c:v>0.36994752566354155</c:v>
                </c:pt>
                <c:pt idx="1645">
                  <c:v>0.37000386027890703</c:v>
                </c:pt>
                <c:pt idx="1646">
                  <c:v>0.37003213367242371</c:v>
                </c:pt>
                <c:pt idx="1647">
                  <c:v>0.37004767606706629</c:v>
                </c:pt>
                <c:pt idx="1648">
                  <c:v>0.37005181822076816</c:v>
                </c:pt>
                <c:pt idx="1649">
                  <c:v>0.3701137297252281</c:v>
                </c:pt>
                <c:pt idx="1650">
                  <c:v>0.3702483034330229</c:v>
                </c:pt>
                <c:pt idx="1651">
                  <c:v>0.37028166024253673</c:v>
                </c:pt>
                <c:pt idx="1652">
                  <c:v>0.3704290884793609</c:v>
                </c:pt>
                <c:pt idx="1653">
                  <c:v>0.37043468218479236</c:v>
                </c:pt>
                <c:pt idx="1654">
                  <c:v>0.37047844067124519</c:v>
                </c:pt>
                <c:pt idx="1655">
                  <c:v>0.37049761954809646</c:v>
                </c:pt>
                <c:pt idx="1656">
                  <c:v>0.37066116902285579</c:v>
                </c:pt>
                <c:pt idx="1657">
                  <c:v>0.37069524265546944</c:v>
                </c:pt>
                <c:pt idx="1658">
                  <c:v>0.37070819564535407</c:v>
                </c:pt>
                <c:pt idx="1659">
                  <c:v>0.37085836362185831</c:v>
                </c:pt>
                <c:pt idx="1660">
                  <c:v>0.37110857843257133</c:v>
                </c:pt>
                <c:pt idx="1661">
                  <c:v>0.37115942988719697</c:v>
                </c:pt>
                <c:pt idx="1662">
                  <c:v>0.37118196457980834</c:v>
                </c:pt>
                <c:pt idx="1663">
                  <c:v>0.3713221078896643</c:v>
                </c:pt>
                <c:pt idx="1664">
                  <c:v>0.37132424885468435</c:v>
                </c:pt>
                <c:pt idx="1665">
                  <c:v>0.37133108295102102</c:v>
                </c:pt>
                <c:pt idx="1666">
                  <c:v>0.37133135912699827</c:v>
                </c:pt>
                <c:pt idx="1667">
                  <c:v>0.371335040981016</c:v>
                </c:pt>
                <c:pt idx="1668">
                  <c:v>0.37142456092268422</c:v>
                </c:pt>
                <c:pt idx="1669">
                  <c:v>0.37153713935332422</c:v>
                </c:pt>
                <c:pt idx="1670">
                  <c:v>0.37154005511706423</c:v>
                </c:pt>
                <c:pt idx="1671">
                  <c:v>0.3717117657673043</c:v>
                </c:pt>
                <c:pt idx="1672">
                  <c:v>0.37174521473050887</c:v>
                </c:pt>
                <c:pt idx="1673">
                  <c:v>0.37180606301200547</c:v>
                </c:pt>
                <c:pt idx="1674">
                  <c:v>0.37204908703641221</c:v>
                </c:pt>
                <c:pt idx="1675">
                  <c:v>0.37205517468908711</c:v>
                </c:pt>
                <c:pt idx="1676">
                  <c:v>0.37224745143526122</c:v>
                </c:pt>
                <c:pt idx="1677">
                  <c:v>0.37231068264364436</c:v>
                </c:pt>
                <c:pt idx="1678">
                  <c:v>0.3723656384255799</c:v>
                </c:pt>
                <c:pt idx="1679">
                  <c:v>0.3725971399644864</c:v>
                </c:pt>
                <c:pt idx="1680">
                  <c:v>0.37280538335676844</c:v>
                </c:pt>
                <c:pt idx="1681">
                  <c:v>0.37292673106680935</c:v>
                </c:pt>
                <c:pt idx="1682">
                  <c:v>0.37299962878431547</c:v>
                </c:pt>
                <c:pt idx="1683">
                  <c:v>0.37306268215354382</c:v>
                </c:pt>
                <c:pt idx="1684">
                  <c:v>0.37316552808992282</c:v>
                </c:pt>
                <c:pt idx="1685">
                  <c:v>0.37316610109239134</c:v>
                </c:pt>
                <c:pt idx="1686">
                  <c:v>0.37316757070057355</c:v>
                </c:pt>
                <c:pt idx="1687">
                  <c:v>0.37325623234245087</c:v>
                </c:pt>
                <c:pt idx="1688">
                  <c:v>0.3734163853371022</c:v>
                </c:pt>
                <c:pt idx="1689">
                  <c:v>0.37350162529862602</c:v>
                </c:pt>
                <c:pt idx="1690">
                  <c:v>0.37357046659903781</c:v>
                </c:pt>
                <c:pt idx="1691">
                  <c:v>0.37360159358890099</c:v>
                </c:pt>
                <c:pt idx="1692">
                  <c:v>0.37371458090517196</c:v>
                </c:pt>
                <c:pt idx="1693">
                  <c:v>0.3737672821483588</c:v>
                </c:pt>
                <c:pt idx="1694">
                  <c:v>0.37379178281322195</c:v>
                </c:pt>
                <c:pt idx="1695">
                  <c:v>0.37380971087562093</c:v>
                </c:pt>
                <c:pt idx="1696">
                  <c:v>0.37388035201929104</c:v>
                </c:pt>
                <c:pt idx="1697">
                  <c:v>0.37393055503195544</c:v>
                </c:pt>
                <c:pt idx="1698">
                  <c:v>0.37393094224309031</c:v>
                </c:pt>
                <c:pt idx="1699">
                  <c:v>0.37428558495200687</c:v>
                </c:pt>
                <c:pt idx="1700">
                  <c:v>0.37429841284630583</c:v>
                </c:pt>
                <c:pt idx="1701">
                  <c:v>0.37438658707328354</c:v>
                </c:pt>
                <c:pt idx="1702">
                  <c:v>0.37441223113479538</c:v>
                </c:pt>
                <c:pt idx="1703">
                  <c:v>0.37478334028744464</c:v>
                </c:pt>
                <c:pt idx="1704">
                  <c:v>0.37480498123480183</c:v>
                </c:pt>
                <c:pt idx="1705">
                  <c:v>0.37500173884294008</c:v>
                </c:pt>
                <c:pt idx="1706">
                  <c:v>0.37519800256843633</c:v>
                </c:pt>
                <c:pt idx="1707">
                  <c:v>0.37526662166592561</c:v>
                </c:pt>
                <c:pt idx="1708">
                  <c:v>0.37528130167284385</c:v>
                </c:pt>
                <c:pt idx="1709">
                  <c:v>0.37529310216095951</c:v>
                </c:pt>
                <c:pt idx="1710">
                  <c:v>0.3753470809477194</c:v>
                </c:pt>
                <c:pt idx="1711">
                  <c:v>0.37535945552164907</c:v>
                </c:pt>
                <c:pt idx="1712">
                  <c:v>0.37536559779435213</c:v>
                </c:pt>
                <c:pt idx="1713">
                  <c:v>0.37542150698603144</c:v>
                </c:pt>
                <c:pt idx="1714">
                  <c:v>0.37553580113095342</c:v>
                </c:pt>
                <c:pt idx="1715">
                  <c:v>0.37559900152513565</c:v>
                </c:pt>
                <c:pt idx="1716">
                  <c:v>0.37560244439201279</c:v>
                </c:pt>
                <c:pt idx="1717">
                  <c:v>0.37560639788683209</c:v>
                </c:pt>
                <c:pt idx="1718">
                  <c:v>0.37568026890833006</c:v>
                </c:pt>
                <c:pt idx="1719">
                  <c:v>0.37569424493344866</c:v>
                </c:pt>
                <c:pt idx="1720">
                  <c:v>0.37578713110608314</c:v>
                </c:pt>
                <c:pt idx="1721">
                  <c:v>0.37588866262684495</c:v>
                </c:pt>
                <c:pt idx="1722">
                  <c:v>0.37602644215116438</c:v>
                </c:pt>
                <c:pt idx="1723">
                  <c:v>0.37610738392273801</c:v>
                </c:pt>
                <c:pt idx="1724">
                  <c:v>0.37611253583479565</c:v>
                </c:pt>
                <c:pt idx="1725">
                  <c:v>0.376125948486284</c:v>
                </c:pt>
                <c:pt idx="1726">
                  <c:v>0.37613377288873429</c:v>
                </c:pt>
                <c:pt idx="1727">
                  <c:v>0.37620114915815112</c:v>
                </c:pt>
                <c:pt idx="1728">
                  <c:v>0.37629828550305205</c:v>
                </c:pt>
                <c:pt idx="1729">
                  <c:v>0.37657839709338797</c:v>
                </c:pt>
                <c:pt idx="1730">
                  <c:v>0.3766158592402703</c:v>
                </c:pt>
                <c:pt idx="1731">
                  <c:v>0.37667711780313218</c:v>
                </c:pt>
                <c:pt idx="1732">
                  <c:v>0.37669388236168688</c:v>
                </c:pt>
                <c:pt idx="1733">
                  <c:v>0.37681029648455233</c:v>
                </c:pt>
                <c:pt idx="1734">
                  <c:v>0.37682019451507381</c:v>
                </c:pt>
                <c:pt idx="1735">
                  <c:v>0.37689525069260854</c:v>
                </c:pt>
                <c:pt idx="1736">
                  <c:v>0.37689769098502779</c:v>
                </c:pt>
                <c:pt idx="1737">
                  <c:v>0.37695060276967995</c:v>
                </c:pt>
                <c:pt idx="1738">
                  <c:v>0.37700492798280821</c:v>
                </c:pt>
                <c:pt idx="1739">
                  <c:v>0.37716209192375255</c:v>
                </c:pt>
                <c:pt idx="1740">
                  <c:v>0.37725674870250231</c:v>
                </c:pt>
                <c:pt idx="1741">
                  <c:v>0.37736276401891161</c:v>
                </c:pt>
                <c:pt idx="1742">
                  <c:v>0.37737640233749259</c:v>
                </c:pt>
                <c:pt idx="1743">
                  <c:v>0.37740696903259346</c:v>
                </c:pt>
                <c:pt idx="1744">
                  <c:v>0.37743762753761917</c:v>
                </c:pt>
                <c:pt idx="1745">
                  <c:v>0.37756876598913269</c:v>
                </c:pt>
                <c:pt idx="1746">
                  <c:v>0.37760475038718649</c:v>
                </c:pt>
                <c:pt idx="1747">
                  <c:v>0.37764261403783717</c:v>
                </c:pt>
                <c:pt idx="1748">
                  <c:v>0.37771705115795073</c:v>
                </c:pt>
                <c:pt idx="1749">
                  <c:v>0.37773139958134822</c:v>
                </c:pt>
                <c:pt idx="1750">
                  <c:v>0.37779004359154328</c:v>
                </c:pt>
                <c:pt idx="1751">
                  <c:v>0.37781066614416586</c:v>
                </c:pt>
                <c:pt idx="1752">
                  <c:v>0.37781874434267654</c:v>
                </c:pt>
                <c:pt idx="1753">
                  <c:v>0.37784095576053989</c:v>
                </c:pt>
                <c:pt idx="1754">
                  <c:v>0.3778496510188678</c:v>
                </c:pt>
                <c:pt idx="1755">
                  <c:v>0.37789150759991474</c:v>
                </c:pt>
                <c:pt idx="1756">
                  <c:v>0.37790675137878332</c:v>
                </c:pt>
                <c:pt idx="1757">
                  <c:v>0.37818861512111346</c:v>
                </c:pt>
                <c:pt idx="1758">
                  <c:v>0.37821914996576322</c:v>
                </c:pt>
                <c:pt idx="1759">
                  <c:v>0.37831166376463699</c:v>
                </c:pt>
                <c:pt idx="1760">
                  <c:v>0.37838907097235081</c:v>
                </c:pt>
                <c:pt idx="1761">
                  <c:v>0.37842321783138505</c:v>
                </c:pt>
                <c:pt idx="1762">
                  <c:v>0.3784531354393138</c:v>
                </c:pt>
                <c:pt idx="1763">
                  <c:v>0.37849394906323131</c:v>
                </c:pt>
                <c:pt idx="1764">
                  <c:v>0.37855110353422466</c:v>
                </c:pt>
                <c:pt idx="1765">
                  <c:v>0.37856139843296077</c:v>
                </c:pt>
                <c:pt idx="1766">
                  <c:v>0.37862066425512531</c:v>
                </c:pt>
                <c:pt idx="1767">
                  <c:v>0.37865164837349047</c:v>
                </c:pt>
                <c:pt idx="1768">
                  <c:v>0.37871610840495556</c:v>
                </c:pt>
                <c:pt idx="1769">
                  <c:v>0.37874361458909628</c:v>
                </c:pt>
                <c:pt idx="1770">
                  <c:v>0.37879770813533226</c:v>
                </c:pt>
                <c:pt idx="1771">
                  <c:v>0.37880424757605829</c:v>
                </c:pt>
                <c:pt idx="1772">
                  <c:v>0.37881160663771285</c:v>
                </c:pt>
                <c:pt idx="1773">
                  <c:v>0.37886118590059326</c:v>
                </c:pt>
                <c:pt idx="1774">
                  <c:v>0.3789159288278014</c:v>
                </c:pt>
                <c:pt idx="1775">
                  <c:v>0.37897710292549941</c:v>
                </c:pt>
                <c:pt idx="1776">
                  <c:v>0.37905647927643543</c:v>
                </c:pt>
                <c:pt idx="1777">
                  <c:v>0.37907950468662949</c:v>
                </c:pt>
                <c:pt idx="1778">
                  <c:v>0.37937486029736084</c:v>
                </c:pt>
                <c:pt idx="1779">
                  <c:v>0.37939529075211992</c:v>
                </c:pt>
                <c:pt idx="1780">
                  <c:v>0.37941244693702431</c:v>
                </c:pt>
                <c:pt idx="1781">
                  <c:v>0.3794518496676233</c:v>
                </c:pt>
                <c:pt idx="1782">
                  <c:v>0.37946284988842072</c:v>
                </c:pt>
                <c:pt idx="1783">
                  <c:v>0.37962005065119198</c:v>
                </c:pt>
                <c:pt idx="1784">
                  <c:v>0.37997907374983458</c:v>
                </c:pt>
                <c:pt idx="1785">
                  <c:v>0.38003348281346883</c:v>
                </c:pt>
                <c:pt idx="1786">
                  <c:v>0.3800467298813564</c:v>
                </c:pt>
                <c:pt idx="1787">
                  <c:v>0.38005679013612753</c:v>
                </c:pt>
                <c:pt idx="1788">
                  <c:v>0.38011820370229998</c:v>
                </c:pt>
                <c:pt idx="1789">
                  <c:v>0.38020189246178576</c:v>
                </c:pt>
                <c:pt idx="1790">
                  <c:v>0.38044290386613872</c:v>
                </c:pt>
                <c:pt idx="1791">
                  <c:v>0.38053233878814685</c:v>
                </c:pt>
                <c:pt idx="1792">
                  <c:v>0.38054422140856131</c:v>
                </c:pt>
                <c:pt idx="1793">
                  <c:v>0.38065987737788182</c:v>
                </c:pt>
                <c:pt idx="1794">
                  <c:v>0.3806940245231929</c:v>
                </c:pt>
                <c:pt idx="1795">
                  <c:v>0.38075449726506827</c:v>
                </c:pt>
                <c:pt idx="1796">
                  <c:v>0.38083083084254754</c:v>
                </c:pt>
                <c:pt idx="1797">
                  <c:v>0.38085216676407274</c:v>
                </c:pt>
                <c:pt idx="1798">
                  <c:v>0.38087857573756168</c:v>
                </c:pt>
                <c:pt idx="1799">
                  <c:v>0.38090812226975818</c:v>
                </c:pt>
                <c:pt idx="1800">
                  <c:v>0.3809224253628874</c:v>
                </c:pt>
                <c:pt idx="1801">
                  <c:v>0.38093438424590714</c:v>
                </c:pt>
                <c:pt idx="1802">
                  <c:v>0.38097569922463265</c:v>
                </c:pt>
                <c:pt idx="1803">
                  <c:v>0.38118869465752281</c:v>
                </c:pt>
                <c:pt idx="1804">
                  <c:v>0.38119985299628639</c:v>
                </c:pt>
                <c:pt idx="1805">
                  <c:v>0.38127690318052843</c:v>
                </c:pt>
                <c:pt idx="1806">
                  <c:v>0.38137597423520897</c:v>
                </c:pt>
                <c:pt idx="1807">
                  <c:v>0.38138590831295321</c:v>
                </c:pt>
                <c:pt idx="1808">
                  <c:v>0.38140830364379857</c:v>
                </c:pt>
                <c:pt idx="1809">
                  <c:v>0.38141478776764931</c:v>
                </c:pt>
                <c:pt idx="1810">
                  <c:v>0.3814316182267467</c:v>
                </c:pt>
                <c:pt idx="1811">
                  <c:v>0.38160843955377693</c:v>
                </c:pt>
                <c:pt idx="1812">
                  <c:v>0.38168762248338295</c:v>
                </c:pt>
                <c:pt idx="1813">
                  <c:v>0.38169814758844406</c:v>
                </c:pt>
                <c:pt idx="1814">
                  <c:v>0.38176989661486116</c:v>
                </c:pt>
                <c:pt idx="1815">
                  <c:v>0.3818681680295522</c:v>
                </c:pt>
                <c:pt idx="1816">
                  <c:v>0.38188263097401259</c:v>
                </c:pt>
                <c:pt idx="1817">
                  <c:v>0.38190986379751757</c:v>
                </c:pt>
                <c:pt idx="1818">
                  <c:v>0.38191676058389074</c:v>
                </c:pt>
                <c:pt idx="1819">
                  <c:v>0.38199184677105574</c:v>
                </c:pt>
                <c:pt idx="1820">
                  <c:v>0.38212623443049748</c:v>
                </c:pt>
                <c:pt idx="1821">
                  <c:v>0.38225587206427869</c:v>
                </c:pt>
                <c:pt idx="1822">
                  <c:v>0.38228564177832769</c:v>
                </c:pt>
                <c:pt idx="1823">
                  <c:v>0.38236377962399615</c:v>
                </c:pt>
                <c:pt idx="1824">
                  <c:v>0.38248675244076558</c:v>
                </c:pt>
                <c:pt idx="1825">
                  <c:v>0.38251445861482491</c:v>
                </c:pt>
                <c:pt idx="1826">
                  <c:v>0.38275980475361421</c:v>
                </c:pt>
                <c:pt idx="1827">
                  <c:v>0.38278473561346038</c:v>
                </c:pt>
                <c:pt idx="1828">
                  <c:v>0.38284871992236191</c:v>
                </c:pt>
                <c:pt idx="1829">
                  <c:v>0.38295638311040803</c:v>
                </c:pt>
                <c:pt idx="1830">
                  <c:v>0.38295997750676747</c:v>
                </c:pt>
                <c:pt idx="1831">
                  <c:v>0.38320726783146236</c:v>
                </c:pt>
                <c:pt idx="1832">
                  <c:v>0.38327805256197911</c:v>
                </c:pt>
                <c:pt idx="1833">
                  <c:v>0.38332492115647687</c:v>
                </c:pt>
                <c:pt idx="1834">
                  <c:v>0.38338473273548246</c:v>
                </c:pt>
                <c:pt idx="1835">
                  <c:v>0.38345499425799734</c:v>
                </c:pt>
                <c:pt idx="1836">
                  <c:v>0.3834646456133437</c:v>
                </c:pt>
                <c:pt idx="1837">
                  <c:v>0.38352287853727923</c:v>
                </c:pt>
                <c:pt idx="1838">
                  <c:v>0.38357928672336511</c:v>
                </c:pt>
                <c:pt idx="1839">
                  <c:v>0.3836242279973443</c:v>
                </c:pt>
                <c:pt idx="1840">
                  <c:v>0.38394343543955528</c:v>
                </c:pt>
                <c:pt idx="1841">
                  <c:v>0.3841235171500802</c:v>
                </c:pt>
                <c:pt idx="1842">
                  <c:v>0.38419309304018218</c:v>
                </c:pt>
                <c:pt idx="1843">
                  <c:v>0.38423877352282965</c:v>
                </c:pt>
                <c:pt idx="1844">
                  <c:v>0.38438221591966049</c:v>
                </c:pt>
                <c:pt idx="1845">
                  <c:v>0.38440778495054728</c:v>
                </c:pt>
                <c:pt idx="1846">
                  <c:v>0.38449968879892771</c:v>
                </c:pt>
                <c:pt idx="1847">
                  <c:v>0.38457135527514641</c:v>
                </c:pt>
                <c:pt idx="1848">
                  <c:v>0.3845828699802879</c:v>
                </c:pt>
                <c:pt idx="1849">
                  <c:v>0.38462311138941846</c:v>
                </c:pt>
                <c:pt idx="1850">
                  <c:v>0.38463205611831458</c:v>
                </c:pt>
                <c:pt idx="1851">
                  <c:v>0.38465354393520629</c:v>
                </c:pt>
                <c:pt idx="1852">
                  <c:v>0.38486752069562591</c:v>
                </c:pt>
                <c:pt idx="1853">
                  <c:v>0.38493837604495168</c:v>
                </c:pt>
                <c:pt idx="1854">
                  <c:v>0.38510416897275851</c:v>
                </c:pt>
                <c:pt idx="1855">
                  <c:v>0.38518049516655312</c:v>
                </c:pt>
                <c:pt idx="1856">
                  <c:v>0.38527093192663042</c:v>
                </c:pt>
                <c:pt idx="1857">
                  <c:v>0.38529782315249389</c:v>
                </c:pt>
                <c:pt idx="1858">
                  <c:v>0.38539701268520155</c:v>
                </c:pt>
                <c:pt idx="1859">
                  <c:v>0.38563691539202527</c:v>
                </c:pt>
                <c:pt idx="1860">
                  <c:v>0.38569616796565787</c:v>
                </c:pt>
                <c:pt idx="1861">
                  <c:v>0.38574055176825123</c:v>
                </c:pt>
                <c:pt idx="1862">
                  <c:v>0.38575653803364585</c:v>
                </c:pt>
                <c:pt idx="1863">
                  <c:v>0.38581077185823665</c:v>
                </c:pt>
                <c:pt idx="1864">
                  <c:v>0.38587484409748096</c:v>
                </c:pt>
                <c:pt idx="1865">
                  <c:v>0.38591791515397411</c:v>
                </c:pt>
                <c:pt idx="1866">
                  <c:v>0.38606086473614015</c:v>
                </c:pt>
                <c:pt idx="1867">
                  <c:v>0.38610631687081232</c:v>
                </c:pt>
                <c:pt idx="1868">
                  <c:v>0.3861530737695556</c:v>
                </c:pt>
                <c:pt idx="1869">
                  <c:v>0.38619744891224439</c:v>
                </c:pt>
                <c:pt idx="1870">
                  <c:v>0.38624075716016948</c:v>
                </c:pt>
                <c:pt idx="1871">
                  <c:v>0.38635602807951325</c:v>
                </c:pt>
                <c:pt idx="1872">
                  <c:v>0.3864667766689438</c:v>
                </c:pt>
                <c:pt idx="1873">
                  <c:v>0.38650553904815932</c:v>
                </c:pt>
                <c:pt idx="1874">
                  <c:v>0.38653100960049475</c:v>
                </c:pt>
                <c:pt idx="1875">
                  <c:v>0.38657312879860789</c:v>
                </c:pt>
                <c:pt idx="1876">
                  <c:v>0.38666702495748989</c:v>
                </c:pt>
                <c:pt idx="1877">
                  <c:v>0.38667819310814638</c:v>
                </c:pt>
                <c:pt idx="1878">
                  <c:v>0.3868188807930516</c:v>
                </c:pt>
                <c:pt idx="1879">
                  <c:v>0.3869334181571325</c:v>
                </c:pt>
                <c:pt idx="1880">
                  <c:v>0.38701225678942353</c:v>
                </c:pt>
                <c:pt idx="1881">
                  <c:v>0.38704580230334457</c:v>
                </c:pt>
                <c:pt idx="1882">
                  <c:v>0.38714205166734533</c:v>
                </c:pt>
                <c:pt idx="1883">
                  <c:v>0.38745237625290274</c:v>
                </c:pt>
                <c:pt idx="1884">
                  <c:v>0.38769374497965997</c:v>
                </c:pt>
                <c:pt idx="1885">
                  <c:v>0.38771435487598871</c:v>
                </c:pt>
                <c:pt idx="1886">
                  <c:v>0.3877661794897313</c:v>
                </c:pt>
                <c:pt idx="1887">
                  <c:v>0.38783341356339357</c:v>
                </c:pt>
                <c:pt idx="1888">
                  <c:v>0.38783909059585969</c:v>
                </c:pt>
                <c:pt idx="1889">
                  <c:v>0.3878783603999888</c:v>
                </c:pt>
                <c:pt idx="1890">
                  <c:v>0.38788585977450285</c:v>
                </c:pt>
                <c:pt idx="1891">
                  <c:v>0.38792157113279507</c:v>
                </c:pt>
                <c:pt idx="1892">
                  <c:v>0.38793630961383485</c:v>
                </c:pt>
                <c:pt idx="1893">
                  <c:v>0.38794974120333614</c:v>
                </c:pt>
                <c:pt idx="1894">
                  <c:v>0.38797272844241748</c:v>
                </c:pt>
                <c:pt idx="1895">
                  <c:v>0.3881543558529208</c:v>
                </c:pt>
                <c:pt idx="1896">
                  <c:v>0.38832479120410635</c:v>
                </c:pt>
                <c:pt idx="1897">
                  <c:v>0.38832963891572808</c:v>
                </c:pt>
                <c:pt idx="1898">
                  <c:v>0.38835615213524843</c:v>
                </c:pt>
                <c:pt idx="1899">
                  <c:v>0.38843341922837571</c:v>
                </c:pt>
                <c:pt idx="1900">
                  <c:v>0.38843575667046565</c:v>
                </c:pt>
                <c:pt idx="1901">
                  <c:v>0.38846600721442159</c:v>
                </c:pt>
                <c:pt idx="1902">
                  <c:v>0.38847662218291512</c:v>
                </c:pt>
                <c:pt idx="1903">
                  <c:v>0.38850502380457647</c:v>
                </c:pt>
                <c:pt idx="1904">
                  <c:v>0.38853372296079375</c:v>
                </c:pt>
                <c:pt idx="1905">
                  <c:v>0.38863881640501652</c:v>
                </c:pt>
                <c:pt idx="1906">
                  <c:v>0.3887293514070615</c:v>
                </c:pt>
                <c:pt idx="1907">
                  <c:v>0.3887421038934275</c:v>
                </c:pt>
                <c:pt idx="1908">
                  <c:v>0.38882011421733759</c:v>
                </c:pt>
                <c:pt idx="1909">
                  <c:v>0.38885315104810625</c:v>
                </c:pt>
                <c:pt idx="1910">
                  <c:v>0.38888518235723524</c:v>
                </c:pt>
                <c:pt idx="1911">
                  <c:v>0.38890141848070892</c:v>
                </c:pt>
                <c:pt idx="1912">
                  <c:v>0.38894677250126497</c:v>
                </c:pt>
                <c:pt idx="1913">
                  <c:v>0.38913926401923438</c:v>
                </c:pt>
                <c:pt idx="1914">
                  <c:v>0.38927492968100674</c:v>
                </c:pt>
                <c:pt idx="1915">
                  <c:v>0.38928929404020501</c:v>
                </c:pt>
                <c:pt idx="1916">
                  <c:v>0.38930431791325559</c:v>
                </c:pt>
                <c:pt idx="1917">
                  <c:v>0.38938996635989331</c:v>
                </c:pt>
                <c:pt idx="1918">
                  <c:v>0.38942310118075824</c:v>
                </c:pt>
                <c:pt idx="1919">
                  <c:v>0.38942850045335681</c:v>
                </c:pt>
                <c:pt idx="1920">
                  <c:v>0.38954187711267479</c:v>
                </c:pt>
                <c:pt idx="1921">
                  <c:v>0.3895614683315054</c:v>
                </c:pt>
                <c:pt idx="1922">
                  <c:v>0.38958223642178313</c:v>
                </c:pt>
                <c:pt idx="1923">
                  <c:v>0.38958311308810128</c:v>
                </c:pt>
                <c:pt idx="1924">
                  <c:v>0.38963037873112183</c:v>
                </c:pt>
                <c:pt idx="1925">
                  <c:v>0.38965827607386216</c:v>
                </c:pt>
                <c:pt idx="1926">
                  <c:v>0.38968079652754217</c:v>
                </c:pt>
                <c:pt idx="1927">
                  <c:v>0.38975600838842228</c:v>
                </c:pt>
                <c:pt idx="1928">
                  <c:v>0.38993423959706308</c:v>
                </c:pt>
                <c:pt idx="1929">
                  <c:v>0.38995730131378326</c:v>
                </c:pt>
                <c:pt idx="1930">
                  <c:v>0.3899986501417424</c:v>
                </c:pt>
                <c:pt idx="1931">
                  <c:v>0.39006796370896496</c:v>
                </c:pt>
                <c:pt idx="1932">
                  <c:v>0.39021686562869778</c:v>
                </c:pt>
                <c:pt idx="1933">
                  <c:v>0.39025125085241796</c:v>
                </c:pt>
                <c:pt idx="1934">
                  <c:v>0.39029748751052357</c:v>
                </c:pt>
                <c:pt idx="1935">
                  <c:v>0.39039570623882591</c:v>
                </c:pt>
                <c:pt idx="1936">
                  <c:v>0.39051200721555235</c:v>
                </c:pt>
                <c:pt idx="1937">
                  <c:v>0.39054418746895125</c:v>
                </c:pt>
                <c:pt idx="1938">
                  <c:v>0.39069420307711117</c:v>
                </c:pt>
                <c:pt idx="1939">
                  <c:v>0.39075800406457795</c:v>
                </c:pt>
                <c:pt idx="1940">
                  <c:v>0.39084477264793316</c:v>
                </c:pt>
                <c:pt idx="1941">
                  <c:v>0.39084719153074576</c:v>
                </c:pt>
                <c:pt idx="1942">
                  <c:v>0.39107764056540162</c:v>
                </c:pt>
                <c:pt idx="1943">
                  <c:v>0.39108400130272836</c:v>
                </c:pt>
                <c:pt idx="1944">
                  <c:v>0.39128314008469817</c:v>
                </c:pt>
                <c:pt idx="1945">
                  <c:v>0.39134564913365683</c:v>
                </c:pt>
                <c:pt idx="1946">
                  <c:v>0.39153724890174568</c:v>
                </c:pt>
                <c:pt idx="1947">
                  <c:v>0.39160264158852071</c:v>
                </c:pt>
                <c:pt idx="1948">
                  <c:v>0.39162841589260017</c:v>
                </c:pt>
                <c:pt idx="1949">
                  <c:v>0.39177840860850188</c:v>
                </c:pt>
                <c:pt idx="1950">
                  <c:v>0.39179053769974509</c:v>
                </c:pt>
                <c:pt idx="1951">
                  <c:v>0.39180668325474893</c:v>
                </c:pt>
                <c:pt idx="1952">
                  <c:v>0.39201514717448616</c:v>
                </c:pt>
                <c:pt idx="1953">
                  <c:v>0.39216079983034074</c:v>
                </c:pt>
                <c:pt idx="1954">
                  <c:v>0.39223075697909959</c:v>
                </c:pt>
                <c:pt idx="1955">
                  <c:v>0.39226486027137836</c:v>
                </c:pt>
                <c:pt idx="1956">
                  <c:v>0.39232873431108367</c:v>
                </c:pt>
                <c:pt idx="1957">
                  <c:v>0.39240009179568952</c:v>
                </c:pt>
                <c:pt idx="1958">
                  <c:v>0.39273793349203917</c:v>
                </c:pt>
                <c:pt idx="1959">
                  <c:v>0.39276745059031248</c:v>
                </c:pt>
                <c:pt idx="1960">
                  <c:v>0.39291157203497784</c:v>
                </c:pt>
                <c:pt idx="1961">
                  <c:v>0.39297407460471639</c:v>
                </c:pt>
                <c:pt idx="1962">
                  <c:v>0.39340370006804981</c:v>
                </c:pt>
                <c:pt idx="1963">
                  <c:v>0.39341896254427483</c:v>
                </c:pt>
                <c:pt idx="1964">
                  <c:v>0.39342803916551927</c:v>
                </c:pt>
                <c:pt idx="1965">
                  <c:v>0.39355525077294751</c:v>
                </c:pt>
                <c:pt idx="1966">
                  <c:v>0.39361057898394697</c:v>
                </c:pt>
                <c:pt idx="1967">
                  <c:v>0.39361178264206292</c:v>
                </c:pt>
                <c:pt idx="1968">
                  <c:v>0.3936147505103138</c:v>
                </c:pt>
                <c:pt idx="1969">
                  <c:v>0.39363379580074576</c:v>
                </c:pt>
                <c:pt idx="1970">
                  <c:v>0.3936576581543883</c:v>
                </c:pt>
                <c:pt idx="1971">
                  <c:v>0.39366854424027364</c:v>
                </c:pt>
                <c:pt idx="1972">
                  <c:v>0.39367014265843087</c:v>
                </c:pt>
                <c:pt idx="1973">
                  <c:v>0.39389781215702535</c:v>
                </c:pt>
                <c:pt idx="1974">
                  <c:v>0.39396601940289538</c:v>
                </c:pt>
                <c:pt idx="1975">
                  <c:v>0.39398407872475305</c:v>
                </c:pt>
                <c:pt idx="1976">
                  <c:v>0.3939899549733577</c:v>
                </c:pt>
                <c:pt idx="1977">
                  <c:v>0.39413188940871019</c:v>
                </c:pt>
                <c:pt idx="1978">
                  <c:v>0.39425264186068931</c:v>
                </c:pt>
                <c:pt idx="1979">
                  <c:v>0.39427313257237312</c:v>
                </c:pt>
                <c:pt idx="1980">
                  <c:v>0.39434429540131144</c:v>
                </c:pt>
                <c:pt idx="1981">
                  <c:v>0.39444012859045952</c:v>
                </c:pt>
                <c:pt idx="1982">
                  <c:v>0.39457318815421183</c:v>
                </c:pt>
                <c:pt idx="1983">
                  <c:v>0.3946351002259148</c:v>
                </c:pt>
                <c:pt idx="1984">
                  <c:v>0.39473534005968791</c:v>
                </c:pt>
                <c:pt idx="1985">
                  <c:v>0.39474505332272058</c:v>
                </c:pt>
                <c:pt idx="1986">
                  <c:v>0.39475965678301073</c:v>
                </c:pt>
                <c:pt idx="1987">
                  <c:v>0.39481146984797655</c:v>
                </c:pt>
                <c:pt idx="1988">
                  <c:v>0.39489865905099236</c:v>
                </c:pt>
                <c:pt idx="1989">
                  <c:v>0.39492577733884815</c:v>
                </c:pt>
                <c:pt idx="1990">
                  <c:v>0.394976276327553</c:v>
                </c:pt>
                <c:pt idx="1991">
                  <c:v>0.39501436836113718</c:v>
                </c:pt>
                <c:pt idx="1992">
                  <c:v>0.39502963530063628</c:v>
                </c:pt>
                <c:pt idx="1993">
                  <c:v>0.39515902355467203</c:v>
                </c:pt>
                <c:pt idx="1994">
                  <c:v>0.39530895027958801</c:v>
                </c:pt>
                <c:pt idx="1995">
                  <c:v>0.39533209525805002</c:v>
                </c:pt>
                <c:pt idx="1996">
                  <c:v>0.39534198907317397</c:v>
                </c:pt>
                <c:pt idx="1997">
                  <c:v>0.39537520684574912</c:v>
                </c:pt>
                <c:pt idx="1998">
                  <c:v>0.39542501841724037</c:v>
                </c:pt>
                <c:pt idx="1999">
                  <c:v>0.39569893999957345</c:v>
                </c:pt>
                <c:pt idx="2000">
                  <c:v>0.39573231312946089</c:v>
                </c:pt>
                <c:pt idx="2001">
                  <c:v>0.39586885930110699</c:v>
                </c:pt>
                <c:pt idx="2002">
                  <c:v>0.39592640430754367</c:v>
                </c:pt>
                <c:pt idx="2003">
                  <c:v>0.39640511243763027</c:v>
                </c:pt>
                <c:pt idx="2004">
                  <c:v>0.39645271709196223</c:v>
                </c:pt>
                <c:pt idx="2005">
                  <c:v>0.39649252077254488</c:v>
                </c:pt>
                <c:pt idx="2006">
                  <c:v>0.3965010122219918</c:v>
                </c:pt>
                <c:pt idx="2007">
                  <c:v>0.39655784246246156</c:v>
                </c:pt>
                <c:pt idx="2008">
                  <c:v>0.39663814619131865</c:v>
                </c:pt>
                <c:pt idx="2009">
                  <c:v>0.39670401550845574</c:v>
                </c:pt>
                <c:pt idx="2010">
                  <c:v>0.39679410211642485</c:v>
                </c:pt>
                <c:pt idx="2011">
                  <c:v>0.39680713951268576</c:v>
                </c:pt>
                <c:pt idx="2012">
                  <c:v>0.39683964000985167</c:v>
                </c:pt>
                <c:pt idx="2013">
                  <c:v>0.39686258128189866</c:v>
                </c:pt>
                <c:pt idx="2014">
                  <c:v>0.39686888535605575</c:v>
                </c:pt>
                <c:pt idx="2015">
                  <c:v>0.39692537219144652</c:v>
                </c:pt>
                <c:pt idx="2016">
                  <c:v>0.39693461822509946</c:v>
                </c:pt>
                <c:pt idx="2017">
                  <c:v>0.39704652029130799</c:v>
                </c:pt>
                <c:pt idx="2018">
                  <c:v>0.39713220982116015</c:v>
                </c:pt>
                <c:pt idx="2019">
                  <c:v>0.39721184065077014</c:v>
                </c:pt>
                <c:pt idx="2020">
                  <c:v>0.39723208014528527</c:v>
                </c:pt>
                <c:pt idx="2021">
                  <c:v>0.39738034336438233</c:v>
                </c:pt>
                <c:pt idx="2022">
                  <c:v>0.39739980481942294</c:v>
                </c:pt>
                <c:pt idx="2023">
                  <c:v>0.3974258922063415</c:v>
                </c:pt>
                <c:pt idx="2024">
                  <c:v>0.3975368806244885</c:v>
                </c:pt>
                <c:pt idx="2025">
                  <c:v>0.3975416131045621</c:v>
                </c:pt>
                <c:pt idx="2026">
                  <c:v>0.3975462176441959</c:v>
                </c:pt>
                <c:pt idx="2027">
                  <c:v>0.39761854606573904</c:v>
                </c:pt>
                <c:pt idx="2028">
                  <c:v>0.39781269684095433</c:v>
                </c:pt>
                <c:pt idx="2029">
                  <c:v>0.39782407931408498</c:v>
                </c:pt>
                <c:pt idx="2030">
                  <c:v>0.39794625170374953</c:v>
                </c:pt>
                <c:pt idx="2031">
                  <c:v>0.39794768058038393</c:v>
                </c:pt>
                <c:pt idx="2032">
                  <c:v>0.39802318769956091</c:v>
                </c:pt>
                <c:pt idx="2033">
                  <c:v>0.39802444366473405</c:v>
                </c:pt>
                <c:pt idx="2034">
                  <c:v>0.39805415689047474</c:v>
                </c:pt>
                <c:pt idx="2035">
                  <c:v>0.39807707974492323</c:v>
                </c:pt>
                <c:pt idx="2036">
                  <c:v>0.39821706566773996</c:v>
                </c:pt>
                <c:pt idx="2037">
                  <c:v>0.39823681073227951</c:v>
                </c:pt>
                <c:pt idx="2038">
                  <c:v>0.39841623482547134</c:v>
                </c:pt>
                <c:pt idx="2039">
                  <c:v>0.39843177880825326</c:v>
                </c:pt>
                <c:pt idx="2040">
                  <c:v>0.39863593221749982</c:v>
                </c:pt>
                <c:pt idx="2041">
                  <c:v>0.39871621061653745</c:v>
                </c:pt>
                <c:pt idx="2042">
                  <c:v>0.39873096145759229</c:v>
                </c:pt>
                <c:pt idx="2043">
                  <c:v>0.39885014551473852</c:v>
                </c:pt>
                <c:pt idx="2044">
                  <c:v>0.3990263043438656</c:v>
                </c:pt>
                <c:pt idx="2045">
                  <c:v>0.39929107018213272</c:v>
                </c:pt>
                <c:pt idx="2046">
                  <c:v>0.39929394378237226</c:v>
                </c:pt>
                <c:pt idx="2047">
                  <c:v>0.39938846940587924</c:v>
                </c:pt>
                <c:pt idx="2048">
                  <c:v>0.39949641860518181</c:v>
                </c:pt>
                <c:pt idx="2049">
                  <c:v>0.39955569669347113</c:v>
                </c:pt>
                <c:pt idx="2050">
                  <c:v>0.39976826841064372</c:v>
                </c:pt>
                <c:pt idx="2051">
                  <c:v>0.3998541919475066</c:v>
                </c:pt>
                <c:pt idx="2052">
                  <c:v>0.39987045955356726</c:v>
                </c:pt>
                <c:pt idx="2053">
                  <c:v>0.4002092194114828</c:v>
                </c:pt>
                <c:pt idx="2054">
                  <c:v>0.40022143484528439</c:v>
                </c:pt>
                <c:pt idx="2055">
                  <c:v>0.40040967586272169</c:v>
                </c:pt>
                <c:pt idx="2056">
                  <c:v>0.40060708659995131</c:v>
                </c:pt>
                <c:pt idx="2057">
                  <c:v>0.4010200831958089</c:v>
                </c:pt>
                <c:pt idx="2058">
                  <c:v>0.40143522303291129</c:v>
                </c:pt>
                <c:pt idx="2059">
                  <c:v>0.40176327952467594</c:v>
                </c:pt>
                <c:pt idx="2060">
                  <c:v>0.40180096079946442</c:v>
                </c:pt>
                <c:pt idx="2061">
                  <c:v>0.40181846505025781</c:v>
                </c:pt>
                <c:pt idx="2062">
                  <c:v>0.40203686196747179</c:v>
                </c:pt>
                <c:pt idx="2063">
                  <c:v>0.4020565545580958</c:v>
                </c:pt>
                <c:pt idx="2064">
                  <c:v>0.40222361345574076</c:v>
                </c:pt>
                <c:pt idx="2065">
                  <c:v>0.40234543506379289</c:v>
                </c:pt>
                <c:pt idx="2066">
                  <c:v>0.40252950005107918</c:v>
                </c:pt>
                <c:pt idx="2067">
                  <c:v>0.40253384566525635</c:v>
                </c:pt>
                <c:pt idx="2068">
                  <c:v>0.4026532488659722</c:v>
                </c:pt>
                <c:pt idx="2069">
                  <c:v>0.40281958883981595</c:v>
                </c:pt>
                <c:pt idx="2070">
                  <c:v>0.40287455963151914</c:v>
                </c:pt>
                <c:pt idx="2071">
                  <c:v>0.40296770611493649</c:v>
                </c:pt>
                <c:pt idx="2072">
                  <c:v>0.40297134430652493</c:v>
                </c:pt>
                <c:pt idx="2073">
                  <c:v>0.40301279803279511</c:v>
                </c:pt>
                <c:pt idx="2074">
                  <c:v>0.40312301007268869</c:v>
                </c:pt>
                <c:pt idx="2075">
                  <c:v>0.40329477608671832</c:v>
                </c:pt>
                <c:pt idx="2076">
                  <c:v>0.40341113164487602</c:v>
                </c:pt>
                <c:pt idx="2077">
                  <c:v>0.40342971817070161</c:v>
                </c:pt>
                <c:pt idx="2078">
                  <c:v>0.40350442400528569</c:v>
                </c:pt>
                <c:pt idx="2079">
                  <c:v>0.40354500084173595</c:v>
                </c:pt>
                <c:pt idx="2080">
                  <c:v>0.40362613295005267</c:v>
                </c:pt>
                <c:pt idx="2081">
                  <c:v>0.40366037524250481</c:v>
                </c:pt>
                <c:pt idx="2082">
                  <c:v>0.40376354260807296</c:v>
                </c:pt>
                <c:pt idx="2083">
                  <c:v>0.40389576171067954</c:v>
                </c:pt>
                <c:pt idx="2084">
                  <c:v>0.40415281606804698</c:v>
                </c:pt>
                <c:pt idx="2085">
                  <c:v>0.40415308526551502</c:v>
                </c:pt>
                <c:pt idx="2086">
                  <c:v>0.40420328191459753</c:v>
                </c:pt>
                <c:pt idx="2087">
                  <c:v>0.40421290065911031</c:v>
                </c:pt>
                <c:pt idx="2088">
                  <c:v>0.40427587973272378</c:v>
                </c:pt>
                <c:pt idx="2089">
                  <c:v>0.40428227628150309</c:v>
                </c:pt>
                <c:pt idx="2090">
                  <c:v>0.40439176157901463</c:v>
                </c:pt>
                <c:pt idx="2091">
                  <c:v>0.40442007100795435</c:v>
                </c:pt>
                <c:pt idx="2092">
                  <c:v>0.40462264588981051</c:v>
                </c:pt>
                <c:pt idx="2093">
                  <c:v>0.40481486036828995</c:v>
                </c:pt>
                <c:pt idx="2094">
                  <c:v>0.40481635076945066</c:v>
                </c:pt>
                <c:pt idx="2095">
                  <c:v>0.40481763990963443</c:v>
                </c:pt>
                <c:pt idx="2096">
                  <c:v>0.40515701612024912</c:v>
                </c:pt>
                <c:pt idx="2097">
                  <c:v>0.40540493928075683</c:v>
                </c:pt>
                <c:pt idx="2098">
                  <c:v>0.40552605594536772</c:v>
                </c:pt>
                <c:pt idx="2099">
                  <c:v>0.40555214598308797</c:v>
                </c:pt>
                <c:pt idx="2100">
                  <c:v>0.4056784357166664</c:v>
                </c:pt>
                <c:pt idx="2101">
                  <c:v>0.40583396139967098</c:v>
                </c:pt>
                <c:pt idx="2102">
                  <c:v>0.40621796122950582</c:v>
                </c:pt>
                <c:pt idx="2103">
                  <c:v>0.40633954524244797</c:v>
                </c:pt>
                <c:pt idx="2104">
                  <c:v>0.40642961200752048</c:v>
                </c:pt>
                <c:pt idx="2105">
                  <c:v>0.40676929920016924</c:v>
                </c:pt>
                <c:pt idx="2106">
                  <c:v>0.40699405846870407</c:v>
                </c:pt>
                <c:pt idx="2107">
                  <c:v>0.40705166967670509</c:v>
                </c:pt>
                <c:pt idx="2108">
                  <c:v>0.40706929148705351</c:v>
                </c:pt>
                <c:pt idx="2109">
                  <c:v>0.40717157264489756</c:v>
                </c:pt>
                <c:pt idx="2110">
                  <c:v>0.40723289019501319</c:v>
                </c:pt>
                <c:pt idx="2111">
                  <c:v>0.40736466303252583</c:v>
                </c:pt>
                <c:pt idx="2112">
                  <c:v>0.40751920779539208</c:v>
                </c:pt>
                <c:pt idx="2113">
                  <c:v>0.40768041589487725</c:v>
                </c:pt>
                <c:pt idx="2114">
                  <c:v>0.40776259516744345</c:v>
                </c:pt>
                <c:pt idx="2115">
                  <c:v>0.40787465506729276</c:v>
                </c:pt>
                <c:pt idx="2116">
                  <c:v>0.4079455587758552</c:v>
                </c:pt>
                <c:pt idx="2117">
                  <c:v>0.40799019922058077</c:v>
                </c:pt>
                <c:pt idx="2118">
                  <c:v>0.40803860036522893</c:v>
                </c:pt>
                <c:pt idx="2119">
                  <c:v>0.40821626635830743</c:v>
                </c:pt>
                <c:pt idx="2120">
                  <c:v>0.40828442714977436</c:v>
                </c:pt>
                <c:pt idx="2121">
                  <c:v>0.40829189868619897</c:v>
                </c:pt>
                <c:pt idx="2122">
                  <c:v>0.40829314571458747</c:v>
                </c:pt>
                <c:pt idx="2123">
                  <c:v>0.40836549681884643</c:v>
                </c:pt>
                <c:pt idx="2124">
                  <c:v>0.40841609275294488</c:v>
                </c:pt>
                <c:pt idx="2125">
                  <c:v>0.40845227052089605</c:v>
                </c:pt>
                <c:pt idx="2126">
                  <c:v>0.40850694472732779</c:v>
                </c:pt>
                <c:pt idx="2127">
                  <c:v>0.40851935803765799</c:v>
                </c:pt>
                <c:pt idx="2128">
                  <c:v>0.40854659758723677</c:v>
                </c:pt>
                <c:pt idx="2129">
                  <c:v>0.40858890357124128</c:v>
                </c:pt>
                <c:pt idx="2130">
                  <c:v>0.40861547961834399</c:v>
                </c:pt>
                <c:pt idx="2131">
                  <c:v>0.40865044229632763</c:v>
                </c:pt>
                <c:pt idx="2132">
                  <c:v>0.40872467597891671</c:v>
                </c:pt>
                <c:pt idx="2133">
                  <c:v>0.40882791325772316</c:v>
                </c:pt>
                <c:pt idx="2134">
                  <c:v>0.40898927791698858</c:v>
                </c:pt>
                <c:pt idx="2135">
                  <c:v>0.40911636656337336</c:v>
                </c:pt>
                <c:pt idx="2136">
                  <c:v>0.40923532375277633</c:v>
                </c:pt>
                <c:pt idx="2137">
                  <c:v>0.40931109812644384</c:v>
                </c:pt>
                <c:pt idx="2138">
                  <c:v>0.40941279799389618</c:v>
                </c:pt>
                <c:pt idx="2139">
                  <c:v>0.40943224264840905</c:v>
                </c:pt>
                <c:pt idx="2140">
                  <c:v>0.40958002667687654</c:v>
                </c:pt>
                <c:pt idx="2141">
                  <c:v>0.40970136756627562</c:v>
                </c:pt>
                <c:pt idx="2142">
                  <c:v>0.40970688604554661</c:v>
                </c:pt>
                <c:pt idx="2143">
                  <c:v>0.40975125225111675</c:v>
                </c:pt>
                <c:pt idx="2144">
                  <c:v>0.40989688812153241</c:v>
                </c:pt>
                <c:pt idx="2145">
                  <c:v>0.41018172316940688</c:v>
                </c:pt>
                <c:pt idx="2146">
                  <c:v>0.41022510022567182</c:v>
                </c:pt>
                <c:pt idx="2147">
                  <c:v>0.41023790918246156</c:v>
                </c:pt>
                <c:pt idx="2148">
                  <c:v>0.41034605817919945</c:v>
                </c:pt>
                <c:pt idx="2149">
                  <c:v>0.41036758089236564</c:v>
                </c:pt>
                <c:pt idx="2150">
                  <c:v>0.41038082736154691</c:v>
                </c:pt>
                <c:pt idx="2151">
                  <c:v>0.41040458582996503</c:v>
                </c:pt>
                <c:pt idx="2152">
                  <c:v>0.41056527804716869</c:v>
                </c:pt>
                <c:pt idx="2153">
                  <c:v>0.41059195260138598</c:v>
                </c:pt>
                <c:pt idx="2154">
                  <c:v>0.41061405948554131</c:v>
                </c:pt>
                <c:pt idx="2155">
                  <c:v>0.41067395634621495</c:v>
                </c:pt>
                <c:pt idx="2156">
                  <c:v>0.41080139271327587</c:v>
                </c:pt>
                <c:pt idx="2157">
                  <c:v>0.41092004950012817</c:v>
                </c:pt>
                <c:pt idx="2158">
                  <c:v>0.4109865233513269</c:v>
                </c:pt>
                <c:pt idx="2159">
                  <c:v>0.41126653741516861</c:v>
                </c:pt>
                <c:pt idx="2160">
                  <c:v>0.41128097511270573</c:v>
                </c:pt>
                <c:pt idx="2161">
                  <c:v>0.41132105849400152</c:v>
                </c:pt>
                <c:pt idx="2162">
                  <c:v>0.41139174288973851</c:v>
                </c:pt>
                <c:pt idx="2163">
                  <c:v>0.41146510098141731</c:v>
                </c:pt>
                <c:pt idx="2164">
                  <c:v>0.4115387068829533</c:v>
                </c:pt>
                <c:pt idx="2165">
                  <c:v>0.41159864373464744</c:v>
                </c:pt>
                <c:pt idx="2166">
                  <c:v>0.41179354421188308</c:v>
                </c:pt>
                <c:pt idx="2167">
                  <c:v>0.41200420994517706</c:v>
                </c:pt>
                <c:pt idx="2168">
                  <c:v>0.4121203470348721</c:v>
                </c:pt>
                <c:pt idx="2169">
                  <c:v>0.41218015331572566</c:v>
                </c:pt>
                <c:pt idx="2170">
                  <c:v>0.41222237117526644</c:v>
                </c:pt>
                <c:pt idx="2171">
                  <c:v>0.41224518966498791</c:v>
                </c:pt>
                <c:pt idx="2172">
                  <c:v>0.4122960699608384</c:v>
                </c:pt>
                <c:pt idx="2173">
                  <c:v>0.41232337093675359</c:v>
                </c:pt>
                <c:pt idx="2174">
                  <c:v>0.41247465547907425</c:v>
                </c:pt>
                <c:pt idx="2175">
                  <c:v>0.41255122533547572</c:v>
                </c:pt>
                <c:pt idx="2176">
                  <c:v>0.41255551847873645</c:v>
                </c:pt>
                <c:pt idx="2177">
                  <c:v>0.41259588401714054</c:v>
                </c:pt>
                <c:pt idx="2178">
                  <c:v>0.41297254947393974</c:v>
                </c:pt>
                <c:pt idx="2179">
                  <c:v>0.41297873518875872</c:v>
                </c:pt>
                <c:pt idx="2180">
                  <c:v>0.41301396720953293</c:v>
                </c:pt>
                <c:pt idx="2181">
                  <c:v>0.41345024373691691</c:v>
                </c:pt>
                <c:pt idx="2182">
                  <c:v>0.4134615313721508</c:v>
                </c:pt>
                <c:pt idx="2183">
                  <c:v>0.41360827940843731</c:v>
                </c:pt>
                <c:pt idx="2184">
                  <c:v>0.41363536006944374</c:v>
                </c:pt>
                <c:pt idx="2185">
                  <c:v>0.41364949672062157</c:v>
                </c:pt>
                <c:pt idx="2186">
                  <c:v>0.41370826698675045</c:v>
                </c:pt>
                <c:pt idx="2187">
                  <c:v>0.41374602086926898</c:v>
                </c:pt>
                <c:pt idx="2188">
                  <c:v>0.4137938170041065</c:v>
                </c:pt>
                <c:pt idx="2189">
                  <c:v>0.41381568847549827</c:v>
                </c:pt>
                <c:pt idx="2190">
                  <c:v>0.41387210281076287</c:v>
                </c:pt>
                <c:pt idx="2191">
                  <c:v>0.41428896860946257</c:v>
                </c:pt>
                <c:pt idx="2192">
                  <c:v>0.41445754373718313</c:v>
                </c:pt>
                <c:pt idx="2193">
                  <c:v>0.4145232829979022</c:v>
                </c:pt>
                <c:pt idx="2194">
                  <c:v>0.41454285430147897</c:v>
                </c:pt>
                <c:pt idx="2195">
                  <c:v>0.41457224462656028</c:v>
                </c:pt>
                <c:pt idx="2196">
                  <c:v>0.41459479339914229</c:v>
                </c:pt>
                <c:pt idx="2197">
                  <c:v>0.41472050830935336</c:v>
                </c:pt>
                <c:pt idx="2198">
                  <c:v>0.41479864673298672</c:v>
                </c:pt>
                <c:pt idx="2199">
                  <c:v>0.41484644018255357</c:v>
                </c:pt>
                <c:pt idx="2200">
                  <c:v>0.41493873966822925</c:v>
                </c:pt>
                <c:pt idx="2201">
                  <c:v>0.41496247116875667</c:v>
                </c:pt>
                <c:pt idx="2202">
                  <c:v>0.41496582576590013</c:v>
                </c:pt>
                <c:pt idx="2203">
                  <c:v>0.4152648200874608</c:v>
                </c:pt>
                <c:pt idx="2204">
                  <c:v>0.41528529921701191</c:v>
                </c:pt>
                <c:pt idx="2205">
                  <c:v>0.4153480317442334</c:v>
                </c:pt>
                <c:pt idx="2206">
                  <c:v>0.41534887960622668</c:v>
                </c:pt>
                <c:pt idx="2207">
                  <c:v>0.41568428890873887</c:v>
                </c:pt>
                <c:pt idx="2208">
                  <c:v>0.41581280071937027</c:v>
                </c:pt>
                <c:pt idx="2209">
                  <c:v>0.41582771001303187</c:v>
                </c:pt>
                <c:pt idx="2210">
                  <c:v>0.41595994946484888</c:v>
                </c:pt>
                <c:pt idx="2211">
                  <c:v>0.41605033614348752</c:v>
                </c:pt>
                <c:pt idx="2212">
                  <c:v>0.41605339303945438</c:v>
                </c:pt>
                <c:pt idx="2213">
                  <c:v>0.4161591808351538</c:v>
                </c:pt>
                <c:pt idx="2214">
                  <c:v>0.41628607190359956</c:v>
                </c:pt>
                <c:pt idx="2215">
                  <c:v>0.41629977660088757</c:v>
                </c:pt>
                <c:pt idx="2216">
                  <c:v>0.4163678584767414</c:v>
                </c:pt>
                <c:pt idx="2217">
                  <c:v>0.41637735104310691</c:v>
                </c:pt>
                <c:pt idx="2218">
                  <c:v>0.41652353340881426</c:v>
                </c:pt>
                <c:pt idx="2219">
                  <c:v>0.41704243546396891</c:v>
                </c:pt>
                <c:pt idx="2220">
                  <c:v>0.41747993996422689</c:v>
                </c:pt>
                <c:pt idx="2221">
                  <c:v>0.4175402426406789</c:v>
                </c:pt>
                <c:pt idx="2222">
                  <c:v>0.41755260883965067</c:v>
                </c:pt>
                <c:pt idx="2223">
                  <c:v>0.41794019673126809</c:v>
                </c:pt>
                <c:pt idx="2224">
                  <c:v>0.41812742559395327</c:v>
                </c:pt>
                <c:pt idx="2225">
                  <c:v>0.41815042529099222</c:v>
                </c:pt>
                <c:pt idx="2226">
                  <c:v>0.41835701981877449</c:v>
                </c:pt>
                <c:pt idx="2227">
                  <c:v>0.41839754464425549</c:v>
                </c:pt>
                <c:pt idx="2228">
                  <c:v>0.41843646661131306</c:v>
                </c:pt>
                <c:pt idx="2229">
                  <c:v>0.41844904168030894</c:v>
                </c:pt>
                <c:pt idx="2230">
                  <c:v>0.41846839469875763</c:v>
                </c:pt>
                <c:pt idx="2231">
                  <c:v>0.41848886305122956</c:v>
                </c:pt>
                <c:pt idx="2232">
                  <c:v>0.41887175816708749</c:v>
                </c:pt>
                <c:pt idx="2233">
                  <c:v>0.4189586926817187</c:v>
                </c:pt>
                <c:pt idx="2234">
                  <c:v>0.41900190766625106</c:v>
                </c:pt>
                <c:pt idx="2235">
                  <c:v>0.41901877066136389</c:v>
                </c:pt>
                <c:pt idx="2236">
                  <c:v>0.41902738837398368</c:v>
                </c:pt>
                <c:pt idx="2237">
                  <c:v>0.41913676306383973</c:v>
                </c:pt>
                <c:pt idx="2238">
                  <c:v>0.41921409100567342</c:v>
                </c:pt>
                <c:pt idx="2239">
                  <c:v>0.41926500103692688</c:v>
                </c:pt>
                <c:pt idx="2240">
                  <c:v>0.41934113009031537</c:v>
                </c:pt>
                <c:pt idx="2241">
                  <c:v>0.41950215250636524</c:v>
                </c:pt>
                <c:pt idx="2242">
                  <c:v>0.41958296321599997</c:v>
                </c:pt>
                <c:pt idx="2243">
                  <c:v>0.41969908578614812</c:v>
                </c:pt>
                <c:pt idx="2244">
                  <c:v>0.41991847537570764</c:v>
                </c:pt>
                <c:pt idx="2245">
                  <c:v>0.41993280932023858</c:v>
                </c:pt>
                <c:pt idx="2246">
                  <c:v>0.41999261987849806</c:v>
                </c:pt>
                <c:pt idx="2247">
                  <c:v>0.42011933518623173</c:v>
                </c:pt>
                <c:pt idx="2248">
                  <c:v>0.42019158586867988</c:v>
                </c:pt>
                <c:pt idx="2249">
                  <c:v>0.42036970574808807</c:v>
                </c:pt>
                <c:pt idx="2250">
                  <c:v>0.42047195014193239</c:v>
                </c:pt>
                <c:pt idx="2251">
                  <c:v>0.42062320760898897</c:v>
                </c:pt>
                <c:pt idx="2252">
                  <c:v>0.4206273544036252</c:v>
                </c:pt>
                <c:pt idx="2253">
                  <c:v>0.4206600253513329</c:v>
                </c:pt>
                <c:pt idx="2254">
                  <c:v>0.42072603198512104</c:v>
                </c:pt>
                <c:pt idx="2255">
                  <c:v>0.42080751582305914</c:v>
                </c:pt>
                <c:pt idx="2256">
                  <c:v>0.42089543261720586</c:v>
                </c:pt>
                <c:pt idx="2257">
                  <c:v>0.42095261696211184</c:v>
                </c:pt>
                <c:pt idx="2258">
                  <c:v>0.42108946669526576</c:v>
                </c:pt>
                <c:pt idx="2259">
                  <c:v>0.42115802141066494</c:v>
                </c:pt>
                <c:pt idx="2260">
                  <c:v>0.42142453011534059</c:v>
                </c:pt>
                <c:pt idx="2261">
                  <c:v>0.42148522049107351</c:v>
                </c:pt>
                <c:pt idx="2262">
                  <c:v>0.42151843850808968</c:v>
                </c:pt>
                <c:pt idx="2263">
                  <c:v>0.42157880654377849</c:v>
                </c:pt>
                <c:pt idx="2264">
                  <c:v>0.42169112041444717</c:v>
                </c:pt>
                <c:pt idx="2265">
                  <c:v>0.42178104793653159</c:v>
                </c:pt>
                <c:pt idx="2266">
                  <c:v>0.42184643647493258</c:v>
                </c:pt>
                <c:pt idx="2267">
                  <c:v>0.4218603623565354</c:v>
                </c:pt>
                <c:pt idx="2268">
                  <c:v>0.42197352944238814</c:v>
                </c:pt>
                <c:pt idx="2269">
                  <c:v>0.42202161459018905</c:v>
                </c:pt>
                <c:pt idx="2270">
                  <c:v>0.4221206689218916</c:v>
                </c:pt>
                <c:pt idx="2271">
                  <c:v>0.4223068037039106</c:v>
                </c:pt>
                <c:pt idx="2272">
                  <c:v>0.42254186169634855</c:v>
                </c:pt>
                <c:pt idx="2273">
                  <c:v>0.42265651222111406</c:v>
                </c:pt>
                <c:pt idx="2274">
                  <c:v>0.42275384755176432</c:v>
                </c:pt>
                <c:pt idx="2275">
                  <c:v>0.42313206437134787</c:v>
                </c:pt>
                <c:pt idx="2276">
                  <c:v>0.42319656294833669</c:v>
                </c:pt>
                <c:pt idx="2277">
                  <c:v>0.42338330204554253</c:v>
                </c:pt>
                <c:pt idx="2278">
                  <c:v>0.42348630142313104</c:v>
                </c:pt>
                <c:pt idx="2279">
                  <c:v>0.42367402931518722</c:v>
                </c:pt>
                <c:pt idx="2280">
                  <c:v>0.42390574437505169</c:v>
                </c:pt>
                <c:pt idx="2281">
                  <c:v>0.42396327624775221</c:v>
                </c:pt>
                <c:pt idx="2282">
                  <c:v>0.42400363937798952</c:v>
                </c:pt>
                <c:pt idx="2283">
                  <c:v>0.42418202950900652</c:v>
                </c:pt>
                <c:pt idx="2284">
                  <c:v>0.42419217656063957</c:v>
                </c:pt>
                <c:pt idx="2285">
                  <c:v>0.42439121029945792</c:v>
                </c:pt>
                <c:pt idx="2286">
                  <c:v>0.42448694330029413</c:v>
                </c:pt>
                <c:pt idx="2287">
                  <c:v>0.42454722121094091</c:v>
                </c:pt>
                <c:pt idx="2288">
                  <c:v>0.42466466829251059</c:v>
                </c:pt>
                <c:pt idx="2289">
                  <c:v>0.42473451110680327</c:v>
                </c:pt>
                <c:pt idx="2290">
                  <c:v>0.42488707418640931</c:v>
                </c:pt>
                <c:pt idx="2291">
                  <c:v>0.42491412101025477</c:v>
                </c:pt>
                <c:pt idx="2292">
                  <c:v>0.42497478019000123</c:v>
                </c:pt>
                <c:pt idx="2293">
                  <c:v>0.42500290951623654</c:v>
                </c:pt>
                <c:pt idx="2294">
                  <c:v>0.42502017965835087</c:v>
                </c:pt>
                <c:pt idx="2295">
                  <c:v>0.42507294863202799</c:v>
                </c:pt>
                <c:pt idx="2296">
                  <c:v>0.42516677799234281</c:v>
                </c:pt>
                <c:pt idx="2297">
                  <c:v>0.42520504981804275</c:v>
                </c:pt>
                <c:pt idx="2298">
                  <c:v>0.4252185243710796</c:v>
                </c:pt>
                <c:pt idx="2299">
                  <c:v>0.42523764773533723</c:v>
                </c:pt>
                <c:pt idx="2300">
                  <c:v>0.42528230575195691</c:v>
                </c:pt>
                <c:pt idx="2301">
                  <c:v>0.42535948525169553</c:v>
                </c:pt>
                <c:pt idx="2302">
                  <c:v>0.42536726127278401</c:v>
                </c:pt>
                <c:pt idx="2303">
                  <c:v>0.4253824883385528</c:v>
                </c:pt>
                <c:pt idx="2304">
                  <c:v>0.42561137368117974</c:v>
                </c:pt>
                <c:pt idx="2305">
                  <c:v>0.42576958789237435</c:v>
                </c:pt>
                <c:pt idx="2306">
                  <c:v>0.42579271739039903</c:v>
                </c:pt>
                <c:pt idx="2307">
                  <c:v>0.42580703939545739</c:v>
                </c:pt>
                <c:pt idx="2308">
                  <c:v>0.42583161964462146</c:v>
                </c:pt>
                <c:pt idx="2309">
                  <c:v>0.42584249449347622</c:v>
                </c:pt>
                <c:pt idx="2310">
                  <c:v>0.42597350949137641</c:v>
                </c:pt>
                <c:pt idx="2311">
                  <c:v>0.42601631292883968</c:v>
                </c:pt>
                <c:pt idx="2312">
                  <c:v>0.42605951006144949</c:v>
                </c:pt>
                <c:pt idx="2313">
                  <c:v>0.42606570025728968</c:v>
                </c:pt>
                <c:pt idx="2314">
                  <c:v>0.42606798977939719</c:v>
                </c:pt>
                <c:pt idx="2315">
                  <c:v>0.42617207174413557</c:v>
                </c:pt>
                <c:pt idx="2316">
                  <c:v>0.42622986478623992</c:v>
                </c:pt>
                <c:pt idx="2317">
                  <c:v>0.4264267022738642</c:v>
                </c:pt>
                <c:pt idx="2318">
                  <c:v>0.42648588594896031</c:v>
                </c:pt>
                <c:pt idx="2319">
                  <c:v>0.42649585232641068</c:v>
                </c:pt>
                <c:pt idx="2320">
                  <c:v>0.42674071915368439</c:v>
                </c:pt>
                <c:pt idx="2321">
                  <c:v>0.42686966110482477</c:v>
                </c:pt>
                <c:pt idx="2322">
                  <c:v>0.42690332093606848</c:v>
                </c:pt>
                <c:pt idx="2323">
                  <c:v>0.42712280785869167</c:v>
                </c:pt>
                <c:pt idx="2324">
                  <c:v>0.42726063027507044</c:v>
                </c:pt>
                <c:pt idx="2325">
                  <c:v>0.42733334563868863</c:v>
                </c:pt>
                <c:pt idx="2326">
                  <c:v>0.42746916324810974</c:v>
                </c:pt>
                <c:pt idx="2327">
                  <c:v>0.42767812511052905</c:v>
                </c:pt>
                <c:pt idx="2328">
                  <c:v>0.42781300534286959</c:v>
                </c:pt>
                <c:pt idx="2329">
                  <c:v>0.42824216674740356</c:v>
                </c:pt>
                <c:pt idx="2330">
                  <c:v>0.42835242383319033</c:v>
                </c:pt>
                <c:pt idx="2331">
                  <c:v>0.42845994311687507</c:v>
                </c:pt>
                <c:pt idx="2332">
                  <c:v>0.42854343925680605</c:v>
                </c:pt>
                <c:pt idx="2333">
                  <c:v>0.42868966323852392</c:v>
                </c:pt>
                <c:pt idx="2334">
                  <c:v>0.42870661925052012</c:v>
                </c:pt>
                <c:pt idx="2335">
                  <c:v>0.42893229616817269</c:v>
                </c:pt>
                <c:pt idx="2336">
                  <c:v>0.42899206435423504</c:v>
                </c:pt>
                <c:pt idx="2337">
                  <c:v>0.42924190205999418</c:v>
                </c:pt>
                <c:pt idx="2338">
                  <c:v>0.42925388110806639</c:v>
                </c:pt>
                <c:pt idx="2339">
                  <c:v>0.42928967447030947</c:v>
                </c:pt>
                <c:pt idx="2340">
                  <c:v>0.42931937042032198</c:v>
                </c:pt>
                <c:pt idx="2341">
                  <c:v>0.42936363612220058</c:v>
                </c:pt>
                <c:pt idx="2342">
                  <c:v>0.42940511456528924</c:v>
                </c:pt>
                <c:pt idx="2343">
                  <c:v>0.42946281311822371</c:v>
                </c:pt>
                <c:pt idx="2344">
                  <c:v>0.42947003025290686</c:v>
                </c:pt>
                <c:pt idx="2345">
                  <c:v>0.42966053658386744</c:v>
                </c:pt>
                <c:pt idx="2346">
                  <c:v>0.42991859406179317</c:v>
                </c:pt>
                <c:pt idx="2347">
                  <c:v>0.43013043262296369</c:v>
                </c:pt>
                <c:pt idx="2348">
                  <c:v>0.43018153208567234</c:v>
                </c:pt>
                <c:pt idx="2349">
                  <c:v>0.43030962629571134</c:v>
                </c:pt>
                <c:pt idx="2350">
                  <c:v>0.43031032626861543</c:v>
                </c:pt>
                <c:pt idx="2351">
                  <c:v>0.43038716372972491</c:v>
                </c:pt>
                <c:pt idx="2352">
                  <c:v>0.43040154921266272</c:v>
                </c:pt>
                <c:pt idx="2353">
                  <c:v>0.43045882289968201</c:v>
                </c:pt>
                <c:pt idx="2354">
                  <c:v>0.43055053605817256</c:v>
                </c:pt>
                <c:pt idx="2355">
                  <c:v>0.4305535928222835</c:v>
                </c:pt>
                <c:pt idx="2356">
                  <c:v>0.4306010365170565</c:v>
                </c:pt>
                <c:pt idx="2357">
                  <c:v>0.43070053660165392</c:v>
                </c:pt>
                <c:pt idx="2358">
                  <c:v>0.43071284206408955</c:v>
                </c:pt>
                <c:pt idx="2359">
                  <c:v>0.43076161318039796</c:v>
                </c:pt>
                <c:pt idx="2360">
                  <c:v>0.4309697966481737</c:v>
                </c:pt>
                <c:pt idx="2361">
                  <c:v>0.43102720211061407</c:v>
                </c:pt>
                <c:pt idx="2362">
                  <c:v>0.43108289394819332</c:v>
                </c:pt>
                <c:pt idx="2363">
                  <c:v>0.43110253840935242</c:v>
                </c:pt>
                <c:pt idx="2364">
                  <c:v>0.43112706037576642</c:v>
                </c:pt>
                <c:pt idx="2365">
                  <c:v>0.43115024484806241</c:v>
                </c:pt>
                <c:pt idx="2366">
                  <c:v>0.43115317975811918</c:v>
                </c:pt>
                <c:pt idx="2367">
                  <c:v>0.43126736948292638</c:v>
                </c:pt>
                <c:pt idx="2368">
                  <c:v>0.43129891548127652</c:v>
                </c:pt>
                <c:pt idx="2369">
                  <c:v>0.43132281347369006</c:v>
                </c:pt>
                <c:pt idx="2370">
                  <c:v>0.43148493973024216</c:v>
                </c:pt>
                <c:pt idx="2371">
                  <c:v>0.43152037606512372</c:v>
                </c:pt>
                <c:pt idx="2372">
                  <c:v>0.43176785884557867</c:v>
                </c:pt>
                <c:pt idx="2373">
                  <c:v>0.43197102070958221</c:v>
                </c:pt>
                <c:pt idx="2374">
                  <c:v>0.43223494004191898</c:v>
                </c:pt>
                <c:pt idx="2375">
                  <c:v>0.43224334808517917</c:v>
                </c:pt>
                <c:pt idx="2376">
                  <c:v>0.4322943756129039</c:v>
                </c:pt>
                <c:pt idx="2377">
                  <c:v>0.43249646709948858</c:v>
                </c:pt>
                <c:pt idx="2378">
                  <c:v>0.43259457187417605</c:v>
                </c:pt>
                <c:pt idx="2379">
                  <c:v>0.43264880332095501</c:v>
                </c:pt>
                <c:pt idx="2380">
                  <c:v>0.43269797551767647</c:v>
                </c:pt>
                <c:pt idx="2381">
                  <c:v>0.43289083814521206</c:v>
                </c:pt>
                <c:pt idx="2382">
                  <c:v>0.43312429856395152</c:v>
                </c:pt>
                <c:pt idx="2383">
                  <c:v>0.43329223712417653</c:v>
                </c:pt>
                <c:pt idx="2384">
                  <c:v>0.43329527286841046</c:v>
                </c:pt>
                <c:pt idx="2385">
                  <c:v>0.43332578637499569</c:v>
                </c:pt>
                <c:pt idx="2386">
                  <c:v>0.4333924324583483</c:v>
                </c:pt>
                <c:pt idx="2387">
                  <c:v>0.43392351387352068</c:v>
                </c:pt>
                <c:pt idx="2388">
                  <c:v>0.43405632767083108</c:v>
                </c:pt>
                <c:pt idx="2389">
                  <c:v>0.43437274472304893</c:v>
                </c:pt>
                <c:pt idx="2390">
                  <c:v>0.43459416537159939</c:v>
                </c:pt>
                <c:pt idx="2391">
                  <c:v>0.43478905433509718</c:v>
                </c:pt>
                <c:pt idx="2392">
                  <c:v>0.43481397606724626</c:v>
                </c:pt>
                <c:pt idx="2393">
                  <c:v>0.43487227302364317</c:v>
                </c:pt>
                <c:pt idx="2394">
                  <c:v>0.43495248705282019</c:v>
                </c:pt>
                <c:pt idx="2395">
                  <c:v>0.43512619399609231</c:v>
                </c:pt>
                <c:pt idx="2396">
                  <c:v>0.43514466525017081</c:v>
                </c:pt>
                <c:pt idx="2397">
                  <c:v>0.43515952785032541</c:v>
                </c:pt>
                <c:pt idx="2398">
                  <c:v>0.43529465774117343</c:v>
                </c:pt>
                <c:pt idx="2399">
                  <c:v>0.43534667146333084</c:v>
                </c:pt>
                <c:pt idx="2400">
                  <c:v>0.43541315737685976</c:v>
                </c:pt>
                <c:pt idx="2401">
                  <c:v>0.43541616011491602</c:v>
                </c:pt>
                <c:pt idx="2402">
                  <c:v>0.43541797884239519</c:v>
                </c:pt>
                <c:pt idx="2403">
                  <c:v>0.43548497763877281</c:v>
                </c:pt>
                <c:pt idx="2404">
                  <c:v>0.43553646283970093</c:v>
                </c:pt>
                <c:pt idx="2405">
                  <c:v>0.43556931632623225</c:v>
                </c:pt>
                <c:pt idx="2406">
                  <c:v>0.4356009252448978</c:v>
                </c:pt>
                <c:pt idx="2407">
                  <c:v>0.43568789175963135</c:v>
                </c:pt>
                <c:pt idx="2408">
                  <c:v>0.43572530094347195</c:v>
                </c:pt>
                <c:pt idx="2409">
                  <c:v>0.43583823206488315</c:v>
                </c:pt>
                <c:pt idx="2410">
                  <c:v>0.43585441136515513</c:v>
                </c:pt>
                <c:pt idx="2411">
                  <c:v>0.43624489323504034</c:v>
                </c:pt>
                <c:pt idx="2412">
                  <c:v>0.43634496597305256</c:v>
                </c:pt>
                <c:pt idx="2413">
                  <c:v>0.43669114023180539</c:v>
                </c:pt>
                <c:pt idx="2414">
                  <c:v>0.43693085618624639</c:v>
                </c:pt>
                <c:pt idx="2415">
                  <c:v>0.43724819702084883</c:v>
                </c:pt>
                <c:pt idx="2416">
                  <c:v>0.43731941857156492</c:v>
                </c:pt>
                <c:pt idx="2417">
                  <c:v>0.43735430600083453</c:v>
                </c:pt>
                <c:pt idx="2418">
                  <c:v>0.43749700151877435</c:v>
                </c:pt>
                <c:pt idx="2419">
                  <c:v>0.43751755923164143</c:v>
                </c:pt>
                <c:pt idx="2420">
                  <c:v>0.43773989204391001</c:v>
                </c:pt>
                <c:pt idx="2421">
                  <c:v>0.43782475154902145</c:v>
                </c:pt>
                <c:pt idx="2422">
                  <c:v>0.43787015670656931</c:v>
                </c:pt>
                <c:pt idx="2423">
                  <c:v>0.43789596712563628</c:v>
                </c:pt>
                <c:pt idx="2424">
                  <c:v>0.43790338114937477</c:v>
                </c:pt>
                <c:pt idx="2425">
                  <c:v>0.4379252191960209</c:v>
                </c:pt>
                <c:pt idx="2426">
                  <c:v>0.43798950783911184</c:v>
                </c:pt>
                <c:pt idx="2427">
                  <c:v>0.43831630809279659</c:v>
                </c:pt>
                <c:pt idx="2428">
                  <c:v>0.43833091021493858</c:v>
                </c:pt>
                <c:pt idx="2429">
                  <c:v>0.43834273289044307</c:v>
                </c:pt>
                <c:pt idx="2430">
                  <c:v>0.4383785229338174</c:v>
                </c:pt>
                <c:pt idx="2431">
                  <c:v>0.43841128644769367</c:v>
                </c:pt>
                <c:pt idx="2432">
                  <c:v>0.43841253511167894</c:v>
                </c:pt>
                <c:pt idx="2433">
                  <c:v>0.43851556219749865</c:v>
                </c:pt>
                <c:pt idx="2434">
                  <c:v>0.43854203340326969</c:v>
                </c:pt>
                <c:pt idx="2435">
                  <c:v>0.43856819774475064</c:v>
                </c:pt>
                <c:pt idx="2436">
                  <c:v>0.4386392452072444</c:v>
                </c:pt>
                <c:pt idx="2437">
                  <c:v>0.43867346602690255</c:v>
                </c:pt>
                <c:pt idx="2438">
                  <c:v>0.43900599036536414</c:v>
                </c:pt>
                <c:pt idx="2439">
                  <c:v>0.43922563799080222</c:v>
                </c:pt>
                <c:pt idx="2440">
                  <c:v>0.43949086294289902</c:v>
                </c:pt>
                <c:pt idx="2441">
                  <c:v>0.43979362758240681</c:v>
                </c:pt>
                <c:pt idx="2442">
                  <c:v>0.44002797063933718</c:v>
                </c:pt>
                <c:pt idx="2443">
                  <c:v>0.44038419851446803</c:v>
                </c:pt>
                <c:pt idx="2444">
                  <c:v>0.44040656591062272</c:v>
                </c:pt>
                <c:pt idx="2445">
                  <c:v>0.44043407450077848</c:v>
                </c:pt>
                <c:pt idx="2446">
                  <c:v>0.44044963925678637</c:v>
                </c:pt>
                <c:pt idx="2447">
                  <c:v>0.44060897037087082</c:v>
                </c:pt>
                <c:pt idx="2448">
                  <c:v>0.44071183728544205</c:v>
                </c:pt>
                <c:pt idx="2449">
                  <c:v>0.4408146595327308</c:v>
                </c:pt>
                <c:pt idx="2450">
                  <c:v>0.44085868329814587</c:v>
                </c:pt>
                <c:pt idx="2451">
                  <c:v>0.44090344465048731</c:v>
                </c:pt>
                <c:pt idx="2452">
                  <c:v>0.44090692289949196</c:v>
                </c:pt>
                <c:pt idx="2453">
                  <c:v>0.44114867268254682</c:v>
                </c:pt>
                <c:pt idx="2454">
                  <c:v>0.44118717832453269</c:v>
                </c:pt>
                <c:pt idx="2455">
                  <c:v>0.44135065919157618</c:v>
                </c:pt>
                <c:pt idx="2456">
                  <c:v>0.44166432479109707</c:v>
                </c:pt>
                <c:pt idx="2457">
                  <c:v>0.44204545462870121</c:v>
                </c:pt>
                <c:pt idx="2458">
                  <c:v>0.44213460663614312</c:v>
                </c:pt>
                <c:pt idx="2459">
                  <c:v>0.4421452847304409</c:v>
                </c:pt>
                <c:pt idx="2460">
                  <c:v>0.442167303910176</c:v>
                </c:pt>
                <c:pt idx="2461">
                  <c:v>0.44218969033745059</c:v>
                </c:pt>
                <c:pt idx="2462">
                  <c:v>0.44220032489430544</c:v>
                </c:pt>
                <c:pt idx="2463">
                  <c:v>0.44226733490148684</c:v>
                </c:pt>
                <c:pt idx="2464">
                  <c:v>0.44258601523222585</c:v>
                </c:pt>
                <c:pt idx="2465">
                  <c:v>0.44265605516703294</c:v>
                </c:pt>
                <c:pt idx="2466">
                  <c:v>0.44267969371195859</c:v>
                </c:pt>
                <c:pt idx="2467">
                  <c:v>0.44289420371165811</c:v>
                </c:pt>
                <c:pt idx="2468">
                  <c:v>0.44307940715530209</c:v>
                </c:pt>
                <c:pt idx="2469">
                  <c:v>0.44308426319072763</c:v>
                </c:pt>
                <c:pt idx="2470">
                  <c:v>0.44326785894502052</c:v>
                </c:pt>
                <c:pt idx="2471">
                  <c:v>0.44343740471591442</c:v>
                </c:pt>
                <c:pt idx="2472">
                  <c:v>0.44344533663282104</c:v>
                </c:pt>
                <c:pt idx="2473">
                  <c:v>0.4437023217473281</c:v>
                </c:pt>
                <c:pt idx="2474">
                  <c:v>0.44373446811026385</c:v>
                </c:pt>
                <c:pt idx="2475">
                  <c:v>0.44412796909500885</c:v>
                </c:pt>
                <c:pt idx="2476">
                  <c:v>0.44442359612159221</c:v>
                </c:pt>
                <c:pt idx="2477">
                  <c:v>0.44454549514522057</c:v>
                </c:pt>
                <c:pt idx="2478">
                  <c:v>0.44495864272332702</c:v>
                </c:pt>
                <c:pt idx="2479">
                  <c:v>0.44508084283221327</c:v>
                </c:pt>
                <c:pt idx="2480">
                  <c:v>0.44523907538438512</c:v>
                </c:pt>
                <c:pt idx="2481">
                  <c:v>0.44524187985647534</c:v>
                </c:pt>
                <c:pt idx="2482">
                  <c:v>0.44532711188688967</c:v>
                </c:pt>
                <c:pt idx="2483">
                  <c:v>0.44552701093922925</c:v>
                </c:pt>
                <c:pt idx="2484">
                  <c:v>0.44568156915582297</c:v>
                </c:pt>
                <c:pt idx="2485">
                  <c:v>0.44580840190219495</c:v>
                </c:pt>
                <c:pt idx="2486">
                  <c:v>0.44592689921633266</c:v>
                </c:pt>
                <c:pt idx="2487">
                  <c:v>0.44642822396916904</c:v>
                </c:pt>
                <c:pt idx="2488">
                  <c:v>0.44645061695559568</c:v>
                </c:pt>
                <c:pt idx="2489">
                  <c:v>0.44646079704486313</c:v>
                </c:pt>
                <c:pt idx="2490">
                  <c:v>0.44653043761058597</c:v>
                </c:pt>
                <c:pt idx="2491">
                  <c:v>0.44662589121387841</c:v>
                </c:pt>
                <c:pt idx="2492">
                  <c:v>0.44681153501245219</c:v>
                </c:pt>
                <c:pt idx="2493">
                  <c:v>0.44704783574102686</c:v>
                </c:pt>
                <c:pt idx="2494">
                  <c:v>0.44715720421073191</c:v>
                </c:pt>
                <c:pt idx="2495">
                  <c:v>0.44725238495121633</c:v>
                </c:pt>
                <c:pt idx="2496">
                  <c:v>0.4472888770716541</c:v>
                </c:pt>
                <c:pt idx="2497">
                  <c:v>0.44740410803600128</c:v>
                </c:pt>
                <c:pt idx="2498">
                  <c:v>0.44768305359909366</c:v>
                </c:pt>
                <c:pt idx="2499">
                  <c:v>0.44770138139028504</c:v>
                </c:pt>
                <c:pt idx="2500">
                  <c:v>0.44777800991245703</c:v>
                </c:pt>
                <c:pt idx="2501">
                  <c:v>0.44795397402545784</c:v>
                </c:pt>
                <c:pt idx="2502">
                  <c:v>0.44800385757132022</c:v>
                </c:pt>
                <c:pt idx="2503">
                  <c:v>0.44815677292400702</c:v>
                </c:pt>
                <c:pt idx="2504">
                  <c:v>0.44823190168236493</c:v>
                </c:pt>
                <c:pt idx="2505">
                  <c:v>0.4485803708577355</c:v>
                </c:pt>
                <c:pt idx="2506">
                  <c:v>0.44872778321558349</c:v>
                </c:pt>
                <c:pt idx="2507">
                  <c:v>0.4487506362149527</c:v>
                </c:pt>
                <c:pt idx="2508">
                  <c:v>0.44877133101228617</c:v>
                </c:pt>
                <c:pt idx="2509">
                  <c:v>0.44877188227745468</c:v>
                </c:pt>
                <c:pt idx="2510">
                  <c:v>0.44884399208017739</c:v>
                </c:pt>
                <c:pt idx="2511">
                  <c:v>0.44892613867611886</c:v>
                </c:pt>
                <c:pt idx="2512">
                  <c:v>0.44903239474777451</c:v>
                </c:pt>
                <c:pt idx="2513">
                  <c:v>0.44916500880861754</c:v>
                </c:pt>
                <c:pt idx="2514">
                  <c:v>0.44932535186957057</c:v>
                </c:pt>
                <c:pt idx="2515">
                  <c:v>0.44957493240354046</c:v>
                </c:pt>
                <c:pt idx="2516">
                  <c:v>0.44957607700623869</c:v>
                </c:pt>
                <c:pt idx="2517">
                  <c:v>0.44967456119826427</c:v>
                </c:pt>
                <c:pt idx="2518">
                  <c:v>0.44970783566316747</c:v>
                </c:pt>
                <c:pt idx="2519">
                  <c:v>0.44988642565595605</c:v>
                </c:pt>
                <c:pt idx="2520">
                  <c:v>0.44989223254378108</c:v>
                </c:pt>
                <c:pt idx="2521">
                  <c:v>0.44992556176980447</c:v>
                </c:pt>
                <c:pt idx="2522">
                  <c:v>0.45002803091931615</c:v>
                </c:pt>
                <c:pt idx="2523">
                  <c:v>0.45013196482625961</c:v>
                </c:pt>
                <c:pt idx="2524">
                  <c:v>0.45019639407529255</c:v>
                </c:pt>
                <c:pt idx="2525">
                  <c:v>0.4502832870650163</c:v>
                </c:pt>
                <c:pt idx="2526">
                  <c:v>0.45038885339446322</c:v>
                </c:pt>
                <c:pt idx="2527">
                  <c:v>0.45073757212103116</c:v>
                </c:pt>
                <c:pt idx="2528">
                  <c:v>0.45133154682038173</c:v>
                </c:pt>
                <c:pt idx="2529">
                  <c:v>0.45147008286341361</c:v>
                </c:pt>
                <c:pt idx="2530">
                  <c:v>0.45158588393557697</c:v>
                </c:pt>
                <c:pt idx="2531">
                  <c:v>0.45190530746805563</c:v>
                </c:pt>
                <c:pt idx="2532">
                  <c:v>0.45200701060906401</c:v>
                </c:pt>
                <c:pt idx="2533">
                  <c:v>0.45229403400970603</c:v>
                </c:pt>
                <c:pt idx="2534">
                  <c:v>0.45304610349204222</c:v>
                </c:pt>
                <c:pt idx="2535">
                  <c:v>0.453233563340801</c:v>
                </c:pt>
                <c:pt idx="2536">
                  <c:v>0.45325084294422269</c:v>
                </c:pt>
                <c:pt idx="2537">
                  <c:v>0.45326093174609156</c:v>
                </c:pt>
                <c:pt idx="2538">
                  <c:v>0.45327956538186948</c:v>
                </c:pt>
                <c:pt idx="2539">
                  <c:v>0.45366224130450405</c:v>
                </c:pt>
                <c:pt idx="2540">
                  <c:v>0.45381502710699989</c:v>
                </c:pt>
                <c:pt idx="2541">
                  <c:v>0.45385291250364279</c:v>
                </c:pt>
                <c:pt idx="2542">
                  <c:v>0.45423332786535731</c:v>
                </c:pt>
                <c:pt idx="2543">
                  <c:v>0.45458587288025892</c:v>
                </c:pt>
                <c:pt idx="2544">
                  <c:v>0.45485955689579605</c:v>
                </c:pt>
                <c:pt idx="2545">
                  <c:v>0.45508946149520707</c:v>
                </c:pt>
                <c:pt idx="2546">
                  <c:v>0.45529536499917933</c:v>
                </c:pt>
                <c:pt idx="2547">
                  <c:v>0.4553536044361523</c:v>
                </c:pt>
                <c:pt idx="2548">
                  <c:v>0.45542175058755746</c:v>
                </c:pt>
                <c:pt idx="2549">
                  <c:v>0.45546941915304406</c:v>
                </c:pt>
                <c:pt idx="2550">
                  <c:v>0.45565778930448242</c:v>
                </c:pt>
                <c:pt idx="2551">
                  <c:v>0.45595039048920549</c:v>
                </c:pt>
                <c:pt idx="2552">
                  <c:v>0.45605175117886942</c:v>
                </c:pt>
                <c:pt idx="2553">
                  <c:v>0.4563409055575528</c:v>
                </c:pt>
                <c:pt idx="2554">
                  <c:v>0.45645476459445589</c:v>
                </c:pt>
                <c:pt idx="2555">
                  <c:v>0.45658550077008647</c:v>
                </c:pt>
                <c:pt idx="2556">
                  <c:v>0.45685402192895164</c:v>
                </c:pt>
                <c:pt idx="2557">
                  <c:v>0.45686215795788643</c:v>
                </c:pt>
                <c:pt idx="2558">
                  <c:v>0.45712642566727546</c:v>
                </c:pt>
                <c:pt idx="2559">
                  <c:v>0.45741513074183904</c:v>
                </c:pt>
                <c:pt idx="2560">
                  <c:v>0.45777964186601661</c:v>
                </c:pt>
                <c:pt idx="2561">
                  <c:v>0.45809759049189214</c:v>
                </c:pt>
                <c:pt idx="2562">
                  <c:v>0.45829233061189778</c:v>
                </c:pt>
                <c:pt idx="2563">
                  <c:v>0.45837578047646921</c:v>
                </c:pt>
                <c:pt idx="2564">
                  <c:v>0.45885611434967188</c:v>
                </c:pt>
                <c:pt idx="2565">
                  <c:v>0.45888394760442008</c:v>
                </c:pt>
                <c:pt idx="2566">
                  <c:v>0.45912716840979706</c:v>
                </c:pt>
                <c:pt idx="2567">
                  <c:v>0.45914298272525189</c:v>
                </c:pt>
                <c:pt idx="2568">
                  <c:v>0.45983262490775711</c:v>
                </c:pt>
                <c:pt idx="2569">
                  <c:v>0.46029386413470741</c:v>
                </c:pt>
                <c:pt idx="2570">
                  <c:v>0.46036316322249038</c:v>
                </c:pt>
                <c:pt idx="2571">
                  <c:v>0.46037436454727632</c:v>
                </c:pt>
                <c:pt idx="2572">
                  <c:v>0.46060906501360099</c:v>
                </c:pt>
                <c:pt idx="2573">
                  <c:v>0.46094327280124864</c:v>
                </c:pt>
                <c:pt idx="2574">
                  <c:v>0.4609433527398426</c:v>
                </c:pt>
                <c:pt idx="2575">
                  <c:v>0.46107736842435948</c:v>
                </c:pt>
                <c:pt idx="2576">
                  <c:v>0.46108934769426391</c:v>
                </c:pt>
                <c:pt idx="2577">
                  <c:v>0.46113484234371754</c:v>
                </c:pt>
                <c:pt idx="2578">
                  <c:v>0.46218460746938239</c:v>
                </c:pt>
                <c:pt idx="2579">
                  <c:v>0.46270878431628437</c:v>
                </c:pt>
                <c:pt idx="2580">
                  <c:v>0.46307558642183405</c:v>
                </c:pt>
                <c:pt idx="2581">
                  <c:v>0.46312258026435005</c:v>
                </c:pt>
                <c:pt idx="2582">
                  <c:v>0.46319582003555781</c:v>
                </c:pt>
                <c:pt idx="2583">
                  <c:v>0.463220288234028</c:v>
                </c:pt>
                <c:pt idx="2584">
                  <c:v>0.4638143514456296</c:v>
                </c:pt>
                <c:pt idx="2585">
                  <c:v>0.46398616663249487</c:v>
                </c:pt>
                <c:pt idx="2586">
                  <c:v>0.46403991224446844</c:v>
                </c:pt>
                <c:pt idx="2587">
                  <c:v>0.46409779577346433</c:v>
                </c:pt>
                <c:pt idx="2588">
                  <c:v>0.46423097488596121</c:v>
                </c:pt>
                <c:pt idx="2589">
                  <c:v>0.46433921788619476</c:v>
                </c:pt>
                <c:pt idx="2590">
                  <c:v>0.46439500717919652</c:v>
                </c:pt>
                <c:pt idx="2591">
                  <c:v>0.46449007516112761</c:v>
                </c:pt>
                <c:pt idx="2592">
                  <c:v>0.46463044924578589</c:v>
                </c:pt>
                <c:pt idx="2593">
                  <c:v>0.46487346166367238</c:v>
                </c:pt>
                <c:pt idx="2594">
                  <c:v>0.4649722211415418</c:v>
                </c:pt>
                <c:pt idx="2595">
                  <c:v>0.46510885681459396</c:v>
                </c:pt>
                <c:pt idx="2596">
                  <c:v>0.46512583903898286</c:v>
                </c:pt>
                <c:pt idx="2597">
                  <c:v>0.46522148116664103</c:v>
                </c:pt>
                <c:pt idx="2598">
                  <c:v>0.46527577287817701</c:v>
                </c:pt>
                <c:pt idx="2599">
                  <c:v>0.46528190834822969</c:v>
                </c:pt>
                <c:pt idx="2600">
                  <c:v>0.46532734103655471</c:v>
                </c:pt>
                <c:pt idx="2601">
                  <c:v>0.46561288805260981</c:v>
                </c:pt>
                <c:pt idx="2602">
                  <c:v>0.46571760260546913</c:v>
                </c:pt>
                <c:pt idx="2603">
                  <c:v>0.46580999215435831</c:v>
                </c:pt>
                <c:pt idx="2604">
                  <c:v>0.46600190543021647</c:v>
                </c:pt>
                <c:pt idx="2605">
                  <c:v>0.46666298858555044</c:v>
                </c:pt>
                <c:pt idx="2606">
                  <c:v>0.46690567392442028</c:v>
                </c:pt>
                <c:pt idx="2607">
                  <c:v>0.46694350575543986</c:v>
                </c:pt>
                <c:pt idx="2608">
                  <c:v>0.46698225940593741</c:v>
                </c:pt>
                <c:pt idx="2609">
                  <c:v>0.46744249169736046</c:v>
                </c:pt>
                <c:pt idx="2610">
                  <c:v>0.46751519078285725</c:v>
                </c:pt>
                <c:pt idx="2611">
                  <c:v>0.46788403106001875</c:v>
                </c:pt>
                <c:pt idx="2612">
                  <c:v>0.46791221043969755</c:v>
                </c:pt>
                <c:pt idx="2613">
                  <c:v>0.4680418083084133</c:v>
                </c:pt>
                <c:pt idx="2614">
                  <c:v>0.46832697448626631</c:v>
                </c:pt>
                <c:pt idx="2615">
                  <c:v>0.46843876301503284</c:v>
                </c:pt>
                <c:pt idx="2616">
                  <c:v>0.46877249099192991</c:v>
                </c:pt>
                <c:pt idx="2617">
                  <c:v>0.46889602770100508</c:v>
                </c:pt>
                <c:pt idx="2618">
                  <c:v>0.46937290951516919</c:v>
                </c:pt>
                <c:pt idx="2619">
                  <c:v>0.46959060565305988</c:v>
                </c:pt>
                <c:pt idx="2620">
                  <c:v>0.46972829270667393</c:v>
                </c:pt>
                <c:pt idx="2621">
                  <c:v>0.46979623678547827</c:v>
                </c:pt>
                <c:pt idx="2622">
                  <c:v>0.46990484290945428</c:v>
                </c:pt>
                <c:pt idx="2623">
                  <c:v>0.47009471124127661</c:v>
                </c:pt>
                <c:pt idx="2624">
                  <c:v>0.47098835486157425</c:v>
                </c:pt>
                <c:pt idx="2625">
                  <c:v>0.47130329957047207</c:v>
                </c:pt>
                <c:pt idx="2626">
                  <c:v>0.4713512398096642</c:v>
                </c:pt>
                <c:pt idx="2627">
                  <c:v>0.47142585411237625</c:v>
                </c:pt>
                <c:pt idx="2628">
                  <c:v>0.47163957612214791</c:v>
                </c:pt>
                <c:pt idx="2629">
                  <c:v>0.47181095429007608</c:v>
                </c:pt>
                <c:pt idx="2630">
                  <c:v>0.47233712074992518</c:v>
                </c:pt>
                <c:pt idx="2631">
                  <c:v>0.47247636971059642</c:v>
                </c:pt>
                <c:pt idx="2632">
                  <c:v>0.47249566347733213</c:v>
                </c:pt>
                <c:pt idx="2633">
                  <c:v>0.47286541613769445</c:v>
                </c:pt>
                <c:pt idx="2634">
                  <c:v>0.47291435138734383</c:v>
                </c:pt>
                <c:pt idx="2635">
                  <c:v>0.47297268075869353</c:v>
                </c:pt>
                <c:pt idx="2636">
                  <c:v>0.47338825735176293</c:v>
                </c:pt>
                <c:pt idx="2637">
                  <c:v>0.47343713571838697</c:v>
                </c:pt>
                <c:pt idx="2638">
                  <c:v>0.47371485036319688</c:v>
                </c:pt>
                <c:pt idx="2639">
                  <c:v>0.47395412139838022</c:v>
                </c:pt>
                <c:pt idx="2640">
                  <c:v>0.47413221035792491</c:v>
                </c:pt>
                <c:pt idx="2641">
                  <c:v>0.47430886694591567</c:v>
                </c:pt>
                <c:pt idx="2642">
                  <c:v>0.474652044364065</c:v>
                </c:pt>
                <c:pt idx="2643">
                  <c:v>0.47498192291688707</c:v>
                </c:pt>
                <c:pt idx="2644">
                  <c:v>0.47510635641148746</c:v>
                </c:pt>
                <c:pt idx="2645">
                  <c:v>0.47522339414828374</c:v>
                </c:pt>
                <c:pt idx="2646">
                  <c:v>0.47546137939830319</c:v>
                </c:pt>
                <c:pt idx="2647">
                  <c:v>0.47575547849931638</c:v>
                </c:pt>
                <c:pt idx="2648">
                  <c:v>0.47594571038004618</c:v>
                </c:pt>
                <c:pt idx="2649">
                  <c:v>0.4765501543821351</c:v>
                </c:pt>
                <c:pt idx="2650">
                  <c:v>0.4775667339488695</c:v>
                </c:pt>
                <c:pt idx="2651">
                  <c:v>0.47796325868325035</c:v>
                </c:pt>
                <c:pt idx="2652">
                  <c:v>0.47798921466525629</c:v>
                </c:pt>
                <c:pt idx="2653">
                  <c:v>0.47853266970465724</c:v>
                </c:pt>
                <c:pt idx="2654">
                  <c:v>0.47902087338812743</c:v>
                </c:pt>
                <c:pt idx="2655">
                  <c:v>0.47912812977885921</c:v>
                </c:pt>
                <c:pt idx="2656">
                  <c:v>0.47926803017738895</c:v>
                </c:pt>
                <c:pt idx="2657">
                  <c:v>0.47940159711771502</c:v>
                </c:pt>
                <c:pt idx="2658">
                  <c:v>0.47952021790440524</c:v>
                </c:pt>
                <c:pt idx="2659">
                  <c:v>0.47994381572177269</c:v>
                </c:pt>
                <c:pt idx="2660">
                  <c:v>0.48061167002971961</c:v>
                </c:pt>
                <c:pt idx="2661">
                  <c:v>0.48182086847191308</c:v>
                </c:pt>
                <c:pt idx="2662">
                  <c:v>0.48190932331390857</c:v>
                </c:pt>
                <c:pt idx="2663">
                  <c:v>0.48259288979726445</c:v>
                </c:pt>
                <c:pt idx="2664">
                  <c:v>0.48269433870681849</c:v>
                </c:pt>
                <c:pt idx="2665">
                  <c:v>0.48312362540520937</c:v>
                </c:pt>
                <c:pt idx="2666">
                  <c:v>0.48361070445209331</c:v>
                </c:pt>
                <c:pt idx="2667">
                  <c:v>0.48410664140017801</c:v>
                </c:pt>
                <c:pt idx="2668">
                  <c:v>0.48425218675945186</c:v>
                </c:pt>
                <c:pt idx="2669">
                  <c:v>0.48443723807165107</c:v>
                </c:pt>
                <c:pt idx="2670">
                  <c:v>0.48490432968547914</c:v>
                </c:pt>
                <c:pt idx="2671">
                  <c:v>0.48507662964464826</c:v>
                </c:pt>
                <c:pt idx="2672">
                  <c:v>0.48508719443137749</c:v>
                </c:pt>
                <c:pt idx="2673">
                  <c:v>0.48522327761978157</c:v>
                </c:pt>
                <c:pt idx="2674">
                  <c:v>0.48523603461674325</c:v>
                </c:pt>
                <c:pt idx="2675">
                  <c:v>0.48545536332410766</c:v>
                </c:pt>
                <c:pt idx="2676">
                  <c:v>0.48557004475904436</c:v>
                </c:pt>
                <c:pt idx="2677">
                  <c:v>0.48582484533737091</c:v>
                </c:pt>
                <c:pt idx="2678">
                  <c:v>0.48588588331457139</c:v>
                </c:pt>
                <c:pt idx="2679">
                  <c:v>0.48628909494641326</c:v>
                </c:pt>
                <c:pt idx="2680">
                  <c:v>0.48630362519954495</c:v>
                </c:pt>
                <c:pt idx="2681">
                  <c:v>0.48669236502227192</c:v>
                </c:pt>
                <c:pt idx="2682">
                  <c:v>0.48693620936031795</c:v>
                </c:pt>
                <c:pt idx="2683">
                  <c:v>0.48705003661748653</c:v>
                </c:pt>
                <c:pt idx="2684">
                  <c:v>0.48767700695083605</c:v>
                </c:pt>
                <c:pt idx="2685">
                  <c:v>0.48821543615350937</c:v>
                </c:pt>
                <c:pt idx="2686">
                  <c:v>0.48841010412135899</c:v>
                </c:pt>
                <c:pt idx="2687">
                  <c:v>0.48865405088301428</c:v>
                </c:pt>
                <c:pt idx="2688">
                  <c:v>0.48877537546363237</c:v>
                </c:pt>
                <c:pt idx="2689">
                  <c:v>0.49024897340069556</c:v>
                </c:pt>
                <c:pt idx="2690">
                  <c:v>0.49029406736050812</c:v>
                </c:pt>
                <c:pt idx="2691">
                  <c:v>0.49082559717100671</c:v>
                </c:pt>
                <c:pt idx="2692">
                  <c:v>0.49136660754835126</c:v>
                </c:pt>
                <c:pt idx="2693">
                  <c:v>0.49166048336713641</c:v>
                </c:pt>
                <c:pt idx="2694">
                  <c:v>0.49183322205102764</c:v>
                </c:pt>
                <c:pt idx="2695">
                  <c:v>0.492169227396142</c:v>
                </c:pt>
                <c:pt idx="2696">
                  <c:v>0.49381340116560712</c:v>
                </c:pt>
                <c:pt idx="2697">
                  <c:v>0.49393738973233936</c:v>
                </c:pt>
                <c:pt idx="2698">
                  <c:v>0.49401704296657856</c:v>
                </c:pt>
                <c:pt idx="2699">
                  <c:v>0.4944515049546821</c:v>
                </c:pt>
                <c:pt idx="2700">
                  <c:v>0.49493862210691075</c:v>
                </c:pt>
                <c:pt idx="2701">
                  <c:v>0.49524592686834978</c:v>
                </c:pt>
                <c:pt idx="2702">
                  <c:v>0.49541628280122407</c:v>
                </c:pt>
                <c:pt idx="2703">
                  <c:v>0.49596910325511767</c:v>
                </c:pt>
                <c:pt idx="2704">
                  <c:v>0.49624640508252083</c:v>
                </c:pt>
                <c:pt idx="2705">
                  <c:v>0.49645676829179486</c:v>
                </c:pt>
                <c:pt idx="2706">
                  <c:v>0.4965142647129922</c:v>
                </c:pt>
                <c:pt idx="2707">
                  <c:v>0.49662577779353301</c:v>
                </c:pt>
                <c:pt idx="2708">
                  <c:v>0.49732053523237263</c:v>
                </c:pt>
                <c:pt idx="2709">
                  <c:v>0.49824153359165357</c:v>
                </c:pt>
                <c:pt idx="2710">
                  <c:v>0.49855726128739819</c:v>
                </c:pt>
                <c:pt idx="2711">
                  <c:v>0.49919310772274061</c:v>
                </c:pt>
                <c:pt idx="2712">
                  <c:v>0.49985833294085463</c:v>
                </c:pt>
                <c:pt idx="2713">
                  <c:v>0.50100883630911019</c:v>
                </c:pt>
                <c:pt idx="2714">
                  <c:v>0.50118818407136656</c:v>
                </c:pt>
                <c:pt idx="2715">
                  <c:v>0.50128936103930755</c:v>
                </c:pt>
                <c:pt idx="2716">
                  <c:v>0.50147212048917433</c:v>
                </c:pt>
                <c:pt idx="2717">
                  <c:v>0.50157129228815278</c:v>
                </c:pt>
                <c:pt idx="2718">
                  <c:v>0.50208047240889342</c:v>
                </c:pt>
                <c:pt idx="2719">
                  <c:v>0.50254815900557792</c:v>
                </c:pt>
                <c:pt idx="2720">
                  <c:v>0.50266525085194391</c:v>
                </c:pt>
                <c:pt idx="2721">
                  <c:v>0.50278450071355207</c:v>
                </c:pt>
                <c:pt idx="2722">
                  <c:v>0.50284085672943124</c:v>
                </c:pt>
                <c:pt idx="2723">
                  <c:v>0.5032947403349155</c:v>
                </c:pt>
                <c:pt idx="2724">
                  <c:v>0.50374651499925727</c:v>
                </c:pt>
                <c:pt idx="2725">
                  <c:v>0.50427496221919788</c:v>
                </c:pt>
                <c:pt idx="2726">
                  <c:v>0.50456033801748834</c:v>
                </c:pt>
                <c:pt idx="2727">
                  <c:v>0.50532259493626008</c:v>
                </c:pt>
                <c:pt idx="2728">
                  <c:v>0.50602352831342656</c:v>
                </c:pt>
                <c:pt idx="2729">
                  <c:v>0.50658779712998336</c:v>
                </c:pt>
                <c:pt idx="2730">
                  <c:v>0.50659820643112563</c:v>
                </c:pt>
                <c:pt idx="2731">
                  <c:v>0.50718452344474652</c:v>
                </c:pt>
                <c:pt idx="2732">
                  <c:v>0.50944401222888624</c:v>
                </c:pt>
                <c:pt idx="2733">
                  <c:v>0.5106681509235157</c:v>
                </c:pt>
                <c:pt idx="2734">
                  <c:v>0.51102926995711639</c:v>
                </c:pt>
                <c:pt idx="2735">
                  <c:v>0.51121573754903549</c:v>
                </c:pt>
                <c:pt idx="2736">
                  <c:v>0.5117892241395493</c:v>
                </c:pt>
                <c:pt idx="2737">
                  <c:v>0.51204775190019247</c:v>
                </c:pt>
                <c:pt idx="2738">
                  <c:v>0.51219814610849568</c:v>
                </c:pt>
                <c:pt idx="2739">
                  <c:v>0.51258703282941265</c:v>
                </c:pt>
                <c:pt idx="2740">
                  <c:v>0.51288190951513002</c:v>
                </c:pt>
                <c:pt idx="2741">
                  <c:v>0.51295313844944279</c:v>
                </c:pt>
                <c:pt idx="2742">
                  <c:v>0.51295614186387417</c:v>
                </c:pt>
                <c:pt idx="2743">
                  <c:v>0.51375071315047527</c:v>
                </c:pt>
                <c:pt idx="2744">
                  <c:v>0.51408855452018276</c:v>
                </c:pt>
                <c:pt idx="2745">
                  <c:v>0.5159306488243407</c:v>
                </c:pt>
                <c:pt idx="2746">
                  <c:v>0.5160753564872379</c:v>
                </c:pt>
                <c:pt idx="2747">
                  <c:v>0.51726560006265376</c:v>
                </c:pt>
                <c:pt idx="2748">
                  <c:v>0.51755744156942496</c:v>
                </c:pt>
                <c:pt idx="2749">
                  <c:v>0.51916249410327664</c:v>
                </c:pt>
                <c:pt idx="2750">
                  <c:v>0.51943982836892544</c:v>
                </c:pt>
                <c:pt idx="2751">
                  <c:v>0.52007435696147852</c:v>
                </c:pt>
                <c:pt idx="2752">
                  <c:v>0.52127310765701296</c:v>
                </c:pt>
                <c:pt idx="2753">
                  <c:v>0.52377615184586934</c:v>
                </c:pt>
                <c:pt idx="2754">
                  <c:v>0.5244220115690803</c:v>
                </c:pt>
                <c:pt idx="2755">
                  <c:v>0.5254531720414144</c:v>
                </c:pt>
                <c:pt idx="2756">
                  <c:v>0.52561492867583171</c:v>
                </c:pt>
                <c:pt idx="2757">
                  <c:v>0.52586517012693901</c:v>
                </c:pt>
                <c:pt idx="2758">
                  <c:v>0.52589854921953116</c:v>
                </c:pt>
                <c:pt idx="2759">
                  <c:v>0.52638405810664468</c:v>
                </c:pt>
                <c:pt idx="2760">
                  <c:v>0.52653633246644471</c:v>
                </c:pt>
                <c:pt idx="2761">
                  <c:v>0.52656313051800685</c:v>
                </c:pt>
                <c:pt idx="2762">
                  <c:v>0.52667639797977994</c:v>
                </c:pt>
                <c:pt idx="2763">
                  <c:v>0.52744579172802064</c:v>
                </c:pt>
                <c:pt idx="2764">
                  <c:v>0.52861419352705508</c:v>
                </c:pt>
                <c:pt idx="2765">
                  <c:v>0.53078704711394642</c:v>
                </c:pt>
                <c:pt idx="2766">
                  <c:v>0.53096189122729609</c:v>
                </c:pt>
                <c:pt idx="2767">
                  <c:v>0.53430651256942419</c:v>
                </c:pt>
                <c:pt idx="2768">
                  <c:v>0.53494553568159786</c:v>
                </c:pt>
                <c:pt idx="2769">
                  <c:v>0.53627049422324158</c:v>
                </c:pt>
                <c:pt idx="2770">
                  <c:v>0.53705875080809717</c:v>
                </c:pt>
                <c:pt idx="2771">
                  <c:v>0.53747014509321489</c:v>
                </c:pt>
                <c:pt idx="2772">
                  <c:v>0.5401424527511216</c:v>
                </c:pt>
                <c:pt idx="2773">
                  <c:v>0.54027791783536372</c:v>
                </c:pt>
                <c:pt idx="2774">
                  <c:v>0.54267924634435949</c:v>
                </c:pt>
                <c:pt idx="2775">
                  <c:v>0.54620940536779028</c:v>
                </c:pt>
                <c:pt idx="2776">
                  <c:v>0.5464302386702492</c:v>
                </c:pt>
                <c:pt idx="2777">
                  <c:v>0.54745936041539012</c:v>
                </c:pt>
                <c:pt idx="2778">
                  <c:v>0.54802946266496888</c:v>
                </c:pt>
                <c:pt idx="2779">
                  <c:v>0.54890210788292426</c:v>
                </c:pt>
                <c:pt idx="2780">
                  <c:v>0.55550564870441888</c:v>
                </c:pt>
                <c:pt idx="2781">
                  <c:v>0.55806653648497373</c:v>
                </c:pt>
                <c:pt idx="2782">
                  <c:v>0.55909690732640471</c:v>
                </c:pt>
                <c:pt idx="2783">
                  <c:v>0.55985353784496095</c:v>
                </c:pt>
                <c:pt idx="2784">
                  <c:v>0.56211112658231721</c:v>
                </c:pt>
                <c:pt idx="2785">
                  <c:v>0.56657218467718184</c:v>
                </c:pt>
                <c:pt idx="2786">
                  <c:v>0.59127257731404892</c:v>
                </c:pt>
                <c:pt idx="2787">
                  <c:v>0.62218347902956728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F2E-4A00-96AB-5B80A3F02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448408"/>
        <c:axId val="521686048"/>
      </c:scatterChart>
      <c:valAx>
        <c:axId val="51644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Theoretical</a:t>
                </a:r>
                <a:r>
                  <a:rPr lang="en-US" sz="1100" baseline="0"/>
                  <a:t> values</a:t>
                </a:r>
                <a:endParaRPr lang="en-US" sz="11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86048"/>
        <c:crosses val="autoZero"/>
        <c:crossBetween val="midCat"/>
      </c:valAx>
      <c:valAx>
        <c:axId val="5216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</a:t>
                </a:r>
                <a:r>
                  <a:rPr lang="en-US" sz="1200" baseline="-25000"/>
                  <a:t>w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48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20</xdr:row>
      <xdr:rowOff>30480</xdr:rowOff>
    </xdr:from>
    <xdr:to>
      <xdr:col>12</xdr:col>
      <xdr:colOff>129540</xdr:colOff>
      <xdr:row>40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1F04E-B11C-D453-9E95-A21CAC005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2794"/>
  <sheetViews>
    <sheetView workbookViewId="0">
      <selection activeCell="N8" sqref="N8"/>
    </sheetView>
  </sheetViews>
  <sheetFormatPr defaultRowHeight="14.4" x14ac:dyDescent="0.3"/>
  <cols>
    <col min="7" max="7" width="13.109375" bestFit="1" customWidth="1"/>
    <col min="8" max="8" width="13.109375" customWidth="1"/>
    <col min="9" max="9" width="10" bestFit="1" customWidth="1"/>
    <col min="10" max="11" width="12.5546875" customWidth="1"/>
    <col min="12" max="12" width="13.6640625" customWidth="1"/>
    <col min="13" max="13" width="11.109375" customWidth="1"/>
    <col min="16" max="16" width="18.109375" customWidth="1"/>
    <col min="17" max="17" width="14.109375" customWidth="1"/>
  </cols>
  <sheetData>
    <row r="1" spans="4:17" x14ac:dyDescent="0.3">
      <c r="E1" t="s">
        <v>5</v>
      </c>
      <c r="F1">
        <v>25</v>
      </c>
      <c r="G1" t="s">
        <v>6</v>
      </c>
    </row>
    <row r="2" spans="4:17" x14ac:dyDescent="0.3">
      <c r="E2" t="s">
        <v>7</v>
      </c>
      <c r="F2">
        <v>640</v>
      </c>
      <c r="G2" t="s">
        <v>8</v>
      </c>
    </row>
    <row r="3" spans="4:17" x14ac:dyDescent="0.3">
      <c r="E3" s="1" t="s">
        <v>9</v>
      </c>
      <c r="F3">
        <v>0.25</v>
      </c>
    </row>
    <row r="4" spans="4:17" x14ac:dyDescent="0.3">
      <c r="E4" s="1" t="s">
        <v>10</v>
      </c>
      <c r="F4">
        <v>1.2</v>
      </c>
      <c r="G4" t="s">
        <v>11</v>
      </c>
    </row>
    <row r="5" spans="4:17" ht="15" thickBot="1" x14ac:dyDescent="0.35">
      <c r="N5" s="7"/>
      <c r="O5" s="7"/>
      <c r="P5" s="7"/>
    </row>
    <row r="6" spans="4:17" ht="42.6" thickTop="1" thickBot="1" x14ac:dyDescent="0.35">
      <c r="D6" s="49" t="s">
        <v>0</v>
      </c>
      <c r="E6" s="49" t="s">
        <v>1</v>
      </c>
      <c r="F6" s="49" t="s">
        <v>2</v>
      </c>
      <c r="G6" s="36" t="s">
        <v>3</v>
      </c>
      <c r="H6" s="3" t="s">
        <v>4</v>
      </c>
      <c r="I6" s="4" t="s">
        <v>12</v>
      </c>
      <c r="J6" s="3" t="s">
        <v>13</v>
      </c>
      <c r="K6" s="3" t="s">
        <v>14</v>
      </c>
      <c r="L6" s="52" t="s">
        <v>15</v>
      </c>
      <c r="M6" s="52" t="s">
        <v>16</v>
      </c>
      <c r="N6" s="52" t="s">
        <v>17</v>
      </c>
      <c r="O6" s="52" t="s">
        <v>18</v>
      </c>
      <c r="P6" s="52" t="s">
        <v>14</v>
      </c>
      <c r="Q6" s="52" t="s">
        <v>19</v>
      </c>
    </row>
    <row r="7" spans="4:17" ht="15" thickBot="1" x14ac:dyDescent="0.35">
      <c r="D7" s="20">
        <f t="shared" ref="D7:D70" si="0">ROW()-6</f>
        <v>1</v>
      </c>
      <c r="E7" s="20">
        <f t="shared" ref="E7:E70" si="1">(MOD(D7-1,53)*100)+50</f>
        <v>50</v>
      </c>
      <c r="F7" s="20">
        <f t="shared" ref="F7:F70" si="2">FLOOR((D7-1)/53,1)*100+50</f>
        <v>50</v>
      </c>
      <c r="G7" s="28">
        <v>9.7767965972124671E-2</v>
      </c>
      <c r="H7" s="5">
        <f>AVERAGE(G7:G2794)</f>
        <v>0.3508375813704116</v>
      </c>
      <c r="I7" s="6">
        <f>F2*43560*F1*F3</f>
        <v>174240000</v>
      </c>
      <c r="J7" s="2">
        <f>I7*(1-H7)/F4/5.615/10^6</f>
        <v>16.786889258239754</v>
      </c>
      <c r="K7" s="8">
        <f>_xlfn.STDEV.P(G7:G2794)</f>
        <v>7.7600863369754358E-2</v>
      </c>
      <c r="L7" s="16">
        <v>2788</v>
      </c>
      <c r="M7" s="16">
        <v>1</v>
      </c>
      <c r="N7" s="16">
        <f>(M7-0.5)/$L$7</f>
        <v>1.793400286944046E-4</v>
      </c>
      <c r="O7" s="16">
        <f>AVERAGE(N7:N2794)</f>
        <v>0.49999999999999289</v>
      </c>
      <c r="P7" s="53">
        <f>_xlfn.STDEV.P(N7:N2794)</f>
        <v>0.28867511602559592</v>
      </c>
      <c r="Q7" s="16">
        <f>_xlfn.NORM.S.INV(N7)</f>
        <v>-3.5687561582398821</v>
      </c>
    </row>
    <row r="8" spans="4:17" ht="15" thickBot="1" x14ac:dyDescent="0.35">
      <c r="D8" s="20">
        <f t="shared" si="0"/>
        <v>2</v>
      </c>
      <c r="E8" s="20">
        <f t="shared" si="1"/>
        <v>150</v>
      </c>
      <c r="F8" s="20">
        <f t="shared" si="2"/>
        <v>50</v>
      </c>
      <c r="G8" s="20">
        <v>0.1112502035115665</v>
      </c>
      <c r="H8" s="50"/>
      <c r="I8" s="16"/>
      <c r="J8" s="16"/>
      <c r="K8" s="16"/>
      <c r="L8" s="16"/>
      <c r="M8" s="16">
        <v>2</v>
      </c>
      <c r="N8" s="16">
        <f t="shared" ref="N8:N71" si="3">(M8-0.5)/$L$7</f>
        <v>5.3802008608321375E-4</v>
      </c>
      <c r="O8" s="16"/>
      <c r="P8" s="16"/>
      <c r="Q8" s="16">
        <f t="shared" ref="Q8:Q71" si="4">_xlfn.NORM.S.INV(N8)</f>
        <v>-3.2698513417567736</v>
      </c>
    </row>
    <row r="9" spans="4:17" ht="15" thickBot="1" x14ac:dyDescent="0.35">
      <c r="D9" s="20">
        <f t="shared" si="0"/>
        <v>3</v>
      </c>
      <c r="E9" s="20">
        <f t="shared" si="1"/>
        <v>250</v>
      </c>
      <c r="F9" s="20">
        <f t="shared" si="2"/>
        <v>50</v>
      </c>
      <c r="G9" s="20">
        <v>0.12527051012292464</v>
      </c>
      <c r="H9" s="50"/>
      <c r="I9" s="16"/>
      <c r="J9" s="16"/>
      <c r="K9" s="16"/>
      <c r="L9" s="16"/>
      <c r="M9" s="16">
        <v>3</v>
      </c>
      <c r="N9" s="16">
        <f t="shared" si="3"/>
        <v>8.9670014347202295E-4</v>
      </c>
      <c r="O9" s="16"/>
      <c r="P9" s="16"/>
      <c r="Q9" s="16">
        <f t="shared" si="4"/>
        <v>-3.1224705800301527</v>
      </c>
    </row>
    <row r="10" spans="4:17" ht="15" thickBot="1" x14ac:dyDescent="0.35">
      <c r="D10" s="20">
        <f t="shared" si="0"/>
        <v>4</v>
      </c>
      <c r="E10" s="20">
        <f t="shared" si="1"/>
        <v>350</v>
      </c>
      <c r="F10" s="20">
        <f t="shared" si="2"/>
        <v>50</v>
      </c>
      <c r="G10" s="20">
        <v>0.12590685831845214</v>
      </c>
      <c r="H10" s="50"/>
      <c r="I10" s="16"/>
      <c r="J10" s="16"/>
      <c r="K10" s="16"/>
      <c r="L10" s="16"/>
      <c r="M10" s="16">
        <v>4</v>
      </c>
      <c r="N10" s="16">
        <f t="shared" si="3"/>
        <v>1.255380200860832E-3</v>
      </c>
      <c r="O10" s="16"/>
      <c r="P10" s="16"/>
      <c r="Q10" s="16">
        <f t="shared" si="4"/>
        <v>-3.0220416007492266</v>
      </c>
    </row>
    <row r="11" spans="4:17" ht="15" thickBot="1" x14ac:dyDescent="0.35">
      <c r="D11" s="20">
        <f t="shared" si="0"/>
        <v>5</v>
      </c>
      <c r="E11" s="20">
        <f t="shared" si="1"/>
        <v>450</v>
      </c>
      <c r="F11" s="20">
        <f t="shared" si="2"/>
        <v>50</v>
      </c>
      <c r="G11" s="20">
        <v>0.12834175609328069</v>
      </c>
      <c r="H11" s="50"/>
      <c r="I11" s="16"/>
      <c r="J11" s="16"/>
      <c r="K11" s="16"/>
      <c r="L11" s="16"/>
      <c r="M11" s="16">
        <v>5</v>
      </c>
      <c r="N11" s="16">
        <f t="shared" si="3"/>
        <v>1.6140602582496414E-3</v>
      </c>
      <c r="O11" s="16"/>
      <c r="P11" s="16"/>
      <c r="Q11" s="16">
        <f t="shared" si="4"/>
        <v>-2.9451366546689965</v>
      </c>
    </row>
    <row r="12" spans="4:17" ht="15" thickBot="1" x14ac:dyDescent="0.35">
      <c r="D12" s="20">
        <f t="shared" si="0"/>
        <v>6</v>
      </c>
      <c r="E12" s="20">
        <f t="shared" si="1"/>
        <v>550</v>
      </c>
      <c r="F12" s="20">
        <f t="shared" si="2"/>
        <v>50</v>
      </c>
      <c r="G12" s="20">
        <v>0.13024964269701167</v>
      </c>
      <c r="H12" s="50"/>
      <c r="I12" s="16"/>
      <c r="J12" s="16"/>
      <c r="K12" s="16"/>
      <c r="L12" s="16"/>
      <c r="M12" s="16">
        <v>6</v>
      </c>
      <c r="N12" s="16">
        <f t="shared" si="3"/>
        <v>1.9727403156384504E-3</v>
      </c>
      <c r="O12" s="16"/>
      <c r="P12" s="16"/>
      <c r="Q12" s="16">
        <f t="shared" si="4"/>
        <v>-2.8824880803291006</v>
      </c>
    </row>
    <row r="13" spans="4:17" ht="15" thickBot="1" x14ac:dyDescent="0.35">
      <c r="D13" s="20">
        <f t="shared" si="0"/>
        <v>7</v>
      </c>
      <c r="E13" s="20">
        <f t="shared" si="1"/>
        <v>650</v>
      </c>
      <c r="F13" s="20">
        <f t="shared" si="2"/>
        <v>50</v>
      </c>
      <c r="G13" s="20">
        <v>0.13324663734487815</v>
      </c>
      <c r="H13" s="50"/>
      <c r="I13" s="16"/>
      <c r="J13" s="16"/>
      <c r="K13" s="16"/>
      <c r="L13" s="16"/>
      <c r="M13" s="16">
        <v>7</v>
      </c>
      <c r="N13" s="16">
        <f t="shared" si="3"/>
        <v>2.3314203730272595E-3</v>
      </c>
      <c r="O13" s="16"/>
      <c r="P13" s="16"/>
      <c r="Q13" s="16">
        <f t="shared" si="4"/>
        <v>-2.8294477889155911</v>
      </c>
    </row>
    <row r="14" spans="4:17" ht="15" thickBot="1" x14ac:dyDescent="0.35">
      <c r="D14" s="20">
        <f t="shared" si="0"/>
        <v>8</v>
      </c>
      <c r="E14" s="20">
        <f t="shared" si="1"/>
        <v>750</v>
      </c>
      <c r="F14" s="20">
        <f t="shared" si="2"/>
        <v>50</v>
      </c>
      <c r="G14" s="20">
        <v>0.13730314892849749</v>
      </c>
      <c r="H14" s="50"/>
      <c r="I14" s="16"/>
      <c r="J14" s="16"/>
      <c r="K14" s="16"/>
      <c r="L14" s="16"/>
      <c r="M14" s="16">
        <v>8</v>
      </c>
      <c r="N14" s="16">
        <f t="shared" si="3"/>
        <v>2.6901004304160691E-3</v>
      </c>
      <c r="O14" s="16"/>
      <c r="P14" s="16"/>
      <c r="Q14" s="16">
        <f t="shared" si="4"/>
        <v>-2.7833423110877873</v>
      </c>
    </row>
    <row r="15" spans="4:17" ht="15" thickBot="1" x14ac:dyDescent="0.35">
      <c r="D15" s="20">
        <f t="shared" si="0"/>
        <v>9</v>
      </c>
      <c r="E15" s="20">
        <f t="shared" si="1"/>
        <v>850</v>
      </c>
      <c r="F15" s="20">
        <f t="shared" si="2"/>
        <v>50</v>
      </c>
      <c r="G15" s="20">
        <v>0.13802602553761273</v>
      </c>
      <c r="H15" s="50"/>
      <c r="I15" s="16"/>
      <c r="J15" s="16"/>
      <c r="K15" s="16"/>
      <c r="L15" s="16"/>
      <c r="M15" s="16">
        <v>9</v>
      </c>
      <c r="N15" s="16">
        <f t="shared" si="3"/>
        <v>3.0487804878048782E-3</v>
      </c>
      <c r="O15" s="16"/>
      <c r="P15" s="16"/>
      <c r="Q15" s="16">
        <f t="shared" si="4"/>
        <v>-2.74248836655691</v>
      </c>
    </row>
    <row r="16" spans="4:17" ht="15" thickBot="1" x14ac:dyDescent="0.35">
      <c r="D16" s="20">
        <f t="shared" si="0"/>
        <v>10</v>
      </c>
      <c r="E16" s="20">
        <f t="shared" si="1"/>
        <v>950</v>
      </c>
      <c r="F16" s="20">
        <f t="shared" si="2"/>
        <v>50</v>
      </c>
      <c r="G16" s="20">
        <v>0.13960391459128033</v>
      </c>
      <c r="H16" s="50"/>
      <c r="I16" s="16"/>
      <c r="J16" s="16"/>
      <c r="K16" s="16"/>
      <c r="L16" s="16"/>
      <c r="M16" s="16">
        <v>10</v>
      </c>
      <c r="N16" s="16">
        <f t="shared" si="3"/>
        <v>3.4074605451936872E-3</v>
      </c>
      <c r="O16" s="16"/>
      <c r="P16" s="16"/>
      <c r="Q16" s="16">
        <f t="shared" si="4"/>
        <v>-2.7057554524714376</v>
      </c>
    </row>
    <row r="17" spans="4:17" ht="15" thickBot="1" x14ac:dyDescent="0.35">
      <c r="D17" s="20">
        <f t="shared" si="0"/>
        <v>11</v>
      </c>
      <c r="E17" s="20">
        <f t="shared" si="1"/>
        <v>1050</v>
      </c>
      <c r="F17" s="20">
        <f t="shared" si="2"/>
        <v>50</v>
      </c>
      <c r="G17" s="20">
        <v>0.14076337182490539</v>
      </c>
      <c r="H17" s="50"/>
      <c r="I17" s="16"/>
      <c r="J17" s="16"/>
      <c r="K17" s="16"/>
      <c r="L17" s="16"/>
      <c r="M17" s="16">
        <v>11</v>
      </c>
      <c r="N17" s="16">
        <f t="shared" si="3"/>
        <v>3.7661406025824963E-3</v>
      </c>
      <c r="O17" s="16"/>
      <c r="P17" s="16"/>
      <c r="Q17" s="16">
        <f t="shared" si="4"/>
        <v>-2.6723465649805807</v>
      </c>
    </row>
    <row r="18" spans="4:17" ht="15" thickBot="1" x14ac:dyDescent="0.35">
      <c r="D18" s="20">
        <f t="shared" si="0"/>
        <v>12</v>
      </c>
      <c r="E18" s="20">
        <f t="shared" si="1"/>
        <v>1150</v>
      </c>
      <c r="F18" s="20">
        <f t="shared" si="2"/>
        <v>50</v>
      </c>
      <c r="G18" s="20">
        <v>0.14268675308570217</v>
      </c>
      <c r="H18" s="50"/>
      <c r="I18" s="16"/>
      <c r="J18" s="16"/>
      <c r="K18" s="16"/>
      <c r="L18" s="16"/>
      <c r="M18" s="16">
        <v>12</v>
      </c>
      <c r="N18" s="16">
        <f t="shared" si="3"/>
        <v>4.1248206599713054E-3</v>
      </c>
      <c r="O18" s="16"/>
      <c r="P18" s="16"/>
      <c r="Q18" s="16">
        <f t="shared" si="4"/>
        <v>-2.6416781316648517</v>
      </c>
    </row>
    <row r="19" spans="4:17" ht="15" thickBot="1" x14ac:dyDescent="0.35">
      <c r="D19" s="20">
        <f t="shared" si="0"/>
        <v>13</v>
      </c>
      <c r="E19" s="20">
        <f t="shared" si="1"/>
        <v>1250</v>
      </c>
      <c r="F19" s="20">
        <f t="shared" si="2"/>
        <v>50</v>
      </c>
      <c r="G19" s="20">
        <v>0.14681890079261359</v>
      </c>
      <c r="H19" s="50"/>
      <c r="I19" s="16"/>
      <c r="J19" s="16"/>
      <c r="K19" s="16"/>
      <c r="L19" s="16"/>
      <c r="M19" s="16">
        <v>13</v>
      </c>
      <c r="N19" s="16">
        <f t="shared" si="3"/>
        <v>4.4835007173601145E-3</v>
      </c>
      <c r="O19" s="16"/>
      <c r="P19" s="16"/>
      <c r="Q19" s="16">
        <f t="shared" si="4"/>
        <v>-2.6133096653846621</v>
      </c>
    </row>
    <row r="20" spans="4:17" ht="15" thickBot="1" x14ac:dyDescent="0.35">
      <c r="D20" s="20">
        <f t="shared" si="0"/>
        <v>14</v>
      </c>
      <c r="E20" s="20">
        <f t="shared" si="1"/>
        <v>1350</v>
      </c>
      <c r="F20" s="20">
        <f t="shared" si="2"/>
        <v>50</v>
      </c>
      <c r="G20" s="20">
        <v>0.14784838709499887</v>
      </c>
      <c r="H20" s="50"/>
      <c r="I20" s="16"/>
      <c r="J20" s="16"/>
      <c r="K20" s="16"/>
      <c r="L20" s="16"/>
      <c r="M20" s="16">
        <v>14</v>
      </c>
      <c r="N20" s="16">
        <f t="shared" si="3"/>
        <v>4.8421807747489236E-3</v>
      </c>
      <c r="O20" s="16"/>
      <c r="P20" s="16"/>
      <c r="Q20" s="16">
        <f t="shared" si="4"/>
        <v>-2.5869002767436045</v>
      </c>
    </row>
    <row r="21" spans="4:17" ht="15" thickBot="1" x14ac:dyDescent="0.35">
      <c r="D21" s="20">
        <f t="shared" si="0"/>
        <v>15</v>
      </c>
      <c r="E21" s="20">
        <f t="shared" si="1"/>
        <v>1450</v>
      </c>
      <c r="F21" s="20">
        <f t="shared" si="2"/>
        <v>50</v>
      </c>
      <c r="G21" s="20">
        <v>0.14812267408034199</v>
      </c>
      <c r="H21" s="50"/>
      <c r="I21" s="16"/>
      <c r="J21" s="16"/>
      <c r="K21" s="16"/>
      <c r="L21" s="16"/>
      <c r="M21" s="16">
        <v>15</v>
      </c>
      <c r="N21" s="16">
        <f t="shared" si="3"/>
        <v>5.2008608321377327E-3</v>
      </c>
      <c r="O21" s="16"/>
      <c r="P21" s="16"/>
      <c r="Q21" s="16">
        <f t="shared" si="4"/>
        <v>-2.5621805897711512</v>
      </c>
    </row>
    <row r="22" spans="4:17" ht="15" thickBot="1" x14ac:dyDescent="0.35">
      <c r="D22" s="20">
        <f t="shared" si="0"/>
        <v>16</v>
      </c>
      <c r="E22" s="20">
        <f t="shared" si="1"/>
        <v>1550</v>
      </c>
      <c r="F22" s="20">
        <f t="shared" si="2"/>
        <v>50</v>
      </c>
      <c r="G22" s="20">
        <v>0.15349248063739471</v>
      </c>
      <c r="H22" s="50"/>
      <c r="I22" s="16"/>
      <c r="J22" s="16"/>
      <c r="K22" s="16"/>
      <c r="L22" s="16"/>
      <c r="M22" s="16">
        <v>16</v>
      </c>
      <c r="N22" s="16">
        <f t="shared" si="3"/>
        <v>5.5595408895265427E-3</v>
      </c>
      <c r="O22" s="16"/>
      <c r="P22" s="16"/>
      <c r="Q22" s="16">
        <f t="shared" si="4"/>
        <v>-2.5389339346171473</v>
      </c>
    </row>
    <row r="23" spans="4:17" ht="15" thickBot="1" x14ac:dyDescent="0.35">
      <c r="D23" s="20">
        <f t="shared" si="0"/>
        <v>17</v>
      </c>
      <c r="E23" s="20">
        <f t="shared" si="1"/>
        <v>1650</v>
      </c>
      <c r="F23" s="20">
        <f t="shared" si="2"/>
        <v>50</v>
      </c>
      <c r="G23" s="20">
        <v>0.15456921600332038</v>
      </c>
      <c r="H23" s="50"/>
      <c r="I23" s="16"/>
      <c r="J23" s="16"/>
      <c r="K23" s="16"/>
      <c r="L23" s="16"/>
      <c r="M23" s="16">
        <v>17</v>
      </c>
      <c r="N23" s="16">
        <f t="shared" si="3"/>
        <v>5.9182209469153518E-3</v>
      </c>
      <c r="O23" s="16"/>
      <c r="P23" s="16"/>
      <c r="Q23" s="16">
        <f t="shared" si="4"/>
        <v>-2.5169833607026737</v>
      </c>
    </row>
    <row r="24" spans="4:17" ht="15" thickBot="1" x14ac:dyDescent="0.35">
      <c r="D24" s="20">
        <f t="shared" si="0"/>
        <v>18</v>
      </c>
      <c r="E24" s="20">
        <f t="shared" si="1"/>
        <v>1750</v>
      </c>
      <c r="F24" s="20">
        <f t="shared" si="2"/>
        <v>50</v>
      </c>
      <c r="G24" s="20">
        <v>0.15474206973187565</v>
      </c>
      <c r="H24" s="50"/>
      <c r="I24" s="16"/>
      <c r="J24" s="16"/>
      <c r="K24" s="16"/>
      <c r="L24" s="16"/>
      <c r="M24" s="16">
        <v>18</v>
      </c>
      <c r="N24" s="16">
        <f t="shared" si="3"/>
        <v>6.2769010043041609E-3</v>
      </c>
      <c r="O24" s="16"/>
      <c r="P24" s="16"/>
      <c r="Q24" s="16">
        <f t="shared" si="4"/>
        <v>-2.4961824304795472</v>
      </c>
    </row>
    <row r="25" spans="4:17" ht="15" thickBot="1" x14ac:dyDescent="0.35">
      <c r="D25" s="20">
        <f t="shared" si="0"/>
        <v>19</v>
      </c>
      <c r="E25" s="20">
        <f t="shared" si="1"/>
        <v>1850</v>
      </c>
      <c r="F25" s="20">
        <f t="shared" si="2"/>
        <v>50</v>
      </c>
      <c r="G25" s="20">
        <v>0.15600186198547178</v>
      </c>
      <c r="H25" s="50"/>
      <c r="I25" s="16"/>
      <c r="J25" s="16"/>
      <c r="K25" s="16"/>
      <c r="L25" s="16"/>
      <c r="M25" s="16">
        <v>19</v>
      </c>
      <c r="N25" s="16">
        <f t="shared" si="3"/>
        <v>6.6355810616929699E-3</v>
      </c>
      <c r="O25" s="16"/>
      <c r="P25" s="16"/>
      <c r="Q25" s="16">
        <f t="shared" si="4"/>
        <v>-2.4764085431022029</v>
      </c>
    </row>
    <row r="26" spans="4:17" ht="15" thickBot="1" x14ac:dyDescent="0.35">
      <c r="D26" s="20">
        <f t="shared" si="0"/>
        <v>20</v>
      </c>
      <c r="E26" s="20">
        <f t="shared" si="1"/>
        <v>1950</v>
      </c>
      <c r="F26" s="20">
        <f t="shared" si="2"/>
        <v>50</v>
      </c>
      <c r="G26" s="20">
        <v>0.15741331690782934</v>
      </c>
      <c r="H26" s="50"/>
      <c r="I26" s="16"/>
      <c r="J26" s="16"/>
      <c r="K26" s="16"/>
      <c r="L26" s="16"/>
      <c r="M26" s="16">
        <v>20</v>
      </c>
      <c r="N26" s="16">
        <f t="shared" si="3"/>
        <v>6.994261119081779E-3</v>
      </c>
      <c r="O26" s="16"/>
      <c r="P26" s="16"/>
      <c r="Q26" s="16">
        <f t="shared" si="4"/>
        <v>-2.4575579954779236</v>
      </c>
    </row>
    <row r="27" spans="4:17" ht="15" thickBot="1" x14ac:dyDescent="0.35">
      <c r="D27" s="20">
        <f t="shared" si="0"/>
        <v>21</v>
      </c>
      <c r="E27" s="20">
        <f t="shared" si="1"/>
        <v>2050</v>
      </c>
      <c r="F27" s="20">
        <f t="shared" si="2"/>
        <v>50</v>
      </c>
      <c r="G27" s="20">
        <v>0.16006873185384238</v>
      </c>
      <c r="H27" s="50"/>
      <c r="I27" s="16"/>
      <c r="J27" s="16"/>
      <c r="K27" s="16"/>
      <c r="L27" s="16"/>
      <c r="M27" s="16">
        <v>21</v>
      </c>
      <c r="N27" s="16">
        <f t="shared" si="3"/>
        <v>7.3529411764705881E-3</v>
      </c>
      <c r="O27" s="16"/>
      <c r="P27" s="16"/>
      <c r="Q27" s="16">
        <f t="shared" si="4"/>
        <v>-2.4395422638528808</v>
      </c>
    </row>
    <row r="28" spans="4:17" ht="15" thickBot="1" x14ac:dyDescent="0.35">
      <c r="D28" s="20">
        <f t="shared" si="0"/>
        <v>22</v>
      </c>
      <c r="E28" s="20">
        <f t="shared" si="1"/>
        <v>2150</v>
      </c>
      <c r="F28" s="20">
        <f t="shared" si="2"/>
        <v>50</v>
      </c>
      <c r="G28" s="20">
        <v>0.16298703235387493</v>
      </c>
      <c r="H28" s="50"/>
      <c r="I28" s="16"/>
      <c r="J28" s="16"/>
      <c r="K28" s="16"/>
      <c r="L28" s="16"/>
      <c r="M28" s="16">
        <v>22</v>
      </c>
      <c r="N28" s="16">
        <f t="shared" si="3"/>
        <v>7.7116212338593972E-3</v>
      </c>
      <c r="O28" s="16"/>
      <c r="P28" s="16"/>
      <c r="Q28" s="16">
        <f t="shared" si="4"/>
        <v>-2.4222851602552824</v>
      </c>
    </row>
    <row r="29" spans="4:17" ht="15" thickBot="1" x14ac:dyDescent="0.35">
      <c r="D29" s="20">
        <f t="shared" si="0"/>
        <v>23</v>
      </c>
      <c r="E29" s="20">
        <f t="shared" si="1"/>
        <v>2250</v>
      </c>
      <c r="F29" s="20">
        <f t="shared" si="2"/>
        <v>50</v>
      </c>
      <c r="G29" s="20">
        <v>0.16463567287802236</v>
      </c>
      <c r="H29" s="50"/>
      <c r="I29" s="16"/>
      <c r="J29" s="16"/>
      <c r="K29" s="16"/>
      <c r="L29" s="16"/>
      <c r="M29" s="16">
        <v>23</v>
      </c>
      <c r="N29" s="16">
        <f t="shared" si="3"/>
        <v>8.0703012912482063E-3</v>
      </c>
      <c r="O29" s="16"/>
      <c r="P29" s="16"/>
      <c r="Q29" s="16">
        <f t="shared" si="4"/>
        <v>-2.4057206273563216</v>
      </c>
    </row>
    <row r="30" spans="4:17" ht="15" thickBot="1" x14ac:dyDescent="0.35">
      <c r="D30" s="20">
        <f t="shared" si="0"/>
        <v>24</v>
      </c>
      <c r="E30" s="20">
        <f t="shared" si="1"/>
        <v>2350</v>
      </c>
      <c r="F30" s="20">
        <f t="shared" si="2"/>
        <v>50</v>
      </c>
      <c r="G30" s="20">
        <v>0.16705315988024144</v>
      </c>
      <c r="H30" s="50"/>
      <c r="I30" s="16"/>
      <c r="J30" s="16"/>
      <c r="K30" s="16"/>
      <c r="L30" s="16"/>
      <c r="M30" s="16">
        <v>24</v>
      </c>
      <c r="N30" s="16">
        <f t="shared" si="3"/>
        <v>8.4289813486370154E-3</v>
      </c>
      <c r="O30" s="16"/>
      <c r="P30" s="16"/>
      <c r="Q30" s="16">
        <f t="shared" si="4"/>
        <v>-2.3897910067580814</v>
      </c>
    </row>
    <row r="31" spans="4:17" ht="15" thickBot="1" x14ac:dyDescent="0.35">
      <c r="D31" s="20">
        <f t="shared" si="0"/>
        <v>25</v>
      </c>
      <c r="E31" s="20">
        <f t="shared" si="1"/>
        <v>2450</v>
      </c>
      <c r="F31" s="20">
        <f t="shared" si="2"/>
        <v>50</v>
      </c>
      <c r="G31" s="20">
        <v>0.16850348717082814</v>
      </c>
      <c r="H31" s="50"/>
      <c r="I31" s="16"/>
      <c r="J31" s="16"/>
      <c r="K31" s="16"/>
      <c r="L31" s="16"/>
      <c r="M31" s="16">
        <v>25</v>
      </c>
      <c r="N31" s="16">
        <f t="shared" si="3"/>
        <v>8.7876614060258245E-3</v>
      </c>
      <c r="O31" s="16"/>
      <c r="P31" s="16"/>
      <c r="Q31" s="16">
        <f t="shared" si="4"/>
        <v>-2.3744456634852953</v>
      </c>
    </row>
    <row r="32" spans="4:17" ht="15" thickBot="1" x14ac:dyDescent="0.35">
      <c r="D32" s="20">
        <f t="shared" si="0"/>
        <v>26</v>
      </c>
      <c r="E32" s="20">
        <f t="shared" si="1"/>
        <v>2550</v>
      </c>
      <c r="F32" s="20">
        <f t="shared" si="2"/>
        <v>50</v>
      </c>
      <c r="G32" s="20">
        <v>0.16867317196988255</v>
      </c>
      <c r="H32" s="50"/>
      <c r="I32" s="16"/>
      <c r="J32" s="16"/>
      <c r="K32" s="16"/>
      <c r="L32" s="16"/>
      <c r="M32" s="16">
        <v>26</v>
      </c>
      <c r="N32" s="16">
        <f t="shared" si="3"/>
        <v>9.1463414634146336E-3</v>
      </c>
      <c r="O32" s="16"/>
      <c r="P32" s="16"/>
      <c r="Q32" s="16">
        <f t="shared" si="4"/>
        <v>-2.3596398820306188</v>
      </c>
    </row>
    <row r="33" spans="4:17" ht="15" thickBot="1" x14ac:dyDescent="0.35">
      <c r="D33" s="20">
        <f t="shared" si="0"/>
        <v>27</v>
      </c>
      <c r="E33" s="20">
        <f t="shared" si="1"/>
        <v>2650</v>
      </c>
      <c r="F33" s="20">
        <f t="shared" si="2"/>
        <v>50</v>
      </c>
      <c r="G33" s="20">
        <v>0.1702942516573813</v>
      </c>
      <c r="H33" s="50"/>
      <c r="I33" s="16"/>
      <c r="J33" s="16"/>
      <c r="K33" s="16"/>
      <c r="L33" s="16"/>
      <c r="M33" s="16">
        <v>27</v>
      </c>
      <c r="N33" s="16">
        <f t="shared" si="3"/>
        <v>9.5050215208034427E-3</v>
      </c>
      <c r="O33" s="16"/>
      <c r="P33" s="16"/>
      <c r="Q33" s="16">
        <f t="shared" si="4"/>
        <v>-2.3453339719152368</v>
      </c>
    </row>
    <row r="34" spans="4:17" ht="15" thickBot="1" x14ac:dyDescent="0.35">
      <c r="D34" s="20">
        <f t="shared" si="0"/>
        <v>28</v>
      </c>
      <c r="E34" s="20">
        <f t="shared" si="1"/>
        <v>2750</v>
      </c>
      <c r="F34" s="20">
        <f t="shared" si="2"/>
        <v>50</v>
      </c>
      <c r="G34" s="20">
        <v>0.17424723955470345</v>
      </c>
      <c r="H34" s="50"/>
      <c r="I34" s="16"/>
      <c r="J34" s="16"/>
      <c r="K34" s="16"/>
      <c r="L34" s="16"/>
      <c r="M34" s="16">
        <v>28</v>
      </c>
      <c r="N34" s="16">
        <f t="shared" si="3"/>
        <v>9.8637015781922518E-3</v>
      </c>
      <c r="O34" s="16"/>
      <c r="P34" s="16"/>
      <c r="Q34" s="16">
        <f t="shared" si="4"/>
        <v>-2.3314925366815551</v>
      </c>
    </row>
    <row r="35" spans="4:17" ht="15" thickBot="1" x14ac:dyDescent="0.35">
      <c r="D35" s="20">
        <f t="shared" si="0"/>
        <v>29</v>
      </c>
      <c r="E35" s="20">
        <f t="shared" si="1"/>
        <v>2850</v>
      </c>
      <c r="F35" s="20">
        <f t="shared" si="2"/>
        <v>50</v>
      </c>
      <c r="G35" s="20">
        <v>0.1742594673937467</v>
      </c>
      <c r="H35" s="50"/>
      <c r="I35" s="16"/>
      <c r="J35" s="16"/>
      <c r="K35" s="16"/>
      <c r="L35" s="16"/>
      <c r="M35" s="16">
        <v>29</v>
      </c>
      <c r="N35" s="16">
        <f t="shared" si="3"/>
        <v>1.0222381635581061E-2</v>
      </c>
      <c r="O35" s="16"/>
      <c r="P35" s="16"/>
      <c r="Q35" s="16">
        <f t="shared" si="4"/>
        <v>-2.3180838716609906</v>
      </c>
    </row>
    <row r="36" spans="4:17" ht="15" thickBot="1" x14ac:dyDescent="0.35">
      <c r="D36" s="20">
        <f t="shared" si="0"/>
        <v>30</v>
      </c>
      <c r="E36" s="20">
        <f t="shared" si="1"/>
        <v>2950</v>
      </c>
      <c r="F36" s="20">
        <f t="shared" si="2"/>
        <v>50</v>
      </c>
      <c r="G36" s="20">
        <v>0.17573314423966677</v>
      </c>
      <c r="H36" s="50"/>
      <c r="I36" s="16"/>
      <c r="J36" s="16"/>
      <c r="K36" s="16"/>
      <c r="L36" s="16"/>
      <c r="M36" s="16">
        <v>30</v>
      </c>
      <c r="N36" s="16">
        <f t="shared" si="3"/>
        <v>1.0581061692969872E-2</v>
      </c>
      <c r="O36" s="16"/>
      <c r="P36" s="16"/>
      <c r="Q36" s="16">
        <f t="shared" si="4"/>
        <v>-2.3050794641552974</v>
      </c>
    </row>
    <row r="37" spans="4:17" ht="15" thickBot="1" x14ac:dyDescent="0.35">
      <c r="D37" s="20">
        <f t="shared" si="0"/>
        <v>31</v>
      </c>
      <c r="E37" s="20">
        <f t="shared" si="1"/>
        <v>3050</v>
      </c>
      <c r="F37" s="20">
        <f t="shared" si="2"/>
        <v>50</v>
      </c>
      <c r="G37" s="20">
        <v>0.17586860715297528</v>
      </c>
      <c r="H37" s="50"/>
      <c r="I37" s="16"/>
      <c r="J37" s="16"/>
      <c r="K37" s="16"/>
      <c r="L37" s="16"/>
      <c r="M37" s="16">
        <v>31</v>
      </c>
      <c r="N37" s="16">
        <f t="shared" si="3"/>
        <v>1.0939741750358681E-2</v>
      </c>
      <c r="O37" s="16"/>
      <c r="P37" s="16"/>
      <c r="Q37" s="16">
        <f t="shared" si="4"/>
        <v>-2.2924535757684059</v>
      </c>
    </row>
    <row r="38" spans="4:17" ht="15" thickBot="1" x14ac:dyDescent="0.35">
      <c r="D38" s="20">
        <f t="shared" si="0"/>
        <v>32</v>
      </c>
      <c r="E38" s="20">
        <f t="shared" si="1"/>
        <v>3150</v>
      </c>
      <c r="F38" s="20">
        <f t="shared" si="2"/>
        <v>50</v>
      </c>
      <c r="G38" s="20">
        <v>0.1762212340414146</v>
      </c>
      <c r="H38" s="50"/>
      <c r="I38" s="16"/>
      <c r="J38" s="16"/>
      <c r="K38" s="16"/>
      <c r="L38" s="16"/>
      <c r="M38" s="16">
        <v>32</v>
      </c>
      <c r="N38" s="16">
        <f t="shared" si="3"/>
        <v>1.129842180774749E-2</v>
      </c>
      <c r="O38" s="16"/>
      <c r="P38" s="16"/>
      <c r="Q38" s="16">
        <f t="shared" si="4"/>
        <v>-2.2801828911615765</v>
      </c>
    </row>
    <row r="39" spans="4:17" ht="15" thickBot="1" x14ac:dyDescent="0.35">
      <c r="D39" s="20">
        <f t="shared" si="0"/>
        <v>33</v>
      </c>
      <c r="E39" s="20">
        <f t="shared" si="1"/>
        <v>3250</v>
      </c>
      <c r="F39" s="20">
        <f t="shared" si="2"/>
        <v>50</v>
      </c>
      <c r="G39" s="20">
        <v>0.17682925177900266</v>
      </c>
      <c r="H39" s="50"/>
      <c r="I39" s="16"/>
      <c r="J39" s="16"/>
      <c r="K39" s="16"/>
      <c r="L39" s="16"/>
      <c r="M39" s="16">
        <v>33</v>
      </c>
      <c r="N39" s="16">
        <f t="shared" si="3"/>
        <v>1.1657101865136299E-2</v>
      </c>
      <c r="O39" s="16"/>
      <c r="P39" s="16"/>
      <c r="Q39" s="16">
        <f t="shared" si="4"/>
        <v>-2.2682462209146381</v>
      </c>
    </row>
    <row r="40" spans="4:17" ht="15" thickBot="1" x14ac:dyDescent="0.35">
      <c r="D40" s="20">
        <f t="shared" si="0"/>
        <v>34</v>
      </c>
      <c r="E40" s="20">
        <f t="shared" si="1"/>
        <v>3350</v>
      </c>
      <c r="F40" s="20">
        <f t="shared" si="2"/>
        <v>50</v>
      </c>
      <c r="G40" s="20">
        <v>0.1771788739321358</v>
      </c>
      <c r="H40" s="50"/>
      <c r="I40" s="16"/>
      <c r="J40" s="16"/>
      <c r="K40" s="16"/>
      <c r="L40" s="16"/>
      <c r="M40" s="16">
        <v>34</v>
      </c>
      <c r="N40" s="16">
        <f t="shared" si="3"/>
        <v>1.2015781922525108E-2</v>
      </c>
      <c r="O40" s="16"/>
      <c r="P40" s="16"/>
      <c r="Q40" s="16">
        <f t="shared" si="4"/>
        <v>-2.2566242487654851</v>
      </c>
    </row>
    <row r="41" spans="4:17" ht="15" thickBot="1" x14ac:dyDescent="0.35">
      <c r="D41" s="20">
        <f t="shared" si="0"/>
        <v>35</v>
      </c>
      <c r="E41" s="45">
        <f t="shared" si="1"/>
        <v>3450</v>
      </c>
      <c r="F41" s="45">
        <f t="shared" si="2"/>
        <v>50</v>
      </c>
      <c r="G41" s="20">
        <v>0.17739113018187394</v>
      </c>
      <c r="H41" s="50"/>
      <c r="I41" s="16"/>
      <c r="J41" s="16"/>
      <c r="K41" s="16"/>
      <c r="L41" s="16"/>
      <c r="M41" s="16">
        <v>35</v>
      </c>
      <c r="N41" s="16">
        <f t="shared" si="3"/>
        <v>1.2374461979913917E-2</v>
      </c>
      <c r="O41" s="16"/>
      <c r="P41" s="16"/>
      <c r="Q41" s="16">
        <f t="shared" si="4"/>
        <v>-2.2452993154846257</v>
      </c>
    </row>
    <row r="42" spans="4:17" ht="15" thickBot="1" x14ac:dyDescent="0.35">
      <c r="D42" s="20">
        <f t="shared" si="0"/>
        <v>36</v>
      </c>
      <c r="E42" s="20">
        <f t="shared" si="1"/>
        <v>3550</v>
      </c>
      <c r="F42" s="20">
        <f t="shared" si="2"/>
        <v>50</v>
      </c>
      <c r="G42" s="20">
        <v>0.1779952845211599</v>
      </c>
      <c r="H42" s="50"/>
      <c r="I42" s="16"/>
      <c r="J42" s="16"/>
      <c r="K42" s="16"/>
      <c r="L42" s="16"/>
      <c r="M42" s="16">
        <v>36</v>
      </c>
      <c r="N42" s="16">
        <f t="shared" si="3"/>
        <v>1.2733142037302726E-2</v>
      </c>
      <c r="O42" s="16"/>
      <c r="P42" s="16"/>
      <c r="Q42" s="16">
        <f t="shared" si="4"/>
        <v>-2.2342552331759911</v>
      </c>
    </row>
    <row r="43" spans="4:17" ht="15" thickBot="1" x14ac:dyDescent="0.35">
      <c r="D43" s="20">
        <f t="shared" si="0"/>
        <v>37</v>
      </c>
      <c r="E43" s="20">
        <f t="shared" si="1"/>
        <v>3650</v>
      </c>
      <c r="F43" s="20">
        <f t="shared" si="2"/>
        <v>50</v>
      </c>
      <c r="G43" s="20">
        <v>0.17818650128762428</v>
      </c>
      <c r="H43" s="50"/>
      <c r="I43" s="16"/>
      <c r="J43" s="16"/>
      <c r="K43" s="16"/>
      <c r="L43" s="16"/>
      <c r="M43" s="16">
        <v>37</v>
      </c>
      <c r="N43" s="16">
        <f t="shared" si="3"/>
        <v>1.3091822094691535E-2</v>
      </c>
      <c r="O43" s="16"/>
      <c r="P43" s="16"/>
      <c r="Q43" s="16">
        <f t="shared" si="4"/>
        <v>-2.2234771249912764</v>
      </c>
    </row>
    <row r="44" spans="4:17" ht="15" thickBot="1" x14ac:dyDescent="0.35">
      <c r="D44" s="20">
        <f t="shared" si="0"/>
        <v>38</v>
      </c>
      <c r="E44" s="20">
        <f t="shared" si="1"/>
        <v>3750</v>
      </c>
      <c r="F44" s="20">
        <f t="shared" si="2"/>
        <v>50</v>
      </c>
      <c r="G44" s="20">
        <v>0.17850298364480086</v>
      </c>
      <c r="H44" s="50"/>
      <c r="I44" s="16"/>
      <c r="J44" s="16"/>
      <c r="K44" s="16"/>
      <c r="L44" s="16"/>
      <c r="M44" s="16">
        <v>38</v>
      </c>
      <c r="N44" s="16">
        <f t="shared" si="3"/>
        <v>1.3450502152080344E-2</v>
      </c>
      <c r="O44" s="16"/>
      <c r="P44" s="16"/>
      <c r="Q44" s="16">
        <f t="shared" si="4"/>
        <v>-2.2129512861845342</v>
      </c>
    </row>
    <row r="45" spans="4:17" ht="15" thickBot="1" x14ac:dyDescent="0.35">
      <c r="D45" s="20">
        <f t="shared" si="0"/>
        <v>39</v>
      </c>
      <c r="E45" s="43">
        <f t="shared" si="1"/>
        <v>3850</v>
      </c>
      <c r="F45" s="43">
        <f t="shared" si="2"/>
        <v>50</v>
      </c>
      <c r="G45" s="20">
        <v>0.17869179821590234</v>
      </c>
      <c r="H45" s="50"/>
      <c r="I45" s="16"/>
      <c r="J45" s="16"/>
      <c r="K45" s="16"/>
      <c r="L45" s="16"/>
      <c r="M45" s="16">
        <v>39</v>
      </c>
      <c r="N45" s="16">
        <f t="shared" si="3"/>
        <v>1.3809182209469154E-2</v>
      </c>
      <c r="O45" s="16"/>
      <c r="P45" s="16"/>
      <c r="Q45" s="16">
        <f t="shared" si="4"/>
        <v>-2.2026650631769495</v>
      </c>
    </row>
    <row r="46" spans="4:17" ht="15" thickBot="1" x14ac:dyDescent="0.35">
      <c r="D46" s="20">
        <f t="shared" si="0"/>
        <v>40</v>
      </c>
      <c r="E46" s="20">
        <f t="shared" si="1"/>
        <v>3950</v>
      </c>
      <c r="F46" s="20">
        <f t="shared" si="2"/>
        <v>50</v>
      </c>
      <c r="G46" s="20">
        <v>0.17887654739847436</v>
      </c>
      <c r="H46" s="50"/>
      <c r="I46" s="16"/>
      <c r="J46" s="16"/>
      <c r="K46" s="16"/>
      <c r="L46" s="16"/>
      <c r="M46" s="16">
        <v>40</v>
      </c>
      <c r="N46" s="16">
        <f t="shared" si="3"/>
        <v>1.4167862266857963E-2</v>
      </c>
      <c r="O46" s="16"/>
      <c r="P46" s="16"/>
      <c r="Q46" s="16">
        <f t="shared" si="4"/>
        <v>-2.1926067478937159</v>
      </c>
    </row>
    <row r="47" spans="4:17" ht="15" thickBot="1" x14ac:dyDescent="0.35">
      <c r="D47" s="20">
        <f t="shared" si="0"/>
        <v>41</v>
      </c>
      <c r="E47" s="20">
        <f t="shared" si="1"/>
        <v>4050</v>
      </c>
      <c r="F47" s="20">
        <f t="shared" si="2"/>
        <v>50</v>
      </c>
      <c r="G47" s="20">
        <v>0.17901803860587207</v>
      </c>
      <c r="H47" s="50"/>
      <c r="I47" s="16"/>
      <c r="J47" s="16"/>
      <c r="K47" s="16"/>
      <c r="L47" s="16"/>
      <c r="M47" s="16">
        <v>41</v>
      </c>
      <c r="N47" s="16">
        <f t="shared" si="3"/>
        <v>1.4526542324246772E-2</v>
      </c>
      <c r="O47" s="16"/>
      <c r="P47" s="16"/>
      <c r="Q47" s="16">
        <f t="shared" si="4"/>
        <v>-2.1827654851094609</v>
      </c>
    </row>
    <row r="48" spans="4:17" ht="15" thickBot="1" x14ac:dyDescent="0.35">
      <c r="D48" s="20">
        <f t="shared" si="0"/>
        <v>42</v>
      </c>
      <c r="E48" s="20">
        <f t="shared" si="1"/>
        <v>4150</v>
      </c>
      <c r="F48" s="20">
        <f t="shared" si="2"/>
        <v>50</v>
      </c>
      <c r="G48" s="20">
        <v>0.17946229125682392</v>
      </c>
      <c r="H48" s="50"/>
      <c r="I48" s="16"/>
      <c r="J48" s="16"/>
      <c r="K48" s="16"/>
      <c r="L48" s="16"/>
      <c r="M48" s="16">
        <v>42</v>
      </c>
      <c r="N48" s="16">
        <f t="shared" si="3"/>
        <v>1.4885222381635581E-2</v>
      </c>
      <c r="O48" s="16"/>
      <c r="P48" s="16"/>
      <c r="Q48" s="16">
        <f t="shared" si="4"/>
        <v>-2.1731311909213429</v>
      </c>
    </row>
    <row r="49" spans="4:17" ht="15" thickBot="1" x14ac:dyDescent="0.35">
      <c r="D49" s="20">
        <f t="shared" si="0"/>
        <v>43</v>
      </c>
      <c r="E49" s="20">
        <f t="shared" si="1"/>
        <v>4250</v>
      </c>
      <c r="F49" s="20">
        <f t="shared" si="2"/>
        <v>50</v>
      </c>
      <c r="G49" s="20">
        <v>0.17950109192903402</v>
      </c>
      <c r="H49" s="50"/>
      <c r="I49" s="16"/>
      <c r="J49" s="16"/>
      <c r="K49" s="16"/>
      <c r="L49" s="16"/>
      <c r="M49" s="16">
        <v>43</v>
      </c>
      <c r="N49" s="16">
        <f t="shared" si="3"/>
        <v>1.524390243902439E-2</v>
      </c>
      <c r="O49" s="16"/>
      <c r="P49" s="16"/>
      <c r="Q49" s="16">
        <f t="shared" si="4"/>
        <v>-2.1636944807793652</v>
      </c>
    </row>
    <row r="50" spans="4:17" ht="15" thickBot="1" x14ac:dyDescent="0.35">
      <c r="D50" s="20">
        <f t="shared" si="0"/>
        <v>44</v>
      </c>
      <c r="E50" s="20">
        <f t="shared" si="1"/>
        <v>4350</v>
      </c>
      <c r="F50" s="20">
        <f t="shared" si="2"/>
        <v>50</v>
      </c>
      <c r="G50" s="20">
        <v>0.18023266799415844</v>
      </c>
      <c r="H50" s="50"/>
      <c r="I50" s="16"/>
      <c r="J50" s="16"/>
      <c r="K50" s="16"/>
      <c r="L50" s="16"/>
      <c r="M50" s="16">
        <v>44</v>
      </c>
      <c r="N50" s="16">
        <f t="shared" si="3"/>
        <v>1.5602582496413199E-2</v>
      </c>
      <c r="O50" s="16"/>
      <c r="P50" s="16"/>
      <c r="Q50" s="16">
        <f t="shared" si="4"/>
        <v>-2.1544466057565437</v>
      </c>
    </row>
    <row r="51" spans="4:17" ht="15" thickBot="1" x14ac:dyDescent="0.35">
      <c r="D51" s="20">
        <f t="shared" si="0"/>
        <v>45</v>
      </c>
      <c r="E51" s="20">
        <f t="shared" si="1"/>
        <v>4450</v>
      </c>
      <c r="F51" s="20">
        <f t="shared" si="2"/>
        <v>50</v>
      </c>
      <c r="G51" s="20">
        <v>0.18086754954819187</v>
      </c>
      <c r="H51" s="50"/>
      <c r="I51" s="16"/>
      <c r="J51" s="16"/>
      <c r="K51" s="16"/>
      <c r="L51" s="16"/>
      <c r="M51" s="16">
        <v>45</v>
      </c>
      <c r="N51" s="16">
        <f t="shared" si="3"/>
        <v>1.5961262553802008E-2</v>
      </c>
      <c r="O51" s="16"/>
      <c r="P51" s="16"/>
      <c r="Q51" s="16">
        <f t="shared" si="4"/>
        <v>-2.1453793959490772</v>
      </c>
    </row>
    <row r="52" spans="4:17" ht="15" thickBot="1" x14ac:dyDescent="0.35">
      <c r="D52" s="20">
        <f t="shared" si="0"/>
        <v>46</v>
      </c>
      <c r="E52" s="20">
        <f t="shared" si="1"/>
        <v>4550</v>
      </c>
      <c r="F52" s="20">
        <f t="shared" si="2"/>
        <v>50</v>
      </c>
      <c r="G52" s="20">
        <v>0.18109156661605427</v>
      </c>
      <c r="H52" s="50"/>
      <c r="I52" s="16"/>
      <c r="J52" s="16"/>
      <c r="K52" s="16"/>
      <c r="L52" s="16"/>
      <c r="M52" s="16">
        <v>46</v>
      </c>
      <c r="N52" s="16">
        <f t="shared" si="3"/>
        <v>1.6319942611190817E-2</v>
      </c>
      <c r="O52" s="16"/>
      <c r="P52" s="16"/>
      <c r="Q52" s="16">
        <f t="shared" si="4"/>
        <v>-2.1364852100675575</v>
      </c>
    </row>
    <row r="53" spans="4:17" ht="15" thickBot="1" x14ac:dyDescent="0.35">
      <c r="D53" s="20">
        <f t="shared" si="0"/>
        <v>47</v>
      </c>
      <c r="E53" s="20">
        <f t="shared" si="1"/>
        <v>4650</v>
      </c>
      <c r="F53" s="20">
        <f t="shared" si="2"/>
        <v>50</v>
      </c>
      <c r="G53" s="20">
        <v>0.18126467606398355</v>
      </c>
      <c r="H53" s="50"/>
      <c r="I53" s="16"/>
      <c r="J53" s="16"/>
      <c r="K53" s="16"/>
      <c r="L53" s="16"/>
      <c r="M53" s="16">
        <v>47</v>
      </c>
      <c r="N53" s="16">
        <f t="shared" si="3"/>
        <v>1.6678622668579626E-2</v>
      </c>
      <c r="O53" s="16"/>
      <c r="P53" s="16"/>
      <c r="Q53" s="16">
        <f t="shared" si="4"/>
        <v>-2.1277568904216917</v>
      </c>
    </row>
    <row r="54" spans="4:17" ht="15" thickBot="1" x14ac:dyDescent="0.35">
      <c r="D54" s="20">
        <f t="shared" si="0"/>
        <v>48</v>
      </c>
      <c r="E54" s="20">
        <f t="shared" si="1"/>
        <v>4750</v>
      </c>
      <c r="F54" s="20">
        <f t="shared" si="2"/>
        <v>50</v>
      </c>
      <c r="G54" s="20">
        <v>0.18207842428591128</v>
      </c>
      <c r="H54" s="50"/>
      <c r="I54" s="16"/>
      <c r="J54" s="16"/>
      <c r="K54" s="16"/>
      <c r="L54" s="16"/>
      <c r="M54" s="16">
        <v>48</v>
      </c>
      <c r="N54" s="16">
        <f t="shared" si="3"/>
        <v>1.7037302725968435E-2</v>
      </c>
      <c r="O54" s="16"/>
      <c r="P54" s="16"/>
      <c r="Q54" s="16">
        <f t="shared" si="4"/>
        <v>-2.1191877226186033</v>
      </c>
    </row>
    <row r="55" spans="4:17" ht="15" thickBot="1" x14ac:dyDescent="0.35">
      <c r="D55" s="20">
        <f t="shared" si="0"/>
        <v>49</v>
      </c>
      <c r="E55" s="20">
        <f t="shared" si="1"/>
        <v>4850</v>
      </c>
      <c r="F55" s="20">
        <f t="shared" si="2"/>
        <v>50</v>
      </c>
      <c r="G55" s="20">
        <v>0.18210857152649976</v>
      </c>
      <c r="H55" s="50"/>
      <c r="I55" s="16"/>
      <c r="J55" s="16"/>
      <c r="K55" s="16"/>
      <c r="L55" s="16"/>
      <c r="M55" s="16">
        <v>49</v>
      </c>
      <c r="N55" s="16">
        <f t="shared" si="3"/>
        <v>1.7395982783357244E-2</v>
      </c>
      <c r="O55" s="16"/>
      <c r="P55" s="16"/>
      <c r="Q55" s="16">
        <f t="shared" si="4"/>
        <v>-2.1107713993928972</v>
      </c>
    </row>
    <row r="56" spans="4:17" ht="15" thickBot="1" x14ac:dyDescent="0.35">
      <c r="D56" s="20">
        <f t="shared" si="0"/>
        <v>50</v>
      </c>
      <c r="E56" s="20">
        <f t="shared" si="1"/>
        <v>4950</v>
      </c>
      <c r="F56" s="20">
        <f t="shared" si="2"/>
        <v>50</v>
      </c>
      <c r="G56" s="20">
        <v>0.18445514547564537</v>
      </c>
      <c r="H56" s="50"/>
      <c r="I56" s="16"/>
      <c r="J56" s="16"/>
      <c r="K56" s="16"/>
      <c r="L56" s="16"/>
      <c r="M56" s="16">
        <v>50</v>
      </c>
      <c r="N56" s="16">
        <f t="shared" si="3"/>
        <v>1.7754662840746054E-2</v>
      </c>
      <c r="O56" s="16"/>
      <c r="P56" s="16"/>
      <c r="Q56" s="16">
        <f t="shared" si="4"/>
        <v>-2.1025019880689166</v>
      </c>
    </row>
    <row r="57" spans="4:17" ht="15" thickBot="1" x14ac:dyDescent="0.35">
      <c r="D57" s="20">
        <f t="shared" si="0"/>
        <v>51</v>
      </c>
      <c r="E57" s="20">
        <f t="shared" si="1"/>
        <v>5050</v>
      </c>
      <c r="F57" s="20">
        <f t="shared" si="2"/>
        <v>50</v>
      </c>
      <c r="G57" s="20">
        <v>0.18453067847117308</v>
      </c>
      <c r="H57" s="50"/>
      <c r="I57" s="16"/>
      <c r="J57" s="16"/>
      <c r="K57" s="16"/>
      <c r="L57" s="16"/>
      <c r="M57" s="16">
        <v>51</v>
      </c>
      <c r="N57" s="16">
        <f t="shared" si="3"/>
        <v>1.8113342898134863E-2</v>
      </c>
      <c r="O57" s="16"/>
      <c r="P57" s="16"/>
      <c r="Q57" s="16">
        <f t="shared" si="4"/>
        <v>-2.0943739012248792</v>
      </c>
    </row>
    <row r="58" spans="4:17" ht="15" thickBot="1" x14ac:dyDescent="0.35">
      <c r="D58" s="20">
        <f t="shared" si="0"/>
        <v>52</v>
      </c>
      <c r="E58" s="20">
        <f t="shared" si="1"/>
        <v>5150</v>
      </c>
      <c r="F58" s="20">
        <f t="shared" si="2"/>
        <v>50</v>
      </c>
      <c r="G58" s="20">
        <v>0.18851836827122903</v>
      </c>
      <c r="H58" s="50"/>
      <c r="I58" s="16"/>
      <c r="J58" s="16"/>
      <c r="K58" s="16"/>
      <c r="L58" s="16"/>
      <c r="M58" s="16">
        <v>52</v>
      </c>
      <c r="N58" s="16">
        <f t="shared" si="3"/>
        <v>1.8472022955523672E-2</v>
      </c>
      <c r="O58" s="16"/>
      <c r="P58" s="16"/>
      <c r="Q58" s="16">
        <f t="shared" si="4"/>
        <v>-2.0863818701869783</v>
      </c>
    </row>
    <row r="59" spans="4:17" ht="15" thickBot="1" x14ac:dyDescent="0.35">
      <c r="D59" s="20">
        <f t="shared" si="0"/>
        <v>53</v>
      </c>
      <c r="E59" s="20">
        <f t="shared" si="1"/>
        <v>5250</v>
      </c>
      <c r="F59" s="20">
        <f t="shared" si="2"/>
        <v>50</v>
      </c>
      <c r="G59" s="20">
        <v>0.18884469110088814</v>
      </c>
      <c r="H59" s="50"/>
      <c r="I59" s="16"/>
      <c r="J59" s="16"/>
      <c r="K59" s="16"/>
      <c r="L59" s="16"/>
      <c r="M59" s="16">
        <v>53</v>
      </c>
      <c r="N59" s="16">
        <f t="shared" si="3"/>
        <v>1.8830703012912481E-2</v>
      </c>
      <c r="O59" s="16"/>
      <c r="P59" s="16"/>
      <c r="Q59" s="16">
        <f t="shared" si="4"/>
        <v>-2.0785209210311022</v>
      </c>
    </row>
    <row r="60" spans="4:17" ht="15" thickBot="1" x14ac:dyDescent="0.35">
      <c r="D60" s="20">
        <f t="shared" si="0"/>
        <v>54</v>
      </c>
      <c r="E60" s="20">
        <f t="shared" si="1"/>
        <v>50</v>
      </c>
      <c r="F60" s="20">
        <f t="shared" si="2"/>
        <v>150</v>
      </c>
      <c r="G60" s="20">
        <v>0.18935104815442416</v>
      </c>
      <c r="H60" s="50"/>
      <c r="I60" s="16"/>
      <c r="J60" s="16"/>
      <c r="K60" s="16"/>
      <c r="L60" s="16"/>
      <c r="M60" s="16">
        <v>54</v>
      </c>
      <c r="N60" s="16">
        <f t="shared" si="3"/>
        <v>1.918938307030129E-2</v>
      </c>
      <c r="O60" s="16"/>
      <c r="P60" s="16"/>
      <c r="Q60" s="16">
        <f t="shared" si="4"/>
        <v>-2.0707863528119419</v>
      </c>
    </row>
    <row r="61" spans="4:17" ht="15" thickBot="1" x14ac:dyDescent="0.35">
      <c r="D61" s="20">
        <f t="shared" si="0"/>
        <v>55</v>
      </c>
      <c r="E61" s="20">
        <f t="shared" si="1"/>
        <v>150</v>
      </c>
      <c r="F61" s="20">
        <f t="shared" si="2"/>
        <v>150</v>
      </c>
      <c r="G61" s="20">
        <v>0.18968784507442379</v>
      </c>
      <c r="H61" s="50"/>
      <c r="I61" s="16"/>
      <c r="J61" s="16"/>
      <c r="K61" s="16"/>
      <c r="L61" s="16"/>
      <c r="M61" s="16">
        <v>55</v>
      </c>
      <c r="N61" s="16">
        <f t="shared" si="3"/>
        <v>1.9548063127690099E-2</v>
      </c>
      <c r="O61" s="16"/>
      <c r="P61" s="16"/>
      <c r="Q61" s="16">
        <f t="shared" si="4"/>
        <v>-2.0631737177751908</v>
      </c>
    </row>
    <row r="62" spans="4:17" ht="15" thickBot="1" x14ac:dyDescent="0.35">
      <c r="D62" s="20">
        <f t="shared" si="0"/>
        <v>56</v>
      </c>
      <c r="E62" s="20">
        <f t="shared" si="1"/>
        <v>250</v>
      </c>
      <c r="F62" s="20">
        <f t="shared" si="2"/>
        <v>150</v>
      </c>
      <c r="G62" s="20">
        <v>0.19087456426407901</v>
      </c>
      <c r="H62" s="50"/>
      <c r="I62" s="16"/>
      <c r="J62" s="16"/>
      <c r="K62" s="16"/>
      <c r="L62" s="16"/>
      <c r="M62" s="16">
        <v>56</v>
      </c>
      <c r="N62" s="16">
        <f t="shared" si="3"/>
        <v>1.9906743185078908E-2</v>
      </c>
      <c r="O62" s="16"/>
      <c r="P62" s="16"/>
      <c r="Q62" s="16">
        <f t="shared" si="4"/>
        <v>-2.0556788033393087</v>
      </c>
    </row>
    <row r="63" spans="4:17" ht="15" thickBot="1" x14ac:dyDescent="0.35">
      <c r="D63" s="20">
        <f t="shared" si="0"/>
        <v>57</v>
      </c>
      <c r="E63" s="20">
        <f t="shared" si="1"/>
        <v>350</v>
      </c>
      <c r="F63" s="20">
        <f t="shared" si="2"/>
        <v>150</v>
      </c>
      <c r="G63" s="20">
        <v>0.19159219344382558</v>
      </c>
      <c r="H63" s="50"/>
      <c r="I63" s="16"/>
      <c r="J63" s="16"/>
      <c r="K63" s="16"/>
      <c r="L63" s="16"/>
      <c r="M63" s="16">
        <v>57</v>
      </c>
      <c r="N63" s="16">
        <f t="shared" si="3"/>
        <v>2.0265423242467717E-2</v>
      </c>
      <c r="O63" s="16"/>
      <c r="P63" s="16"/>
      <c r="Q63" s="16">
        <f t="shared" si="4"/>
        <v>-2.0482976156597346</v>
      </c>
    </row>
    <row r="64" spans="4:17" ht="15" thickBot="1" x14ac:dyDescent="0.35">
      <c r="D64" s="20">
        <f t="shared" si="0"/>
        <v>58</v>
      </c>
      <c r="E64" s="20">
        <f t="shared" si="1"/>
        <v>450</v>
      </c>
      <c r="F64" s="20">
        <f t="shared" si="2"/>
        <v>150</v>
      </c>
      <c r="G64" s="20">
        <v>0.19214081674825556</v>
      </c>
      <c r="H64" s="50"/>
      <c r="I64" s="16"/>
      <c r="J64" s="16"/>
      <c r="K64" s="16"/>
      <c r="L64" s="16"/>
      <c r="M64" s="16">
        <v>58</v>
      </c>
      <c r="N64" s="16">
        <f t="shared" si="3"/>
        <v>2.0624103299856526E-2</v>
      </c>
      <c r="O64" s="16"/>
      <c r="P64" s="16"/>
      <c r="Q64" s="16">
        <f t="shared" si="4"/>
        <v>-2.0410263646111351</v>
      </c>
    </row>
    <row r="65" spans="4:17" ht="15" thickBot="1" x14ac:dyDescent="0.35">
      <c r="D65" s="20">
        <f t="shared" si="0"/>
        <v>59</v>
      </c>
      <c r="E65" s="20">
        <f t="shared" si="1"/>
        <v>550</v>
      </c>
      <c r="F65" s="20">
        <f t="shared" si="2"/>
        <v>150</v>
      </c>
      <c r="G65" s="20">
        <v>0.19311738616595028</v>
      </c>
      <c r="H65" s="50"/>
      <c r="I65" s="16"/>
      <c r="J65" s="16"/>
      <c r="K65" s="16"/>
      <c r="L65" s="16"/>
      <c r="M65" s="16">
        <v>59</v>
      </c>
      <c r="N65" s="16">
        <f t="shared" si="3"/>
        <v>2.0982783357245339E-2</v>
      </c>
      <c r="O65" s="16"/>
      <c r="P65" s="16"/>
      <c r="Q65" s="16">
        <f t="shared" si="4"/>
        <v>-2.0338614500429455</v>
      </c>
    </row>
    <row r="66" spans="4:17" ht="15" thickBot="1" x14ac:dyDescent="0.35">
      <c r="D66" s="20">
        <f t="shared" si="0"/>
        <v>60</v>
      </c>
      <c r="E66" s="45">
        <f t="shared" si="1"/>
        <v>650</v>
      </c>
      <c r="F66" s="45">
        <f t="shared" si="2"/>
        <v>150</v>
      </c>
      <c r="G66" s="20">
        <v>0.19382533920557535</v>
      </c>
      <c r="H66" s="50"/>
      <c r="I66" s="16"/>
      <c r="J66" s="16"/>
      <c r="K66" s="16"/>
      <c r="L66" s="16"/>
      <c r="M66" s="16">
        <v>60</v>
      </c>
      <c r="N66" s="16">
        <f t="shared" si="3"/>
        <v>2.1341463414634148E-2</v>
      </c>
      <c r="O66" s="16"/>
      <c r="P66" s="16"/>
      <c r="Q66" s="16">
        <f t="shared" si="4"/>
        <v>-2.0267994491804071</v>
      </c>
    </row>
    <row r="67" spans="4:17" ht="15" thickBot="1" x14ac:dyDescent="0.35">
      <c r="D67" s="20">
        <f t="shared" si="0"/>
        <v>61</v>
      </c>
      <c r="E67" s="20">
        <f t="shared" si="1"/>
        <v>750</v>
      </c>
      <c r="F67" s="20">
        <f t="shared" si="2"/>
        <v>150</v>
      </c>
      <c r="G67" s="20">
        <v>0.19385470315364614</v>
      </c>
      <c r="H67" s="50"/>
      <c r="I67" s="16"/>
      <c r="J67" s="16"/>
      <c r="K67" s="16"/>
      <c r="L67" s="16"/>
      <c r="M67" s="16">
        <v>61</v>
      </c>
      <c r="N67" s="16">
        <f t="shared" si="3"/>
        <v>2.1700143472022957E-2</v>
      </c>
      <c r="O67" s="16"/>
      <c r="P67" s="16"/>
      <c r="Q67" s="16">
        <f t="shared" si="4"/>
        <v>-2.019837105058079</v>
      </c>
    </row>
    <row r="68" spans="4:17" ht="15" thickBot="1" x14ac:dyDescent="0.35">
      <c r="D68" s="20">
        <f t="shared" si="0"/>
        <v>62</v>
      </c>
      <c r="E68" s="20">
        <f t="shared" si="1"/>
        <v>850</v>
      </c>
      <c r="F68" s="20">
        <f t="shared" si="2"/>
        <v>150</v>
      </c>
      <c r="G68" s="20">
        <v>0.19390702891167802</v>
      </c>
      <c r="H68" s="50"/>
      <c r="I68" s="16"/>
      <c r="J68" s="16"/>
      <c r="K68" s="16"/>
      <c r="L68" s="16"/>
      <c r="M68" s="16">
        <v>62</v>
      </c>
      <c r="N68" s="16">
        <f t="shared" si="3"/>
        <v>2.2058823529411766E-2</v>
      </c>
      <c r="O68" s="16"/>
      <c r="P68" s="16"/>
      <c r="Q68" s="16">
        <f t="shared" si="4"/>
        <v>-2.0129713158856171</v>
      </c>
    </row>
    <row r="69" spans="4:17" ht="15" thickBot="1" x14ac:dyDescent="0.35">
      <c r="D69" s="20">
        <f t="shared" si="0"/>
        <v>63</v>
      </c>
      <c r="E69" s="20">
        <f t="shared" si="1"/>
        <v>950</v>
      </c>
      <c r="F69" s="20">
        <f t="shared" si="2"/>
        <v>150</v>
      </c>
      <c r="G69" s="20">
        <v>0.19502507347716264</v>
      </c>
      <c r="H69" s="50"/>
      <c r="I69" s="16"/>
      <c r="J69" s="16"/>
      <c r="K69" s="16"/>
      <c r="L69" s="16"/>
      <c r="M69" s="16">
        <v>63</v>
      </c>
      <c r="N69" s="16">
        <f t="shared" si="3"/>
        <v>2.2417503586800575E-2</v>
      </c>
      <c r="O69" s="16"/>
      <c r="P69" s="16"/>
      <c r="Q69" s="16">
        <f t="shared" si="4"/>
        <v>-2.0061991252567997</v>
      </c>
    </row>
    <row r="70" spans="4:17" ht="15" thickBot="1" x14ac:dyDescent="0.35">
      <c r="D70" s="20">
        <f t="shared" si="0"/>
        <v>64</v>
      </c>
      <c r="E70" s="20">
        <f t="shared" si="1"/>
        <v>1050</v>
      </c>
      <c r="F70" s="20">
        <f t="shared" si="2"/>
        <v>150</v>
      </c>
      <c r="G70" s="20">
        <v>0.19522539401788924</v>
      </c>
      <c r="H70" s="50"/>
      <c r="I70" s="16"/>
      <c r="J70" s="16"/>
      <c r="K70" s="16"/>
      <c r="L70" s="16"/>
      <c r="M70" s="16">
        <v>64</v>
      </c>
      <c r="N70" s="16">
        <f t="shared" si="3"/>
        <v>2.2776183644189384E-2</v>
      </c>
      <c r="O70" s="16"/>
      <c r="P70" s="16"/>
      <c r="Q70" s="16">
        <f t="shared" si="4"/>
        <v>-1.9995177131225776</v>
      </c>
    </row>
    <row r="71" spans="4:17" ht="15" thickBot="1" x14ac:dyDescent="0.35">
      <c r="D71" s="20">
        <f t="shared" ref="D71:D134" si="5">ROW()-6</f>
        <v>65</v>
      </c>
      <c r="E71" s="20">
        <f t="shared" ref="E71:E134" si="6">(MOD(D71-1,53)*100)+50</f>
        <v>1150</v>
      </c>
      <c r="F71" s="20">
        <f t="shared" ref="F71:F134" si="7">FLOOR((D71-1)/53,1)*100+50</f>
        <v>150</v>
      </c>
      <c r="G71" s="20">
        <v>0.19529688431158737</v>
      </c>
      <c r="H71" s="50"/>
      <c r="I71" s="16"/>
      <c r="J71" s="16"/>
      <c r="K71" s="16"/>
      <c r="L71" s="16"/>
      <c r="M71" s="16">
        <v>65</v>
      </c>
      <c r="N71" s="16">
        <f t="shared" si="3"/>
        <v>2.3134863701578193E-2</v>
      </c>
      <c r="O71" s="16"/>
      <c r="P71" s="16"/>
      <c r="Q71" s="16">
        <f t="shared" si="4"/>
        <v>-1.9929243874574782</v>
      </c>
    </row>
    <row r="72" spans="4:17" ht="15" thickBot="1" x14ac:dyDescent="0.35">
      <c r="D72" s="20">
        <f t="shared" si="5"/>
        <v>66</v>
      </c>
      <c r="E72" s="20">
        <f t="shared" si="6"/>
        <v>1250</v>
      </c>
      <c r="F72" s="20">
        <f t="shared" si="7"/>
        <v>150</v>
      </c>
      <c r="G72" s="20">
        <v>0.19589970457971506</v>
      </c>
      <c r="H72" s="50"/>
      <c r="I72" s="16"/>
      <c r="J72" s="16"/>
      <c r="K72" s="16"/>
      <c r="L72" s="16"/>
      <c r="M72" s="16">
        <v>66</v>
      </c>
      <c r="N72" s="16">
        <f t="shared" ref="N72:N135" si="8">(M72-0.5)/$L$7</f>
        <v>2.3493543758967003E-2</v>
      </c>
      <c r="O72" s="16"/>
      <c r="P72" s="16"/>
      <c r="Q72" s="16">
        <f t="shared" ref="Q72:Q135" si="9">_xlfn.NORM.S.INV(N72)</f>
        <v>-1.9864165765562165</v>
      </c>
    </row>
    <row r="73" spans="4:17" ht="15" thickBot="1" x14ac:dyDescent="0.35">
      <c r="D73" s="20">
        <f t="shared" si="5"/>
        <v>67</v>
      </c>
      <c r="E73" s="20">
        <f t="shared" si="6"/>
        <v>1350</v>
      </c>
      <c r="F73" s="20">
        <f t="shared" si="7"/>
        <v>150</v>
      </c>
      <c r="G73" s="20">
        <v>0.19651643446712808</v>
      </c>
      <c r="H73" s="50"/>
      <c r="I73" s="16"/>
      <c r="J73" s="16"/>
      <c r="K73" s="16"/>
      <c r="L73" s="16"/>
      <c r="M73" s="16">
        <v>67</v>
      </c>
      <c r="N73" s="16">
        <f t="shared" si="8"/>
        <v>2.3852223816355812E-2</v>
      </c>
      <c r="O73" s="16"/>
      <c r="P73" s="16"/>
      <c r="Q73" s="16">
        <f t="shared" si="9"/>
        <v>-1.9799918219040145</v>
      </c>
    </row>
    <row r="74" spans="4:17" ht="15" thickBot="1" x14ac:dyDescent="0.35">
      <c r="D74" s="20">
        <f t="shared" si="5"/>
        <v>68</v>
      </c>
      <c r="E74" s="20">
        <f t="shared" si="6"/>
        <v>1450</v>
      </c>
      <c r="F74" s="20">
        <f t="shared" si="7"/>
        <v>150</v>
      </c>
      <c r="G74" s="20">
        <v>0.19660426203995435</v>
      </c>
      <c r="H74" s="50"/>
      <c r="I74" s="16"/>
      <c r="J74" s="16"/>
      <c r="K74" s="16"/>
      <c r="L74" s="16"/>
      <c r="M74" s="16">
        <v>68</v>
      </c>
      <c r="N74" s="16">
        <f t="shared" si="8"/>
        <v>2.4210903873744621E-2</v>
      </c>
      <c r="O74" s="16"/>
      <c r="P74" s="16"/>
      <c r="Q74" s="16">
        <f t="shared" si="9"/>
        <v>-1.973647771569937</v>
      </c>
    </row>
    <row r="75" spans="4:17" ht="15" thickBot="1" x14ac:dyDescent="0.35">
      <c r="D75" s="20">
        <f t="shared" si="5"/>
        <v>69</v>
      </c>
      <c r="E75" s="20">
        <f t="shared" si="6"/>
        <v>1550</v>
      </c>
      <c r="F75" s="20">
        <f t="shared" si="7"/>
        <v>150</v>
      </c>
      <c r="G75" s="20">
        <v>0.19716649511152473</v>
      </c>
      <c r="H75" s="50"/>
      <c r="I75" s="16"/>
      <c r="J75" s="16"/>
      <c r="K75" s="16"/>
      <c r="L75" s="16"/>
      <c r="M75" s="16">
        <v>69</v>
      </c>
      <c r="N75" s="16">
        <f t="shared" si="8"/>
        <v>2.456958393113343E-2</v>
      </c>
      <c r="O75" s="16"/>
      <c r="P75" s="16"/>
      <c r="Q75" s="16">
        <f t="shared" si="9"/>
        <v>-1.9673821740777291</v>
      </c>
    </row>
    <row r="76" spans="4:17" ht="15" thickBot="1" x14ac:dyDescent="0.35">
      <c r="D76" s="20">
        <f t="shared" si="5"/>
        <v>70</v>
      </c>
      <c r="E76" s="20">
        <f t="shared" si="6"/>
        <v>1650</v>
      </c>
      <c r="F76" s="20">
        <f t="shared" si="7"/>
        <v>150</v>
      </c>
      <c r="G76" s="20">
        <v>0.19765733082982642</v>
      </c>
      <c r="H76" s="50"/>
      <c r="I76" s="16"/>
      <c r="J76" s="16"/>
      <c r="K76" s="16"/>
      <c r="L76" s="16"/>
      <c r="M76" s="16">
        <v>70</v>
      </c>
      <c r="N76" s="16">
        <f t="shared" si="8"/>
        <v>2.4928263988522239E-2</v>
      </c>
      <c r="O76" s="16"/>
      <c r="P76" s="16"/>
      <c r="Q76" s="16">
        <f t="shared" si="9"/>
        <v>-1.9611928727131964</v>
      </c>
    </row>
    <row r="77" spans="4:17" ht="15" thickBot="1" x14ac:dyDescent="0.35">
      <c r="D77" s="20">
        <f t="shared" si="5"/>
        <v>71</v>
      </c>
      <c r="E77" s="20">
        <f t="shared" si="6"/>
        <v>1750</v>
      </c>
      <c r="F77" s="20">
        <f t="shared" si="7"/>
        <v>150</v>
      </c>
      <c r="G77" s="20">
        <v>0.19840915984168614</v>
      </c>
      <c r="H77" s="50"/>
      <c r="I77" s="16"/>
      <c r="J77" s="16"/>
      <c r="K77" s="16"/>
      <c r="L77" s="16"/>
      <c r="M77" s="16">
        <v>71</v>
      </c>
      <c r="N77" s="16">
        <f t="shared" si="8"/>
        <v>2.5286944045911048E-2</v>
      </c>
      <c r="O77" s="16"/>
      <c r="P77" s="16"/>
      <c r="Q77" s="16">
        <f t="shared" si="9"/>
        <v>-1.9550778002312317</v>
      </c>
    </row>
    <row r="78" spans="4:17" ht="15" thickBot="1" x14ac:dyDescent="0.35">
      <c r="D78" s="20">
        <f t="shared" si="5"/>
        <v>72</v>
      </c>
      <c r="E78" s="20">
        <f t="shared" si="6"/>
        <v>1850</v>
      </c>
      <c r="F78" s="20">
        <f t="shared" si="7"/>
        <v>150</v>
      </c>
      <c r="G78" s="20">
        <v>0.19866562927832682</v>
      </c>
      <c r="H78" s="50"/>
      <c r="I78" s="16"/>
      <c r="J78" s="16"/>
      <c r="K78" s="16"/>
      <c r="L78" s="16"/>
      <c r="M78" s="16">
        <v>72</v>
      </c>
      <c r="N78" s="16">
        <f t="shared" si="8"/>
        <v>2.5645624103299857E-2</v>
      </c>
      <c r="O78" s="16"/>
      <c r="P78" s="16"/>
      <c r="Q78" s="16">
        <f t="shared" si="9"/>
        <v>-1.9490349739291684</v>
      </c>
    </row>
    <row r="79" spans="4:17" ht="15" thickBot="1" x14ac:dyDescent="0.35">
      <c r="D79" s="20">
        <f t="shared" si="5"/>
        <v>73</v>
      </c>
      <c r="E79" s="20">
        <f t="shared" si="6"/>
        <v>1950</v>
      </c>
      <c r="F79" s="20">
        <f t="shared" si="7"/>
        <v>150</v>
      </c>
      <c r="G79" s="20">
        <v>0.19930426014935185</v>
      </c>
      <c r="H79" s="50"/>
      <c r="I79" s="16"/>
      <c r="J79" s="16"/>
      <c r="K79" s="16"/>
      <c r="L79" s="16"/>
      <c r="M79" s="16">
        <v>73</v>
      </c>
      <c r="N79" s="16">
        <f t="shared" si="8"/>
        <v>2.6004304160688666E-2</v>
      </c>
      <c r="O79" s="16"/>
      <c r="P79" s="16"/>
      <c r="Q79" s="16">
        <f t="shared" si="9"/>
        <v>-1.9430624910563674</v>
      </c>
    </row>
    <row r="80" spans="4:17" ht="15" thickBot="1" x14ac:dyDescent="0.35">
      <c r="D80" s="20">
        <f t="shared" si="5"/>
        <v>74</v>
      </c>
      <c r="E80" s="20">
        <f t="shared" si="6"/>
        <v>2050</v>
      </c>
      <c r="F80" s="20">
        <f t="shared" si="7"/>
        <v>150</v>
      </c>
      <c r="G80" s="20">
        <v>0.19964729124876207</v>
      </c>
      <c r="H80" s="50"/>
      <c r="I80" s="16"/>
      <c r="J80" s="16"/>
      <c r="K80" s="16"/>
      <c r="L80" s="16"/>
      <c r="M80" s="16">
        <v>74</v>
      </c>
      <c r="N80" s="16">
        <f t="shared" si="8"/>
        <v>2.6362984218077475E-2</v>
      </c>
      <c r="O80" s="16"/>
      <c r="P80" s="16"/>
      <c r="Q80" s="16">
        <f t="shared" si="9"/>
        <v>-1.93715852453277</v>
      </c>
    </row>
    <row r="81" spans="4:17" ht="15" thickBot="1" x14ac:dyDescent="0.35">
      <c r="D81" s="20">
        <f t="shared" si="5"/>
        <v>75</v>
      </c>
      <c r="E81" s="20">
        <f t="shared" si="6"/>
        <v>2150</v>
      </c>
      <c r="F81" s="20">
        <f t="shared" si="7"/>
        <v>150</v>
      </c>
      <c r="G81" s="20">
        <v>0.20033280224819472</v>
      </c>
      <c r="H81" s="50"/>
      <c r="I81" s="16"/>
      <c r="J81" s="16"/>
      <c r="K81" s="16"/>
      <c r="L81" s="16"/>
      <c r="M81" s="16">
        <v>75</v>
      </c>
      <c r="N81" s="16">
        <f t="shared" si="8"/>
        <v>2.6721664275466284E-2</v>
      </c>
      <c r="O81" s="16"/>
      <c r="P81" s="16"/>
      <c r="Q81" s="16">
        <f t="shared" si="9"/>
        <v>-1.931321318951726</v>
      </c>
    </row>
    <row r="82" spans="4:17" ht="15" thickBot="1" x14ac:dyDescent="0.35">
      <c r="D82" s="20">
        <f t="shared" si="5"/>
        <v>76</v>
      </c>
      <c r="E82" s="20">
        <f t="shared" si="6"/>
        <v>2250</v>
      </c>
      <c r="F82" s="20">
        <f t="shared" si="7"/>
        <v>150</v>
      </c>
      <c r="G82" s="20">
        <v>0.20089807536266199</v>
      </c>
      <c r="H82" s="50"/>
      <c r="I82" s="16"/>
      <c r="J82" s="16"/>
      <c r="K82" s="16"/>
      <c r="L82" s="16"/>
      <c r="M82" s="16">
        <v>76</v>
      </c>
      <c r="N82" s="16">
        <f t="shared" si="8"/>
        <v>2.7080344332855093E-2</v>
      </c>
      <c r="O82" s="16"/>
      <c r="P82" s="16"/>
      <c r="Q82" s="16">
        <f t="shared" si="9"/>
        <v>-1.9255491868446601</v>
      </c>
    </row>
    <row r="83" spans="4:17" ht="15" thickBot="1" x14ac:dyDescent="0.35">
      <c r="D83" s="20">
        <f t="shared" si="5"/>
        <v>77</v>
      </c>
      <c r="E83" s="20">
        <f t="shared" si="6"/>
        <v>2350</v>
      </c>
      <c r="F83" s="20">
        <f t="shared" si="7"/>
        <v>150</v>
      </c>
      <c r="G83" s="20">
        <v>0.20096122447198003</v>
      </c>
      <c r="H83" s="50"/>
      <c r="I83" s="16"/>
      <c r="J83" s="16"/>
      <c r="K83" s="16"/>
      <c r="L83" s="16"/>
      <c r="M83" s="16">
        <v>77</v>
      </c>
      <c r="N83" s="16">
        <f t="shared" si="8"/>
        <v>2.7439024390243903E-2</v>
      </c>
      <c r="O83" s="16"/>
      <c r="P83" s="16"/>
      <c r="Q83" s="16">
        <f t="shared" si="9"/>
        <v>-1.9198405051872076</v>
      </c>
    </row>
    <row r="84" spans="4:17" ht="15" thickBot="1" x14ac:dyDescent="0.35">
      <c r="D84" s="20">
        <f t="shared" si="5"/>
        <v>78</v>
      </c>
      <c r="E84" s="20">
        <f t="shared" si="6"/>
        <v>2450</v>
      </c>
      <c r="F84" s="20">
        <f t="shared" si="7"/>
        <v>150</v>
      </c>
      <c r="G84" s="20">
        <v>0.20098156060200573</v>
      </c>
      <c r="H84" s="50"/>
      <c r="I84" s="16"/>
      <c r="J84" s="16"/>
      <c r="K84" s="16"/>
      <c r="L84" s="16"/>
      <c r="M84" s="16">
        <v>78</v>
      </c>
      <c r="N84" s="16">
        <f t="shared" si="8"/>
        <v>2.7797704447632712E-2</v>
      </c>
      <c r="O84" s="16"/>
      <c r="P84" s="16"/>
      <c r="Q84" s="16">
        <f t="shared" si="9"/>
        <v>-1.9141937121282466</v>
      </c>
    </row>
    <row r="85" spans="4:17" ht="15" thickBot="1" x14ac:dyDescent="0.35">
      <c r="D85" s="20">
        <f t="shared" si="5"/>
        <v>79</v>
      </c>
      <c r="E85" s="20">
        <f t="shared" si="6"/>
        <v>2550</v>
      </c>
      <c r="F85" s="20">
        <f t="shared" si="7"/>
        <v>150</v>
      </c>
      <c r="G85" s="20">
        <v>0.20112831225905195</v>
      </c>
      <c r="H85" s="50"/>
      <c r="I85" s="16"/>
      <c r="J85" s="16"/>
      <c r="K85" s="16"/>
      <c r="L85" s="16"/>
      <c r="M85" s="16">
        <v>79</v>
      </c>
      <c r="N85" s="16">
        <f t="shared" si="8"/>
        <v>2.8156384505021521E-2</v>
      </c>
      <c r="O85" s="16"/>
      <c r="P85" s="16"/>
      <c r="Q85" s="16">
        <f t="shared" si="9"/>
        <v>-1.9086073039249447</v>
      </c>
    </row>
    <row r="86" spans="4:17" ht="15" thickBot="1" x14ac:dyDescent="0.35">
      <c r="D86" s="20">
        <f t="shared" si="5"/>
        <v>80</v>
      </c>
      <c r="E86" s="20">
        <f t="shared" si="6"/>
        <v>2650</v>
      </c>
      <c r="F86" s="20">
        <f t="shared" si="7"/>
        <v>150</v>
      </c>
      <c r="G86" s="20">
        <v>0.20176205424786456</v>
      </c>
      <c r="H86" s="50"/>
      <c r="I86" s="16"/>
      <c r="J86" s="16"/>
      <c r="K86" s="16"/>
      <c r="L86" s="16"/>
      <c r="M86" s="16">
        <v>80</v>
      </c>
      <c r="N86" s="16">
        <f t="shared" si="8"/>
        <v>2.851506456241033E-2</v>
      </c>
      <c r="O86" s="16"/>
      <c r="P86" s="16"/>
      <c r="Q86" s="16">
        <f t="shared" si="9"/>
        <v>-1.9030798320683735</v>
      </c>
    </row>
    <row r="87" spans="4:17" ht="15" thickBot="1" x14ac:dyDescent="0.35">
      <c r="D87" s="20">
        <f t="shared" si="5"/>
        <v>81</v>
      </c>
      <c r="E87" s="20">
        <f t="shared" si="6"/>
        <v>2750</v>
      </c>
      <c r="F87" s="20">
        <f t="shared" si="7"/>
        <v>150</v>
      </c>
      <c r="G87" s="20">
        <v>0.20245172163984332</v>
      </c>
      <c r="H87" s="50"/>
      <c r="I87" s="16"/>
      <c r="J87" s="16"/>
      <c r="K87" s="16"/>
      <c r="L87" s="16"/>
      <c r="M87" s="16">
        <v>81</v>
      </c>
      <c r="N87" s="16">
        <f t="shared" si="8"/>
        <v>2.8873744619799139E-2</v>
      </c>
      <c r="O87" s="16"/>
      <c r="P87" s="16"/>
      <c r="Q87" s="16">
        <f t="shared" si="9"/>
        <v>-1.8976099005856137</v>
      </c>
    </row>
    <row r="88" spans="4:17" ht="15" thickBot="1" x14ac:dyDescent="0.35">
      <c r="D88" s="20">
        <f t="shared" si="5"/>
        <v>82</v>
      </c>
      <c r="E88" s="20">
        <f t="shared" si="6"/>
        <v>2850</v>
      </c>
      <c r="F88" s="20">
        <f t="shared" si="7"/>
        <v>150</v>
      </c>
      <c r="G88" s="20">
        <v>0.20272188264602814</v>
      </c>
      <c r="H88" s="50"/>
      <c r="I88" s="16"/>
      <c r="J88" s="16"/>
      <c r="K88" s="16"/>
      <c r="L88" s="16"/>
      <c r="M88" s="16">
        <v>82</v>
      </c>
      <c r="N88" s="16">
        <f t="shared" si="8"/>
        <v>2.9232424677187948E-2</v>
      </c>
      <c r="O88" s="16"/>
      <c r="P88" s="16"/>
      <c r="Q88" s="16">
        <f t="shared" si="9"/>
        <v>-1.8921961635054536</v>
      </c>
    </row>
    <row r="89" spans="4:17" ht="15" thickBot="1" x14ac:dyDescent="0.35">
      <c r="D89" s="20">
        <f t="shared" si="5"/>
        <v>83</v>
      </c>
      <c r="E89" s="20">
        <f t="shared" si="6"/>
        <v>2950</v>
      </c>
      <c r="F89" s="20">
        <f t="shared" si="7"/>
        <v>150</v>
      </c>
      <c r="G89" s="20">
        <v>0.20379350692366741</v>
      </c>
      <c r="H89" s="50"/>
      <c r="I89" s="16"/>
      <c r="J89" s="16"/>
      <c r="K89" s="16"/>
      <c r="L89" s="16"/>
      <c r="M89" s="16">
        <v>83</v>
      </c>
      <c r="N89" s="16">
        <f t="shared" si="8"/>
        <v>2.9591104734576757E-2</v>
      </c>
      <c r="O89" s="16"/>
      <c r="P89" s="16"/>
      <c r="Q89" s="16">
        <f t="shared" si="9"/>
        <v>-1.8868373224758819</v>
      </c>
    </row>
    <row r="90" spans="4:17" ht="15" thickBot="1" x14ac:dyDescent="0.35">
      <c r="D90" s="20">
        <f t="shared" si="5"/>
        <v>84</v>
      </c>
      <c r="E90" s="20">
        <f t="shared" si="6"/>
        <v>3050</v>
      </c>
      <c r="F90" s="20">
        <f t="shared" si="7"/>
        <v>150</v>
      </c>
      <c r="G90" s="20">
        <v>0.2041816440249167</v>
      </c>
      <c r="H90" s="50"/>
      <c r="I90" s="16"/>
      <c r="J90" s="16"/>
      <c r="K90" s="16"/>
      <c r="L90" s="16"/>
      <c r="M90" s="16">
        <v>84</v>
      </c>
      <c r="N90" s="16">
        <f t="shared" si="8"/>
        <v>2.9949784791965566E-2</v>
      </c>
      <c r="O90" s="16"/>
      <c r="P90" s="16"/>
      <c r="Q90" s="16">
        <f t="shared" si="9"/>
        <v>-1.8815321245225682</v>
      </c>
    </row>
    <row r="91" spans="4:17" ht="15" thickBot="1" x14ac:dyDescent="0.35">
      <c r="D91" s="20">
        <f t="shared" si="5"/>
        <v>85</v>
      </c>
      <c r="E91" s="20">
        <f t="shared" si="6"/>
        <v>3150</v>
      </c>
      <c r="F91" s="20">
        <f t="shared" si="7"/>
        <v>150</v>
      </c>
      <c r="G91" s="20">
        <v>0.20476728550487383</v>
      </c>
      <c r="H91" s="50"/>
      <c r="I91" s="16"/>
      <c r="J91" s="16"/>
      <c r="K91" s="16"/>
      <c r="L91" s="16"/>
      <c r="M91" s="16">
        <v>85</v>
      </c>
      <c r="N91" s="16">
        <f t="shared" si="8"/>
        <v>3.0308464849354375E-2</v>
      </c>
      <c r="O91" s="16"/>
      <c r="P91" s="16"/>
      <c r="Q91" s="16">
        <f t="shared" si="9"/>
        <v>-1.8762793599383834</v>
      </c>
    </row>
    <row r="92" spans="4:17" ht="15" thickBot="1" x14ac:dyDescent="0.35">
      <c r="D92" s="20">
        <f t="shared" si="5"/>
        <v>86</v>
      </c>
      <c r="E92" s="20">
        <f t="shared" si="6"/>
        <v>3250</v>
      </c>
      <c r="F92" s="20">
        <f t="shared" si="7"/>
        <v>150</v>
      </c>
      <c r="G92" s="20">
        <v>0.20683717446805353</v>
      </c>
      <c r="H92" s="50"/>
      <c r="I92" s="16"/>
      <c r="J92" s="16"/>
      <c r="K92" s="16"/>
      <c r="L92" s="16"/>
      <c r="M92" s="16">
        <v>86</v>
      </c>
      <c r="N92" s="16">
        <f t="shared" si="8"/>
        <v>3.0667144906743184E-2</v>
      </c>
      <c r="O92" s="16"/>
      <c r="P92" s="16"/>
      <c r="Q92" s="16">
        <f t="shared" si="9"/>
        <v>-1.8710778602948619</v>
      </c>
    </row>
    <row r="93" spans="4:17" ht="15" thickBot="1" x14ac:dyDescent="0.35">
      <c r="D93" s="20">
        <f t="shared" si="5"/>
        <v>87</v>
      </c>
      <c r="E93" s="20">
        <f t="shared" si="6"/>
        <v>3350</v>
      </c>
      <c r="F93" s="20">
        <f t="shared" si="7"/>
        <v>150</v>
      </c>
      <c r="G93" s="20">
        <v>0.20688740212181014</v>
      </c>
      <c r="H93" s="50"/>
      <c r="I93" s="16"/>
      <c r="J93" s="16"/>
      <c r="K93" s="16"/>
      <c r="L93" s="16"/>
      <c r="M93" s="16">
        <v>87</v>
      </c>
      <c r="N93" s="16">
        <f t="shared" si="8"/>
        <v>3.1025824964131993E-2</v>
      </c>
      <c r="O93" s="16"/>
      <c r="P93" s="16"/>
      <c r="Q93" s="16">
        <f t="shared" si="9"/>
        <v>-1.8659264965672064</v>
      </c>
    </row>
    <row r="94" spans="4:17" ht="15" thickBot="1" x14ac:dyDescent="0.35">
      <c r="D94" s="20">
        <f t="shared" si="5"/>
        <v>88</v>
      </c>
      <c r="E94" s="20">
        <f t="shared" si="6"/>
        <v>3450</v>
      </c>
      <c r="F94" s="20">
        <f t="shared" si="7"/>
        <v>150</v>
      </c>
      <c r="G94" s="20">
        <v>0.20745371195932943</v>
      </c>
      <c r="H94" s="50"/>
      <c r="I94" s="16"/>
      <c r="J94" s="16"/>
      <c r="K94" s="16"/>
      <c r="L94" s="16"/>
      <c r="M94" s="16">
        <v>88</v>
      </c>
      <c r="N94" s="16">
        <f t="shared" si="8"/>
        <v>3.1384505021520806E-2</v>
      </c>
      <c r="O94" s="16"/>
      <c r="P94" s="16"/>
      <c r="Q94" s="16">
        <f t="shared" si="9"/>
        <v>-1.8608241773651306</v>
      </c>
    </row>
    <row r="95" spans="4:17" ht="15" thickBot="1" x14ac:dyDescent="0.35">
      <c r="D95" s="20">
        <f t="shared" si="5"/>
        <v>89</v>
      </c>
      <c r="E95" s="20">
        <f t="shared" si="6"/>
        <v>3550</v>
      </c>
      <c r="F95" s="20">
        <f t="shared" si="7"/>
        <v>150</v>
      </c>
      <c r="G95" s="20">
        <v>0.20754153819525373</v>
      </c>
      <c r="H95" s="50"/>
      <c r="I95" s="16"/>
      <c r="J95" s="16"/>
      <c r="K95" s="16"/>
      <c r="L95" s="16"/>
      <c r="M95" s="16">
        <v>89</v>
      </c>
      <c r="N95" s="16">
        <f t="shared" si="8"/>
        <v>3.1743185078909615E-2</v>
      </c>
      <c r="O95" s="16"/>
      <c r="P95" s="16"/>
      <c r="Q95" s="16">
        <f t="shared" si="9"/>
        <v>-1.8557698472624082</v>
      </c>
    </row>
    <row r="96" spans="4:17" ht="15" thickBot="1" x14ac:dyDescent="0.35">
      <c r="D96" s="20">
        <f t="shared" si="5"/>
        <v>90</v>
      </c>
      <c r="E96" s="20">
        <f t="shared" si="6"/>
        <v>3650</v>
      </c>
      <c r="F96" s="20">
        <f t="shared" si="7"/>
        <v>150</v>
      </c>
      <c r="G96" s="20">
        <v>0.2078546479875116</v>
      </c>
      <c r="H96" s="50"/>
      <c r="I96" s="16"/>
      <c r="J96" s="16"/>
      <c r="K96" s="16"/>
      <c r="L96" s="16"/>
      <c r="M96" s="16">
        <v>90</v>
      </c>
      <c r="N96" s="16">
        <f t="shared" si="8"/>
        <v>3.2101865136298424E-2</v>
      </c>
      <c r="O96" s="16"/>
      <c r="P96" s="16"/>
      <c r="Q96" s="16">
        <f t="shared" si="9"/>
        <v>-1.8507624852185902</v>
      </c>
    </row>
    <row r="97" spans="4:17" ht="15" thickBot="1" x14ac:dyDescent="0.35">
      <c r="D97" s="20">
        <f t="shared" si="5"/>
        <v>91</v>
      </c>
      <c r="E97" s="20">
        <f t="shared" si="6"/>
        <v>3750</v>
      </c>
      <c r="F97" s="20">
        <f t="shared" si="7"/>
        <v>150</v>
      </c>
      <c r="G97" s="20">
        <v>0.20838720843375041</v>
      </c>
      <c r="H97" s="50"/>
      <c r="I97" s="16"/>
      <c r="J97" s="16"/>
      <c r="K97" s="16"/>
      <c r="L97" s="16"/>
      <c r="M97" s="16">
        <v>91</v>
      </c>
      <c r="N97" s="16">
        <f t="shared" si="8"/>
        <v>3.2460545193687233E-2</v>
      </c>
      <c r="O97" s="16"/>
      <c r="P97" s="16"/>
      <c r="Q97" s="16">
        <f t="shared" si="9"/>
        <v>-1.8458011030868184</v>
      </c>
    </row>
    <row r="98" spans="4:17" ht="15" thickBot="1" x14ac:dyDescent="0.35">
      <c r="D98" s="20">
        <f t="shared" si="5"/>
        <v>92</v>
      </c>
      <c r="E98" s="20">
        <f t="shared" si="6"/>
        <v>3850</v>
      </c>
      <c r="F98" s="20">
        <f t="shared" si="7"/>
        <v>150</v>
      </c>
      <c r="G98" s="20">
        <v>0.20881247577524484</v>
      </c>
      <c r="H98" s="50"/>
      <c r="I98" s="16"/>
      <c r="J98" s="16"/>
      <c r="K98" s="16"/>
      <c r="L98" s="16"/>
      <c r="M98" s="16">
        <v>92</v>
      </c>
      <c r="N98" s="16">
        <f t="shared" si="8"/>
        <v>3.2819225251076042E-2</v>
      </c>
      <c r="O98" s="16"/>
      <c r="P98" s="16"/>
      <c r="Q98" s="16">
        <f t="shared" si="9"/>
        <v>-1.8408847442021523</v>
      </c>
    </row>
    <row r="99" spans="4:17" ht="15" thickBot="1" x14ac:dyDescent="0.35">
      <c r="D99" s="20">
        <f t="shared" si="5"/>
        <v>93</v>
      </c>
      <c r="E99" s="20">
        <f t="shared" si="6"/>
        <v>3950</v>
      </c>
      <c r="F99" s="20">
        <f t="shared" si="7"/>
        <v>150</v>
      </c>
      <c r="G99" s="20">
        <v>0.20895765469999011</v>
      </c>
      <c r="H99" s="50"/>
      <c r="I99" s="16"/>
      <c r="J99" s="16"/>
      <c r="K99" s="16"/>
      <c r="L99" s="16"/>
      <c r="M99" s="16">
        <v>93</v>
      </c>
      <c r="N99" s="16">
        <f t="shared" si="8"/>
        <v>3.3177905308464851E-2</v>
      </c>
      <c r="O99" s="16"/>
      <c r="P99" s="16"/>
      <c r="Q99" s="16">
        <f t="shared" si="9"/>
        <v>-1.8360124820452244</v>
      </c>
    </row>
    <row r="100" spans="4:17" ht="15" thickBot="1" x14ac:dyDescent="0.35">
      <c r="D100" s="20">
        <f t="shared" si="5"/>
        <v>94</v>
      </c>
      <c r="E100" s="20">
        <f t="shared" si="6"/>
        <v>4050</v>
      </c>
      <c r="F100" s="20">
        <f t="shared" si="7"/>
        <v>150</v>
      </c>
      <c r="G100" s="20">
        <v>0.208999548963474</v>
      </c>
      <c r="H100" s="50"/>
      <c r="I100" s="16"/>
      <c r="J100" s="16"/>
      <c r="K100" s="16"/>
      <c r="L100" s="16"/>
      <c r="M100" s="16">
        <v>94</v>
      </c>
      <c r="N100" s="16">
        <f t="shared" si="8"/>
        <v>3.3536585365853661E-2</v>
      </c>
      <c r="O100" s="16"/>
      <c r="P100" s="16"/>
      <c r="Q100" s="16">
        <f t="shared" si="9"/>
        <v>-1.8311834189764449</v>
      </c>
    </row>
    <row r="101" spans="4:17" ht="15" thickBot="1" x14ac:dyDescent="0.35">
      <c r="D101" s="20">
        <f t="shared" si="5"/>
        <v>95</v>
      </c>
      <c r="E101" s="20">
        <f t="shared" si="6"/>
        <v>4150</v>
      </c>
      <c r="F101" s="20">
        <f t="shared" si="7"/>
        <v>150</v>
      </c>
      <c r="G101" s="20">
        <v>0.20939397021043538</v>
      </c>
      <c r="H101" s="50"/>
      <c r="I101" s="16"/>
      <c r="J101" s="16"/>
      <c r="K101" s="16"/>
      <c r="L101" s="16"/>
      <c r="M101" s="16">
        <v>95</v>
      </c>
      <c r="N101" s="16">
        <f t="shared" si="8"/>
        <v>3.389526542324247E-2</v>
      </c>
      <c r="O101" s="16"/>
      <c r="P101" s="16"/>
      <c r="Q101" s="16">
        <f t="shared" si="9"/>
        <v>-1.8263966850363114</v>
      </c>
    </row>
    <row r="102" spans="4:17" ht="15" thickBot="1" x14ac:dyDescent="0.35">
      <c r="D102" s="20">
        <f t="shared" si="5"/>
        <v>96</v>
      </c>
      <c r="E102" s="20">
        <f t="shared" si="6"/>
        <v>4250</v>
      </c>
      <c r="F102" s="20">
        <f t="shared" si="7"/>
        <v>150</v>
      </c>
      <c r="G102" s="20">
        <v>0.20943330569272753</v>
      </c>
      <c r="H102" s="50"/>
      <c r="I102" s="16"/>
      <c r="J102" s="16"/>
      <c r="K102" s="16"/>
      <c r="L102" s="16"/>
      <c r="M102" s="16">
        <v>96</v>
      </c>
      <c r="N102" s="16">
        <f t="shared" si="8"/>
        <v>3.4253945480631279E-2</v>
      </c>
      <c r="O102" s="16"/>
      <c r="P102" s="16"/>
      <c r="Q102" s="16">
        <f t="shared" si="9"/>
        <v>-1.8216514368077079</v>
      </c>
    </row>
    <row r="103" spans="4:17" ht="15" thickBot="1" x14ac:dyDescent="0.35">
      <c r="D103" s="20">
        <f t="shared" si="5"/>
        <v>97</v>
      </c>
      <c r="E103" s="20">
        <f t="shared" si="6"/>
        <v>4350</v>
      </c>
      <c r="F103" s="20">
        <f t="shared" si="7"/>
        <v>150</v>
      </c>
      <c r="G103" s="20">
        <v>0.20964405200083069</v>
      </c>
      <c r="H103" s="50"/>
      <c r="I103" s="16"/>
      <c r="J103" s="16"/>
      <c r="K103" s="16"/>
      <c r="L103" s="16"/>
      <c r="M103" s="16">
        <v>97</v>
      </c>
      <c r="N103" s="16">
        <f t="shared" si="8"/>
        <v>3.4612625538020088E-2</v>
      </c>
      <c r="O103" s="16"/>
      <c r="P103" s="16"/>
      <c r="Q103" s="16">
        <f t="shared" si="9"/>
        <v>-1.8169468563363842</v>
      </c>
    </row>
    <row r="104" spans="4:17" ht="15" thickBot="1" x14ac:dyDescent="0.35">
      <c r="D104" s="20">
        <f t="shared" si="5"/>
        <v>98</v>
      </c>
      <c r="E104" s="20">
        <f t="shared" si="6"/>
        <v>4450</v>
      </c>
      <c r="F104" s="20">
        <f t="shared" si="7"/>
        <v>150</v>
      </c>
      <c r="G104" s="20">
        <v>0.20967662695270747</v>
      </c>
      <c r="H104" s="50"/>
      <c r="I104" s="16"/>
      <c r="J104" s="16"/>
      <c r="K104" s="16"/>
      <c r="L104" s="16"/>
      <c r="M104" s="16">
        <v>98</v>
      </c>
      <c r="N104" s="16">
        <f t="shared" si="8"/>
        <v>3.4971305595408897E-2</v>
      </c>
      <c r="O104" s="16"/>
      <c r="P104" s="16"/>
      <c r="Q104" s="16">
        <f t="shared" si="9"/>
        <v>-1.8122821501060613</v>
      </c>
    </row>
    <row r="105" spans="4:17" ht="15" thickBot="1" x14ac:dyDescent="0.35">
      <c r="D105" s="20">
        <f t="shared" si="5"/>
        <v>99</v>
      </c>
      <c r="E105" s="20">
        <f t="shared" si="6"/>
        <v>4550</v>
      </c>
      <c r="F105" s="20">
        <f t="shared" si="7"/>
        <v>150</v>
      </c>
      <c r="G105" s="20">
        <v>0.21032122220289337</v>
      </c>
      <c r="H105" s="50"/>
      <c r="I105" s="16"/>
      <c r="J105" s="16"/>
      <c r="K105" s="16"/>
      <c r="L105" s="16"/>
      <c r="M105" s="16">
        <v>99</v>
      </c>
      <c r="N105" s="16">
        <f t="shared" si="8"/>
        <v>3.5329985652797706E-2</v>
      </c>
      <c r="O105" s="16"/>
      <c r="P105" s="16"/>
      <c r="Q105" s="16">
        <f t="shared" si="9"/>
        <v>-1.8076565480648685</v>
      </c>
    </row>
    <row r="106" spans="4:17" ht="15" thickBot="1" x14ac:dyDescent="0.35">
      <c r="D106" s="20">
        <f t="shared" si="5"/>
        <v>100</v>
      </c>
      <c r="E106" s="20">
        <f t="shared" si="6"/>
        <v>4650</v>
      </c>
      <c r="F106" s="20">
        <f t="shared" si="7"/>
        <v>150</v>
      </c>
      <c r="G106" s="20">
        <v>0.21111069157877727</v>
      </c>
      <c r="H106" s="50"/>
      <c r="I106" s="16"/>
      <c r="J106" s="16"/>
      <c r="K106" s="16"/>
      <c r="L106" s="16"/>
      <c r="M106" s="16">
        <v>100</v>
      </c>
      <c r="N106" s="16">
        <f t="shared" si="8"/>
        <v>3.5688665710186515E-2</v>
      </c>
      <c r="O106" s="16"/>
      <c r="P106" s="16"/>
      <c r="Q106" s="16">
        <f t="shared" si="9"/>
        <v>-1.8030693027000519</v>
      </c>
    </row>
    <row r="107" spans="4:17" ht="15" thickBot="1" x14ac:dyDescent="0.35">
      <c r="D107" s="20">
        <f t="shared" si="5"/>
        <v>101</v>
      </c>
      <c r="E107" s="20">
        <f t="shared" si="6"/>
        <v>4750</v>
      </c>
      <c r="F107" s="20">
        <f t="shared" si="7"/>
        <v>150</v>
      </c>
      <c r="G107" s="20">
        <v>0.21137393500593149</v>
      </c>
      <c r="H107" s="50"/>
      <c r="I107" s="16"/>
      <c r="J107" s="16"/>
      <c r="K107" s="16"/>
      <c r="L107" s="16"/>
      <c r="M107" s="16">
        <v>101</v>
      </c>
      <c r="N107" s="16">
        <f t="shared" si="8"/>
        <v>3.6047345767575324E-2</v>
      </c>
      <c r="O107" s="16"/>
      <c r="P107" s="16"/>
      <c r="Q107" s="16">
        <f t="shared" si="9"/>
        <v>-1.7985196881580987</v>
      </c>
    </row>
    <row r="108" spans="4:17" ht="15" thickBot="1" x14ac:dyDescent="0.35">
      <c r="D108" s="20">
        <f t="shared" si="5"/>
        <v>102</v>
      </c>
      <c r="E108" s="47">
        <f t="shared" si="6"/>
        <v>4850</v>
      </c>
      <c r="F108" s="47">
        <f t="shared" si="7"/>
        <v>150</v>
      </c>
      <c r="G108" s="20">
        <v>0.21149444533659376</v>
      </c>
      <c r="H108" s="50"/>
      <c r="I108" s="16"/>
      <c r="J108" s="16"/>
      <c r="K108" s="16"/>
      <c r="L108" s="16"/>
      <c r="M108" s="16">
        <v>102</v>
      </c>
      <c r="N108" s="16">
        <f t="shared" si="8"/>
        <v>3.6406025824964133E-2</v>
      </c>
      <c r="O108" s="16"/>
      <c r="P108" s="16"/>
      <c r="Q108" s="16">
        <f t="shared" si="9"/>
        <v>-1.7940069994076102</v>
      </c>
    </row>
    <row r="109" spans="4:17" ht="15" thickBot="1" x14ac:dyDescent="0.35">
      <c r="D109" s="20">
        <f t="shared" si="5"/>
        <v>103</v>
      </c>
      <c r="E109" s="20">
        <f t="shared" si="6"/>
        <v>4950</v>
      </c>
      <c r="F109" s="20">
        <f t="shared" si="7"/>
        <v>150</v>
      </c>
      <c r="G109" s="20">
        <v>0.21168936278205422</v>
      </c>
      <c r="H109" s="50"/>
      <c r="I109" s="16"/>
      <c r="J109" s="16"/>
      <c r="K109" s="16"/>
      <c r="L109" s="16"/>
      <c r="M109" s="16">
        <v>103</v>
      </c>
      <c r="N109" s="16">
        <f t="shared" si="8"/>
        <v>3.6764705882352942E-2</v>
      </c>
      <c r="O109" s="16"/>
      <c r="P109" s="16"/>
      <c r="Q109" s="16">
        <f t="shared" si="9"/>
        <v>-1.789530551442466</v>
      </c>
    </row>
    <row r="110" spans="4:17" ht="15" thickBot="1" x14ac:dyDescent="0.35">
      <c r="D110" s="20">
        <f t="shared" si="5"/>
        <v>104</v>
      </c>
      <c r="E110" s="20">
        <f t="shared" si="6"/>
        <v>5050</v>
      </c>
      <c r="F110" s="20">
        <f t="shared" si="7"/>
        <v>150</v>
      </c>
      <c r="G110" s="20">
        <v>0.21194743298959848</v>
      </c>
      <c r="H110" s="50"/>
      <c r="I110" s="16"/>
      <c r="J110" s="16"/>
      <c r="K110" s="16"/>
      <c r="L110" s="16"/>
      <c r="M110" s="16">
        <v>104</v>
      </c>
      <c r="N110" s="16">
        <f t="shared" si="8"/>
        <v>3.7123385939741751E-2</v>
      </c>
      <c r="O110" s="16"/>
      <c r="P110" s="16"/>
      <c r="Q110" s="16">
        <f t="shared" si="9"/>
        <v>-1.7850896785229426</v>
      </c>
    </row>
    <row r="111" spans="4:17" ht="15" thickBot="1" x14ac:dyDescent="0.35">
      <c r="D111" s="20">
        <f t="shared" si="5"/>
        <v>105</v>
      </c>
      <c r="E111" s="20">
        <f t="shared" si="6"/>
        <v>5150</v>
      </c>
      <c r="F111" s="20">
        <f t="shared" si="7"/>
        <v>150</v>
      </c>
      <c r="G111" s="20">
        <v>0.21238654691955663</v>
      </c>
      <c r="H111" s="50"/>
      <c r="I111" s="16"/>
      <c r="J111" s="16"/>
      <c r="K111" s="16"/>
      <c r="L111" s="16"/>
      <c r="M111" s="16">
        <v>105</v>
      </c>
      <c r="N111" s="16">
        <f t="shared" si="8"/>
        <v>3.7482065997130561E-2</v>
      </c>
      <c r="O111" s="16"/>
      <c r="P111" s="16"/>
      <c r="Q111" s="16">
        <f t="shared" si="9"/>
        <v>-1.7806837334526524</v>
      </c>
    </row>
    <row r="112" spans="4:17" ht="15" thickBot="1" x14ac:dyDescent="0.35">
      <c r="D112" s="20">
        <f t="shared" si="5"/>
        <v>106</v>
      </c>
      <c r="E112" s="20">
        <f t="shared" si="6"/>
        <v>5250</v>
      </c>
      <c r="F112" s="20">
        <f t="shared" si="7"/>
        <v>150</v>
      </c>
      <c r="G112" s="20">
        <v>0.21246075631588354</v>
      </c>
      <c r="H112" s="50"/>
      <c r="I112" s="16"/>
      <c r="J112" s="16"/>
      <c r="K112" s="16"/>
      <c r="L112" s="16"/>
      <c r="M112" s="16">
        <v>106</v>
      </c>
      <c r="N112" s="16">
        <f t="shared" si="8"/>
        <v>3.784074605451937E-2</v>
      </c>
      <c r="O112" s="16"/>
      <c r="P112" s="16"/>
      <c r="Q112" s="16">
        <f t="shared" si="9"/>
        <v>-1.7763120868892648</v>
      </c>
    </row>
    <row r="113" spans="4:17" ht="15" thickBot="1" x14ac:dyDescent="0.35">
      <c r="D113" s="20">
        <f t="shared" si="5"/>
        <v>107</v>
      </c>
      <c r="E113" s="20">
        <f t="shared" si="6"/>
        <v>50</v>
      </c>
      <c r="F113" s="20">
        <f t="shared" si="7"/>
        <v>250</v>
      </c>
      <c r="G113" s="20">
        <v>0.21288016832557752</v>
      </c>
      <c r="H113" s="50"/>
      <c r="I113" s="16"/>
      <c r="J113" s="16"/>
      <c r="K113" s="16"/>
      <c r="L113" s="16"/>
      <c r="M113" s="16">
        <v>107</v>
      </c>
      <c r="N113" s="16">
        <f t="shared" si="8"/>
        <v>3.8199426111908179E-2</v>
      </c>
      <c r="O113" s="16"/>
      <c r="P113" s="16"/>
      <c r="Q113" s="16">
        <f t="shared" si="9"/>
        <v>-1.7719741266871492</v>
      </c>
    </row>
    <row r="114" spans="4:17" ht="15" thickBot="1" x14ac:dyDescent="0.35">
      <c r="D114" s="20">
        <f t="shared" si="5"/>
        <v>108</v>
      </c>
      <c r="E114" s="20">
        <f t="shared" si="6"/>
        <v>150</v>
      </c>
      <c r="F114" s="20">
        <f t="shared" si="7"/>
        <v>250</v>
      </c>
      <c r="G114" s="20">
        <v>0.21307229411036238</v>
      </c>
      <c r="H114" s="50"/>
      <c r="I114" s="16"/>
      <c r="J114" s="16"/>
      <c r="K114" s="16"/>
      <c r="L114" s="16"/>
      <c r="M114" s="16">
        <v>108</v>
      </c>
      <c r="N114" s="16">
        <f t="shared" si="8"/>
        <v>3.8558106169296988E-2</v>
      </c>
      <c r="O114" s="16"/>
      <c r="P114" s="16"/>
      <c r="Q114" s="16">
        <f t="shared" si="9"/>
        <v>-1.7676692572701536</v>
      </c>
    </row>
    <row r="115" spans="4:17" ht="15" thickBot="1" x14ac:dyDescent="0.35">
      <c r="D115" s="20">
        <f t="shared" si="5"/>
        <v>109</v>
      </c>
      <c r="E115" s="45">
        <f t="shared" si="6"/>
        <v>250</v>
      </c>
      <c r="F115" s="45">
        <f t="shared" si="7"/>
        <v>250</v>
      </c>
      <c r="G115" s="20">
        <v>0.21337347945167801</v>
      </c>
      <c r="H115" s="50"/>
      <c r="I115" s="16"/>
      <c r="J115" s="16"/>
      <c r="K115" s="16"/>
      <c r="L115" s="16"/>
      <c r="M115" s="16">
        <v>109</v>
      </c>
      <c r="N115" s="16">
        <f t="shared" si="8"/>
        <v>3.8916786226685797E-2</v>
      </c>
      <c r="O115" s="16"/>
      <c r="P115" s="16"/>
      <c r="Q115" s="16">
        <f t="shared" si="9"/>
        <v>-1.763396899032887</v>
      </c>
    </row>
    <row r="116" spans="4:17" ht="15" thickBot="1" x14ac:dyDescent="0.35">
      <c r="D116" s="20">
        <f t="shared" si="5"/>
        <v>110</v>
      </c>
      <c r="E116" s="20">
        <f t="shared" si="6"/>
        <v>350</v>
      </c>
      <c r="F116" s="20">
        <f t="shared" si="7"/>
        <v>250</v>
      </c>
      <c r="G116" s="20">
        <v>0.21342721647865331</v>
      </c>
      <c r="H116" s="50"/>
      <c r="I116" s="16"/>
      <c r="J116" s="16"/>
      <c r="K116" s="16"/>
      <c r="L116" s="16"/>
      <c r="M116" s="16">
        <v>110</v>
      </c>
      <c r="N116" s="16">
        <f t="shared" si="8"/>
        <v>3.9275466284074606E-2</v>
      </c>
      <c r="O116" s="16"/>
      <c r="P116" s="16"/>
      <c r="Q116" s="16">
        <f t="shared" si="9"/>
        <v>-1.7591564877689481</v>
      </c>
    </row>
    <row r="117" spans="4:17" ht="15" thickBot="1" x14ac:dyDescent="0.35">
      <c r="D117" s="20">
        <f t="shared" si="5"/>
        <v>111</v>
      </c>
      <c r="E117" s="20">
        <f t="shared" si="6"/>
        <v>450</v>
      </c>
      <c r="F117" s="20">
        <f t="shared" si="7"/>
        <v>250</v>
      </c>
      <c r="G117" s="20">
        <v>0.21372485036549113</v>
      </c>
      <c r="H117" s="50"/>
      <c r="I117" s="16"/>
      <c r="J117" s="16"/>
      <c r="K117" s="16"/>
      <c r="L117" s="16"/>
      <c r="M117" s="16">
        <v>111</v>
      </c>
      <c r="N117" s="16">
        <f t="shared" si="8"/>
        <v>3.9634146341463415E-2</v>
      </c>
      <c r="O117" s="16"/>
      <c r="P117" s="16"/>
      <c r="Q117" s="16">
        <f t="shared" si="9"/>
        <v>-1.7549474741246625</v>
      </c>
    </row>
    <row r="118" spans="4:17" ht="15" thickBot="1" x14ac:dyDescent="0.35">
      <c r="D118" s="20">
        <f t="shared" si="5"/>
        <v>112</v>
      </c>
      <c r="E118" s="20">
        <f t="shared" si="6"/>
        <v>550</v>
      </c>
      <c r="F118" s="20">
        <f t="shared" si="7"/>
        <v>250</v>
      </c>
      <c r="G118" s="20">
        <v>0.21396441280505557</v>
      </c>
      <c r="H118" s="50"/>
      <c r="I118" s="16"/>
      <c r="J118" s="16"/>
      <c r="K118" s="16"/>
      <c r="L118" s="16"/>
      <c r="M118" s="16">
        <v>112</v>
      </c>
      <c r="N118" s="16">
        <f t="shared" si="8"/>
        <v>3.9992826398852224E-2</v>
      </c>
      <c r="O118" s="16"/>
      <c r="P118" s="16"/>
      <c r="Q118" s="16">
        <f t="shared" si="9"/>
        <v>-1.7507693230769639</v>
      </c>
    </row>
    <row r="119" spans="4:17" ht="15" thickBot="1" x14ac:dyDescent="0.35">
      <c r="D119" s="20">
        <f t="shared" si="5"/>
        <v>113</v>
      </c>
      <c r="E119" s="20">
        <f t="shared" si="6"/>
        <v>650</v>
      </c>
      <c r="F119" s="20">
        <f t="shared" si="7"/>
        <v>250</v>
      </c>
      <c r="G119" s="20">
        <v>0.21418070426914976</v>
      </c>
      <c r="H119" s="50"/>
      <c r="I119" s="16"/>
      <c r="J119" s="16"/>
      <c r="K119" s="16"/>
      <c r="L119" s="16"/>
      <c r="M119" s="16">
        <v>113</v>
      </c>
      <c r="N119" s="16">
        <f t="shared" si="8"/>
        <v>4.0351506456241033E-2</v>
      </c>
      <c r="O119" s="16"/>
      <c r="P119" s="16"/>
      <c r="Q119" s="16">
        <f t="shared" si="9"/>
        <v>-1.7466215134341454</v>
      </c>
    </row>
    <row r="120" spans="4:17" ht="15" thickBot="1" x14ac:dyDescent="0.35">
      <c r="D120" s="20">
        <f t="shared" si="5"/>
        <v>114</v>
      </c>
      <c r="E120" s="20">
        <f t="shared" si="6"/>
        <v>750</v>
      </c>
      <c r="F120" s="20">
        <f t="shared" si="7"/>
        <v>250</v>
      </c>
      <c r="G120" s="20">
        <v>0.21455810084065005</v>
      </c>
      <c r="H120" s="50"/>
      <c r="I120" s="16"/>
      <c r="J120" s="16"/>
      <c r="K120" s="16"/>
      <c r="L120" s="16"/>
      <c r="M120" s="16">
        <v>114</v>
      </c>
      <c r="N120" s="16">
        <f t="shared" si="8"/>
        <v>4.0710186513629842E-2</v>
      </c>
      <c r="O120" s="16"/>
      <c r="P120" s="16"/>
      <c r="Q120" s="16">
        <f t="shared" si="9"/>
        <v>-1.7425035373582864</v>
      </c>
    </row>
    <row r="121" spans="4:17" ht="15" thickBot="1" x14ac:dyDescent="0.35">
      <c r="D121" s="20">
        <f t="shared" si="5"/>
        <v>115</v>
      </c>
      <c r="E121" s="48">
        <f t="shared" si="6"/>
        <v>850</v>
      </c>
      <c r="F121" s="48">
        <f t="shared" si="7"/>
        <v>250</v>
      </c>
      <c r="G121" s="20">
        <v>0.21494339207531782</v>
      </c>
      <c r="H121" s="50"/>
      <c r="I121" s="16"/>
      <c r="J121" s="16"/>
      <c r="K121" s="16"/>
      <c r="L121" s="16"/>
      <c r="M121" s="16">
        <v>115</v>
      </c>
      <c r="N121" s="16">
        <f t="shared" si="8"/>
        <v>4.1068866571018652E-2</v>
      </c>
      <c r="O121" s="16"/>
      <c r="P121" s="16"/>
      <c r="Q121" s="16">
        <f t="shared" si="9"/>
        <v>-1.7384148999082369</v>
      </c>
    </row>
    <row r="122" spans="4:17" ht="15" thickBot="1" x14ac:dyDescent="0.35">
      <c r="D122" s="20">
        <f t="shared" si="5"/>
        <v>116</v>
      </c>
      <c r="E122" s="43">
        <f t="shared" si="6"/>
        <v>950</v>
      </c>
      <c r="F122" s="43">
        <f t="shared" si="7"/>
        <v>250</v>
      </c>
      <c r="G122" s="20">
        <v>0.21500308748251779</v>
      </c>
      <c r="H122" s="50"/>
      <c r="I122" s="16"/>
      <c r="J122" s="16"/>
      <c r="K122" s="16"/>
      <c r="L122" s="16"/>
      <c r="M122" s="16">
        <v>116</v>
      </c>
      <c r="N122" s="16">
        <f t="shared" si="8"/>
        <v>4.1427546628407461E-2</v>
      </c>
      <c r="O122" s="16"/>
      <c r="P122" s="16"/>
      <c r="Q122" s="16">
        <f t="shared" si="9"/>
        <v>-1.7343551186020885</v>
      </c>
    </row>
    <row r="123" spans="4:17" ht="15" thickBot="1" x14ac:dyDescent="0.35">
      <c r="D123" s="20">
        <f t="shared" si="5"/>
        <v>117</v>
      </c>
      <c r="E123" s="20">
        <f t="shared" si="6"/>
        <v>1050</v>
      </c>
      <c r="F123" s="20">
        <f t="shared" si="7"/>
        <v>250</v>
      </c>
      <c r="G123" s="20">
        <v>0.21514197212585648</v>
      </c>
      <c r="H123" s="50"/>
      <c r="I123" s="16"/>
      <c r="J123" s="16"/>
      <c r="K123" s="16"/>
      <c r="L123" s="16"/>
      <c r="M123" s="16">
        <v>117</v>
      </c>
      <c r="N123" s="16">
        <f t="shared" si="8"/>
        <v>4.178622668579627E-2</v>
      </c>
      <c r="O123" s="16"/>
      <c r="P123" s="16"/>
      <c r="Q123" s="16">
        <f t="shared" si="9"/>
        <v>-1.7303237229981581</v>
      </c>
    </row>
    <row r="124" spans="4:17" ht="15" thickBot="1" x14ac:dyDescent="0.35">
      <c r="D124" s="20">
        <f t="shared" si="5"/>
        <v>118</v>
      </c>
      <c r="E124" s="20">
        <f t="shared" si="6"/>
        <v>1150</v>
      </c>
      <c r="F124" s="20">
        <f t="shared" si="7"/>
        <v>250</v>
      </c>
      <c r="G124" s="20">
        <v>0.21527756321633743</v>
      </c>
      <c r="H124" s="50"/>
      <c r="I124" s="16"/>
      <c r="J124" s="16"/>
      <c r="K124" s="16"/>
      <c r="L124" s="16"/>
      <c r="M124" s="16">
        <v>118</v>
      </c>
      <c r="N124" s="16">
        <f t="shared" si="8"/>
        <v>4.2144906743185079E-2</v>
      </c>
      <c r="O124" s="16"/>
      <c r="P124" s="16"/>
      <c r="Q124" s="16">
        <f t="shared" si="9"/>
        <v>-1.726320254293531</v>
      </c>
    </row>
    <row r="125" spans="4:17" ht="15" thickBot="1" x14ac:dyDescent="0.35">
      <c r="D125" s="20">
        <f t="shared" si="5"/>
        <v>119</v>
      </c>
      <c r="E125" s="20">
        <f t="shared" si="6"/>
        <v>1250</v>
      </c>
      <c r="F125" s="20">
        <f t="shared" si="7"/>
        <v>250</v>
      </c>
      <c r="G125" s="20">
        <v>0.21534427945745177</v>
      </c>
      <c r="H125" s="50"/>
      <c r="I125" s="16"/>
      <c r="J125" s="16"/>
      <c r="K125" s="16"/>
      <c r="L125" s="16"/>
      <c r="M125" s="16">
        <v>119</v>
      </c>
      <c r="N125" s="16">
        <f t="shared" si="8"/>
        <v>4.2503586800573888E-2</v>
      </c>
      <c r="O125" s="16"/>
      <c r="P125" s="16"/>
      <c r="Q125" s="16">
        <f t="shared" si="9"/>
        <v>-1.7223442649393002</v>
      </c>
    </row>
    <row r="126" spans="4:17" ht="15" thickBot="1" x14ac:dyDescent="0.35">
      <c r="D126" s="20">
        <f t="shared" si="5"/>
        <v>120</v>
      </c>
      <c r="E126" s="20">
        <f t="shared" si="6"/>
        <v>1350</v>
      </c>
      <c r="F126" s="20">
        <f t="shared" si="7"/>
        <v>250</v>
      </c>
      <c r="G126" s="20">
        <v>0.21567884843178994</v>
      </c>
      <c r="H126" s="50"/>
      <c r="I126" s="16"/>
      <c r="J126" s="16"/>
      <c r="K126" s="16"/>
      <c r="L126" s="16"/>
      <c r="M126" s="16">
        <v>120</v>
      </c>
      <c r="N126" s="16">
        <f t="shared" si="8"/>
        <v>4.2862266857962697E-2</v>
      </c>
      <c r="O126" s="16"/>
      <c r="P126" s="16"/>
      <c r="Q126" s="16">
        <f t="shared" si="9"/>
        <v>-1.7183953182716616</v>
      </c>
    </row>
    <row r="127" spans="4:17" ht="15" thickBot="1" x14ac:dyDescent="0.35">
      <c r="D127" s="20">
        <f t="shared" si="5"/>
        <v>121</v>
      </c>
      <c r="E127" s="20">
        <f t="shared" si="6"/>
        <v>1450</v>
      </c>
      <c r="F127" s="20">
        <f t="shared" si="7"/>
        <v>250</v>
      </c>
      <c r="G127" s="20">
        <v>0.21587150988463366</v>
      </c>
      <c r="H127" s="50"/>
      <c r="I127" s="16"/>
      <c r="J127" s="16"/>
      <c r="K127" s="16"/>
      <c r="L127" s="16"/>
      <c r="M127" s="16">
        <v>121</v>
      </c>
      <c r="N127" s="16">
        <f t="shared" si="8"/>
        <v>4.3220946915351506E-2</v>
      </c>
      <c r="O127" s="16"/>
      <c r="P127" s="16"/>
      <c r="Q127" s="16">
        <f t="shared" si="9"/>
        <v>-1.7144729881580874</v>
      </c>
    </row>
    <row r="128" spans="4:17" ht="15" thickBot="1" x14ac:dyDescent="0.35">
      <c r="D128" s="20">
        <f t="shared" si="5"/>
        <v>122</v>
      </c>
      <c r="E128" s="20">
        <f t="shared" si="6"/>
        <v>1550</v>
      </c>
      <c r="F128" s="20">
        <f t="shared" si="7"/>
        <v>250</v>
      </c>
      <c r="G128" s="20">
        <v>0.21691322396875093</v>
      </c>
      <c r="H128" s="50"/>
      <c r="I128" s="16"/>
      <c r="J128" s="16"/>
      <c r="K128" s="16"/>
      <c r="L128" s="16"/>
      <c r="M128" s="16">
        <v>122</v>
      </c>
      <c r="N128" s="16">
        <f t="shared" si="8"/>
        <v>4.3579626972740315E-2</v>
      </c>
      <c r="O128" s="16"/>
      <c r="P128" s="16"/>
      <c r="Q128" s="16">
        <f t="shared" si="9"/>
        <v>-1.7105768586578463</v>
      </c>
    </row>
    <row r="129" spans="4:17" ht="15" thickBot="1" x14ac:dyDescent="0.35">
      <c r="D129" s="20">
        <f t="shared" si="5"/>
        <v>123</v>
      </c>
      <c r="E129" s="20">
        <f t="shared" si="6"/>
        <v>1650</v>
      </c>
      <c r="F129" s="20">
        <f t="shared" si="7"/>
        <v>250</v>
      </c>
      <c r="G129" s="20">
        <v>0.21712415341961364</v>
      </c>
      <c r="H129" s="50"/>
      <c r="I129" s="16"/>
      <c r="J129" s="16"/>
      <c r="K129" s="16"/>
      <c r="L129" s="16"/>
      <c r="M129" s="16">
        <v>123</v>
      </c>
      <c r="N129" s="16">
        <f t="shared" si="8"/>
        <v>4.3938307030129124E-2</v>
      </c>
      <c r="O129" s="16"/>
      <c r="P129" s="16"/>
      <c r="Q129" s="16">
        <f t="shared" si="9"/>
        <v>-1.7067065236961663</v>
      </c>
    </row>
    <row r="130" spans="4:17" ht="15" thickBot="1" x14ac:dyDescent="0.35">
      <c r="D130" s="20">
        <f t="shared" si="5"/>
        <v>124</v>
      </c>
      <c r="E130" s="20">
        <f t="shared" si="6"/>
        <v>1750</v>
      </c>
      <c r="F130" s="20">
        <f t="shared" si="7"/>
        <v>250</v>
      </c>
      <c r="G130" s="20">
        <v>0.21784199611061322</v>
      </c>
      <c r="H130" s="50"/>
      <c r="I130" s="16"/>
      <c r="J130" s="16"/>
      <c r="K130" s="16"/>
      <c r="L130" s="16"/>
      <c r="M130" s="16">
        <v>124</v>
      </c>
      <c r="N130" s="16">
        <f t="shared" si="8"/>
        <v>4.4296987087517933E-2</v>
      </c>
      <c r="O130" s="16"/>
      <c r="P130" s="16"/>
      <c r="Q130" s="16">
        <f t="shared" si="9"/>
        <v>-1.7028615867513979</v>
      </c>
    </row>
    <row r="131" spans="4:17" ht="15" thickBot="1" x14ac:dyDescent="0.35">
      <c r="D131" s="20">
        <f t="shared" si="5"/>
        <v>125</v>
      </c>
      <c r="E131" s="20">
        <f t="shared" si="6"/>
        <v>1850</v>
      </c>
      <c r="F131" s="20">
        <f t="shared" si="7"/>
        <v>250</v>
      </c>
      <c r="G131" s="20">
        <v>0.21785404169222117</v>
      </c>
      <c r="H131" s="50"/>
      <c r="I131" s="16"/>
      <c r="J131" s="16"/>
      <c r="K131" s="16"/>
      <c r="L131" s="16"/>
      <c r="M131" s="16">
        <v>125</v>
      </c>
      <c r="N131" s="16">
        <f t="shared" si="8"/>
        <v>4.4655667144906742E-2</v>
      </c>
      <c r="O131" s="16"/>
      <c r="P131" s="16"/>
      <c r="Q131" s="16">
        <f t="shared" si="9"/>
        <v>-1.6990416605545431</v>
      </c>
    </row>
    <row r="132" spans="4:17" ht="15" thickBot="1" x14ac:dyDescent="0.35">
      <c r="D132" s="20">
        <f t="shared" si="5"/>
        <v>126</v>
      </c>
      <c r="E132" s="20">
        <f t="shared" si="6"/>
        <v>1950</v>
      </c>
      <c r="F132" s="20">
        <f t="shared" si="7"/>
        <v>250</v>
      </c>
      <c r="G132" s="20">
        <v>0.21804714436005385</v>
      </c>
      <c r="H132" s="50"/>
      <c r="I132" s="16"/>
      <c r="J132" s="16"/>
      <c r="K132" s="16"/>
      <c r="L132" s="16"/>
      <c r="M132" s="16">
        <v>126</v>
      </c>
      <c r="N132" s="16">
        <f t="shared" si="8"/>
        <v>4.5014347202295552E-2</v>
      </c>
      <c r="O132" s="16"/>
      <c r="P132" s="16"/>
      <c r="Q132" s="16">
        <f t="shared" si="9"/>
        <v>-1.6952463668005777</v>
      </c>
    </row>
    <row r="133" spans="4:17" ht="15" thickBot="1" x14ac:dyDescent="0.35">
      <c r="D133" s="20">
        <f t="shared" si="5"/>
        <v>127</v>
      </c>
      <c r="E133" s="20">
        <f t="shared" si="6"/>
        <v>2050</v>
      </c>
      <c r="F133" s="20">
        <f t="shared" si="7"/>
        <v>250</v>
      </c>
      <c r="G133" s="20">
        <v>0.21812886478401025</v>
      </c>
      <c r="H133" s="50"/>
      <c r="I133" s="16"/>
      <c r="J133" s="16"/>
      <c r="K133" s="16"/>
      <c r="L133" s="16"/>
      <c r="M133" s="16">
        <v>127</v>
      </c>
      <c r="N133" s="16">
        <f t="shared" si="8"/>
        <v>4.5373027259684361E-2</v>
      </c>
      <c r="O133" s="16"/>
      <c r="P133" s="16"/>
      <c r="Q133" s="16">
        <f t="shared" si="9"/>
        <v>-1.6914753358710077</v>
      </c>
    </row>
    <row r="134" spans="4:17" ht="15" thickBot="1" x14ac:dyDescent="0.35">
      <c r="D134" s="20">
        <f t="shared" si="5"/>
        <v>128</v>
      </c>
      <c r="E134" s="20">
        <f t="shared" si="6"/>
        <v>2150</v>
      </c>
      <c r="F134" s="20">
        <f t="shared" si="7"/>
        <v>250</v>
      </c>
      <c r="G134" s="20">
        <v>0.21813580857025189</v>
      </c>
      <c r="H134" s="50"/>
      <c r="I134" s="16"/>
      <c r="J134" s="16"/>
      <c r="K134" s="16"/>
      <c r="L134" s="16"/>
      <c r="M134" s="16">
        <v>128</v>
      </c>
      <c r="N134" s="16">
        <f t="shared" si="8"/>
        <v>4.573170731707317E-2</v>
      </c>
      <c r="O134" s="16"/>
      <c r="P134" s="16"/>
      <c r="Q134" s="16">
        <f t="shared" si="9"/>
        <v>-1.6877282065671413</v>
      </c>
    </row>
    <row r="135" spans="4:17" ht="15" thickBot="1" x14ac:dyDescent="0.35">
      <c r="D135" s="20">
        <f t="shared" ref="D135:D198" si="10">ROW()-6</f>
        <v>129</v>
      </c>
      <c r="E135" s="20">
        <f t="shared" ref="E135:E198" si="11">(MOD(D135-1,53)*100)+50</f>
        <v>2250</v>
      </c>
      <c r="F135" s="20">
        <f t="shared" ref="F135:F198" si="12">FLOOR((D135-1)/53,1)*100+50</f>
        <v>250</v>
      </c>
      <c r="G135" s="20">
        <v>0.21841714541473173</v>
      </c>
      <c r="H135" s="50"/>
      <c r="I135" s="16"/>
      <c r="J135" s="16"/>
      <c r="K135" s="16"/>
      <c r="L135" s="16"/>
      <c r="M135" s="16">
        <v>129</v>
      </c>
      <c r="N135" s="16">
        <f t="shared" si="8"/>
        <v>4.6090387374461979E-2</v>
      </c>
      <c r="O135" s="16"/>
      <c r="P135" s="16"/>
      <c r="Q135" s="16">
        <f t="shared" si="9"/>
        <v>-1.6840046258535768</v>
      </c>
    </row>
    <row r="136" spans="4:17" ht="15" thickBot="1" x14ac:dyDescent="0.35">
      <c r="D136" s="20">
        <f t="shared" si="10"/>
        <v>130</v>
      </c>
      <c r="E136" s="20">
        <f t="shared" si="11"/>
        <v>2350</v>
      </c>
      <c r="F136" s="20">
        <f t="shared" si="12"/>
        <v>250</v>
      </c>
      <c r="G136" s="20">
        <v>0.2185628422369976</v>
      </c>
      <c r="H136" s="50"/>
      <c r="I136" s="16"/>
      <c r="J136" s="16"/>
      <c r="K136" s="16"/>
      <c r="L136" s="16"/>
      <c r="M136" s="16">
        <v>130</v>
      </c>
      <c r="N136" s="16">
        <f t="shared" ref="N136:N199" si="13">(M136-0.5)/$L$7</f>
        <v>4.6449067431850788E-2</v>
      </c>
      <c r="O136" s="16"/>
      <c r="P136" s="16"/>
      <c r="Q136" s="16">
        <f t="shared" ref="Q136:Q199" si="14">_xlfn.NORM.S.INV(N136)</f>
        <v>-1.6803042486114439</v>
      </c>
    </row>
    <row r="137" spans="4:17" ht="15" thickBot="1" x14ac:dyDescent="0.35">
      <c r="D137" s="20">
        <f t="shared" si="10"/>
        <v>131</v>
      </c>
      <c r="E137" s="20">
        <f t="shared" si="11"/>
        <v>2450</v>
      </c>
      <c r="F137" s="20">
        <f t="shared" si="12"/>
        <v>250</v>
      </c>
      <c r="G137" s="20">
        <v>0.2185983440785346</v>
      </c>
      <c r="H137" s="50"/>
      <c r="I137" s="16"/>
      <c r="J137" s="16"/>
      <c r="K137" s="16"/>
      <c r="L137" s="16"/>
      <c r="M137" s="16">
        <v>131</v>
      </c>
      <c r="N137" s="16">
        <f t="shared" si="13"/>
        <v>4.6807747489239597E-2</v>
      </c>
      <c r="O137" s="16"/>
      <c r="P137" s="16"/>
      <c r="Q137" s="16">
        <f t="shared" si="14"/>
        <v>-1.6766267374009531</v>
      </c>
    </row>
    <row r="138" spans="4:17" ht="15" thickBot="1" x14ac:dyDescent="0.35">
      <c r="D138" s="20">
        <f t="shared" si="10"/>
        <v>132</v>
      </c>
      <c r="E138" s="20">
        <f t="shared" si="11"/>
        <v>2550</v>
      </c>
      <c r="F138" s="20">
        <f t="shared" si="12"/>
        <v>250</v>
      </c>
      <c r="G138" s="20">
        <v>0.218675897797177</v>
      </c>
      <c r="H138" s="50"/>
      <c r="I138" s="16"/>
      <c r="J138" s="16"/>
      <c r="K138" s="16"/>
      <c r="L138" s="16"/>
      <c r="M138" s="16">
        <v>132</v>
      </c>
      <c r="N138" s="16">
        <f t="shared" si="13"/>
        <v>4.7166427546628406E-2</v>
      </c>
      <c r="O138" s="16"/>
      <c r="P138" s="16"/>
      <c r="Q138" s="16">
        <f t="shared" si="14"/>
        <v>-1.6729717622328313</v>
      </c>
    </row>
    <row r="139" spans="4:17" ht="15" thickBot="1" x14ac:dyDescent="0.35">
      <c r="D139" s="20">
        <f t="shared" si="10"/>
        <v>133</v>
      </c>
      <c r="E139" s="20">
        <f t="shared" si="11"/>
        <v>2650</v>
      </c>
      <c r="F139" s="20">
        <f t="shared" si="12"/>
        <v>250</v>
      </c>
      <c r="G139" s="20">
        <v>0.21869521236763481</v>
      </c>
      <c r="H139" s="50"/>
      <c r="I139" s="16"/>
      <c r="J139" s="16"/>
      <c r="K139" s="16"/>
      <c r="L139" s="16"/>
      <c r="M139" s="16">
        <v>133</v>
      </c>
      <c r="N139" s="16">
        <f t="shared" si="13"/>
        <v>4.7525107604017215E-2</v>
      </c>
      <c r="O139" s="16"/>
      <c r="P139" s="16"/>
      <c r="Q139" s="16">
        <f t="shared" si="14"/>
        <v>-1.6693390003482491</v>
      </c>
    </row>
    <row r="140" spans="4:17" ht="15" thickBot="1" x14ac:dyDescent="0.35">
      <c r="D140" s="20">
        <f t="shared" si="10"/>
        <v>134</v>
      </c>
      <c r="E140" s="20">
        <f t="shared" si="11"/>
        <v>2750</v>
      </c>
      <c r="F140" s="20">
        <f t="shared" si="12"/>
        <v>250</v>
      </c>
      <c r="G140" s="20">
        <v>0.21927581687574757</v>
      </c>
      <c r="H140" s="50"/>
      <c r="I140" s="16"/>
      <c r="J140" s="16"/>
      <c r="K140" s="16"/>
      <c r="L140" s="16"/>
      <c r="M140" s="16">
        <v>134</v>
      </c>
      <c r="N140" s="16">
        <f t="shared" si="13"/>
        <v>4.7883787661406024E-2</v>
      </c>
      <c r="O140" s="16"/>
      <c r="P140" s="16"/>
      <c r="Q140" s="16">
        <f t="shared" si="14"/>
        <v>-1.6657281360068608</v>
      </c>
    </row>
    <row r="141" spans="4:17" ht="15" thickBot="1" x14ac:dyDescent="0.35">
      <c r="D141" s="20">
        <f t="shared" si="10"/>
        <v>135</v>
      </c>
      <c r="E141" s="20">
        <f t="shared" si="11"/>
        <v>2850</v>
      </c>
      <c r="F141" s="20">
        <f t="shared" si="12"/>
        <v>250</v>
      </c>
      <c r="G141" s="20">
        <v>0.21940182197036068</v>
      </c>
      <c r="H141" s="50"/>
      <c r="I141" s="16"/>
      <c r="J141" s="16"/>
      <c r="K141" s="16"/>
      <c r="L141" s="16"/>
      <c r="M141" s="16">
        <v>135</v>
      </c>
      <c r="N141" s="16">
        <f t="shared" si="13"/>
        <v>4.8242467718794833E-2</v>
      </c>
      <c r="O141" s="16"/>
      <c r="P141" s="16"/>
      <c r="Q141" s="16">
        <f t="shared" si="14"/>
        <v>-1.6621388602826019</v>
      </c>
    </row>
    <row r="142" spans="4:17" ht="15" thickBot="1" x14ac:dyDescent="0.35">
      <c r="D142" s="20">
        <f t="shared" si="10"/>
        <v>136</v>
      </c>
      <c r="E142" s="48">
        <f t="shared" si="11"/>
        <v>2950</v>
      </c>
      <c r="F142" s="48">
        <f t="shared" si="12"/>
        <v>250</v>
      </c>
      <c r="G142" s="20">
        <v>0.21943320334871383</v>
      </c>
      <c r="H142" s="50"/>
      <c r="I142" s="16"/>
      <c r="J142" s="16"/>
      <c r="K142" s="16"/>
      <c r="L142" s="16"/>
      <c r="M142" s="16">
        <v>136</v>
      </c>
      <c r="N142" s="16">
        <f t="shared" si="13"/>
        <v>4.8601147776183642E-2</v>
      </c>
      <c r="O142" s="16"/>
      <c r="P142" s="16"/>
      <c r="Q142" s="16">
        <f t="shared" si="14"/>
        <v>-1.6585708708669016</v>
      </c>
    </row>
    <row r="143" spans="4:17" ht="15" thickBot="1" x14ac:dyDescent="0.35">
      <c r="D143" s="20">
        <f t="shared" si="10"/>
        <v>137</v>
      </c>
      <c r="E143" s="20">
        <f t="shared" si="11"/>
        <v>3050</v>
      </c>
      <c r="F143" s="20">
        <f t="shared" si="12"/>
        <v>250</v>
      </c>
      <c r="G143" s="20">
        <v>0.21958948679553184</v>
      </c>
      <c r="H143" s="50"/>
      <c r="I143" s="16"/>
      <c r="J143" s="16"/>
      <c r="K143" s="16"/>
      <c r="L143" s="16"/>
      <c r="M143" s="16">
        <v>137</v>
      </c>
      <c r="N143" s="16">
        <f t="shared" si="13"/>
        <v>4.8959827833572452E-2</v>
      </c>
      <c r="O143" s="16"/>
      <c r="P143" s="16"/>
      <c r="Q143" s="16">
        <f t="shared" si="14"/>
        <v>-1.6550238718789902</v>
      </c>
    </row>
    <row r="144" spans="4:17" ht="15" thickBot="1" x14ac:dyDescent="0.35">
      <c r="D144" s="20">
        <f t="shared" si="10"/>
        <v>138</v>
      </c>
      <c r="E144" s="20">
        <f t="shared" si="11"/>
        <v>3150</v>
      </c>
      <c r="F144" s="20">
        <f t="shared" si="12"/>
        <v>250</v>
      </c>
      <c r="G144" s="20">
        <v>0.21976447316664088</v>
      </c>
      <c r="H144" s="50"/>
      <c r="I144" s="16"/>
      <c r="J144" s="16"/>
      <c r="K144" s="16"/>
      <c r="L144" s="16"/>
      <c r="M144" s="16">
        <v>138</v>
      </c>
      <c r="N144" s="16">
        <f t="shared" si="13"/>
        <v>4.9318507890961261E-2</v>
      </c>
      <c r="O144" s="16"/>
      <c r="P144" s="16"/>
      <c r="Q144" s="16">
        <f t="shared" si="14"/>
        <v>-1.6514975736829922</v>
      </c>
    </row>
    <row r="145" spans="4:17" ht="15" thickBot="1" x14ac:dyDescent="0.35">
      <c r="D145" s="20">
        <f t="shared" si="10"/>
        <v>139</v>
      </c>
      <c r="E145" s="20">
        <f t="shared" si="11"/>
        <v>3250</v>
      </c>
      <c r="F145" s="20">
        <f t="shared" si="12"/>
        <v>250</v>
      </c>
      <c r="G145" s="20">
        <v>0.22015303419781482</v>
      </c>
      <c r="H145" s="50"/>
      <c r="I145" s="16"/>
      <c r="J145" s="16"/>
      <c r="K145" s="16"/>
      <c r="L145" s="16"/>
      <c r="M145" s="16">
        <v>139</v>
      </c>
      <c r="N145" s="16">
        <f t="shared" si="13"/>
        <v>4.967718794835007E-2</v>
      </c>
      <c r="O145" s="16"/>
      <c r="P145" s="16"/>
      <c r="Q145" s="16">
        <f t="shared" si="14"/>
        <v>-1.6479916927115246</v>
      </c>
    </row>
    <row r="146" spans="4:17" ht="15" thickBot="1" x14ac:dyDescent="0.35">
      <c r="D146" s="20">
        <f t="shared" si="10"/>
        <v>140</v>
      </c>
      <c r="E146" s="20">
        <f t="shared" si="11"/>
        <v>3350</v>
      </c>
      <c r="F146" s="20">
        <f t="shared" si="12"/>
        <v>250</v>
      </c>
      <c r="G146" s="20">
        <v>0.22064234248859219</v>
      </c>
      <c r="H146" s="50"/>
      <c r="I146" s="16"/>
      <c r="J146" s="16"/>
      <c r="K146" s="16"/>
      <c r="L146" s="16"/>
      <c r="M146" s="16">
        <v>140</v>
      </c>
      <c r="N146" s="16">
        <f t="shared" si="13"/>
        <v>5.0035868005738879E-2</v>
      </c>
      <c r="O146" s="16"/>
      <c r="P146" s="16"/>
      <c r="Q146" s="16">
        <f t="shared" si="14"/>
        <v>-1.6445059512955067</v>
      </c>
    </row>
    <row r="147" spans="4:17" ht="15" thickBot="1" x14ac:dyDescent="0.35">
      <c r="D147" s="20">
        <f t="shared" si="10"/>
        <v>141</v>
      </c>
      <c r="E147" s="20">
        <f t="shared" si="11"/>
        <v>3450</v>
      </c>
      <c r="F147" s="20">
        <f t="shared" si="12"/>
        <v>250</v>
      </c>
      <c r="G147" s="20">
        <v>0.22071499037683287</v>
      </c>
      <c r="H147" s="50"/>
      <c r="I147" s="16"/>
      <c r="J147" s="16"/>
      <c r="K147" s="16"/>
      <c r="L147" s="16"/>
      <c r="M147" s="16">
        <v>141</v>
      </c>
      <c r="N147" s="16">
        <f t="shared" si="13"/>
        <v>5.0394548063127688E-2</v>
      </c>
      <c r="O147" s="16"/>
      <c r="P147" s="16"/>
      <c r="Q147" s="16">
        <f t="shared" si="14"/>
        <v>-1.6410400774999407</v>
      </c>
    </row>
    <row r="148" spans="4:17" ht="15" thickBot="1" x14ac:dyDescent="0.35">
      <c r="D148" s="20">
        <f t="shared" si="10"/>
        <v>142</v>
      </c>
      <c r="E148" s="20">
        <f t="shared" si="11"/>
        <v>3550</v>
      </c>
      <c r="F148" s="20">
        <f t="shared" si="12"/>
        <v>250</v>
      </c>
      <c r="G148" s="20">
        <v>0.22074260847411642</v>
      </c>
      <c r="H148" s="50"/>
      <c r="I148" s="16"/>
      <c r="J148" s="16"/>
      <c r="K148" s="16"/>
      <c r="L148" s="16"/>
      <c r="M148" s="16">
        <v>142</v>
      </c>
      <c r="N148" s="16">
        <f t="shared" si="13"/>
        <v>5.0753228120516497E-2</v>
      </c>
      <c r="O148" s="16"/>
      <c r="P148" s="16"/>
      <c r="Q148" s="16">
        <f t="shared" si="14"/>
        <v>-1.6375938049653909</v>
      </c>
    </row>
    <row r="149" spans="4:17" ht="15" thickBot="1" x14ac:dyDescent="0.35">
      <c r="D149" s="20">
        <f t="shared" si="10"/>
        <v>143</v>
      </c>
      <c r="E149" s="20">
        <f t="shared" si="11"/>
        <v>3650</v>
      </c>
      <c r="F149" s="20">
        <f t="shared" si="12"/>
        <v>250</v>
      </c>
      <c r="G149" s="20">
        <v>0.2209128179971479</v>
      </c>
      <c r="H149" s="50"/>
      <c r="I149" s="16"/>
      <c r="J149" s="16"/>
      <c r="K149" s="16"/>
      <c r="L149" s="16"/>
      <c r="M149" s="16">
        <v>143</v>
      </c>
      <c r="N149" s="16">
        <f t="shared" si="13"/>
        <v>5.1111908177905306E-2</v>
      </c>
      <c r="O149" s="16"/>
      <c r="P149" s="16"/>
      <c r="Q149" s="16">
        <f t="shared" si="14"/>
        <v>-1.6341668727549441</v>
      </c>
    </row>
    <row r="150" spans="4:17" ht="15" thickBot="1" x14ac:dyDescent="0.35">
      <c r="D150" s="20">
        <f t="shared" si="10"/>
        <v>144</v>
      </c>
      <c r="E150" s="20">
        <f t="shared" si="11"/>
        <v>3750</v>
      </c>
      <c r="F150" s="20">
        <f t="shared" si="12"/>
        <v>250</v>
      </c>
      <c r="G150" s="20">
        <v>0.22105937662135983</v>
      </c>
      <c r="H150" s="50"/>
      <c r="I150" s="16"/>
      <c r="J150" s="16"/>
      <c r="K150" s="16"/>
      <c r="L150" s="16"/>
      <c r="M150" s="16">
        <v>144</v>
      </c>
      <c r="N150" s="16">
        <f t="shared" si="13"/>
        <v>5.1470588235294115E-2</v>
      </c>
      <c r="O150" s="16"/>
      <c r="P150" s="16"/>
      <c r="Q150" s="16">
        <f t="shared" si="14"/>
        <v>-1.630759025206413</v>
      </c>
    </row>
    <row r="151" spans="4:17" ht="15" thickBot="1" x14ac:dyDescent="0.35">
      <c r="D151" s="20">
        <f t="shared" si="10"/>
        <v>145</v>
      </c>
      <c r="E151" s="20">
        <f t="shared" si="11"/>
        <v>3850</v>
      </c>
      <c r="F151" s="20">
        <f t="shared" si="12"/>
        <v>250</v>
      </c>
      <c r="G151" s="20">
        <v>0.22154948402834668</v>
      </c>
      <c r="H151" s="50"/>
      <c r="I151" s="16"/>
      <c r="J151" s="16"/>
      <c r="K151" s="16"/>
      <c r="L151" s="16"/>
      <c r="M151" s="16">
        <v>145</v>
      </c>
      <c r="N151" s="16">
        <f t="shared" si="13"/>
        <v>5.1829268292682924E-2</v>
      </c>
      <c r="O151" s="16"/>
      <c r="P151" s="16"/>
      <c r="Q151" s="16">
        <f t="shared" si="14"/>
        <v>-1.6273700117895664</v>
      </c>
    </row>
    <row r="152" spans="4:17" ht="15" thickBot="1" x14ac:dyDescent="0.35">
      <c r="D152" s="20">
        <f t="shared" si="10"/>
        <v>146</v>
      </c>
      <c r="E152" s="20">
        <f t="shared" si="11"/>
        <v>3950</v>
      </c>
      <c r="F152" s="20">
        <f t="shared" si="12"/>
        <v>250</v>
      </c>
      <c r="G152" s="20">
        <v>0.22163065635808923</v>
      </c>
      <c r="H152" s="50"/>
      <c r="I152" s="16"/>
      <c r="J152" s="16"/>
      <c r="K152" s="16"/>
      <c r="L152" s="16"/>
      <c r="M152" s="16">
        <v>146</v>
      </c>
      <c r="N152" s="16">
        <f t="shared" si="13"/>
        <v>5.2187948350071733E-2</v>
      </c>
      <c r="O152" s="16"/>
      <c r="P152" s="16"/>
      <c r="Q152" s="16">
        <f t="shared" si="14"/>
        <v>-1.6239995869681974</v>
      </c>
    </row>
    <row r="153" spans="4:17" ht="15" thickBot="1" x14ac:dyDescent="0.35">
      <c r="D153" s="20">
        <f t="shared" si="10"/>
        <v>147</v>
      </c>
      <c r="E153" s="20">
        <f t="shared" si="11"/>
        <v>4050</v>
      </c>
      <c r="F153" s="20">
        <f t="shared" si="12"/>
        <v>250</v>
      </c>
      <c r="G153" s="20">
        <v>0.22197002304840285</v>
      </c>
      <c r="H153" s="50"/>
      <c r="I153" s="16"/>
      <c r="J153" s="16"/>
      <c r="K153" s="16"/>
      <c r="L153" s="16"/>
      <c r="M153" s="16">
        <v>147</v>
      </c>
      <c r="N153" s="16">
        <f t="shared" si="13"/>
        <v>5.2546628407460542E-2</v>
      </c>
      <c r="O153" s="16"/>
      <c r="P153" s="16"/>
      <c r="Q153" s="16">
        <f t="shared" si="14"/>
        <v>-1.6206475100668076</v>
      </c>
    </row>
    <row r="154" spans="4:17" ht="15" thickBot="1" x14ac:dyDescent="0.35">
      <c r="D154" s="20">
        <f t="shared" si="10"/>
        <v>148</v>
      </c>
      <c r="E154" s="20">
        <f t="shared" si="11"/>
        <v>4150</v>
      </c>
      <c r="F154" s="20">
        <f t="shared" si="12"/>
        <v>250</v>
      </c>
      <c r="G154" s="20">
        <v>0.22200505842696572</v>
      </c>
      <c r="H154" s="50"/>
      <c r="I154" s="16"/>
      <c r="J154" s="16"/>
      <c r="K154" s="16"/>
      <c r="L154" s="16"/>
      <c r="M154" s="16">
        <v>148</v>
      </c>
      <c r="N154" s="16">
        <f t="shared" si="13"/>
        <v>5.2905308464849352E-2</v>
      </c>
      <c r="O154" s="16"/>
      <c r="P154" s="16"/>
      <c r="Q154" s="16">
        <f t="shared" si="14"/>
        <v>-1.6173135451417477</v>
      </c>
    </row>
    <row r="155" spans="4:17" ht="15" thickBot="1" x14ac:dyDescent="0.35">
      <c r="D155" s="20">
        <f t="shared" si="10"/>
        <v>149</v>
      </c>
      <c r="E155" s="43">
        <f t="shared" si="11"/>
        <v>4250</v>
      </c>
      <c r="F155" s="43">
        <f t="shared" si="12"/>
        <v>250</v>
      </c>
      <c r="G155" s="20">
        <v>0.22248179837637602</v>
      </c>
      <c r="H155" s="50"/>
      <c r="I155" s="16"/>
      <c r="J155" s="16"/>
      <c r="K155" s="16"/>
      <c r="L155" s="16"/>
      <c r="M155" s="16">
        <v>149</v>
      </c>
      <c r="N155" s="16">
        <f t="shared" si="13"/>
        <v>5.3263988522238161E-2</v>
      </c>
      <c r="O155" s="16"/>
      <c r="P155" s="16"/>
      <c r="Q155" s="16">
        <f t="shared" si="14"/>
        <v>-1.6139974608566228</v>
      </c>
    </row>
    <row r="156" spans="4:17" ht="15" thickBot="1" x14ac:dyDescent="0.35">
      <c r="D156" s="20">
        <f t="shared" si="10"/>
        <v>150</v>
      </c>
      <c r="E156" s="20">
        <f t="shared" si="11"/>
        <v>4350</v>
      </c>
      <c r="F156" s="20">
        <f t="shared" si="12"/>
        <v>250</v>
      </c>
      <c r="G156" s="20">
        <v>0.22251399614932713</v>
      </c>
      <c r="H156" s="50"/>
      <c r="I156" s="16"/>
      <c r="J156" s="16"/>
      <c r="K156" s="16"/>
      <c r="L156" s="16"/>
      <c r="M156" s="16">
        <v>150</v>
      </c>
      <c r="N156" s="16">
        <f t="shared" si="13"/>
        <v>5.362266857962697E-2</v>
      </c>
      <c r="O156" s="16"/>
      <c r="P156" s="16"/>
      <c r="Q156" s="16">
        <f t="shared" si="14"/>
        <v>-1.6106990303617927</v>
      </c>
    </row>
    <row r="157" spans="4:17" ht="15" thickBot="1" x14ac:dyDescent="0.35">
      <c r="D157" s="20">
        <f t="shared" si="10"/>
        <v>151</v>
      </c>
      <c r="E157" s="20">
        <f t="shared" si="11"/>
        <v>4450</v>
      </c>
      <c r="F157" s="20">
        <f t="shared" si="12"/>
        <v>250</v>
      </c>
      <c r="G157" s="20">
        <v>0.22283126624240884</v>
      </c>
      <c r="H157" s="50"/>
      <c r="I157" s="16"/>
      <c r="J157" s="16"/>
      <c r="K157" s="16"/>
      <c r="L157" s="16"/>
      <c r="M157" s="16">
        <v>151</v>
      </c>
      <c r="N157" s="16">
        <f t="shared" si="13"/>
        <v>5.3981348637015779E-2</v>
      </c>
      <c r="O157" s="16"/>
      <c r="P157" s="16"/>
      <c r="Q157" s="16">
        <f t="shared" si="14"/>
        <v>-1.6074180311778146</v>
      </c>
    </row>
    <row r="158" spans="4:17" ht="15" thickBot="1" x14ac:dyDescent="0.35">
      <c r="D158" s="20">
        <f t="shared" si="10"/>
        <v>152</v>
      </c>
      <c r="E158" s="20">
        <f t="shared" si="11"/>
        <v>4550</v>
      </c>
      <c r="F158" s="20">
        <f t="shared" si="12"/>
        <v>250</v>
      </c>
      <c r="G158" s="20">
        <v>0.22284467826716403</v>
      </c>
      <c r="H158" s="50"/>
      <c r="I158" s="16"/>
      <c r="J158" s="16"/>
      <c r="K158" s="16"/>
      <c r="L158" s="16"/>
      <c r="M158" s="16">
        <v>152</v>
      </c>
      <c r="N158" s="16">
        <f t="shared" si="13"/>
        <v>5.4340028694404588E-2</v>
      </c>
      <c r="O158" s="16"/>
      <c r="P158" s="16"/>
      <c r="Q158" s="16">
        <f t="shared" si="14"/>
        <v>-1.6041542450826647</v>
      </c>
    </row>
    <row r="159" spans="4:17" ht="15" thickBot="1" x14ac:dyDescent="0.35">
      <c r="D159" s="20">
        <f t="shared" si="10"/>
        <v>153</v>
      </c>
      <c r="E159" s="20">
        <f t="shared" si="11"/>
        <v>4650</v>
      </c>
      <c r="F159" s="20">
        <f t="shared" si="12"/>
        <v>250</v>
      </c>
      <c r="G159" s="20">
        <v>0.22291481251626452</v>
      </c>
      <c r="H159" s="50"/>
      <c r="I159" s="16"/>
      <c r="J159" s="16"/>
      <c r="K159" s="16"/>
      <c r="L159" s="16"/>
      <c r="M159" s="16">
        <v>153</v>
      </c>
      <c r="N159" s="16">
        <f t="shared" si="13"/>
        <v>5.4698708751793397E-2</v>
      </c>
      <c r="O159" s="16"/>
      <c r="P159" s="16"/>
      <c r="Q159" s="16">
        <f t="shared" si="14"/>
        <v>-1.6009074580025999</v>
      </c>
    </row>
    <row r="160" spans="4:17" ht="15" thickBot="1" x14ac:dyDescent="0.35">
      <c r="D160" s="20">
        <f t="shared" si="10"/>
        <v>154</v>
      </c>
      <c r="E160" s="20">
        <f t="shared" si="11"/>
        <v>4750</v>
      </c>
      <c r="F160" s="20">
        <f t="shared" si="12"/>
        <v>250</v>
      </c>
      <c r="G160" s="20">
        <v>0.2229411299680539</v>
      </c>
      <c r="H160" s="50"/>
      <c r="I160" s="16"/>
      <c r="J160" s="16"/>
      <c r="K160" s="16"/>
      <c r="L160" s="16"/>
      <c r="M160" s="16">
        <v>154</v>
      </c>
      <c r="N160" s="16">
        <f t="shared" si="13"/>
        <v>5.5057388809182206E-2</v>
      </c>
      <c r="O160" s="16"/>
      <c r="P160" s="16"/>
      <c r="Q160" s="16">
        <f t="shared" si="14"/>
        <v>-1.5976774599065131</v>
      </c>
    </row>
    <row r="161" spans="4:17" ht="15" thickBot="1" x14ac:dyDescent="0.35">
      <c r="D161" s="20">
        <f t="shared" si="10"/>
        <v>155</v>
      </c>
      <c r="E161" s="20">
        <f t="shared" si="11"/>
        <v>4850</v>
      </c>
      <c r="F161" s="20">
        <f t="shared" si="12"/>
        <v>250</v>
      </c>
      <c r="G161" s="20">
        <v>0.22340022213848337</v>
      </c>
      <c r="H161" s="50"/>
      <c r="I161" s="16"/>
      <c r="J161" s="16"/>
      <c r="K161" s="16"/>
      <c r="L161" s="16"/>
      <c r="M161" s="16">
        <v>155</v>
      </c>
      <c r="N161" s="16">
        <f t="shared" si="13"/>
        <v>5.5416068866571015E-2</v>
      </c>
      <c r="O161" s="16"/>
      <c r="P161" s="16"/>
      <c r="Q161" s="16">
        <f t="shared" si="14"/>
        <v>-1.5944640447036484</v>
      </c>
    </row>
    <row r="162" spans="4:17" ht="15" thickBot="1" x14ac:dyDescent="0.35">
      <c r="D162" s="20">
        <f t="shared" si="10"/>
        <v>156</v>
      </c>
      <c r="E162" s="20">
        <f t="shared" si="11"/>
        <v>4950</v>
      </c>
      <c r="F162" s="20">
        <f t="shared" si="12"/>
        <v>250</v>
      </c>
      <c r="G162" s="20">
        <v>0.22353088496396786</v>
      </c>
      <c r="H162" s="50"/>
      <c r="I162" s="16"/>
      <c r="J162" s="16"/>
      <c r="K162" s="16"/>
      <c r="L162" s="16"/>
      <c r="M162" s="16">
        <v>156</v>
      </c>
      <c r="N162" s="16">
        <f t="shared" si="13"/>
        <v>5.5774748923959831E-2</v>
      </c>
      <c r="O162" s="16"/>
      <c r="P162" s="16"/>
      <c r="Q162" s="16">
        <f t="shared" si="14"/>
        <v>-1.5912670101445581</v>
      </c>
    </row>
    <row r="163" spans="4:17" ht="15" thickBot="1" x14ac:dyDescent="0.35">
      <c r="D163" s="20">
        <f t="shared" si="10"/>
        <v>157</v>
      </c>
      <c r="E163" s="20">
        <f t="shared" si="11"/>
        <v>5050</v>
      </c>
      <c r="F163" s="20">
        <f t="shared" si="12"/>
        <v>250</v>
      </c>
      <c r="G163" s="20">
        <v>0.22366228745933212</v>
      </c>
      <c r="H163" s="50"/>
      <c r="I163" s="16"/>
      <c r="J163" s="16"/>
      <c r="K163" s="16"/>
      <c r="L163" s="16"/>
      <c r="M163" s="16">
        <v>157</v>
      </c>
      <c r="N163" s="16">
        <f t="shared" si="13"/>
        <v>5.613342898134864E-2</v>
      </c>
      <c r="O163" s="16"/>
      <c r="P163" s="16"/>
      <c r="Q163" s="16">
        <f t="shared" si="14"/>
        <v>-1.5880861577251608</v>
      </c>
    </row>
    <row r="164" spans="4:17" ht="15" thickBot="1" x14ac:dyDescent="0.35">
      <c r="D164" s="20">
        <f t="shared" si="10"/>
        <v>158</v>
      </c>
      <c r="E164" s="20">
        <f t="shared" si="11"/>
        <v>5150</v>
      </c>
      <c r="F164" s="20">
        <f t="shared" si="12"/>
        <v>250</v>
      </c>
      <c r="G164" s="20">
        <v>0.22374187237305282</v>
      </c>
      <c r="H164" s="50"/>
      <c r="I164" s="16"/>
      <c r="J164" s="16"/>
      <c r="K164" s="16"/>
      <c r="L164" s="16"/>
      <c r="M164" s="16">
        <v>158</v>
      </c>
      <c r="N164" s="16">
        <f t="shared" si="13"/>
        <v>5.6492109038737449E-2</v>
      </c>
      <c r="O164" s="16"/>
      <c r="P164" s="16"/>
      <c r="Q164" s="16">
        <f t="shared" si="14"/>
        <v>-1.584921292593801</v>
      </c>
    </row>
    <row r="165" spans="4:17" ht="15" thickBot="1" x14ac:dyDescent="0.35">
      <c r="D165" s="20">
        <f t="shared" si="10"/>
        <v>159</v>
      </c>
      <c r="E165" s="20">
        <f t="shared" si="11"/>
        <v>5250</v>
      </c>
      <c r="F165" s="20">
        <f t="shared" si="12"/>
        <v>250</v>
      </c>
      <c r="G165" s="20">
        <v>0.22412714576107234</v>
      </c>
      <c r="H165" s="50"/>
      <c r="I165" s="16"/>
      <c r="J165" s="16"/>
      <c r="K165" s="16"/>
      <c r="L165" s="16"/>
      <c r="M165" s="16">
        <v>159</v>
      </c>
      <c r="N165" s="16">
        <f t="shared" si="13"/>
        <v>5.6850789096126259E-2</v>
      </c>
      <c r="O165" s="16"/>
      <c r="P165" s="16"/>
      <c r="Q165" s="16">
        <f t="shared" si="14"/>
        <v>-1.5817722234611891</v>
      </c>
    </row>
    <row r="166" spans="4:17" ht="15" thickBot="1" x14ac:dyDescent="0.35">
      <c r="D166" s="20">
        <f t="shared" si="10"/>
        <v>160</v>
      </c>
      <c r="E166" s="20">
        <f t="shared" si="11"/>
        <v>50</v>
      </c>
      <c r="F166" s="20">
        <f t="shared" si="12"/>
        <v>350</v>
      </c>
      <c r="G166" s="20">
        <v>0.22422268049810745</v>
      </c>
      <c r="H166" s="50"/>
      <c r="I166" s="16"/>
      <c r="J166" s="16"/>
      <c r="K166" s="16"/>
      <c r="L166" s="16"/>
      <c r="M166" s="16">
        <v>160</v>
      </c>
      <c r="N166" s="16">
        <f t="shared" si="13"/>
        <v>5.7209469153515068E-2</v>
      </c>
      <c r="O166" s="16"/>
      <c r="P166" s="16"/>
      <c r="Q166" s="16">
        <f t="shared" si="14"/>
        <v>-1.5786387625131182</v>
      </c>
    </row>
    <row r="167" spans="4:17" ht="15" thickBot="1" x14ac:dyDescent="0.35">
      <c r="D167" s="20">
        <f t="shared" si="10"/>
        <v>161</v>
      </c>
      <c r="E167" s="20">
        <f t="shared" si="11"/>
        <v>150</v>
      </c>
      <c r="F167" s="20">
        <f t="shared" si="12"/>
        <v>350</v>
      </c>
      <c r="G167" s="20">
        <v>0.22434932550937131</v>
      </c>
      <c r="H167" s="50"/>
      <c r="I167" s="16"/>
      <c r="J167" s="16"/>
      <c r="K167" s="16"/>
      <c r="L167" s="16"/>
      <c r="M167" s="16">
        <v>161</v>
      </c>
      <c r="N167" s="16">
        <f t="shared" si="13"/>
        <v>5.7568149210903877E-2</v>
      </c>
      <c r="O167" s="16"/>
      <c r="P167" s="16"/>
      <c r="Q167" s="16">
        <f t="shared" si="14"/>
        <v>-1.5755207253258505</v>
      </c>
    </row>
    <row r="168" spans="4:17" ht="15" thickBot="1" x14ac:dyDescent="0.35">
      <c r="D168" s="20">
        <f t="shared" si="10"/>
        <v>162</v>
      </c>
      <c r="E168" s="20">
        <f t="shared" si="11"/>
        <v>250</v>
      </c>
      <c r="F168" s="20">
        <f t="shared" si="12"/>
        <v>350</v>
      </c>
      <c r="G168" s="20">
        <v>0.22461953148021657</v>
      </c>
      <c r="H168" s="50"/>
      <c r="I168" s="16"/>
      <c r="J168" s="16"/>
      <c r="K168" s="16"/>
      <c r="L168" s="16"/>
      <c r="M168" s="16">
        <v>162</v>
      </c>
      <c r="N168" s="16">
        <f t="shared" si="13"/>
        <v>5.7926829268292686E-2</v>
      </c>
      <c r="O168" s="16"/>
      <c r="P168" s="16"/>
      <c r="Q168" s="16">
        <f t="shared" si="14"/>
        <v>-1.5724179307840844</v>
      </c>
    </row>
    <row r="169" spans="4:17" ht="15" thickBot="1" x14ac:dyDescent="0.35">
      <c r="D169" s="20">
        <f t="shared" si="10"/>
        <v>163</v>
      </c>
      <c r="E169" s="20">
        <f t="shared" si="11"/>
        <v>350</v>
      </c>
      <c r="F169" s="20">
        <f t="shared" si="12"/>
        <v>350</v>
      </c>
      <c r="G169" s="20">
        <v>0.22495512919213587</v>
      </c>
      <c r="H169" s="50"/>
      <c r="I169" s="16"/>
      <c r="J169" s="16"/>
      <c r="K169" s="16"/>
      <c r="L169" s="16"/>
      <c r="M169" s="16">
        <v>163</v>
      </c>
      <c r="N169" s="16">
        <f t="shared" si="13"/>
        <v>5.8285509325681495E-2</v>
      </c>
      <c r="O169" s="16"/>
      <c r="P169" s="16"/>
      <c r="Q169" s="16">
        <f t="shared" si="14"/>
        <v>-1.569330201001397</v>
      </c>
    </row>
    <row r="170" spans="4:17" ht="15" thickBot="1" x14ac:dyDescent="0.35">
      <c r="D170" s="20">
        <f t="shared" si="10"/>
        <v>164</v>
      </c>
      <c r="E170" s="20">
        <f t="shared" si="11"/>
        <v>450</v>
      </c>
      <c r="F170" s="20">
        <f t="shared" si="12"/>
        <v>350</v>
      </c>
      <c r="G170" s="20">
        <v>0.22529297243944849</v>
      </c>
      <c r="H170" s="50"/>
      <c r="I170" s="16"/>
      <c r="J170" s="16"/>
      <c r="K170" s="16"/>
      <c r="L170" s="16"/>
      <c r="M170" s="16">
        <v>164</v>
      </c>
      <c r="N170" s="16">
        <f t="shared" si="13"/>
        <v>5.8644189383070304E-2</v>
      </c>
      <c r="O170" s="16"/>
      <c r="P170" s="16"/>
      <c r="Q170" s="16">
        <f t="shared" si="14"/>
        <v>-1.5662573612430823</v>
      </c>
    </row>
    <row r="171" spans="4:17" ht="15" thickBot="1" x14ac:dyDescent="0.35">
      <c r="D171" s="20">
        <f t="shared" si="10"/>
        <v>165</v>
      </c>
      <c r="E171" s="44">
        <f t="shared" si="11"/>
        <v>550</v>
      </c>
      <c r="F171" s="44">
        <f t="shared" si="12"/>
        <v>350</v>
      </c>
      <c r="G171" s="20">
        <v>0.22532144234409462</v>
      </c>
      <c r="H171" s="50"/>
      <c r="I171" s="16"/>
      <c r="J171" s="16"/>
      <c r="K171" s="16"/>
      <c r="L171" s="16"/>
      <c r="M171" s="16">
        <v>165</v>
      </c>
      <c r="N171" s="16">
        <f t="shared" si="13"/>
        <v>5.9002869440459113E-2</v>
      </c>
      <c r="O171" s="16"/>
      <c r="P171" s="16"/>
      <c r="Q171" s="16">
        <f t="shared" si="14"/>
        <v>-1.5631992398512928</v>
      </c>
    </row>
    <row r="172" spans="4:17" ht="15" thickBot="1" x14ac:dyDescent="0.35">
      <c r="D172" s="20">
        <f t="shared" si="10"/>
        <v>166</v>
      </c>
      <c r="E172" s="20">
        <f t="shared" si="11"/>
        <v>650</v>
      </c>
      <c r="F172" s="20">
        <f t="shared" si="12"/>
        <v>350</v>
      </c>
      <c r="G172" s="20">
        <v>0.22538283478700805</v>
      </c>
      <c r="H172" s="50"/>
      <c r="I172" s="16"/>
      <c r="J172" s="16"/>
      <c r="K172" s="16"/>
      <c r="L172" s="16"/>
      <c r="M172" s="16">
        <v>166</v>
      </c>
      <c r="N172" s="16">
        <f t="shared" si="13"/>
        <v>5.9361549497847922E-2</v>
      </c>
      <c r="O172" s="16"/>
      <c r="P172" s="16"/>
      <c r="Q172" s="16">
        <f t="shared" si="14"/>
        <v>-1.560155668172406</v>
      </c>
    </row>
    <row r="173" spans="4:17" ht="15" thickBot="1" x14ac:dyDescent="0.35">
      <c r="D173" s="20">
        <f t="shared" si="10"/>
        <v>167</v>
      </c>
      <c r="E173" s="47">
        <f t="shared" si="11"/>
        <v>750</v>
      </c>
      <c r="F173" s="47">
        <f t="shared" si="12"/>
        <v>350</v>
      </c>
      <c r="G173" s="20">
        <v>0.2255506594538387</v>
      </c>
      <c r="H173" s="50"/>
      <c r="I173" s="16"/>
      <c r="J173" s="16"/>
      <c r="K173" s="16"/>
      <c r="L173" s="16"/>
      <c r="M173" s="16">
        <v>167</v>
      </c>
      <c r="N173" s="16">
        <f t="shared" si="13"/>
        <v>5.9720229555236731E-2</v>
      </c>
      <c r="O173" s="16"/>
      <c r="P173" s="16"/>
      <c r="Q173" s="16">
        <f t="shared" si="14"/>
        <v>-1.5571264804865295</v>
      </c>
    </row>
    <row r="174" spans="4:17" ht="15" thickBot="1" x14ac:dyDescent="0.35">
      <c r="D174" s="20">
        <f t="shared" si="10"/>
        <v>168</v>
      </c>
      <c r="E174" s="20">
        <f t="shared" si="11"/>
        <v>850</v>
      </c>
      <c r="F174" s="20">
        <f t="shared" si="12"/>
        <v>350</v>
      </c>
      <c r="G174" s="20">
        <v>0.22564845304839609</v>
      </c>
      <c r="H174" s="50"/>
      <c r="I174" s="16"/>
      <c r="J174" s="16"/>
      <c r="K174" s="16"/>
      <c r="L174" s="16"/>
      <c r="M174" s="16">
        <v>168</v>
      </c>
      <c r="N174" s="16">
        <f t="shared" si="13"/>
        <v>6.007890961262554E-2</v>
      </c>
      <c r="O174" s="16"/>
      <c r="P174" s="16"/>
      <c r="Q174" s="16">
        <f t="shared" si="14"/>
        <v>-1.5541115139390809</v>
      </c>
    </row>
    <row r="175" spans="4:17" ht="15" thickBot="1" x14ac:dyDescent="0.35">
      <c r="D175" s="20">
        <f t="shared" si="10"/>
        <v>169</v>
      </c>
      <c r="E175" s="20">
        <f t="shared" si="11"/>
        <v>950</v>
      </c>
      <c r="F175" s="20">
        <f t="shared" si="12"/>
        <v>350</v>
      </c>
      <c r="G175" s="20">
        <v>0.22589428145384655</v>
      </c>
      <c r="H175" s="50"/>
      <c r="I175" s="16"/>
      <c r="J175" s="16"/>
      <c r="K175" s="16"/>
      <c r="L175" s="16"/>
      <c r="M175" s="16">
        <v>169</v>
      </c>
      <c r="N175" s="16">
        <f t="shared" si="13"/>
        <v>6.0437589670014349E-2</v>
      </c>
      <c r="O175" s="16"/>
      <c r="P175" s="16"/>
      <c r="Q175" s="16">
        <f t="shared" si="14"/>
        <v>-1.5511106084743602</v>
      </c>
    </row>
    <row r="176" spans="4:17" ht="15" thickBot="1" x14ac:dyDescent="0.35">
      <c r="D176" s="20">
        <f t="shared" si="10"/>
        <v>170</v>
      </c>
      <c r="E176" s="20">
        <f t="shared" si="11"/>
        <v>1050</v>
      </c>
      <c r="F176" s="20">
        <f t="shared" si="12"/>
        <v>350</v>
      </c>
      <c r="G176" s="20">
        <v>0.22620406069680427</v>
      </c>
      <c r="H176" s="50"/>
      <c r="I176" s="16"/>
      <c r="J176" s="16"/>
      <c r="K176" s="16"/>
      <c r="L176" s="16"/>
      <c r="M176" s="16">
        <v>170</v>
      </c>
      <c r="N176" s="16">
        <f t="shared" si="13"/>
        <v>6.0796269727403159E-2</v>
      </c>
      <c r="O176" s="16"/>
      <c r="P176" s="16"/>
      <c r="Q176" s="16">
        <f t="shared" si="14"/>
        <v>-1.5481236067710449</v>
      </c>
    </row>
    <row r="177" spans="4:17" ht="15" thickBot="1" x14ac:dyDescent="0.35">
      <c r="D177" s="20">
        <f t="shared" si="10"/>
        <v>171</v>
      </c>
      <c r="E177" s="20">
        <f t="shared" si="11"/>
        <v>1150</v>
      </c>
      <c r="F177" s="20">
        <f t="shared" si="12"/>
        <v>350</v>
      </c>
      <c r="G177" s="20">
        <v>0.22636378676055924</v>
      </c>
      <c r="H177" s="50"/>
      <c r="I177" s="16"/>
      <c r="J177" s="16"/>
      <c r="K177" s="16"/>
      <c r="L177" s="16"/>
      <c r="M177" s="16">
        <v>171</v>
      </c>
      <c r="N177" s="16">
        <f t="shared" si="13"/>
        <v>6.1154949784791968E-2</v>
      </c>
      <c r="O177" s="16"/>
      <c r="P177" s="16"/>
      <c r="Q177" s="16">
        <f t="shared" si="14"/>
        <v>-1.545150354179549</v>
      </c>
    </row>
    <row r="178" spans="4:17" ht="15" thickBot="1" x14ac:dyDescent="0.35">
      <c r="D178" s="20">
        <f t="shared" si="10"/>
        <v>172</v>
      </c>
      <c r="E178" s="20">
        <f t="shared" si="11"/>
        <v>1250</v>
      </c>
      <c r="F178" s="20">
        <f t="shared" si="12"/>
        <v>350</v>
      </c>
      <c r="G178" s="20">
        <v>0.22643629439036778</v>
      </c>
      <c r="H178" s="50"/>
      <c r="I178" s="16"/>
      <c r="J178" s="16"/>
      <c r="K178" s="16"/>
      <c r="L178" s="16"/>
      <c r="M178" s="16">
        <v>172</v>
      </c>
      <c r="N178" s="16">
        <f t="shared" si="13"/>
        <v>6.1513629842180777E-2</v>
      </c>
      <c r="O178" s="16"/>
      <c r="P178" s="16"/>
      <c r="Q178" s="16">
        <f t="shared" si="14"/>
        <v>-1.542190698661174</v>
      </c>
    </row>
    <row r="179" spans="4:17" ht="15" thickBot="1" x14ac:dyDescent="0.35">
      <c r="D179" s="20">
        <f t="shared" si="10"/>
        <v>173</v>
      </c>
      <c r="E179" s="20">
        <f t="shared" si="11"/>
        <v>1350</v>
      </c>
      <c r="F179" s="20">
        <f t="shared" si="12"/>
        <v>350</v>
      </c>
      <c r="G179" s="20">
        <v>0.22643909474324592</v>
      </c>
      <c r="H179" s="50"/>
      <c r="I179" s="16"/>
      <c r="J179" s="16"/>
      <c r="K179" s="16"/>
      <c r="L179" s="16"/>
      <c r="M179" s="16">
        <v>173</v>
      </c>
      <c r="N179" s="16">
        <f t="shared" si="13"/>
        <v>6.1872309899569586E-2</v>
      </c>
      <c r="O179" s="16"/>
      <c r="P179" s="16"/>
      <c r="Q179" s="16">
        <f t="shared" si="14"/>
        <v>-1.5392444907289915</v>
      </c>
    </row>
    <row r="180" spans="4:17" ht="15" thickBot="1" x14ac:dyDescent="0.35">
      <c r="D180" s="20">
        <f t="shared" si="10"/>
        <v>174</v>
      </c>
      <c r="E180" s="45">
        <f t="shared" si="11"/>
        <v>1450</v>
      </c>
      <c r="F180" s="45">
        <f t="shared" si="12"/>
        <v>350</v>
      </c>
      <c r="G180" s="20">
        <v>0.22694420792598691</v>
      </c>
      <c r="H180" s="50"/>
      <c r="I180" s="16"/>
      <c r="J180" s="16"/>
      <c r="K180" s="16"/>
      <c r="L180" s="16"/>
      <c r="M180" s="16">
        <v>174</v>
      </c>
      <c r="N180" s="16">
        <f t="shared" si="13"/>
        <v>6.2230989956958395E-2</v>
      </c>
      <c r="O180" s="16"/>
      <c r="P180" s="16"/>
      <c r="Q180" s="16">
        <f t="shared" si="14"/>
        <v>-1.5363115833904037</v>
      </c>
    </row>
    <row r="181" spans="4:17" ht="15" thickBot="1" x14ac:dyDescent="0.35">
      <c r="D181" s="20">
        <f t="shared" si="10"/>
        <v>175</v>
      </c>
      <c r="E181" s="48">
        <f t="shared" si="11"/>
        <v>1550</v>
      </c>
      <c r="F181" s="48">
        <f t="shared" si="12"/>
        <v>350</v>
      </c>
      <c r="G181" s="20">
        <v>0.22783691842351561</v>
      </c>
      <c r="H181" s="50"/>
      <c r="I181" s="16"/>
      <c r="J181" s="16"/>
      <c r="K181" s="16"/>
      <c r="L181" s="16"/>
      <c r="M181" s="16">
        <v>175</v>
      </c>
      <c r="N181" s="16">
        <f t="shared" si="13"/>
        <v>6.2589670014347204E-2</v>
      </c>
      <c r="O181" s="16"/>
      <c r="P181" s="16"/>
      <c r="Q181" s="16">
        <f t="shared" si="14"/>
        <v>-1.5333918320913194</v>
      </c>
    </row>
    <row r="182" spans="4:17" ht="15" thickBot="1" x14ac:dyDescent="0.35">
      <c r="D182" s="20">
        <f t="shared" si="10"/>
        <v>176</v>
      </c>
      <c r="E182" s="20">
        <f t="shared" si="11"/>
        <v>1650</v>
      </c>
      <c r="F182" s="20">
        <f t="shared" si="12"/>
        <v>350</v>
      </c>
      <c r="G182" s="20">
        <v>0.22817666257529506</v>
      </c>
      <c r="H182" s="50"/>
      <c r="I182" s="16"/>
      <c r="J182" s="16"/>
      <c r="K182" s="16"/>
      <c r="L182" s="16"/>
      <c r="M182" s="16">
        <v>176</v>
      </c>
      <c r="N182" s="16">
        <f t="shared" si="13"/>
        <v>6.2948350071736006E-2</v>
      </c>
      <c r="O182" s="16"/>
      <c r="P182" s="16"/>
      <c r="Q182" s="16">
        <f t="shared" si="14"/>
        <v>-1.5304850946618891</v>
      </c>
    </row>
    <row r="183" spans="4:17" ht="15" thickBot="1" x14ac:dyDescent="0.35">
      <c r="D183" s="20">
        <f t="shared" si="10"/>
        <v>177</v>
      </c>
      <c r="E183" s="45">
        <f t="shared" si="11"/>
        <v>1750</v>
      </c>
      <c r="F183" s="45">
        <f t="shared" si="12"/>
        <v>350</v>
      </c>
      <c r="G183" s="20">
        <v>0.22835652323186373</v>
      </c>
      <c r="H183" s="50"/>
      <c r="I183" s="16"/>
      <c r="J183" s="16"/>
      <c r="K183" s="16"/>
      <c r="L183" s="16"/>
      <c r="M183" s="16">
        <v>177</v>
      </c>
      <c r="N183" s="16">
        <f t="shared" si="13"/>
        <v>6.3307030129124822E-2</v>
      </c>
      <c r="O183" s="16"/>
      <c r="P183" s="16"/>
      <c r="Q183" s="16">
        <f t="shared" si="14"/>
        <v>-1.5275912312637558</v>
      </c>
    </row>
    <row r="184" spans="4:17" ht="15" thickBot="1" x14ac:dyDescent="0.35">
      <c r="D184" s="20">
        <f t="shared" si="10"/>
        <v>178</v>
      </c>
      <c r="E184" s="20">
        <f t="shared" si="11"/>
        <v>1850</v>
      </c>
      <c r="F184" s="20">
        <f t="shared" si="12"/>
        <v>350</v>
      </c>
      <c r="G184" s="20">
        <v>0.22841712284400217</v>
      </c>
      <c r="H184" s="50"/>
      <c r="I184" s="16"/>
      <c r="J184" s="16"/>
      <c r="K184" s="16"/>
      <c r="L184" s="16"/>
      <c r="M184" s="16">
        <v>178</v>
      </c>
      <c r="N184" s="16">
        <f t="shared" si="13"/>
        <v>6.3665710186513624E-2</v>
      </c>
      <c r="O184" s="16"/>
      <c r="P184" s="16"/>
      <c r="Q184" s="16">
        <f t="shared" si="14"/>
        <v>-1.5247101043387628</v>
      </c>
    </row>
    <row r="185" spans="4:17" ht="15" thickBot="1" x14ac:dyDescent="0.35">
      <c r="D185" s="20">
        <f t="shared" si="10"/>
        <v>179</v>
      </c>
      <c r="E185" s="48">
        <f t="shared" si="11"/>
        <v>1950</v>
      </c>
      <c r="F185" s="48">
        <f t="shared" si="12"/>
        <v>350</v>
      </c>
      <c r="G185" s="20">
        <v>0.22853922774001151</v>
      </c>
      <c r="H185" s="50"/>
      <c r="I185" s="16"/>
      <c r="J185" s="16"/>
      <c r="K185" s="16"/>
      <c r="L185" s="16"/>
      <c r="M185" s="16">
        <v>179</v>
      </c>
      <c r="N185" s="16">
        <f t="shared" si="13"/>
        <v>6.402439024390244E-2</v>
      </c>
      <c r="O185" s="16"/>
      <c r="P185" s="16"/>
      <c r="Q185" s="16">
        <f t="shared" si="14"/>
        <v>-1.5218415785590729</v>
      </c>
    </row>
    <row r="186" spans="4:17" ht="15" thickBot="1" x14ac:dyDescent="0.35">
      <c r="D186" s="20">
        <f t="shared" si="10"/>
        <v>180</v>
      </c>
      <c r="E186" s="20">
        <f t="shared" si="11"/>
        <v>2050</v>
      </c>
      <c r="F186" s="20">
        <f t="shared" si="12"/>
        <v>350</v>
      </c>
      <c r="G186" s="20">
        <v>0.22906353427969961</v>
      </c>
      <c r="H186" s="50"/>
      <c r="I186" s="16"/>
      <c r="J186" s="16"/>
      <c r="K186" s="16"/>
      <c r="L186" s="16"/>
      <c r="M186" s="16">
        <v>180</v>
      </c>
      <c r="N186" s="16">
        <f t="shared" si="13"/>
        <v>6.4383070301291243E-2</v>
      </c>
      <c r="O186" s="16"/>
      <c r="P186" s="16"/>
      <c r="Q186" s="16">
        <f t="shared" si="14"/>
        <v>-1.5189855207786536</v>
      </c>
    </row>
    <row r="187" spans="4:17" ht="15" thickBot="1" x14ac:dyDescent="0.35">
      <c r="D187" s="20">
        <f t="shared" si="10"/>
        <v>181</v>
      </c>
      <c r="E187" s="20">
        <f t="shared" si="11"/>
        <v>2150</v>
      </c>
      <c r="F187" s="20">
        <f t="shared" si="12"/>
        <v>350</v>
      </c>
      <c r="G187" s="20">
        <v>0.22922358475958859</v>
      </c>
      <c r="H187" s="50"/>
      <c r="I187" s="16"/>
      <c r="J187" s="16"/>
      <c r="K187" s="16"/>
      <c r="L187" s="16"/>
      <c r="M187" s="16">
        <v>181</v>
      </c>
      <c r="N187" s="16">
        <f t="shared" si="13"/>
        <v>6.4741750358680059E-2</v>
      </c>
      <c r="O187" s="16"/>
      <c r="P187" s="16"/>
      <c r="Q187" s="16">
        <f t="shared" si="14"/>
        <v>-1.5161417999860818</v>
      </c>
    </row>
    <row r="188" spans="4:17" ht="15" thickBot="1" x14ac:dyDescent="0.35">
      <c r="D188" s="20">
        <f t="shared" si="10"/>
        <v>182</v>
      </c>
      <c r="E188" s="20">
        <f t="shared" si="11"/>
        <v>2250</v>
      </c>
      <c r="F188" s="20">
        <f t="shared" si="12"/>
        <v>350</v>
      </c>
      <c r="G188" s="20">
        <v>0.22951655833768919</v>
      </c>
      <c r="H188" s="50"/>
      <c r="I188" s="16"/>
      <c r="J188" s="16"/>
      <c r="K188" s="16"/>
      <c r="L188" s="16"/>
      <c r="M188" s="16">
        <v>182</v>
      </c>
      <c r="N188" s="16">
        <f t="shared" si="13"/>
        <v>6.5100430416068861E-2</v>
      </c>
      <c r="O188" s="16"/>
      <c r="P188" s="16"/>
      <c r="Q188" s="16">
        <f t="shared" si="14"/>
        <v>-1.5133102872586255</v>
      </c>
    </row>
    <row r="189" spans="4:17" ht="15" thickBot="1" x14ac:dyDescent="0.35">
      <c r="D189" s="20">
        <f t="shared" si="10"/>
        <v>183</v>
      </c>
      <c r="E189" s="44">
        <f t="shared" si="11"/>
        <v>2350</v>
      </c>
      <c r="F189" s="44">
        <f t="shared" si="12"/>
        <v>350</v>
      </c>
      <c r="G189" s="20">
        <v>0.22968763025131778</v>
      </c>
      <c r="H189" s="50"/>
      <c r="I189" s="16"/>
      <c r="J189" s="16"/>
      <c r="K189" s="16"/>
      <c r="L189" s="16"/>
      <c r="M189" s="16">
        <v>183</v>
      </c>
      <c r="N189" s="16">
        <f t="shared" si="13"/>
        <v>6.5459110473457677E-2</v>
      </c>
      <c r="O189" s="16"/>
      <c r="P189" s="16"/>
      <c r="Q189" s="16">
        <f t="shared" si="14"/>
        <v>-1.5104908557175598</v>
      </c>
    </row>
    <row r="190" spans="4:17" ht="15" thickBot="1" x14ac:dyDescent="0.35">
      <c r="D190" s="20">
        <f t="shared" si="10"/>
        <v>184</v>
      </c>
      <c r="E190" s="20">
        <f t="shared" si="11"/>
        <v>2450</v>
      </c>
      <c r="F190" s="20">
        <f t="shared" si="12"/>
        <v>350</v>
      </c>
      <c r="G190" s="20">
        <v>0.23031711839953273</v>
      </c>
      <c r="H190" s="50"/>
      <c r="I190" s="16"/>
      <c r="J190" s="16"/>
      <c r="K190" s="16"/>
      <c r="L190" s="16"/>
      <c r="M190" s="16">
        <v>184</v>
      </c>
      <c r="N190" s="16">
        <f t="shared" si="13"/>
        <v>6.5817790530846479E-2</v>
      </c>
      <c r="O190" s="16"/>
      <c r="P190" s="16"/>
      <c r="Q190" s="16">
        <f t="shared" si="14"/>
        <v>-1.5076833804846856</v>
      </c>
    </row>
    <row r="191" spans="4:17" ht="15" thickBot="1" x14ac:dyDescent="0.35">
      <c r="D191" s="20">
        <f t="shared" si="10"/>
        <v>185</v>
      </c>
      <c r="E191" s="20">
        <f t="shared" si="11"/>
        <v>2550</v>
      </c>
      <c r="F191" s="20">
        <f t="shared" si="12"/>
        <v>350</v>
      </c>
      <c r="G191" s="20">
        <v>0.23037805061277694</v>
      </c>
      <c r="H191" s="50"/>
      <c r="I191" s="16"/>
      <c r="J191" s="16"/>
      <c r="K191" s="16"/>
      <c r="L191" s="16"/>
      <c r="M191" s="16">
        <v>185</v>
      </c>
      <c r="N191" s="16">
        <f t="shared" si="13"/>
        <v>6.6176470588235295E-2</v>
      </c>
      <c r="O191" s="16"/>
      <c r="P191" s="16"/>
      <c r="Q191" s="16">
        <f t="shared" si="14"/>
        <v>-1.5048877386399935</v>
      </c>
    </row>
    <row r="192" spans="4:17" ht="15" thickBot="1" x14ac:dyDescent="0.35">
      <c r="D192" s="20">
        <f t="shared" si="10"/>
        <v>186</v>
      </c>
      <c r="E192" s="20">
        <f t="shared" si="11"/>
        <v>2650</v>
      </c>
      <c r="F192" s="20">
        <f t="shared" si="12"/>
        <v>350</v>
      </c>
      <c r="G192" s="20">
        <v>0.23057535891080455</v>
      </c>
      <c r="H192" s="50"/>
      <c r="I192" s="16"/>
      <c r="J192" s="16"/>
      <c r="K192" s="16"/>
      <c r="L192" s="16"/>
      <c r="M192" s="16">
        <v>186</v>
      </c>
      <c r="N192" s="16">
        <f t="shared" si="13"/>
        <v>6.6535150645624097E-2</v>
      </c>
      <c r="O192" s="16"/>
      <c r="P192" s="16"/>
      <c r="Q192" s="16">
        <f t="shared" si="14"/>
        <v>-1.5021038091804613</v>
      </c>
    </row>
    <row r="193" spans="4:17" ht="15" thickBot="1" x14ac:dyDescent="0.35">
      <c r="D193" s="20">
        <f t="shared" si="10"/>
        <v>187</v>
      </c>
      <c r="E193" s="20">
        <f t="shared" si="11"/>
        <v>2750</v>
      </c>
      <c r="F193" s="20">
        <f t="shared" si="12"/>
        <v>350</v>
      </c>
      <c r="G193" s="20">
        <v>0.2308615781032004</v>
      </c>
      <c r="H193" s="50"/>
      <c r="I193" s="16"/>
      <c r="J193" s="16"/>
      <c r="K193" s="16"/>
      <c r="L193" s="16"/>
      <c r="M193" s="16">
        <v>187</v>
      </c>
      <c r="N193" s="16">
        <f t="shared" si="13"/>
        <v>6.6893830703012913E-2</v>
      </c>
      <c r="O193" s="16"/>
      <c r="P193" s="16"/>
      <c r="Q193" s="16">
        <f t="shared" si="14"/>
        <v>-1.4993314729799272</v>
      </c>
    </row>
    <row r="194" spans="4:17" ht="15" thickBot="1" x14ac:dyDescent="0.35">
      <c r="D194" s="20">
        <f t="shared" si="10"/>
        <v>188</v>
      </c>
      <c r="E194" s="20">
        <f t="shared" si="11"/>
        <v>2850</v>
      </c>
      <c r="F194" s="20">
        <f t="shared" si="12"/>
        <v>350</v>
      </c>
      <c r="G194" s="20">
        <v>0.23106315432512584</v>
      </c>
      <c r="H194" s="50"/>
      <c r="I194" s="16"/>
      <c r="J194" s="16"/>
      <c r="K194" s="16"/>
      <c r="L194" s="16"/>
      <c r="M194" s="16">
        <v>188</v>
      </c>
      <c r="N194" s="16">
        <f t="shared" si="13"/>
        <v>6.7252510760401715E-2</v>
      </c>
      <c r="O194" s="16"/>
      <c r="P194" s="16"/>
      <c r="Q194" s="16">
        <f t="shared" si="14"/>
        <v>-1.4965706127500205</v>
      </c>
    </row>
    <row r="195" spans="4:17" ht="15" thickBot="1" x14ac:dyDescent="0.35">
      <c r="D195" s="20">
        <f t="shared" si="10"/>
        <v>189</v>
      </c>
      <c r="E195" s="20">
        <f t="shared" si="11"/>
        <v>2950</v>
      </c>
      <c r="F195" s="20">
        <f t="shared" si="12"/>
        <v>350</v>
      </c>
      <c r="G195" s="20">
        <v>0.231500188747439</v>
      </c>
      <c r="H195" s="50"/>
      <c r="I195" s="16"/>
      <c r="J195" s="16"/>
      <c r="K195" s="16"/>
      <c r="L195" s="16"/>
      <c r="M195" s="16">
        <v>189</v>
      </c>
      <c r="N195" s="16">
        <f t="shared" si="13"/>
        <v>6.7611190817790531E-2</v>
      </c>
      <c r="O195" s="16"/>
      <c r="P195" s="16"/>
      <c r="Q195" s="16">
        <f t="shared" si="14"/>
        <v>-1.493821113002102</v>
      </c>
    </row>
    <row r="196" spans="4:17" ht="15" thickBot="1" x14ac:dyDescent="0.35">
      <c r="D196" s="20">
        <f t="shared" si="10"/>
        <v>190</v>
      </c>
      <c r="E196" s="20">
        <f t="shared" si="11"/>
        <v>3050</v>
      </c>
      <c r="F196" s="20">
        <f t="shared" si="12"/>
        <v>350</v>
      </c>
      <c r="G196" s="20">
        <v>0.2326430096823604</v>
      </c>
      <c r="H196" s="50"/>
      <c r="I196" s="16"/>
      <c r="J196" s="16"/>
      <c r="K196" s="16"/>
      <c r="L196" s="16"/>
      <c r="M196" s="16">
        <v>190</v>
      </c>
      <c r="N196" s="16">
        <f t="shared" si="13"/>
        <v>6.7969870875179333E-2</v>
      </c>
      <c r="O196" s="16"/>
      <c r="P196" s="16"/>
      <c r="Q196" s="16">
        <f t="shared" si="14"/>
        <v>-1.4910828600102002</v>
      </c>
    </row>
    <row r="197" spans="4:17" ht="15" thickBot="1" x14ac:dyDescent="0.35">
      <c r="D197" s="20">
        <f t="shared" si="10"/>
        <v>191</v>
      </c>
      <c r="E197" s="20">
        <f t="shared" si="11"/>
        <v>3150</v>
      </c>
      <c r="F197" s="20">
        <f t="shared" si="12"/>
        <v>350</v>
      </c>
      <c r="G197" s="20">
        <v>0.23291612059816547</v>
      </c>
      <c r="H197" s="50"/>
      <c r="I197" s="16"/>
      <c r="J197" s="16"/>
      <c r="K197" s="16"/>
      <c r="L197" s="16"/>
      <c r="M197" s="16">
        <v>191</v>
      </c>
      <c r="N197" s="16">
        <f t="shared" si="13"/>
        <v>6.8328550932568149E-2</v>
      </c>
      <c r="O197" s="16"/>
      <c r="P197" s="16"/>
      <c r="Q197" s="16">
        <f t="shared" si="14"/>
        <v>-1.4883557417748952</v>
      </c>
    </row>
    <row r="198" spans="4:17" ht="15" thickBot="1" x14ac:dyDescent="0.35">
      <c r="D198" s="20">
        <f t="shared" si="10"/>
        <v>192</v>
      </c>
      <c r="E198" s="20">
        <f t="shared" si="11"/>
        <v>3250</v>
      </c>
      <c r="F198" s="20">
        <f t="shared" si="12"/>
        <v>350</v>
      </c>
      <c r="G198" s="20">
        <v>0.23350400235519841</v>
      </c>
      <c r="H198" s="50"/>
      <c r="I198" s="16"/>
      <c r="J198" s="16"/>
      <c r="K198" s="16"/>
      <c r="L198" s="16"/>
      <c r="M198" s="16">
        <v>192</v>
      </c>
      <c r="N198" s="16">
        <f t="shared" si="13"/>
        <v>6.8687230989956952E-2</v>
      </c>
      <c r="O198" s="16"/>
      <c r="P198" s="16"/>
      <c r="Q198" s="16">
        <f t="shared" si="14"/>
        <v>-1.4856396479881324</v>
      </c>
    </row>
    <row r="199" spans="4:17" ht="15" thickBot="1" x14ac:dyDescent="0.35">
      <c r="D199" s="20">
        <f t="shared" ref="D199:D262" si="15">ROW()-6</f>
        <v>193</v>
      </c>
      <c r="E199" s="20">
        <f t="shared" ref="E199:E262" si="16">(MOD(D199-1,53)*100)+50</f>
        <v>3350</v>
      </c>
      <c r="F199" s="20">
        <f t="shared" ref="F199:F262" si="17">FLOOR((D199-1)/53,1)*100+50</f>
        <v>350</v>
      </c>
      <c r="G199" s="20">
        <v>0.23367801218198647</v>
      </c>
      <c r="H199" s="50"/>
      <c r="I199" s="16"/>
      <c r="J199" s="16"/>
      <c r="K199" s="16"/>
      <c r="L199" s="16"/>
      <c r="M199" s="16">
        <v>193</v>
      </c>
      <c r="N199" s="16">
        <f t="shared" si="13"/>
        <v>6.9045911047345768E-2</v>
      </c>
      <c r="O199" s="16"/>
      <c r="P199" s="16"/>
      <c r="Q199" s="16">
        <f t="shared" si="14"/>
        <v>-1.482934469998934</v>
      </c>
    </row>
    <row r="200" spans="4:17" ht="15" thickBot="1" x14ac:dyDescent="0.35">
      <c r="D200" s="20">
        <f t="shared" si="15"/>
        <v>194</v>
      </c>
      <c r="E200" s="20">
        <f t="shared" si="16"/>
        <v>3450</v>
      </c>
      <c r="F200" s="20">
        <f t="shared" si="17"/>
        <v>350</v>
      </c>
      <c r="G200" s="20">
        <v>0.23392925598382197</v>
      </c>
      <c r="H200" s="50"/>
      <c r="I200" s="16"/>
      <c r="J200" s="16"/>
      <c r="K200" s="16"/>
      <c r="L200" s="16"/>
      <c r="M200" s="16">
        <v>194</v>
      </c>
      <c r="N200" s="16">
        <f t="shared" ref="N200:N263" si="18">(M200-0.5)/$L$7</f>
        <v>6.940459110473457E-2</v>
      </c>
      <c r="O200" s="16"/>
      <c r="P200" s="16"/>
      <c r="Q200" s="16">
        <f t="shared" ref="Q200:Q263" si="19">_xlfn.NORM.S.INV(N200)</f>
        <v>-1.4802401007799737</v>
      </c>
    </row>
    <row r="201" spans="4:17" ht="15" thickBot="1" x14ac:dyDescent="0.35">
      <c r="D201" s="20">
        <f t="shared" si="15"/>
        <v>195</v>
      </c>
      <c r="E201" s="20">
        <f t="shared" si="16"/>
        <v>3550</v>
      </c>
      <c r="F201" s="20">
        <f t="shared" si="17"/>
        <v>350</v>
      </c>
      <c r="G201" s="20">
        <v>0.23434460403866414</v>
      </c>
      <c r="H201" s="50"/>
      <c r="I201" s="16"/>
      <c r="J201" s="16"/>
      <c r="K201" s="16"/>
      <c r="L201" s="16"/>
      <c r="M201" s="16">
        <v>195</v>
      </c>
      <c r="N201" s="16">
        <f t="shared" si="18"/>
        <v>6.9763271162123386E-2</v>
      </c>
      <c r="O201" s="16"/>
      <c r="P201" s="16"/>
      <c r="Q201" s="16">
        <f t="shared" si="19"/>
        <v>-1.4775564348950077</v>
      </c>
    </row>
    <row r="202" spans="4:17" ht="15" thickBot="1" x14ac:dyDescent="0.35">
      <c r="D202" s="20">
        <f t="shared" si="15"/>
        <v>196</v>
      </c>
      <c r="E202" s="20">
        <f t="shared" si="16"/>
        <v>3650</v>
      </c>
      <c r="F202" s="20">
        <f t="shared" si="17"/>
        <v>350</v>
      </c>
      <c r="G202" s="20">
        <v>0.23455034457676402</v>
      </c>
      <c r="H202" s="50"/>
      <c r="I202" s="16"/>
      <c r="J202" s="16"/>
      <c r="K202" s="16"/>
      <c r="L202" s="16"/>
      <c r="M202" s="16">
        <v>196</v>
      </c>
      <c r="N202" s="16">
        <f t="shared" si="18"/>
        <v>7.0121951219512202E-2</v>
      </c>
      <c r="O202" s="16"/>
      <c r="P202" s="16"/>
      <c r="Q202" s="16">
        <f t="shared" si="19"/>
        <v>-1.4748833684671105</v>
      </c>
    </row>
    <row r="203" spans="4:17" ht="15" thickBot="1" x14ac:dyDescent="0.35">
      <c r="D203" s="20">
        <f t="shared" si="15"/>
        <v>197</v>
      </c>
      <c r="E203" s="20">
        <f t="shared" si="16"/>
        <v>3750</v>
      </c>
      <c r="F203" s="20">
        <f t="shared" si="17"/>
        <v>350</v>
      </c>
      <c r="G203" s="20">
        <v>0.23459846730239664</v>
      </c>
      <c r="H203" s="50"/>
      <c r="I203" s="16"/>
      <c r="J203" s="16"/>
      <c r="K203" s="16"/>
      <c r="L203" s="16"/>
      <c r="M203" s="16">
        <v>197</v>
      </c>
      <c r="N203" s="16">
        <f t="shared" si="18"/>
        <v>7.0480631276901004E-2</v>
      </c>
      <c r="O203" s="16"/>
      <c r="P203" s="16"/>
      <c r="Q203" s="16">
        <f t="shared" si="19"/>
        <v>-1.4722207991477145</v>
      </c>
    </row>
    <row r="204" spans="4:17" ht="15" thickBot="1" x14ac:dyDescent="0.35">
      <c r="D204" s="20">
        <f t="shared" si="15"/>
        <v>198</v>
      </c>
      <c r="E204" s="20">
        <f t="shared" si="16"/>
        <v>3850</v>
      </c>
      <c r="F204" s="20">
        <f t="shared" si="17"/>
        <v>350</v>
      </c>
      <c r="G204" s="20">
        <v>0.23481613606366514</v>
      </c>
      <c r="H204" s="50"/>
      <c r="I204" s="16"/>
      <c r="J204" s="16"/>
      <c r="K204" s="16"/>
      <c r="L204" s="16"/>
      <c r="M204" s="16">
        <v>198</v>
      </c>
      <c r="N204" s="16">
        <f t="shared" si="18"/>
        <v>7.083931133428982E-2</v>
      </c>
      <c r="O204" s="16"/>
      <c r="P204" s="16"/>
      <c r="Q204" s="16">
        <f t="shared" si="19"/>
        <v>-1.4695686260864109</v>
      </c>
    </row>
    <row r="205" spans="4:17" ht="15" thickBot="1" x14ac:dyDescent="0.35">
      <c r="D205" s="20">
        <f t="shared" si="15"/>
        <v>199</v>
      </c>
      <c r="E205" s="20">
        <f t="shared" si="16"/>
        <v>3950</v>
      </c>
      <c r="F205" s="20">
        <f t="shared" si="17"/>
        <v>350</v>
      </c>
      <c r="G205" s="20">
        <v>0.23491678901842028</v>
      </c>
      <c r="H205" s="50"/>
      <c r="I205" s="16"/>
      <c r="J205" s="16"/>
      <c r="K205" s="16"/>
      <c r="L205" s="16"/>
      <c r="M205" s="16">
        <v>199</v>
      </c>
      <c r="N205" s="16">
        <f t="shared" si="18"/>
        <v>7.1197991391678622E-2</v>
      </c>
      <c r="O205" s="16"/>
      <c r="P205" s="16"/>
      <c r="Q205" s="16">
        <f t="shared" si="19"/>
        <v>-1.4669267499015033</v>
      </c>
    </row>
    <row r="206" spans="4:17" ht="15" thickBot="1" x14ac:dyDescent="0.35">
      <c r="D206" s="20">
        <f t="shared" si="15"/>
        <v>200</v>
      </c>
      <c r="E206" s="20">
        <f t="shared" si="16"/>
        <v>4050</v>
      </c>
      <c r="F206" s="20">
        <f t="shared" si="17"/>
        <v>350</v>
      </c>
      <c r="G206" s="20">
        <v>0.2350337770223942</v>
      </c>
      <c r="H206" s="50"/>
      <c r="I206" s="16"/>
      <c r="J206" s="16"/>
      <c r="K206" s="16"/>
      <c r="L206" s="16"/>
      <c r="M206" s="16">
        <v>200</v>
      </c>
      <c r="N206" s="16">
        <f t="shared" si="18"/>
        <v>7.1556671449067438E-2</v>
      </c>
      <c r="O206" s="16"/>
      <c r="P206" s="16"/>
      <c r="Q206" s="16">
        <f t="shared" si="19"/>
        <v>-1.4642950726512822</v>
      </c>
    </row>
    <row r="207" spans="4:17" ht="15" thickBot="1" x14ac:dyDescent="0.35">
      <c r="D207" s="20">
        <f t="shared" si="15"/>
        <v>201</v>
      </c>
      <c r="E207" s="20">
        <f t="shared" si="16"/>
        <v>4150</v>
      </c>
      <c r="F207" s="20">
        <f t="shared" si="17"/>
        <v>350</v>
      </c>
      <c r="G207" s="20">
        <v>0.2353209607171543</v>
      </c>
      <c r="H207" s="50"/>
      <c r="I207" s="16"/>
      <c r="J207" s="16"/>
      <c r="K207" s="16"/>
      <c r="L207" s="16"/>
      <c r="M207" s="16">
        <v>201</v>
      </c>
      <c r="N207" s="16">
        <f t="shared" si="18"/>
        <v>7.191535150645624E-2</v>
      </c>
      <c r="O207" s="16"/>
      <c r="P207" s="16"/>
      <c r="Q207" s="16">
        <f t="shared" si="19"/>
        <v>-1.4616734978060075</v>
      </c>
    </row>
    <row r="208" spans="4:17" ht="15" thickBot="1" x14ac:dyDescent="0.35">
      <c r="D208" s="20">
        <f t="shared" si="15"/>
        <v>202</v>
      </c>
      <c r="E208" s="20">
        <f t="shared" si="16"/>
        <v>4250</v>
      </c>
      <c r="F208" s="20">
        <f t="shared" si="17"/>
        <v>350</v>
      </c>
      <c r="G208" s="20">
        <v>0.23538728140701604</v>
      </c>
      <c r="H208" s="50"/>
      <c r="I208" s="16"/>
      <c r="J208" s="16"/>
      <c r="K208" s="16"/>
      <c r="L208" s="16"/>
      <c r="M208" s="16">
        <v>202</v>
      </c>
      <c r="N208" s="16">
        <f t="shared" si="18"/>
        <v>7.2274031563845056E-2</v>
      </c>
      <c r="O208" s="16"/>
      <c r="P208" s="16"/>
      <c r="Q208" s="16">
        <f t="shared" si="19"/>
        <v>-1.4590619302205656</v>
      </c>
    </row>
    <row r="209" spans="4:17" ht="15" thickBot="1" x14ac:dyDescent="0.35">
      <c r="D209" s="20">
        <f t="shared" si="15"/>
        <v>203</v>
      </c>
      <c r="E209" s="20">
        <f t="shared" si="16"/>
        <v>4350</v>
      </c>
      <c r="F209" s="20">
        <f t="shared" si="17"/>
        <v>350</v>
      </c>
      <c r="G209" s="20">
        <v>0.23567989755012614</v>
      </c>
      <c r="H209" s="50"/>
      <c r="I209" s="16"/>
      <c r="J209" s="16"/>
      <c r="K209" s="16"/>
      <c r="L209" s="16"/>
      <c r="M209" s="16">
        <v>203</v>
      </c>
      <c r="N209" s="16">
        <f t="shared" si="18"/>
        <v>7.2632711621233859E-2</v>
      </c>
      <c r="O209" s="16"/>
      <c r="P209" s="16"/>
      <c r="Q209" s="16">
        <f t="shared" si="19"/>
        <v>-1.4564602761077969</v>
      </c>
    </row>
    <row r="210" spans="4:17" ht="15" thickBot="1" x14ac:dyDescent="0.35">
      <c r="D210" s="20">
        <f t="shared" si="15"/>
        <v>204</v>
      </c>
      <c r="E210" s="20">
        <f t="shared" si="16"/>
        <v>4450</v>
      </c>
      <c r="F210" s="20">
        <f t="shared" si="17"/>
        <v>350</v>
      </c>
      <c r="G210" s="20">
        <v>0.23646693685429848</v>
      </c>
      <c r="H210" s="50"/>
      <c r="I210" s="16"/>
      <c r="J210" s="16"/>
      <c r="K210" s="16"/>
      <c r="L210" s="16"/>
      <c r="M210" s="16">
        <v>204</v>
      </c>
      <c r="N210" s="16">
        <f t="shared" si="18"/>
        <v>7.2991391678622675E-2</v>
      </c>
      <c r="O210" s="16"/>
      <c r="P210" s="16"/>
      <c r="Q210" s="16">
        <f t="shared" si="19"/>
        <v>-1.4538684430124635</v>
      </c>
    </row>
    <row r="211" spans="4:17" ht="15" thickBot="1" x14ac:dyDescent="0.35">
      <c r="D211" s="20">
        <f t="shared" si="15"/>
        <v>205</v>
      </c>
      <c r="E211" s="20">
        <f t="shared" si="16"/>
        <v>4550</v>
      </c>
      <c r="F211" s="20">
        <f t="shared" si="17"/>
        <v>350</v>
      </c>
      <c r="G211" s="20">
        <v>0.2369787459034372</v>
      </c>
      <c r="H211" s="50"/>
      <c r="I211" s="16"/>
      <c r="J211" s="16"/>
      <c r="K211" s="16"/>
      <c r="L211" s="16"/>
      <c r="M211" s="16">
        <v>205</v>
      </c>
      <c r="N211" s="16">
        <f t="shared" si="18"/>
        <v>7.3350071736011477E-2</v>
      </c>
      <c r="O211" s="16"/>
      <c r="P211" s="16"/>
      <c r="Q211" s="16">
        <f t="shared" si="19"/>
        <v>-1.4512863397858391</v>
      </c>
    </row>
    <row r="212" spans="4:17" ht="15" thickBot="1" x14ac:dyDescent="0.35">
      <c r="D212" s="20">
        <f t="shared" si="15"/>
        <v>206</v>
      </c>
      <c r="E212" s="20">
        <f t="shared" si="16"/>
        <v>4650</v>
      </c>
      <c r="F212" s="20">
        <f t="shared" si="17"/>
        <v>350</v>
      </c>
      <c r="G212" s="20">
        <v>0.2371883480996152</v>
      </c>
      <c r="H212" s="50"/>
      <c r="I212" s="16"/>
      <c r="J212" s="16"/>
      <c r="K212" s="16"/>
      <c r="L212" s="16"/>
      <c r="M212" s="16">
        <v>206</v>
      </c>
      <c r="N212" s="16">
        <f t="shared" si="18"/>
        <v>7.3708751793400293E-2</v>
      </c>
      <c r="O212" s="16"/>
      <c r="P212" s="16"/>
      <c r="Q212" s="16">
        <f t="shared" si="19"/>
        <v>-1.4487138765609107</v>
      </c>
    </row>
    <row r="213" spans="4:17" ht="15" thickBot="1" x14ac:dyDescent="0.35">
      <c r="D213" s="20">
        <f t="shared" si="15"/>
        <v>207</v>
      </c>
      <c r="E213" s="20">
        <f t="shared" si="16"/>
        <v>4750</v>
      </c>
      <c r="F213" s="20">
        <f t="shared" si="17"/>
        <v>350</v>
      </c>
      <c r="G213" s="20">
        <v>0.23732515764097811</v>
      </c>
      <c r="H213" s="50"/>
      <c r="I213" s="16"/>
      <c r="J213" s="16"/>
      <c r="K213" s="16"/>
      <c r="L213" s="16"/>
      <c r="M213" s="16">
        <v>207</v>
      </c>
      <c r="N213" s="16">
        <f t="shared" si="18"/>
        <v>7.4067431850789095E-2</v>
      </c>
      <c r="O213" s="16"/>
      <c r="P213" s="16"/>
      <c r="Q213" s="16">
        <f t="shared" si="19"/>
        <v>-1.4461509647281681</v>
      </c>
    </row>
    <row r="214" spans="4:17" ht="15" thickBot="1" x14ac:dyDescent="0.35">
      <c r="D214" s="20">
        <f t="shared" si="15"/>
        <v>208</v>
      </c>
      <c r="E214" s="20">
        <f t="shared" si="16"/>
        <v>4850</v>
      </c>
      <c r="F214" s="20">
        <f t="shared" si="17"/>
        <v>350</v>
      </c>
      <c r="G214" s="20">
        <v>0.2381369305252368</v>
      </c>
      <c r="H214" s="50"/>
      <c r="I214" s="16"/>
      <c r="J214" s="16"/>
      <c r="K214" s="16"/>
      <c r="L214" s="16"/>
      <c r="M214" s="16">
        <v>208</v>
      </c>
      <c r="N214" s="16">
        <f t="shared" si="18"/>
        <v>7.4426111908177911E-2</v>
      </c>
      <c r="O214" s="16"/>
      <c r="P214" s="16"/>
      <c r="Q214" s="16">
        <f t="shared" si="19"/>
        <v>-1.4435975169119621</v>
      </c>
    </row>
    <row r="215" spans="4:17" ht="15" thickBot="1" x14ac:dyDescent="0.35">
      <c r="D215" s="20">
        <f t="shared" si="15"/>
        <v>209</v>
      </c>
      <c r="E215" s="20">
        <f t="shared" si="16"/>
        <v>4950</v>
      </c>
      <c r="F215" s="20">
        <f t="shared" si="17"/>
        <v>350</v>
      </c>
      <c r="G215" s="20">
        <v>0.23823704249221447</v>
      </c>
      <c r="H215" s="50"/>
      <c r="I215" s="16"/>
      <c r="J215" s="16"/>
      <c r="K215" s="16"/>
      <c r="L215" s="16"/>
      <c r="M215" s="16">
        <v>209</v>
      </c>
      <c r="N215" s="16">
        <f t="shared" si="18"/>
        <v>7.4784791965566713E-2</v>
      </c>
      <c r="O215" s="16"/>
      <c r="P215" s="16"/>
      <c r="Q215" s="16">
        <f t="shared" si="19"/>
        <v>-1.4410534469474237</v>
      </c>
    </row>
    <row r="216" spans="4:17" ht="15" thickBot="1" x14ac:dyDescent="0.35">
      <c r="D216" s="20">
        <f t="shared" si="15"/>
        <v>210</v>
      </c>
      <c r="E216" s="20">
        <f t="shared" si="16"/>
        <v>5050</v>
      </c>
      <c r="F216" s="20">
        <f t="shared" si="17"/>
        <v>350</v>
      </c>
      <c r="G216" s="20">
        <v>0.23827405802156476</v>
      </c>
      <c r="H216" s="50"/>
      <c r="I216" s="16"/>
      <c r="J216" s="16"/>
      <c r="K216" s="16"/>
      <c r="L216" s="16"/>
      <c r="M216" s="16">
        <v>210</v>
      </c>
      <c r="N216" s="16">
        <f t="shared" si="18"/>
        <v>7.5143472022955529E-2</v>
      </c>
      <c r="O216" s="16"/>
      <c r="P216" s="16"/>
      <c r="Q216" s="16">
        <f t="shared" si="19"/>
        <v>-1.4385186698579233</v>
      </c>
    </row>
    <row r="217" spans="4:17" ht="15" thickBot="1" x14ac:dyDescent="0.35">
      <c r="D217" s="20">
        <f t="shared" si="15"/>
        <v>211</v>
      </c>
      <c r="E217" s="20">
        <f t="shared" si="16"/>
        <v>5150</v>
      </c>
      <c r="F217" s="20">
        <f t="shared" si="17"/>
        <v>350</v>
      </c>
      <c r="G217" s="20">
        <v>0.23850976196038431</v>
      </c>
      <c r="H217" s="50"/>
      <c r="I217" s="16"/>
      <c r="J217" s="16"/>
      <c r="K217" s="16"/>
      <c r="L217" s="16"/>
      <c r="M217" s="16">
        <v>211</v>
      </c>
      <c r="N217" s="16">
        <f t="shared" si="18"/>
        <v>7.5502152080344331E-2</v>
      </c>
      <c r="O217" s="16"/>
      <c r="P217" s="16"/>
      <c r="Q217" s="16">
        <f t="shared" si="19"/>
        <v>-1.4359931018330525</v>
      </c>
    </row>
    <row r="218" spans="4:17" ht="15" thickBot="1" x14ac:dyDescent="0.35">
      <c r="D218" s="20">
        <f t="shared" si="15"/>
        <v>212</v>
      </c>
      <c r="E218" s="20">
        <f t="shared" si="16"/>
        <v>5250</v>
      </c>
      <c r="F218" s="20">
        <f t="shared" si="17"/>
        <v>350</v>
      </c>
      <c r="G218" s="20">
        <v>0.23881795685395329</v>
      </c>
      <c r="H218" s="50"/>
      <c r="I218" s="16"/>
      <c r="J218" s="16"/>
      <c r="K218" s="16"/>
      <c r="L218" s="16"/>
      <c r="M218" s="16">
        <v>212</v>
      </c>
      <c r="N218" s="16">
        <f t="shared" si="18"/>
        <v>7.5860832137733147E-2</v>
      </c>
      <c r="O218" s="16"/>
      <c r="P218" s="16"/>
      <c r="Q218" s="16">
        <f t="shared" si="19"/>
        <v>-1.4334766602071201</v>
      </c>
    </row>
    <row r="219" spans="4:17" ht="15" thickBot="1" x14ac:dyDescent="0.35">
      <c r="D219" s="20">
        <f t="shared" si="15"/>
        <v>213</v>
      </c>
      <c r="E219" s="20">
        <f t="shared" si="16"/>
        <v>50</v>
      </c>
      <c r="F219" s="20">
        <f t="shared" si="17"/>
        <v>450</v>
      </c>
      <c r="G219" s="20">
        <v>0.23901309463250175</v>
      </c>
      <c r="H219" s="50"/>
      <c r="I219" s="16"/>
      <c r="J219" s="16"/>
      <c r="K219" s="16"/>
      <c r="L219" s="16"/>
      <c r="M219" s="16">
        <v>213</v>
      </c>
      <c r="N219" s="16">
        <f t="shared" si="18"/>
        <v>7.621951219512195E-2</v>
      </c>
      <c r="O219" s="16"/>
      <c r="P219" s="16"/>
      <c r="Q219" s="16">
        <f t="shared" si="19"/>
        <v>-1.4309692634381457</v>
      </c>
    </row>
    <row r="220" spans="4:17" ht="15" thickBot="1" x14ac:dyDescent="0.35">
      <c r="D220" s="20">
        <f t="shared" si="15"/>
        <v>214</v>
      </c>
      <c r="E220" s="20">
        <f t="shared" si="16"/>
        <v>150</v>
      </c>
      <c r="F220" s="20">
        <f t="shared" si="17"/>
        <v>450</v>
      </c>
      <c r="G220" s="20">
        <v>0.23901353073733256</v>
      </c>
      <c r="H220" s="50"/>
      <c r="I220" s="16"/>
      <c r="J220" s="16"/>
      <c r="K220" s="16"/>
      <c r="L220" s="16"/>
      <c r="M220" s="16">
        <v>214</v>
      </c>
      <c r="N220" s="16">
        <f t="shared" si="18"/>
        <v>7.6578192252510766E-2</v>
      </c>
      <c r="O220" s="16"/>
      <c r="P220" s="16"/>
      <c r="Q220" s="16">
        <f t="shared" si="19"/>
        <v>-1.428470831087322</v>
      </c>
    </row>
    <row r="221" spans="4:17" ht="15" thickBot="1" x14ac:dyDescent="0.35">
      <c r="D221" s="20">
        <f t="shared" si="15"/>
        <v>215</v>
      </c>
      <c r="E221" s="20">
        <f t="shared" si="16"/>
        <v>250</v>
      </c>
      <c r="F221" s="20">
        <f t="shared" si="17"/>
        <v>450</v>
      </c>
      <c r="G221" s="20">
        <v>0.23902540120924393</v>
      </c>
      <c r="H221" s="50"/>
      <c r="I221" s="16"/>
      <c r="J221" s="16"/>
      <c r="K221" s="16"/>
      <c r="L221" s="16"/>
      <c r="M221" s="16">
        <v>215</v>
      </c>
      <c r="N221" s="16">
        <f t="shared" si="18"/>
        <v>7.6936872309899568E-2</v>
      </c>
      <c r="O221" s="16"/>
      <c r="P221" s="16"/>
      <c r="Q221" s="16">
        <f t="shared" si="19"/>
        <v>-1.4259812837989785</v>
      </c>
    </row>
    <row r="222" spans="4:17" ht="15" thickBot="1" x14ac:dyDescent="0.35">
      <c r="D222" s="20">
        <f t="shared" si="15"/>
        <v>216</v>
      </c>
      <c r="E222" s="20">
        <f t="shared" si="16"/>
        <v>350</v>
      </c>
      <c r="F222" s="20">
        <f t="shared" si="17"/>
        <v>450</v>
      </c>
      <c r="G222" s="20">
        <v>0.23916278492346199</v>
      </c>
      <c r="H222" s="50"/>
      <c r="I222" s="16"/>
      <c r="J222" s="16"/>
      <c r="K222" s="16"/>
      <c r="L222" s="16"/>
      <c r="M222" s="16">
        <v>216</v>
      </c>
      <c r="N222" s="16">
        <f t="shared" si="18"/>
        <v>7.7295552367288384E-2</v>
      </c>
      <c r="O222" s="16"/>
      <c r="P222" s="16"/>
      <c r="Q222" s="16">
        <f t="shared" si="19"/>
        <v>-1.4235005432809607</v>
      </c>
    </row>
    <row r="223" spans="4:17" ht="15" thickBot="1" x14ac:dyDescent="0.35">
      <c r="D223" s="20">
        <f t="shared" si="15"/>
        <v>217</v>
      </c>
      <c r="E223" s="20">
        <f t="shared" si="16"/>
        <v>450</v>
      </c>
      <c r="F223" s="20">
        <f t="shared" si="17"/>
        <v>450</v>
      </c>
      <c r="G223" s="20">
        <v>0.23925929723918954</v>
      </c>
      <c r="H223" s="50"/>
      <c r="I223" s="16"/>
      <c r="J223" s="16"/>
      <c r="K223" s="16"/>
      <c r="L223" s="16"/>
      <c r="M223" s="16">
        <v>217</v>
      </c>
      <c r="N223" s="16">
        <f t="shared" si="18"/>
        <v>7.7654232424677186E-2</v>
      </c>
      <c r="O223" s="16"/>
      <c r="P223" s="16"/>
      <c r="Q223" s="16">
        <f t="shared" si="19"/>
        <v>-1.4210285322854883</v>
      </c>
    </row>
    <row r="224" spans="4:17" ht="15" thickBot="1" x14ac:dyDescent="0.35">
      <c r="D224" s="20">
        <f t="shared" si="15"/>
        <v>218</v>
      </c>
      <c r="E224" s="48">
        <f t="shared" si="16"/>
        <v>550</v>
      </c>
      <c r="F224" s="48">
        <f t="shared" si="17"/>
        <v>450</v>
      </c>
      <c r="G224" s="20">
        <v>0.23954965211640122</v>
      </c>
      <c r="H224" s="50"/>
      <c r="I224" s="16"/>
      <c r="J224" s="16"/>
      <c r="K224" s="16"/>
      <c r="L224" s="16"/>
      <c r="M224" s="16">
        <v>218</v>
      </c>
      <c r="N224" s="16">
        <f t="shared" si="18"/>
        <v>7.8012912482066002E-2</v>
      </c>
      <c r="O224" s="16"/>
      <c r="P224" s="16"/>
      <c r="Q224" s="16">
        <f t="shared" si="19"/>
        <v>-1.4185651745904313</v>
      </c>
    </row>
    <row r="225" spans="4:17" ht="15" thickBot="1" x14ac:dyDescent="0.35">
      <c r="D225" s="20">
        <f t="shared" si="15"/>
        <v>219</v>
      </c>
      <c r="E225" s="20">
        <f t="shared" si="16"/>
        <v>650</v>
      </c>
      <c r="F225" s="20">
        <f t="shared" si="17"/>
        <v>450</v>
      </c>
      <c r="G225" s="20">
        <v>0.23977645408003004</v>
      </c>
      <c r="H225" s="50"/>
      <c r="I225" s="16"/>
      <c r="J225" s="16"/>
      <c r="K225" s="16"/>
      <c r="L225" s="16"/>
      <c r="M225" s="16">
        <v>219</v>
      </c>
      <c r="N225" s="16">
        <f t="shared" si="18"/>
        <v>7.8371592539454804E-2</v>
      </c>
      <c r="O225" s="16"/>
      <c r="P225" s="16"/>
      <c r="Q225" s="16">
        <f t="shared" si="19"/>
        <v>-1.4161103949809903</v>
      </c>
    </row>
    <row r="226" spans="4:17" ht="15" thickBot="1" x14ac:dyDescent="0.35">
      <c r="D226" s="20">
        <f t="shared" si="15"/>
        <v>220</v>
      </c>
      <c r="E226" s="20">
        <f t="shared" si="16"/>
        <v>750</v>
      </c>
      <c r="F226" s="20">
        <f t="shared" si="17"/>
        <v>450</v>
      </c>
      <c r="G226" s="20">
        <v>0.23977762319202911</v>
      </c>
      <c r="H226" s="50"/>
      <c r="I226" s="16"/>
      <c r="J226" s="16"/>
      <c r="K226" s="16"/>
      <c r="L226" s="16"/>
      <c r="M226" s="16">
        <v>220</v>
      </c>
      <c r="N226" s="16">
        <f t="shared" si="18"/>
        <v>7.873027259684362E-2</v>
      </c>
      <c r="O226" s="16"/>
      <c r="P226" s="16"/>
      <c r="Q226" s="16">
        <f t="shared" si="19"/>
        <v>-1.413664119231822</v>
      </c>
    </row>
    <row r="227" spans="4:17" ht="15" thickBot="1" x14ac:dyDescent="0.35">
      <c r="D227" s="20">
        <f t="shared" si="15"/>
        <v>221</v>
      </c>
      <c r="E227" s="20">
        <f t="shared" si="16"/>
        <v>850</v>
      </c>
      <c r="F227" s="20">
        <f t="shared" si="17"/>
        <v>450</v>
      </c>
      <c r="G227" s="20">
        <v>0.23979954126781755</v>
      </c>
      <c r="H227" s="50"/>
      <c r="I227" s="16"/>
      <c r="J227" s="16"/>
      <c r="K227" s="16"/>
      <c r="L227" s="16"/>
      <c r="M227" s="16">
        <v>221</v>
      </c>
      <c r="N227" s="16">
        <f t="shared" si="18"/>
        <v>7.9088952654232422E-2</v>
      </c>
      <c r="O227" s="16"/>
      <c r="P227" s="16"/>
      <c r="Q227" s="16">
        <f t="shared" si="19"/>
        <v>-1.4112262740895367</v>
      </c>
    </row>
    <row r="228" spans="4:17" ht="15" thickBot="1" x14ac:dyDescent="0.35">
      <c r="D228" s="20">
        <f t="shared" si="15"/>
        <v>222</v>
      </c>
      <c r="E228" s="20">
        <f t="shared" si="16"/>
        <v>950</v>
      </c>
      <c r="F228" s="20">
        <f t="shared" si="17"/>
        <v>450</v>
      </c>
      <c r="G228" s="20">
        <v>0.23998729927700488</v>
      </c>
      <c r="H228" s="50"/>
      <c r="I228" s="16"/>
      <c r="J228" s="16"/>
      <c r="K228" s="16"/>
      <c r="L228" s="16"/>
      <c r="M228" s="16">
        <v>222</v>
      </c>
      <c r="N228" s="16">
        <f t="shared" si="18"/>
        <v>7.9447632711621238E-2</v>
      </c>
      <c r="O228" s="16"/>
      <c r="P228" s="16"/>
      <c r="Q228" s="16">
        <f t="shared" si="19"/>
        <v>-1.4087967872555893</v>
      </c>
    </row>
    <row r="229" spans="4:17" ht="15" thickBot="1" x14ac:dyDescent="0.35">
      <c r="D229" s="20">
        <f t="shared" si="15"/>
        <v>223</v>
      </c>
      <c r="E229" s="20">
        <f t="shared" si="16"/>
        <v>1050</v>
      </c>
      <c r="F229" s="20">
        <f t="shared" si="17"/>
        <v>450</v>
      </c>
      <c r="G229" s="20">
        <v>0.24013580692217876</v>
      </c>
      <c r="H229" s="50"/>
      <c r="I229" s="16"/>
      <c r="J229" s="16"/>
      <c r="K229" s="16"/>
      <c r="L229" s="16"/>
      <c r="M229" s="16">
        <v>223</v>
      </c>
      <c r="N229" s="16">
        <f t="shared" si="18"/>
        <v>7.980631276901004E-2</v>
      </c>
      <c r="O229" s="16"/>
      <c r="P229" s="16"/>
      <c r="Q229" s="16">
        <f t="shared" si="19"/>
        <v>-1.4063755873695374</v>
      </c>
    </row>
    <row r="230" spans="4:17" ht="15" thickBot="1" x14ac:dyDescent="0.35">
      <c r="D230" s="20">
        <f t="shared" si="15"/>
        <v>224</v>
      </c>
      <c r="E230" s="20">
        <f t="shared" si="16"/>
        <v>1150</v>
      </c>
      <c r="F230" s="20">
        <f t="shared" si="17"/>
        <v>450</v>
      </c>
      <c r="G230" s="20">
        <v>0.24027404716389081</v>
      </c>
      <c r="H230" s="50"/>
      <c r="I230" s="16"/>
      <c r="J230" s="16"/>
      <c r="K230" s="16"/>
      <c r="L230" s="16"/>
      <c r="M230" s="16">
        <v>224</v>
      </c>
      <c r="N230" s="16">
        <f t="shared" si="18"/>
        <v>8.0164992826398856E-2</v>
      </c>
      <c r="O230" s="16"/>
      <c r="P230" s="16"/>
      <c r="Q230" s="16">
        <f t="shared" si="19"/>
        <v>-1.4039626039926962</v>
      </c>
    </row>
    <row r="231" spans="4:17" ht="15" thickBot="1" x14ac:dyDescent="0.35">
      <c r="D231" s="20">
        <f t="shared" si="15"/>
        <v>225</v>
      </c>
      <c r="E231" s="20">
        <f t="shared" si="16"/>
        <v>1250</v>
      </c>
      <c r="F231" s="20">
        <f t="shared" si="17"/>
        <v>450</v>
      </c>
      <c r="G231" s="20">
        <v>0.24105210409034539</v>
      </c>
      <c r="H231" s="50"/>
      <c r="I231" s="16"/>
      <c r="J231" s="16"/>
      <c r="K231" s="16"/>
      <c r="L231" s="16"/>
      <c r="M231" s="16">
        <v>225</v>
      </c>
      <c r="N231" s="16">
        <f t="shared" si="18"/>
        <v>8.0523672883787659E-2</v>
      </c>
      <c r="O231" s="16"/>
      <c r="P231" s="16"/>
      <c r="Q231" s="16">
        <f t="shared" si="19"/>
        <v>-1.4015577675921223</v>
      </c>
    </row>
    <row r="232" spans="4:17" ht="15" thickBot="1" x14ac:dyDescent="0.35">
      <c r="D232" s="20">
        <f t="shared" si="15"/>
        <v>226</v>
      </c>
      <c r="E232" s="20">
        <f t="shared" si="16"/>
        <v>1350</v>
      </c>
      <c r="F232" s="20">
        <f t="shared" si="17"/>
        <v>450</v>
      </c>
      <c r="G232" s="20">
        <v>0.24106804991883518</v>
      </c>
      <c r="H232" s="50"/>
      <c r="I232" s="16"/>
      <c r="J232" s="16"/>
      <c r="K232" s="16"/>
      <c r="L232" s="16"/>
      <c r="M232" s="16">
        <v>226</v>
      </c>
      <c r="N232" s="16">
        <f t="shared" si="18"/>
        <v>8.0882352941176475E-2</v>
      </c>
      <c r="O232" s="16"/>
      <c r="P232" s="16"/>
      <c r="Q232" s="16">
        <f t="shared" si="19"/>
        <v>-1.3991610095249489</v>
      </c>
    </row>
    <row r="233" spans="4:17" ht="15" thickBot="1" x14ac:dyDescent="0.35">
      <c r="D233" s="20">
        <f t="shared" si="15"/>
        <v>227</v>
      </c>
      <c r="E233" s="20">
        <f t="shared" si="16"/>
        <v>1450</v>
      </c>
      <c r="F233" s="20">
        <f t="shared" si="17"/>
        <v>450</v>
      </c>
      <c r="G233" s="20">
        <v>0.24147989804469383</v>
      </c>
      <c r="H233" s="50"/>
      <c r="I233" s="16"/>
      <c r="J233" s="16"/>
      <c r="K233" s="16"/>
      <c r="L233" s="16"/>
      <c r="M233" s="16">
        <v>227</v>
      </c>
      <c r="N233" s="16">
        <f t="shared" si="18"/>
        <v>8.1241032998565277E-2</v>
      </c>
      <c r="O233" s="16"/>
      <c r="P233" s="16"/>
      <c r="Q233" s="16">
        <f t="shared" si="19"/>
        <v>-1.3967722620230769</v>
      </c>
    </row>
    <row r="234" spans="4:17" ht="15" thickBot="1" x14ac:dyDescent="0.35">
      <c r="D234" s="20">
        <f t="shared" si="15"/>
        <v>228</v>
      </c>
      <c r="E234" s="20">
        <f t="shared" si="16"/>
        <v>1550</v>
      </c>
      <c r="F234" s="20">
        <f t="shared" si="17"/>
        <v>450</v>
      </c>
      <c r="G234" s="20">
        <v>0.24174565274064025</v>
      </c>
      <c r="H234" s="50"/>
      <c r="I234" s="16"/>
      <c r="J234" s="16"/>
      <c r="K234" s="16"/>
      <c r="L234" s="16"/>
      <c r="M234" s="16">
        <v>228</v>
      </c>
      <c r="N234" s="16">
        <f t="shared" si="18"/>
        <v>8.1599713055954093E-2</v>
      </c>
      <c r="O234" s="16"/>
      <c r="P234" s="16"/>
      <c r="Q234" s="16">
        <f t="shared" si="19"/>
        <v>-1.394391458178178</v>
      </c>
    </row>
    <row r="235" spans="4:17" ht="15" thickBot="1" x14ac:dyDescent="0.35">
      <c r="D235" s="20">
        <f t="shared" si="15"/>
        <v>229</v>
      </c>
      <c r="E235" s="47">
        <f t="shared" si="16"/>
        <v>1650</v>
      </c>
      <c r="F235" s="47">
        <f t="shared" si="17"/>
        <v>450</v>
      </c>
      <c r="G235" s="20">
        <v>0.24186177087050464</v>
      </c>
      <c r="H235" s="50"/>
      <c r="I235" s="16"/>
      <c r="J235" s="16"/>
      <c r="K235" s="16"/>
      <c r="L235" s="16"/>
      <c r="M235" s="16">
        <v>229</v>
      </c>
      <c r="N235" s="16">
        <f t="shared" si="18"/>
        <v>8.1958393113342895E-2</v>
      </c>
      <c r="O235" s="16"/>
      <c r="P235" s="16"/>
      <c r="Q235" s="16">
        <f t="shared" si="19"/>
        <v>-1.3920185319270393</v>
      </c>
    </row>
    <row r="236" spans="4:17" ht="15" thickBot="1" x14ac:dyDescent="0.35">
      <c r="D236" s="20">
        <f t="shared" si="15"/>
        <v>230</v>
      </c>
      <c r="E236" s="20">
        <f t="shared" si="16"/>
        <v>1750</v>
      </c>
      <c r="F236" s="20">
        <f t="shared" si="17"/>
        <v>450</v>
      </c>
      <c r="G236" s="20">
        <v>0.24189021964987734</v>
      </c>
      <c r="H236" s="50"/>
      <c r="I236" s="16"/>
      <c r="J236" s="16"/>
      <c r="K236" s="16"/>
      <c r="L236" s="16"/>
      <c r="M236" s="16">
        <v>230</v>
      </c>
      <c r="N236" s="16">
        <f t="shared" si="18"/>
        <v>8.2317073170731711E-2</v>
      </c>
      <c r="O236" s="16"/>
      <c r="P236" s="16"/>
      <c r="Q236" s="16">
        <f t="shared" si="19"/>
        <v>-1.3896534180371882</v>
      </c>
    </row>
    <row r="237" spans="4:17" ht="15" thickBot="1" x14ac:dyDescent="0.35">
      <c r="D237" s="20">
        <f t="shared" si="15"/>
        <v>231</v>
      </c>
      <c r="E237" s="20">
        <f t="shared" si="16"/>
        <v>1850</v>
      </c>
      <c r="F237" s="20">
        <f t="shared" si="17"/>
        <v>450</v>
      </c>
      <c r="G237" s="20">
        <v>0.24226821080574695</v>
      </c>
      <c r="H237" s="50"/>
      <c r="I237" s="16"/>
      <c r="J237" s="16"/>
      <c r="K237" s="16"/>
      <c r="L237" s="16"/>
      <c r="M237" s="16">
        <v>231</v>
      </c>
      <c r="N237" s="16">
        <f t="shared" si="18"/>
        <v>8.2675753228120513E-2</v>
      </c>
      <c r="O237" s="16"/>
      <c r="P237" s="16"/>
      <c r="Q237" s="16">
        <f t="shared" si="19"/>
        <v>-1.3872960520928679</v>
      </c>
    </row>
    <row r="238" spans="4:17" ht="15" thickBot="1" x14ac:dyDescent="0.35">
      <c r="D238" s="20">
        <f t="shared" si="15"/>
        <v>232</v>
      </c>
      <c r="E238" s="20">
        <f t="shared" si="16"/>
        <v>1950</v>
      </c>
      <c r="F238" s="20">
        <f t="shared" si="17"/>
        <v>450</v>
      </c>
      <c r="G238" s="20">
        <v>0.24248608182295844</v>
      </c>
      <c r="H238" s="50"/>
      <c r="I238" s="16"/>
      <c r="J238" s="16"/>
      <c r="K238" s="16"/>
      <c r="L238" s="16"/>
      <c r="M238" s="16">
        <v>232</v>
      </c>
      <c r="N238" s="16">
        <f t="shared" si="18"/>
        <v>8.3034433285509329E-2</v>
      </c>
      <c r="O238" s="16"/>
      <c r="P238" s="16"/>
      <c r="Q238" s="16">
        <f t="shared" si="19"/>
        <v>-1.3849463704812679</v>
      </c>
    </row>
    <row r="239" spans="4:17" ht="15" thickBot="1" x14ac:dyDescent="0.35">
      <c r="D239" s="20">
        <f t="shared" si="15"/>
        <v>233</v>
      </c>
      <c r="E239" s="20">
        <f t="shared" si="16"/>
        <v>2050</v>
      </c>
      <c r="F239" s="20">
        <f t="shared" si="17"/>
        <v>450</v>
      </c>
      <c r="G239" s="20">
        <v>0.24260046093624532</v>
      </c>
      <c r="H239" s="50"/>
      <c r="I239" s="16"/>
      <c r="J239" s="16"/>
      <c r="K239" s="16"/>
      <c r="L239" s="16"/>
      <c r="M239" s="16">
        <v>233</v>
      </c>
      <c r="N239" s="16">
        <f t="shared" si="18"/>
        <v>8.3393113342898131E-2</v>
      </c>
      <c r="O239" s="16"/>
      <c r="P239" s="16"/>
      <c r="Q239" s="16">
        <f t="shared" si="19"/>
        <v>-1.3826043103790735</v>
      </c>
    </row>
    <row r="240" spans="4:17" ht="15" thickBot="1" x14ac:dyDescent="0.35">
      <c r="D240" s="20">
        <f t="shared" si="15"/>
        <v>234</v>
      </c>
      <c r="E240" s="20">
        <f t="shared" si="16"/>
        <v>2150</v>
      </c>
      <c r="F240" s="20">
        <f t="shared" si="17"/>
        <v>450</v>
      </c>
      <c r="G240" s="20">
        <v>0.24291821232292082</v>
      </c>
      <c r="H240" s="50"/>
      <c r="I240" s="16"/>
      <c r="J240" s="16"/>
      <c r="K240" s="16"/>
      <c r="L240" s="16"/>
      <c r="M240" s="16">
        <v>234</v>
      </c>
      <c r="N240" s="16">
        <f t="shared" si="18"/>
        <v>8.3751793400286947E-2</v>
      </c>
      <c r="O240" s="16"/>
      <c r="P240" s="16"/>
      <c r="Q240" s="16">
        <f t="shared" si="19"/>
        <v>-1.3802698097392849</v>
      </c>
    </row>
    <row r="241" spans="4:17" ht="15" thickBot="1" x14ac:dyDescent="0.35">
      <c r="D241" s="20">
        <f t="shared" si="15"/>
        <v>235</v>
      </c>
      <c r="E241" s="20">
        <f t="shared" si="16"/>
        <v>2250</v>
      </c>
      <c r="F241" s="20">
        <f t="shared" si="17"/>
        <v>450</v>
      </c>
      <c r="G241" s="20">
        <v>0.24310479748602476</v>
      </c>
      <c r="H241" s="50"/>
      <c r="I241" s="16"/>
      <c r="J241" s="16"/>
      <c r="K241" s="16"/>
      <c r="L241" s="16"/>
      <c r="M241" s="16">
        <v>235</v>
      </c>
      <c r="N241" s="16">
        <f t="shared" si="18"/>
        <v>8.411047345767575E-2</v>
      </c>
      <c r="O241" s="16"/>
      <c r="P241" s="16"/>
      <c r="Q241" s="16">
        <f t="shared" si="19"/>
        <v>-1.3779428072783071</v>
      </c>
    </row>
    <row r="242" spans="4:17" ht="15" thickBot="1" x14ac:dyDescent="0.35">
      <c r="D242" s="20">
        <f t="shared" si="15"/>
        <v>236</v>
      </c>
      <c r="E242" s="20">
        <f t="shared" si="16"/>
        <v>2350</v>
      </c>
      <c r="F242" s="20">
        <f t="shared" si="17"/>
        <v>450</v>
      </c>
      <c r="G242" s="20">
        <v>0.24320621590159255</v>
      </c>
      <c r="H242" s="50"/>
      <c r="I242" s="16"/>
      <c r="J242" s="16"/>
      <c r="K242" s="16"/>
      <c r="L242" s="16"/>
      <c r="M242" s="16">
        <v>236</v>
      </c>
      <c r="N242" s="16">
        <f t="shared" si="18"/>
        <v>8.4469153515064566E-2</v>
      </c>
      <c r="O242" s="16"/>
      <c r="P242" s="16"/>
      <c r="Q242" s="16">
        <f t="shared" si="19"/>
        <v>-1.3756232424633337</v>
      </c>
    </row>
    <row r="243" spans="4:17" ht="15" thickBot="1" x14ac:dyDescent="0.35">
      <c r="D243" s="20">
        <f t="shared" si="15"/>
        <v>237</v>
      </c>
      <c r="E243" s="20">
        <f t="shared" si="16"/>
        <v>2450</v>
      </c>
      <c r="F243" s="20">
        <f t="shared" si="17"/>
        <v>450</v>
      </c>
      <c r="G243" s="20">
        <v>0.24322917808631767</v>
      </c>
      <c r="H243" s="50"/>
      <c r="I243" s="16"/>
      <c r="J243" s="16"/>
      <c r="K243" s="16"/>
      <c r="L243" s="16"/>
      <c r="M243" s="16">
        <v>237</v>
      </c>
      <c r="N243" s="16">
        <f t="shared" si="18"/>
        <v>8.4827833572453368E-2</v>
      </c>
      <c r="O243" s="16"/>
      <c r="P243" s="16"/>
      <c r="Q243" s="16">
        <f t="shared" si="19"/>
        <v>-1.3733110554999568</v>
      </c>
    </row>
    <row r="244" spans="4:17" ht="15" thickBot="1" x14ac:dyDescent="0.35">
      <c r="D244" s="20">
        <f t="shared" si="15"/>
        <v>238</v>
      </c>
      <c r="E244" s="20">
        <f t="shared" si="16"/>
        <v>2550</v>
      </c>
      <c r="F244" s="20">
        <f t="shared" si="17"/>
        <v>450</v>
      </c>
      <c r="G244" s="20">
        <v>0.24344419219638516</v>
      </c>
      <c r="H244" s="50"/>
      <c r="I244" s="16"/>
      <c r="J244" s="16"/>
      <c r="K244" s="16"/>
      <c r="L244" s="16"/>
      <c r="M244" s="16">
        <v>238</v>
      </c>
      <c r="N244" s="16">
        <f t="shared" si="18"/>
        <v>8.5186513629842184E-2</v>
      </c>
      <c r="O244" s="16"/>
      <c r="P244" s="16"/>
      <c r="Q244" s="16">
        <f t="shared" si="19"/>
        <v>-1.3710061873200583</v>
      </c>
    </row>
    <row r="245" spans="4:17" ht="15" thickBot="1" x14ac:dyDescent="0.35">
      <c r="D245" s="20">
        <f t="shared" si="15"/>
        <v>239</v>
      </c>
      <c r="E245" s="20">
        <f t="shared" si="16"/>
        <v>2650</v>
      </c>
      <c r="F245" s="20">
        <f t="shared" si="17"/>
        <v>450</v>
      </c>
      <c r="G245" s="20">
        <v>0.2437188633420439</v>
      </c>
      <c r="H245" s="50"/>
      <c r="I245" s="16"/>
      <c r="J245" s="16"/>
      <c r="K245" s="16"/>
      <c r="L245" s="16"/>
      <c r="M245" s="16">
        <v>239</v>
      </c>
      <c r="N245" s="16">
        <f t="shared" si="18"/>
        <v>8.5545193687230986E-2</v>
      </c>
      <c r="O245" s="16"/>
      <c r="P245" s="16"/>
      <c r="Q245" s="16">
        <f t="shared" si="19"/>
        <v>-1.3687085795699447</v>
      </c>
    </row>
    <row r="246" spans="4:17" ht="15" thickBot="1" x14ac:dyDescent="0.35">
      <c r="D246" s="20">
        <f t="shared" si="15"/>
        <v>240</v>
      </c>
      <c r="E246" s="20">
        <f t="shared" si="16"/>
        <v>2750</v>
      </c>
      <c r="F246" s="20">
        <f t="shared" si="17"/>
        <v>450</v>
      </c>
      <c r="G246" s="20">
        <v>0.24406956004463448</v>
      </c>
      <c r="H246" s="50"/>
      <c r="I246" s="16"/>
      <c r="J246" s="16"/>
      <c r="K246" s="16"/>
      <c r="L246" s="16"/>
      <c r="M246" s="16">
        <v>240</v>
      </c>
      <c r="N246" s="16">
        <f t="shared" si="18"/>
        <v>8.5903873744619802E-2</v>
      </c>
      <c r="O246" s="16"/>
      <c r="P246" s="16"/>
      <c r="Q246" s="16">
        <f t="shared" si="19"/>
        <v>-1.3664181745987194</v>
      </c>
    </row>
    <row r="247" spans="4:17" ht="15" thickBot="1" x14ac:dyDescent="0.35">
      <c r="D247" s="20">
        <f t="shared" si="15"/>
        <v>241</v>
      </c>
      <c r="E247" s="20">
        <f t="shared" si="16"/>
        <v>2850</v>
      </c>
      <c r="F247" s="20">
        <f t="shared" si="17"/>
        <v>450</v>
      </c>
      <c r="G247" s="20">
        <v>0.24407468268218024</v>
      </c>
      <c r="H247" s="50"/>
      <c r="I247" s="16"/>
      <c r="J247" s="16"/>
      <c r="K247" s="16"/>
      <c r="L247" s="16"/>
      <c r="M247" s="16">
        <v>241</v>
      </c>
      <c r="N247" s="16">
        <f t="shared" si="18"/>
        <v>8.6262553802008604E-2</v>
      </c>
      <c r="O247" s="16"/>
      <c r="P247" s="16"/>
      <c r="Q247" s="16">
        <f t="shared" si="19"/>
        <v>-1.3641349154468925</v>
      </c>
    </row>
    <row r="248" spans="4:17" ht="15" thickBot="1" x14ac:dyDescent="0.35">
      <c r="D248" s="20">
        <f t="shared" si="15"/>
        <v>242</v>
      </c>
      <c r="E248" s="20">
        <f t="shared" si="16"/>
        <v>2950</v>
      </c>
      <c r="F248" s="20">
        <f t="shared" si="17"/>
        <v>450</v>
      </c>
      <c r="G248" s="20">
        <v>0.24423176581835337</v>
      </c>
      <c r="H248" s="50"/>
      <c r="I248" s="16"/>
      <c r="J248" s="16"/>
      <c r="K248" s="16"/>
      <c r="L248" s="16"/>
      <c r="M248" s="16">
        <v>242</v>
      </c>
      <c r="N248" s="16">
        <f t="shared" si="18"/>
        <v>8.662123385939742E-2</v>
      </c>
      <c r="O248" s="16"/>
      <c r="P248" s="16"/>
      <c r="Q248" s="16">
        <f t="shared" si="19"/>
        <v>-1.3618587458352274</v>
      </c>
    </row>
    <row r="249" spans="4:17" ht="15" thickBot="1" x14ac:dyDescent="0.35">
      <c r="D249" s="20">
        <f t="shared" si="15"/>
        <v>243</v>
      </c>
      <c r="E249" s="20">
        <f t="shared" si="16"/>
        <v>3050</v>
      </c>
      <c r="F249" s="20">
        <f t="shared" si="17"/>
        <v>450</v>
      </c>
      <c r="G249" s="20">
        <v>0.24427841737336572</v>
      </c>
      <c r="H249" s="50"/>
      <c r="I249" s="16"/>
      <c r="J249" s="16"/>
      <c r="K249" s="16"/>
      <c r="L249" s="16"/>
      <c r="M249" s="16">
        <v>243</v>
      </c>
      <c r="N249" s="16">
        <f t="shared" si="18"/>
        <v>8.6979913916786222E-2</v>
      </c>
      <c r="O249" s="16"/>
      <c r="P249" s="16"/>
      <c r="Q249" s="16">
        <f t="shared" si="19"/>
        <v>-1.3595896101538159</v>
      </c>
    </row>
    <row r="250" spans="4:17" ht="15" thickBot="1" x14ac:dyDescent="0.35">
      <c r="D250" s="20">
        <f t="shared" si="15"/>
        <v>244</v>
      </c>
      <c r="E250" s="20">
        <f t="shared" si="16"/>
        <v>3150</v>
      </c>
      <c r="F250" s="20">
        <f t="shared" si="17"/>
        <v>450</v>
      </c>
      <c r="G250" s="20">
        <v>0.24428830270843854</v>
      </c>
      <c r="H250" s="50"/>
      <c r="I250" s="16"/>
      <c r="J250" s="16"/>
      <c r="K250" s="16"/>
      <c r="L250" s="16"/>
      <c r="M250" s="16">
        <v>244</v>
      </c>
      <c r="N250" s="16">
        <f t="shared" si="18"/>
        <v>8.7338593974175038E-2</v>
      </c>
      <c r="O250" s="16"/>
      <c r="P250" s="16"/>
      <c r="Q250" s="16">
        <f t="shared" si="19"/>
        <v>-1.3573274534513566</v>
      </c>
    </row>
    <row r="251" spans="4:17" ht="15" thickBot="1" x14ac:dyDescent="0.35">
      <c r="D251" s="20">
        <f t="shared" si="15"/>
        <v>245</v>
      </c>
      <c r="E251" s="20">
        <f t="shared" si="16"/>
        <v>3250</v>
      </c>
      <c r="F251" s="20">
        <f t="shared" si="17"/>
        <v>450</v>
      </c>
      <c r="G251" s="20">
        <v>0.24432830489389229</v>
      </c>
      <c r="H251" s="50"/>
      <c r="I251" s="16"/>
      <c r="J251" s="16"/>
      <c r="K251" s="16"/>
      <c r="L251" s="16"/>
      <c r="M251" s="16">
        <v>245</v>
      </c>
      <c r="N251" s="16">
        <f t="shared" si="18"/>
        <v>8.769727403156384E-2</v>
      </c>
      <c r="O251" s="16"/>
      <c r="P251" s="16"/>
      <c r="Q251" s="16">
        <f t="shared" si="19"/>
        <v>-1.355072221424668</v>
      </c>
    </row>
    <row r="252" spans="4:17" ht="15" thickBot="1" x14ac:dyDescent="0.35">
      <c r="D252" s="20">
        <f t="shared" si="15"/>
        <v>246</v>
      </c>
      <c r="E252" s="20">
        <f t="shared" si="16"/>
        <v>3350</v>
      </c>
      <c r="F252" s="20">
        <f t="shared" si="17"/>
        <v>450</v>
      </c>
      <c r="G252" s="20">
        <v>0.24435058681955352</v>
      </c>
      <c r="H252" s="50"/>
      <c r="I252" s="16"/>
      <c r="J252" s="16"/>
      <c r="K252" s="16"/>
      <c r="L252" s="16"/>
      <c r="M252" s="16">
        <v>246</v>
      </c>
      <c r="N252" s="16">
        <f t="shared" si="18"/>
        <v>8.8055954088952657E-2</v>
      </c>
      <c r="O252" s="16"/>
      <c r="P252" s="16"/>
      <c r="Q252" s="16">
        <f t="shared" si="19"/>
        <v>-1.3528238604083931</v>
      </c>
    </row>
    <row r="253" spans="4:17" ht="15" thickBot="1" x14ac:dyDescent="0.35">
      <c r="D253" s="20">
        <f t="shared" si="15"/>
        <v>247</v>
      </c>
      <c r="E253" s="20">
        <f t="shared" si="16"/>
        <v>3450</v>
      </c>
      <c r="F253" s="20">
        <f t="shared" si="17"/>
        <v>450</v>
      </c>
      <c r="G253" s="20">
        <v>0.24437335391055759</v>
      </c>
      <c r="H253" s="50"/>
      <c r="I253" s="16"/>
      <c r="J253" s="16"/>
      <c r="K253" s="16"/>
      <c r="L253" s="16"/>
      <c r="M253" s="16">
        <v>247</v>
      </c>
      <c r="N253" s="16">
        <f t="shared" si="18"/>
        <v>8.8414634146341459E-2</v>
      </c>
      <c r="O253" s="16"/>
      <c r="P253" s="16"/>
      <c r="Q253" s="16">
        <f t="shared" si="19"/>
        <v>-1.3505823173649314</v>
      </c>
    </row>
    <row r="254" spans="4:17" ht="15" thickBot="1" x14ac:dyDescent="0.35">
      <c r="D254" s="20">
        <f t="shared" si="15"/>
        <v>248</v>
      </c>
      <c r="E254" s="20">
        <f t="shared" si="16"/>
        <v>3550</v>
      </c>
      <c r="F254" s="20">
        <f t="shared" si="17"/>
        <v>450</v>
      </c>
      <c r="G254" s="20">
        <v>0.2446180631640868</v>
      </c>
      <c r="H254" s="50"/>
      <c r="I254" s="16"/>
      <c r="J254" s="16"/>
      <c r="K254" s="16"/>
      <c r="L254" s="16"/>
      <c r="M254" s="16">
        <v>248</v>
      </c>
      <c r="N254" s="16">
        <f t="shared" si="18"/>
        <v>8.8773314203730275E-2</v>
      </c>
      <c r="O254" s="16"/>
      <c r="P254" s="16"/>
      <c r="Q254" s="16">
        <f t="shared" si="19"/>
        <v>-1.3483475398745393</v>
      </c>
    </row>
    <row r="255" spans="4:17" ht="15" thickBot="1" x14ac:dyDescent="0.35">
      <c r="D255" s="20">
        <f t="shared" si="15"/>
        <v>249</v>
      </c>
      <c r="E255" s="20">
        <f t="shared" si="16"/>
        <v>3650</v>
      </c>
      <c r="F255" s="20">
        <f t="shared" si="17"/>
        <v>450</v>
      </c>
      <c r="G255" s="20">
        <v>0.2447998685156236</v>
      </c>
      <c r="H255" s="50"/>
      <c r="I255" s="16"/>
      <c r="J255" s="16"/>
      <c r="K255" s="16"/>
      <c r="L255" s="16"/>
      <c r="M255" s="16">
        <v>249</v>
      </c>
      <c r="N255" s="16">
        <f t="shared" si="18"/>
        <v>8.9131994261119077E-2</v>
      </c>
      <c r="O255" s="16"/>
      <c r="P255" s="16"/>
      <c r="Q255" s="16">
        <f t="shared" si="19"/>
        <v>-1.3461194761256574</v>
      </c>
    </row>
    <row r="256" spans="4:17" ht="15" thickBot="1" x14ac:dyDescent="0.35">
      <c r="D256" s="20">
        <f t="shared" si="15"/>
        <v>250</v>
      </c>
      <c r="E256" s="20">
        <f t="shared" si="16"/>
        <v>3750</v>
      </c>
      <c r="F256" s="20">
        <f t="shared" si="17"/>
        <v>450</v>
      </c>
      <c r="G256" s="20">
        <v>0.24485471011831458</v>
      </c>
      <c r="H256" s="50"/>
      <c r="I256" s="16"/>
      <c r="J256" s="16"/>
      <c r="K256" s="16"/>
      <c r="L256" s="16"/>
      <c r="M256" s="16">
        <v>250</v>
      </c>
      <c r="N256" s="16">
        <f t="shared" si="18"/>
        <v>8.9490674318507893E-2</v>
      </c>
      <c r="O256" s="16"/>
      <c r="P256" s="16"/>
      <c r="Q256" s="16">
        <f t="shared" si="19"/>
        <v>-1.3438980749054099</v>
      </c>
    </row>
    <row r="257" spans="4:17" ht="15" thickBot="1" x14ac:dyDescent="0.35">
      <c r="D257" s="20">
        <f t="shared" si="15"/>
        <v>251</v>
      </c>
      <c r="E257" s="20">
        <f t="shared" si="16"/>
        <v>3850</v>
      </c>
      <c r="F257" s="20">
        <f t="shared" si="17"/>
        <v>450</v>
      </c>
      <c r="G257" s="20">
        <v>0.24531810197458159</v>
      </c>
      <c r="H257" s="50"/>
      <c r="I257" s="16"/>
      <c r="J257" s="16"/>
      <c r="K257" s="16"/>
      <c r="L257" s="16"/>
      <c r="M257" s="16">
        <v>251</v>
      </c>
      <c r="N257" s="16">
        <f t="shared" si="18"/>
        <v>8.9849354375896695E-2</v>
      </c>
      <c r="O257" s="16"/>
      <c r="P257" s="16"/>
      <c r="Q257" s="16">
        <f t="shared" si="19"/>
        <v>-1.3416832855902887</v>
      </c>
    </row>
    <row r="258" spans="4:17" ht="15" thickBot="1" x14ac:dyDescent="0.35">
      <c r="D258" s="20">
        <f t="shared" si="15"/>
        <v>252</v>
      </c>
      <c r="E258" s="20">
        <f t="shared" si="16"/>
        <v>3950</v>
      </c>
      <c r="F258" s="20">
        <f t="shared" si="17"/>
        <v>450</v>
      </c>
      <c r="G258" s="20">
        <v>0.24534228432352106</v>
      </c>
      <c r="H258" s="50"/>
      <c r="I258" s="16"/>
      <c r="J258" s="16"/>
      <c r="K258" s="16"/>
      <c r="L258" s="16"/>
      <c r="M258" s="16">
        <v>252</v>
      </c>
      <c r="N258" s="16">
        <f t="shared" si="18"/>
        <v>9.0208034433285511E-2</v>
      </c>
      <c r="O258" s="16"/>
      <c r="P258" s="16"/>
      <c r="Q258" s="16">
        <f t="shared" si="19"/>
        <v>-1.3394750581370303</v>
      </c>
    </row>
    <row r="259" spans="4:17" ht="15" thickBot="1" x14ac:dyDescent="0.35">
      <c r="D259" s="20">
        <f t="shared" si="15"/>
        <v>253</v>
      </c>
      <c r="E259" s="20">
        <f t="shared" si="16"/>
        <v>4050</v>
      </c>
      <c r="F259" s="20">
        <f t="shared" si="17"/>
        <v>450</v>
      </c>
      <c r="G259" s="20">
        <v>0.24541289602201771</v>
      </c>
      <c r="H259" s="50"/>
      <c r="I259" s="16"/>
      <c r="J259" s="16"/>
      <c r="K259" s="16"/>
      <c r="L259" s="16"/>
      <c r="M259" s="16">
        <v>253</v>
      </c>
      <c r="N259" s="16">
        <f t="shared" si="18"/>
        <v>9.0566714490674313E-2</v>
      </c>
      <c r="O259" s="16"/>
      <c r="P259" s="16"/>
      <c r="Q259" s="16">
        <f t="shared" si="19"/>
        <v>-1.3372733430736621</v>
      </c>
    </row>
    <row r="260" spans="4:17" ht="15" thickBot="1" x14ac:dyDescent="0.35">
      <c r="D260" s="20">
        <f t="shared" si="15"/>
        <v>254</v>
      </c>
      <c r="E260" s="20">
        <f t="shared" si="16"/>
        <v>4150</v>
      </c>
      <c r="F260" s="20">
        <f t="shared" si="17"/>
        <v>450</v>
      </c>
      <c r="G260" s="20">
        <v>0.24544154303373078</v>
      </c>
      <c r="H260" s="50"/>
      <c r="I260" s="16"/>
      <c r="J260" s="16"/>
      <c r="K260" s="16"/>
      <c r="L260" s="16"/>
      <c r="M260" s="16">
        <v>254</v>
      </c>
      <c r="N260" s="16">
        <f t="shared" si="18"/>
        <v>9.0925394548063129E-2</v>
      </c>
      <c r="O260" s="16"/>
      <c r="P260" s="16"/>
      <c r="Q260" s="16">
        <f t="shared" si="19"/>
        <v>-1.3350780914907188</v>
      </c>
    </row>
    <row r="261" spans="4:17" ht="15" thickBot="1" x14ac:dyDescent="0.35">
      <c r="D261" s="20">
        <f t="shared" si="15"/>
        <v>255</v>
      </c>
      <c r="E261" s="20">
        <f t="shared" si="16"/>
        <v>4250</v>
      </c>
      <c r="F261" s="20">
        <f t="shared" si="17"/>
        <v>450</v>
      </c>
      <c r="G261" s="20">
        <v>0.24555959688515211</v>
      </c>
      <c r="H261" s="50"/>
      <c r="I261" s="16"/>
      <c r="J261" s="16"/>
      <c r="K261" s="16"/>
      <c r="L261" s="16"/>
      <c r="M261" s="16">
        <v>255</v>
      </c>
      <c r="N261" s="16">
        <f t="shared" si="18"/>
        <v>9.1284074605451931E-2</v>
      </c>
      <c r="O261" s="16"/>
      <c r="P261" s="16"/>
      <c r="Q261" s="16">
        <f t="shared" si="19"/>
        <v>-1.3328892550326357</v>
      </c>
    </row>
    <row r="262" spans="4:17" ht="15" thickBot="1" x14ac:dyDescent="0.35">
      <c r="D262" s="20">
        <f t="shared" si="15"/>
        <v>256</v>
      </c>
      <c r="E262" s="20">
        <f t="shared" si="16"/>
        <v>4350</v>
      </c>
      <c r="F262" s="20">
        <f t="shared" si="17"/>
        <v>450</v>
      </c>
      <c r="G262" s="20">
        <v>0.24572629357543377</v>
      </c>
      <c r="H262" s="50"/>
      <c r="I262" s="16"/>
      <c r="J262" s="16"/>
      <c r="K262" s="16"/>
      <c r="L262" s="16"/>
      <c r="M262" s="16">
        <v>256</v>
      </c>
      <c r="N262" s="16">
        <f t="shared" si="18"/>
        <v>9.1642754662840747E-2</v>
      </c>
      <c r="O262" s="16"/>
      <c r="P262" s="16"/>
      <c r="Q262" s="16">
        <f t="shared" si="19"/>
        <v>-1.3307067858893096</v>
      </c>
    </row>
    <row r="263" spans="4:17" ht="15" thickBot="1" x14ac:dyDescent="0.35">
      <c r="D263" s="20">
        <f t="shared" ref="D263:D326" si="20">ROW()-6</f>
        <v>257</v>
      </c>
      <c r="E263" s="20">
        <f t="shared" ref="E263:E326" si="21">(MOD(D263-1,53)*100)+50</f>
        <v>4450</v>
      </c>
      <c r="F263" s="20">
        <f t="shared" ref="F263:F326" si="22">FLOOR((D263-1)/53,1)*100+50</f>
        <v>450</v>
      </c>
      <c r="G263" s="20">
        <v>0.24633671319870198</v>
      </c>
      <c r="H263" s="50"/>
      <c r="I263" s="16"/>
      <c r="J263" s="16"/>
      <c r="K263" s="16"/>
      <c r="L263" s="16"/>
      <c r="M263" s="16">
        <v>257</v>
      </c>
      <c r="N263" s="16">
        <f t="shared" si="18"/>
        <v>9.200143472022955E-2</v>
      </c>
      <c r="O263" s="16"/>
      <c r="P263" s="16"/>
      <c r="Q263" s="16">
        <f t="shared" si="19"/>
        <v>-1.3285306367878003</v>
      </c>
    </row>
    <row r="264" spans="4:17" ht="15" thickBot="1" x14ac:dyDescent="0.35">
      <c r="D264" s="20">
        <f t="shared" si="20"/>
        <v>258</v>
      </c>
      <c r="E264" s="20">
        <f t="shared" si="21"/>
        <v>4550</v>
      </c>
      <c r="F264" s="20">
        <f t="shared" si="22"/>
        <v>450</v>
      </c>
      <c r="G264" s="20">
        <v>0.24653253939398789</v>
      </c>
      <c r="H264" s="50"/>
      <c r="I264" s="16"/>
      <c r="J264" s="16"/>
      <c r="K264" s="16"/>
      <c r="L264" s="16"/>
      <c r="M264" s="16">
        <v>258</v>
      </c>
      <c r="N264" s="16">
        <f t="shared" ref="N264:N327" si="23">(M264-0.5)/$L$7</f>
        <v>9.2360114777618366E-2</v>
      </c>
      <c r="O264" s="16"/>
      <c r="P264" s="16"/>
      <c r="Q264" s="16">
        <f t="shared" ref="Q264:Q327" si="24">_xlfn.NORM.S.INV(N264)</f>
        <v>-1.3263607609842245</v>
      </c>
    </row>
    <row r="265" spans="4:17" ht="15" thickBot="1" x14ac:dyDescent="0.35">
      <c r="D265" s="20">
        <f t="shared" si="20"/>
        <v>259</v>
      </c>
      <c r="E265" s="20">
        <f t="shared" si="21"/>
        <v>4650</v>
      </c>
      <c r="F265" s="20">
        <f t="shared" si="22"/>
        <v>450</v>
      </c>
      <c r="G265" s="20">
        <v>0.24677317026146256</v>
      </c>
      <c r="H265" s="50"/>
      <c r="I265" s="16"/>
      <c r="J265" s="16"/>
      <c r="K265" s="16"/>
      <c r="L265" s="16"/>
      <c r="M265" s="16">
        <v>259</v>
      </c>
      <c r="N265" s="16">
        <f t="shared" si="23"/>
        <v>9.2718794835007168E-2</v>
      </c>
      <c r="O265" s="16"/>
      <c r="P265" s="16"/>
      <c r="Q265" s="16">
        <f t="shared" si="24"/>
        <v>-1.3241971122557654</v>
      </c>
    </row>
    <row r="266" spans="4:17" ht="15" thickBot="1" x14ac:dyDescent="0.35">
      <c r="D266" s="20">
        <f t="shared" si="20"/>
        <v>260</v>
      </c>
      <c r="E266" s="20">
        <f t="shared" si="21"/>
        <v>4750</v>
      </c>
      <c r="F266" s="20">
        <f t="shared" si="22"/>
        <v>450</v>
      </c>
      <c r="G266" s="20">
        <v>0.2473563401776564</v>
      </c>
      <c r="H266" s="50"/>
      <c r="I266" s="16"/>
      <c r="J266" s="16"/>
      <c r="K266" s="16"/>
      <c r="L266" s="16"/>
      <c r="M266" s="16">
        <v>260</v>
      </c>
      <c r="N266" s="16">
        <f t="shared" si="23"/>
        <v>9.3077474892395984E-2</v>
      </c>
      <c r="O266" s="16"/>
      <c r="P266" s="16"/>
      <c r="Q266" s="16">
        <f t="shared" si="24"/>
        <v>-1.3220396448928655</v>
      </c>
    </row>
    <row r="267" spans="4:17" ht="15" thickBot="1" x14ac:dyDescent="0.35">
      <c r="D267" s="20">
        <f t="shared" si="20"/>
        <v>261</v>
      </c>
      <c r="E267" s="20">
        <f t="shared" si="21"/>
        <v>4850</v>
      </c>
      <c r="F267" s="20">
        <f t="shared" si="22"/>
        <v>450</v>
      </c>
      <c r="G267" s="20">
        <v>0.24739780295925712</v>
      </c>
      <c r="H267" s="50"/>
      <c r="I267" s="16"/>
      <c r="J267" s="16"/>
      <c r="K267" s="16"/>
      <c r="L267" s="16"/>
      <c r="M267" s="16">
        <v>261</v>
      </c>
      <c r="N267" s="16">
        <f t="shared" si="23"/>
        <v>9.3436154949784786E-2</v>
      </c>
      <c r="O267" s="16"/>
      <c r="P267" s="16"/>
      <c r="Q267" s="16">
        <f t="shared" si="24"/>
        <v>-1.3198883136915436</v>
      </c>
    </row>
    <row r="268" spans="4:17" ht="15" thickBot="1" x14ac:dyDescent="0.35">
      <c r="D268" s="20">
        <f t="shared" si="20"/>
        <v>262</v>
      </c>
      <c r="E268" s="20">
        <f t="shared" si="21"/>
        <v>4950</v>
      </c>
      <c r="F268" s="20">
        <f t="shared" si="22"/>
        <v>450</v>
      </c>
      <c r="G268" s="20">
        <v>0.24744935954777442</v>
      </c>
      <c r="H268" s="50"/>
      <c r="I268" s="16"/>
      <c r="J268" s="16"/>
      <c r="K268" s="16"/>
      <c r="L268" s="16"/>
      <c r="M268" s="16">
        <v>262</v>
      </c>
      <c r="N268" s="16">
        <f t="shared" si="23"/>
        <v>9.3794835007173602E-2</v>
      </c>
      <c r="O268" s="16"/>
      <c r="P268" s="16"/>
      <c r="Q268" s="16">
        <f t="shared" si="24"/>
        <v>-1.3177430739458669</v>
      </c>
    </row>
    <row r="269" spans="4:17" ht="15" thickBot="1" x14ac:dyDescent="0.35">
      <c r="D269" s="20">
        <f t="shared" si="20"/>
        <v>263</v>
      </c>
      <c r="E269" s="20">
        <f t="shared" si="21"/>
        <v>5050</v>
      </c>
      <c r="F269" s="20">
        <f t="shared" si="22"/>
        <v>450</v>
      </c>
      <c r="G269" s="20">
        <v>0.24759559431412248</v>
      </c>
      <c r="H269" s="50"/>
      <c r="I269" s="16"/>
      <c r="J269" s="16"/>
      <c r="K269" s="16"/>
      <c r="L269" s="16"/>
      <c r="M269" s="16">
        <v>263</v>
      </c>
      <c r="N269" s="16">
        <f t="shared" si="23"/>
        <v>9.4153515064562404E-2</v>
      </c>
      <c r="O269" s="16"/>
      <c r="P269" s="16"/>
      <c r="Q269" s="16">
        <f t="shared" si="24"/>
        <v>-1.3156038814405662</v>
      </c>
    </row>
    <row r="270" spans="4:17" ht="15" thickBot="1" x14ac:dyDescent="0.35">
      <c r="D270" s="20">
        <f t="shared" si="20"/>
        <v>264</v>
      </c>
      <c r="E270" s="20">
        <f t="shared" si="21"/>
        <v>5150</v>
      </c>
      <c r="F270" s="20">
        <f t="shared" si="22"/>
        <v>450</v>
      </c>
      <c r="G270" s="20">
        <v>0.24791475272109317</v>
      </c>
      <c r="H270" s="50"/>
      <c r="I270" s="16"/>
      <c r="J270" s="16"/>
      <c r="K270" s="16"/>
      <c r="L270" s="16"/>
      <c r="M270" s="16">
        <v>264</v>
      </c>
      <c r="N270" s="16">
        <f t="shared" si="23"/>
        <v>9.451219512195122E-2</v>
      </c>
      <c r="O270" s="16"/>
      <c r="P270" s="16"/>
      <c r="Q270" s="16">
        <f t="shared" si="24"/>
        <v>-1.3134706924437776</v>
      </c>
    </row>
    <row r="271" spans="4:17" ht="15" thickBot="1" x14ac:dyDescent="0.35">
      <c r="D271" s="20">
        <f t="shared" si="20"/>
        <v>265</v>
      </c>
      <c r="E271" s="20">
        <f t="shared" si="21"/>
        <v>5250</v>
      </c>
      <c r="F271" s="20">
        <f t="shared" si="22"/>
        <v>450</v>
      </c>
      <c r="G271" s="20">
        <v>0.24794478490189892</v>
      </c>
      <c r="H271" s="50"/>
      <c r="I271" s="16"/>
      <c r="J271" s="16"/>
      <c r="K271" s="16"/>
      <c r="L271" s="16"/>
      <c r="M271" s="16">
        <v>265</v>
      </c>
      <c r="N271" s="16">
        <f t="shared" si="23"/>
        <v>9.4870875179340022E-2</v>
      </c>
      <c r="O271" s="16"/>
      <c r="P271" s="16"/>
      <c r="Q271" s="16">
        <f t="shared" si="24"/>
        <v>-1.3113434636999233</v>
      </c>
    </row>
    <row r="272" spans="4:17" ht="15" thickBot="1" x14ac:dyDescent="0.35">
      <c r="D272" s="20">
        <f t="shared" si="20"/>
        <v>266</v>
      </c>
      <c r="E272" s="20">
        <f t="shared" si="21"/>
        <v>50</v>
      </c>
      <c r="F272" s="20">
        <f t="shared" si="22"/>
        <v>550</v>
      </c>
      <c r="G272" s="20">
        <v>0.2481978430327636</v>
      </c>
      <c r="H272" s="50"/>
      <c r="I272" s="16"/>
      <c r="J272" s="16"/>
      <c r="K272" s="16"/>
      <c r="L272" s="16"/>
      <c r="M272" s="16">
        <v>266</v>
      </c>
      <c r="N272" s="16">
        <f t="shared" si="23"/>
        <v>9.5229555236728838E-2</v>
      </c>
      <c r="O272" s="16"/>
      <c r="P272" s="16"/>
      <c r="Q272" s="16">
        <f t="shared" si="24"/>
        <v>-1.3092221524227365</v>
      </c>
    </row>
    <row r="273" spans="4:17" ht="15" thickBot="1" x14ac:dyDescent="0.35">
      <c r="D273" s="20">
        <f t="shared" si="20"/>
        <v>267</v>
      </c>
      <c r="E273" s="47">
        <f t="shared" si="21"/>
        <v>150</v>
      </c>
      <c r="F273" s="47">
        <f t="shared" si="22"/>
        <v>550</v>
      </c>
      <c r="G273" s="20">
        <v>0.24839461955285358</v>
      </c>
      <c r="H273" s="50"/>
      <c r="I273" s="16"/>
      <c r="J273" s="16"/>
      <c r="K273" s="16"/>
      <c r="L273" s="16"/>
      <c r="M273" s="16">
        <v>267</v>
      </c>
      <c r="N273" s="16">
        <f t="shared" si="23"/>
        <v>9.5588235294117641E-2</v>
      </c>
      <c r="O273" s="16"/>
      <c r="P273" s="16"/>
      <c r="Q273" s="16">
        <f t="shared" si="24"/>
        <v>-1.3071067162883874</v>
      </c>
    </row>
    <row r="274" spans="4:17" ht="15" thickBot="1" x14ac:dyDescent="0.35">
      <c r="D274" s="20">
        <f t="shared" si="20"/>
        <v>268</v>
      </c>
      <c r="E274" s="20">
        <f t="shared" si="21"/>
        <v>250</v>
      </c>
      <c r="F274" s="20">
        <f t="shared" si="22"/>
        <v>550</v>
      </c>
      <c r="G274" s="20">
        <v>0.24867484726439609</v>
      </c>
      <c r="H274" s="50"/>
      <c r="I274" s="16"/>
      <c r="J274" s="16"/>
      <c r="K274" s="16"/>
      <c r="L274" s="16"/>
      <c r="M274" s="16">
        <v>268</v>
      </c>
      <c r="N274" s="16">
        <f t="shared" si="23"/>
        <v>9.5946915351506457E-2</v>
      </c>
      <c r="O274" s="16"/>
      <c r="P274" s="16"/>
      <c r="Q274" s="16">
        <f t="shared" si="24"/>
        <v>-1.3049971134287632</v>
      </c>
    </row>
    <row r="275" spans="4:17" ht="15" thickBot="1" x14ac:dyDescent="0.35">
      <c r="D275" s="20">
        <f t="shared" si="20"/>
        <v>269</v>
      </c>
      <c r="E275" s="20">
        <f t="shared" si="21"/>
        <v>350</v>
      </c>
      <c r="F275" s="20">
        <f t="shared" si="22"/>
        <v>550</v>
      </c>
      <c r="G275" s="20">
        <v>0.24876304012427158</v>
      </c>
      <c r="H275" s="50"/>
      <c r="I275" s="16"/>
      <c r="J275" s="16"/>
      <c r="K275" s="16"/>
      <c r="L275" s="16"/>
      <c r="M275" s="16">
        <v>269</v>
      </c>
      <c r="N275" s="16">
        <f t="shared" si="23"/>
        <v>9.6305595408895259E-2</v>
      </c>
      <c r="O275" s="16"/>
      <c r="P275" s="16"/>
      <c r="Q275" s="16">
        <f t="shared" si="24"/>
        <v>-1.3028933024248524</v>
      </c>
    </row>
    <row r="276" spans="4:17" ht="15" thickBot="1" x14ac:dyDescent="0.35">
      <c r="D276" s="20">
        <f t="shared" si="20"/>
        <v>270</v>
      </c>
      <c r="E276" s="44">
        <f t="shared" si="21"/>
        <v>450</v>
      </c>
      <c r="F276" s="44">
        <f t="shared" si="22"/>
        <v>550</v>
      </c>
      <c r="G276" s="20">
        <v>0.24897587318120523</v>
      </c>
      <c r="H276" s="50"/>
      <c r="I276" s="16"/>
      <c r="J276" s="16"/>
      <c r="K276" s="16"/>
      <c r="L276" s="16"/>
      <c r="M276" s="16">
        <v>270</v>
      </c>
      <c r="N276" s="16">
        <f t="shared" si="23"/>
        <v>9.6664275466284075E-2</v>
      </c>
      <c r="O276" s="16"/>
      <c r="P276" s="16"/>
      <c r="Q276" s="16">
        <f t="shared" si="24"/>
        <v>-1.3007952423002616</v>
      </c>
    </row>
    <row r="277" spans="4:17" ht="15" thickBot="1" x14ac:dyDescent="0.35">
      <c r="D277" s="20">
        <f t="shared" si="20"/>
        <v>271</v>
      </c>
      <c r="E277" s="20">
        <f t="shared" si="21"/>
        <v>550</v>
      </c>
      <c r="F277" s="20">
        <f t="shared" si="22"/>
        <v>550</v>
      </c>
      <c r="G277" s="20">
        <v>0.24900032133945132</v>
      </c>
      <c r="H277" s="50"/>
      <c r="I277" s="16"/>
      <c r="J277" s="16"/>
      <c r="K277" s="16"/>
      <c r="L277" s="16"/>
      <c r="M277" s="16">
        <v>271</v>
      </c>
      <c r="N277" s="16">
        <f t="shared" si="23"/>
        <v>9.7022955523672877E-2</v>
      </c>
      <c r="O277" s="16"/>
      <c r="P277" s="16"/>
      <c r="Q277" s="16">
        <f t="shared" si="24"/>
        <v>-1.2987028925148338</v>
      </c>
    </row>
    <row r="278" spans="4:17" ht="15" thickBot="1" x14ac:dyDescent="0.35">
      <c r="D278" s="20">
        <f t="shared" si="20"/>
        <v>272</v>
      </c>
      <c r="E278" s="20">
        <f t="shared" si="21"/>
        <v>650</v>
      </c>
      <c r="F278" s="20">
        <f t="shared" si="22"/>
        <v>550</v>
      </c>
      <c r="G278" s="20">
        <v>0.24931512890203655</v>
      </c>
      <c r="H278" s="50"/>
      <c r="I278" s="16"/>
      <c r="J278" s="16"/>
      <c r="K278" s="16"/>
      <c r="L278" s="16"/>
      <c r="M278" s="16">
        <v>272</v>
      </c>
      <c r="N278" s="16">
        <f t="shared" si="23"/>
        <v>9.7381635581061693E-2</v>
      </c>
      <c r="O278" s="16"/>
      <c r="P278" s="16"/>
      <c r="Q278" s="16">
        <f t="shared" si="24"/>
        <v>-1.2966162129584005</v>
      </c>
    </row>
    <row r="279" spans="4:17" ht="15" thickBot="1" x14ac:dyDescent="0.35">
      <c r="D279" s="20">
        <f t="shared" si="20"/>
        <v>273</v>
      </c>
      <c r="E279" s="20">
        <f t="shared" si="21"/>
        <v>750</v>
      </c>
      <c r="F279" s="20">
        <f t="shared" si="22"/>
        <v>550</v>
      </c>
      <c r="G279" s="20">
        <v>0.24944567887376745</v>
      </c>
      <c r="H279" s="50"/>
      <c r="I279" s="16"/>
      <c r="J279" s="16"/>
      <c r="K279" s="16"/>
      <c r="L279" s="16"/>
      <c r="M279" s="16">
        <v>273</v>
      </c>
      <c r="N279" s="16">
        <f t="shared" si="23"/>
        <v>9.7740315638450509E-2</v>
      </c>
      <c r="O279" s="16"/>
      <c r="P279" s="16"/>
      <c r="Q279" s="16">
        <f t="shared" si="24"/>
        <v>-1.2945351639446314</v>
      </c>
    </row>
    <row r="280" spans="4:17" ht="15" thickBot="1" x14ac:dyDescent="0.35">
      <c r="D280" s="20">
        <f t="shared" si="20"/>
        <v>274</v>
      </c>
      <c r="E280" s="20">
        <f t="shared" si="21"/>
        <v>850</v>
      </c>
      <c r="F280" s="20">
        <f t="shared" si="22"/>
        <v>550</v>
      </c>
      <c r="G280" s="20">
        <v>0.24947919565994919</v>
      </c>
      <c r="H280" s="50"/>
      <c r="I280" s="16"/>
      <c r="J280" s="16"/>
      <c r="K280" s="16"/>
      <c r="L280" s="16"/>
      <c r="M280" s="16">
        <v>274</v>
      </c>
      <c r="N280" s="16">
        <f t="shared" si="23"/>
        <v>9.8098995695839311E-2</v>
      </c>
      <c r="O280" s="16"/>
      <c r="P280" s="16"/>
      <c r="Q280" s="16">
        <f t="shared" si="24"/>
        <v>-1.2924597062050065</v>
      </c>
    </row>
    <row r="281" spans="4:17" ht="15" thickBot="1" x14ac:dyDescent="0.35">
      <c r="D281" s="20">
        <f t="shared" si="20"/>
        <v>275</v>
      </c>
      <c r="E281" s="20">
        <f t="shared" si="21"/>
        <v>950</v>
      </c>
      <c r="F281" s="20">
        <f t="shared" si="22"/>
        <v>550</v>
      </c>
      <c r="G281" s="20">
        <v>0.24962129875149353</v>
      </c>
      <c r="H281" s="50"/>
      <c r="I281" s="16"/>
      <c r="J281" s="16"/>
      <c r="K281" s="16"/>
      <c r="L281" s="16"/>
      <c r="M281" s="16">
        <v>275</v>
      </c>
      <c r="N281" s="16">
        <f t="shared" si="23"/>
        <v>9.8457675753228127E-2</v>
      </c>
      <c r="O281" s="16"/>
      <c r="P281" s="16"/>
      <c r="Q281" s="16">
        <f t="shared" si="24"/>
        <v>-1.2903898008828818</v>
      </c>
    </row>
    <row r="282" spans="4:17" ht="15" thickBot="1" x14ac:dyDescent="0.35">
      <c r="D282" s="20">
        <f t="shared" si="20"/>
        <v>276</v>
      </c>
      <c r="E282" s="20">
        <f t="shared" si="21"/>
        <v>1050</v>
      </c>
      <c r="F282" s="20">
        <f t="shared" si="22"/>
        <v>550</v>
      </c>
      <c r="G282" s="20">
        <v>0.2497586170501761</v>
      </c>
      <c r="H282" s="50"/>
      <c r="I282" s="16"/>
      <c r="J282" s="16"/>
      <c r="K282" s="16"/>
      <c r="L282" s="16"/>
      <c r="M282" s="16">
        <v>276</v>
      </c>
      <c r="N282" s="16">
        <f t="shared" si="23"/>
        <v>9.8816355810616929E-2</v>
      </c>
      <c r="O282" s="16"/>
      <c r="P282" s="16"/>
      <c r="Q282" s="16">
        <f t="shared" si="24"/>
        <v>-1.2883254095276757</v>
      </c>
    </row>
    <row r="283" spans="4:17" ht="15" thickBot="1" x14ac:dyDescent="0.35">
      <c r="D283" s="20">
        <f t="shared" si="20"/>
        <v>277</v>
      </c>
      <c r="E283" s="20">
        <f t="shared" si="21"/>
        <v>1150</v>
      </c>
      <c r="F283" s="20">
        <f t="shared" si="22"/>
        <v>550</v>
      </c>
      <c r="G283" s="20">
        <v>0.24984630380820422</v>
      </c>
      <c r="H283" s="50"/>
      <c r="I283" s="16"/>
      <c r="J283" s="16"/>
      <c r="K283" s="16"/>
      <c r="L283" s="16"/>
      <c r="M283" s="16">
        <v>277</v>
      </c>
      <c r="N283" s="16">
        <f t="shared" si="23"/>
        <v>9.9175035868005745E-2</v>
      </c>
      <c r="O283" s="16"/>
      <c r="P283" s="16"/>
      <c r="Q283" s="16">
        <f t="shared" si="24"/>
        <v>-1.2862664940891466</v>
      </c>
    </row>
    <row r="284" spans="4:17" ht="15" thickBot="1" x14ac:dyDescent="0.35">
      <c r="D284" s="20">
        <f t="shared" si="20"/>
        <v>278</v>
      </c>
      <c r="E284" s="20">
        <f t="shared" si="21"/>
        <v>1250</v>
      </c>
      <c r="F284" s="20">
        <f t="shared" si="22"/>
        <v>550</v>
      </c>
      <c r="G284" s="20">
        <v>0.24984861589097856</v>
      </c>
      <c r="H284" s="50"/>
      <c r="I284" s="16"/>
      <c r="J284" s="16"/>
      <c r="K284" s="16"/>
      <c r="L284" s="16"/>
      <c r="M284" s="16">
        <v>278</v>
      </c>
      <c r="N284" s="16">
        <f t="shared" si="23"/>
        <v>9.9533715925394547E-2</v>
      </c>
      <c r="O284" s="16"/>
      <c r="P284" s="16"/>
      <c r="Q284" s="16">
        <f t="shared" si="24"/>
        <v>-1.2842130169117758</v>
      </c>
    </row>
    <row r="285" spans="4:17" ht="15" thickBot="1" x14ac:dyDescent="0.35">
      <c r="D285" s="20">
        <f t="shared" si="20"/>
        <v>279</v>
      </c>
      <c r="E285" s="20">
        <f t="shared" si="21"/>
        <v>1350</v>
      </c>
      <c r="F285" s="20">
        <f t="shared" si="22"/>
        <v>550</v>
      </c>
      <c r="G285" s="20">
        <v>0.24986717458941349</v>
      </c>
      <c r="H285" s="50"/>
      <c r="I285" s="16"/>
      <c r="J285" s="16"/>
      <c r="K285" s="16"/>
      <c r="L285" s="16"/>
      <c r="M285" s="16">
        <v>279</v>
      </c>
      <c r="N285" s="16">
        <f t="shared" si="23"/>
        <v>9.9892395982783364E-2</v>
      </c>
      <c r="O285" s="16"/>
      <c r="P285" s="16"/>
      <c r="Q285" s="16">
        <f t="shared" si="24"/>
        <v>-1.2821649407292488</v>
      </c>
    </row>
    <row r="286" spans="4:17" ht="15" thickBot="1" x14ac:dyDescent="0.35">
      <c r="D286" s="20">
        <f t="shared" si="20"/>
        <v>280</v>
      </c>
      <c r="E286" s="20">
        <f t="shared" si="21"/>
        <v>1450</v>
      </c>
      <c r="F286" s="20">
        <f t="shared" si="22"/>
        <v>550</v>
      </c>
      <c r="G286" s="20">
        <v>0.24997873450298902</v>
      </c>
      <c r="H286" s="50"/>
      <c r="I286" s="16"/>
      <c r="J286" s="16"/>
      <c r="K286" s="16"/>
      <c r="L286" s="16"/>
      <c r="M286" s="16">
        <v>280</v>
      </c>
      <c r="N286" s="16">
        <f t="shared" si="23"/>
        <v>0.10025107604017217</v>
      </c>
      <c r="O286" s="16"/>
      <c r="P286" s="16"/>
      <c r="Q286" s="16">
        <f t="shared" si="24"/>
        <v>-1.2801222286590417</v>
      </c>
    </row>
    <row r="287" spans="4:17" ht="15" thickBot="1" x14ac:dyDescent="0.35">
      <c r="D287" s="20">
        <f t="shared" si="20"/>
        <v>281</v>
      </c>
      <c r="E287" s="20">
        <f t="shared" si="21"/>
        <v>1550</v>
      </c>
      <c r="F287" s="20">
        <f t="shared" si="22"/>
        <v>550</v>
      </c>
      <c r="G287" s="20">
        <v>0.24999517872173344</v>
      </c>
      <c r="H287" s="50"/>
      <c r="I287" s="16"/>
      <c r="J287" s="16"/>
      <c r="K287" s="16"/>
      <c r="L287" s="16"/>
      <c r="M287" s="16">
        <v>281</v>
      </c>
      <c r="N287" s="16">
        <f t="shared" si="23"/>
        <v>0.10060975609756098</v>
      </c>
      <c r="O287" s="16"/>
      <c r="P287" s="16"/>
      <c r="Q287" s="16">
        <f t="shared" si="24"/>
        <v>-1.2780848441970789</v>
      </c>
    </row>
    <row r="288" spans="4:17" ht="15" thickBot="1" x14ac:dyDescent="0.35">
      <c r="D288" s="20">
        <f t="shared" si="20"/>
        <v>282</v>
      </c>
      <c r="E288" s="20">
        <f t="shared" si="21"/>
        <v>1650</v>
      </c>
      <c r="F288" s="20">
        <f t="shared" si="22"/>
        <v>550</v>
      </c>
      <c r="G288" s="20">
        <v>0.25030189188309837</v>
      </c>
      <c r="H288" s="50"/>
      <c r="I288" s="16"/>
      <c r="J288" s="16"/>
      <c r="K288" s="16"/>
      <c r="L288" s="16"/>
      <c r="M288" s="16">
        <v>282</v>
      </c>
      <c r="N288" s="16">
        <f t="shared" si="23"/>
        <v>0.10096843615494978</v>
      </c>
      <c r="O288" s="16"/>
      <c r="P288" s="16"/>
      <c r="Q288" s="16">
        <f t="shared" si="24"/>
        <v>-1.2760527512125144</v>
      </c>
    </row>
    <row r="289" spans="4:17" ht="15" thickBot="1" x14ac:dyDescent="0.35">
      <c r="D289" s="20">
        <f t="shared" si="20"/>
        <v>283</v>
      </c>
      <c r="E289" s="20">
        <f t="shared" si="21"/>
        <v>1750</v>
      </c>
      <c r="F289" s="20">
        <f t="shared" si="22"/>
        <v>550</v>
      </c>
      <c r="G289" s="20">
        <v>0.25030760047110923</v>
      </c>
      <c r="H289" s="50"/>
      <c r="I289" s="16"/>
      <c r="J289" s="16"/>
      <c r="K289" s="16"/>
      <c r="L289" s="16"/>
      <c r="M289" s="16">
        <v>283</v>
      </c>
      <c r="N289" s="16">
        <f t="shared" si="23"/>
        <v>0.1013271162123386</v>
      </c>
      <c r="O289" s="16"/>
      <c r="P289" s="16"/>
      <c r="Q289" s="16">
        <f t="shared" si="24"/>
        <v>-1.2740259139425794</v>
      </c>
    </row>
    <row r="290" spans="4:17" ht="15" thickBot="1" x14ac:dyDescent="0.35">
      <c r="D290" s="20">
        <f t="shared" si="20"/>
        <v>284</v>
      </c>
      <c r="E290" s="20">
        <f t="shared" si="21"/>
        <v>1850</v>
      </c>
      <c r="F290" s="20">
        <f t="shared" si="22"/>
        <v>550</v>
      </c>
      <c r="G290" s="20">
        <v>0.25044535073153579</v>
      </c>
      <c r="H290" s="50"/>
      <c r="I290" s="16"/>
      <c r="J290" s="16"/>
      <c r="K290" s="16"/>
      <c r="L290" s="16"/>
      <c r="M290" s="16">
        <v>284</v>
      </c>
      <c r="N290" s="16">
        <f t="shared" si="23"/>
        <v>0.1016857962697274</v>
      </c>
      <c r="O290" s="16"/>
      <c r="P290" s="16"/>
      <c r="Q290" s="16">
        <f t="shared" si="24"/>
        <v>-1.2720042969875314</v>
      </c>
    </row>
    <row r="291" spans="4:17" ht="15" thickBot="1" x14ac:dyDescent="0.35">
      <c r="D291" s="20">
        <f t="shared" si="20"/>
        <v>285</v>
      </c>
      <c r="E291" s="20">
        <f t="shared" si="21"/>
        <v>1950</v>
      </c>
      <c r="F291" s="20">
        <f t="shared" si="22"/>
        <v>550</v>
      </c>
      <c r="G291" s="20">
        <v>0.25095099728834591</v>
      </c>
      <c r="H291" s="50"/>
      <c r="I291" s="16"/>
      <c r="J291" s="16"/>
      <c r="K291" s="16"/>
      <c r="L291" s="16"/>
      <c r="M291" s="16">
        <v>285</v>
      </c>
      <c r="N291" s="16">
        <f t="shared" si="23"/>
        <v>0.10204447632711622</v>
      </c>
      <c r="O291" s="16"/>
      <c r="P291" s="16"/>
      <c r="Q291" s="16">
        <f t="shared" si="24"/>
        <v>-1.2699878653056846</v>
      </c>
    </row>
    <row r="292" spans="4:17" ht="15" thickBot="1" x14ac:dyDescent="0.35">
      <c r="D292" s="20">
        <f t="shared" si="20"/>
        <v>286</v>
      </c>
      <c r="E292" s="20">
        <f t="shared" si="21"/>
        <v>2050</v>
      </c>
      <c r="F292" s="20">
        <f t="shared" si="22"/>
        <v>550</v>
      </c>
      <c r="G292" s="20">
        <v>0.25116593501088652</v>
      </c>
      <c r="H292" s="50"/>
      <c r="I292" s="16"/>
      <c r="J292" s="16"/>
      <c r="K292" s="16"/>
      <c r="L292" s="16"/>
      <c r="M292" s="16">
        <v>286</v>
      </c>
      <c r="N292" s="16">
        <f t="shared" si="23"/>
        <v>0.10240315638450502</v>
      </c>
      <c r="O292" s="16"/>
      <c r="P292" s="16"/>
      <c r="Q292" s="16">
        <f t="shared" si="24"/>
        <v>-1.2679765842085293</v>
      </c>
    </row>
    <row r="293" spans="4:17" ht="15" thickBot="1" x14ac:dyDescent="0.35">
      <c r="D293" s="20">
        <f t="shared" si="20"/>
        <v>287</v>
      </c>
      <c r="E293" s="20">
        <f t="shared" si="21"/>
        <v>2150</v>
      </c>
      <c r="F293" s="20">
        <f t="shared" si="22"/>
        <v>550</v>
      </c>
      <c r="G293" s="20">
        <v>0.25118184538111737</v>
      </c>
      <c r="H293" s="50"/>
      <c r="I293" s="16"/>
      <c r="J293" s="16"/>
      <c r="K293" s="16"/>
      <c r="L293" s="16"/>
      <c r="M293" s="16">
        <v>287</v>
      </c>
      <c r="N293" s="16">
        <f t="shared" si="23"/>
        <v>0.10276183644189384</v>
      </c>
      <c r="O293" s="16"/>
      <c r="P293" s="16"/>
      <c r="Q293" s="16">
        <f t="shared" si="24"/>
        <v>-1.2659704193559325</v>
      </c>
    </row>
    <row r="294" spans="4:17" ht="15" thickBot="1" x14ac:dyDescent="0.35">
      <c r="D294" s="20">
        <f t="shared" si="20"/>
        <v>288</v>
      </c>
      <c r="E294" s="20">
        <f t="shared" si="21"/>
        <v>2250</v>
      </c>
      <c r="F294" s="20">
        <f t="shared" si="22"/>
        <v>550</v>
      </c>
      <c r="G294" s="20">
        <v>0.25144345961041065</v>
      </c>
      <c r="H294" s="50"/>
      <c r="I294" s="16"/>
      <c r="J294" s="16"/>
      <c r="K294" s="16"/>
      <c r="L294" s="16"/>
      <c r="M294" s="16">
        <v>288</v>
      </c>
      <c r="N294" s="16">
        <f t="shared" si="23"/>
        <v>0.10312051649928264</v>
      </c>
      <c r="O294" s="16"/>
      <c r="P294" s="16"/>
      <c r="Q294" s="16">
        <f t="shared" si="24"/>
        <v>-1.2639693367514198</v>
      </c>
    </row>
    <row r="295" spans="4:17" ht="15" thickBot="1" x14ac:dyDescent="0.35">
      <c r="D295" s="20">
        <f t="shared" si="20"/>
        <v>289</v>
      </c>
      <c r="E295" s="20">
        <f t="shared" si="21"/>
        <v>2350</v>
      </c>
      <c r="F295" s="20">
        <f t="shared" si="22"/>
        <v>550</v>
      </c>
      <c r="G295" s="20">
        <v>0.25145685181310629</v>
      </c>
      <c r="H295" s="50"/>
      <c r="I295" s="16"/>
      <c r="J295" s="16"/>
      <c r="K295" s="16"/>
      <c r="L295" s="16"/>
      <c r="M295" s="16">
        <v>289</v>
      </c>
      <c r="N295" s="16">
        <f t="shared" si="23"/>
        <v>0.10347919655667145</v>
      </c>
      <c r="O295" s="16"/>
      <c r="P295" s="16"/>
      <c r="Q295" s="16">
        <f t="shared" si="24"/>
        <v>-1.2619733027375399</v>
      </c>
    </row>
    <row r="296" spans="4:17" ht="15" thickBot="1" x14ac:dyDescent="0.35">
      <c r="D296" s="20">
        <f t="shared" si="20"/>
        <v>290</v>
      </c>
      <c r="E296" s="20">
        <f t="shared" si="21"/>
        <v>2450</v>
      </c>
      <c r="F296" s="20">
        <f t="shared" si="22"/>
        <v>550</v>
      </c>
      <c r="G296" s="20">
        <v>0.25145688812463685</v>
      </c>
      <c r="H296" s="50"/>
      <c r="I296" s="16"/>
      <c r="J296" s="16"/>
      <c r="K296" s="16"/>
      <c r="L296" s="16"/>
      <c r="M296" s="16">
        <v>290</v>
      </c>
      <c r="N296" s="16">
        <f t="shared" si="23"/>
        <v>0.10383787661406026</v>
      </c>
      <c r="O296" s="16"/>
      <c r="P296" s="16"/>
      <c r="Q296" s="16">
        <f t="shared" si="24"/>
        <v>-1.2599822839913104</v>
      </c>
    </row>
    <row r="297" spans="4:17" ht="15" thickBot="1" x14ac:dyDescent="0.35">
      <c r="D297" s="20">
        <f t="shared" si="20"/>
        <v>291</v>
      </c>
      <c r="E297" s="20">
        <f t="shared" si="21"/>
        <v>2550</v>
      </c>
      <c r="F297" s="20">
        <f t="shared" si="22"/>
        <v>550</v>
      </c>
      <c r="G297" s="20">
        <v>0.25175393068008384</v>
      </c>
      <c r="H297" s="50"/>
      <c r="I297" s="16"/>
      <c r="J297" s="16"/>
      <c r="K297" s="16"/>
      <c r="L297" s="16"/>
      <c r="M297" s="16">
        <v>291</v>
      </c>
      <c r="N297" s="16">
        <f t="shared" si="23"/>
        <v>0.10419655667144907</v>
      </c>
      <c r="O297" s="16"/>
      <c r="P297" s="16"/>
      <c r="Q297" s="16">
        <f t="shared" si="24"/>
        <v>-1.2579962475197239</v>
      </c>
    </row>
    <row r="298" spans="4:17" ht="15" thickBot="1" x14ac:dyDescent="0.35">
      <c r="D298" s="20">
        <f t="shared" si="20"/>
        <v>292</v>
      </c>
      <c r="E298" s="20">
        <f t="shared" si="21"/>
        <v>2650</v>
      </c>
      <c r="F298" s="20">
        <f t="shared" si="22"/>
        <v>550</v>
      </c>
      <c r="G298" s="20">
        <v>0.25221276960415256</v>
      </c>
      <c r="H298" s="50"/>
      <c r="I298" s="16"/>
      <c r="J298" s="16"/>
      <c r="K298" s="16"/>
      <c r="L298" s="16"/>
      <c r="M298" s="16">
        <v>292</v>
      </c>
      <c r="N298" s="16">
        <f t="shared" si="23"/>
        <v>0.10455523672883787</v>
      </c>
      <c r="O298" s="16"/>
      <c r="P298" s="16"/>
      <c r="Q298" s="16">
        <f t="shared" si="24"/>
        <v>-1.2560151606553549</v>
      </c>
    </row>
    <row r="299" spans="4:17" ht="15" thickBot="1" x14ac:dyDescent="0.35">
      <c r="D299" s="20">
        <f t="shared" si="20"/>
        <v>293</v>
      </c>
      <c r="E299" s="20">
        <f t="shared" si="21"/>
        <v>2750</v>
      </c>
      <c r="F299" s="20">
        <f t="shared" si="22"/>
        <v>550</v>
      </c>
      <c r="G299" s="20">
        <v>0.25222913427164195</v>
      </c>
      <c r="H299" s="50"/>
      <c r="I299" s="16"/>
      <c r="J299" s="16"/>
      <c r="K299" s="16"/>
      <c r="L299" s="16"/>
      <c r="M299" s="16">
        <v>293</v>
      </c>
      <c r="N299" s="16">
        <f t="shared" si="23"/>
        <v>0.10491391678622669</v>
      </c>
      <c r="O299" s="16"/>
      <c r="P299" s="16"/>
      <c r="Q299" s="16">
        <f t="shared" si="24"/>
        <v>-1.2540389910520167</v>
      </c>
    </row>
    <row r="300" spans="4:17" ht="15" thickBot="1" x14ac:dyDescent="0.35">
      <c r="D300" s="20">
        <f t="shared" si="20"/>
        <v>294</v>
      </c>
      <c r="E300" s="20">
        <f t="shared" si="21"/>
        <v>2850</v>
      </c>
      <c r="F300" s="20">
        <f t="shared" si="22"/>
        <v>550</v>
      </c>
      <c r="G300" s="20">
        <v>0.25223144934645536</v>
      </c>
      <c r="H300" s="50"/>
      <c r="I300" s="16"/>
      <c r="J300" s="16"/>
      <c r="K300" s="16"/>
      <c r="L300" s="16"/>
      <c r="M300" s="16">
        <v>294</v>
      </c>
      <c r="N300" s="16">
        <f t="shared" si="23"/>
        <v>0.10527259684361549</v>
      </c>
      <c r="O300" s="16"/>
      <c r="P300" s="16"/>
      <c r="Q300" s="16">
        <f t="shared" si="24"/>
        <v>-1.2520677066805115</v>
      </c>
    </row>
    <row r="301" spans="4:17" ht="15" thickBot="1" x14ac:dyDescent="0.35">
      <c r="D301" s="20">
        <f t="shared" si="20"/>
        <v>295</v>
      </c>
      <c r="E301" s="43">
        <f t="shared" si="21"/>
        <v>2950</v>
      </c>
      <c r="F301" s="43">
        <f t="shared" si="22"/>
        <v>550</v>
      </c>
      <c r="G301" s="20">
        <v>0.25239643397689421</v>
      </c>
      <c r="H301" s="50"/>
      <c r="I301" s="16"/>
      <c r="J301" s="16"/>
      <c r="K301" s="16"/>
      <c r="L301" s="16"/>
      <c r="M301" s="16">
        <v>295</v>
      </c>
      <c r="N301" s="16">
        <f t="shared" si="23"/>
        <v>0.10563127690100431</v>
      </c>
      <c r="O301" s="16"/>
      <c r="P301" s="16"/>
      <c r="Q301" s="16">
        <f t="shared" si="24"/>
        <v>-1.2501012758244308</v>
      </c>
    </row>
    <row r="302" spans="4:17" ht="15" thickBot="1" x14ac:dyDescent="0.35">
      <c r="D302" s="20">
        <f t="shared" si="20"/>
        <v>296</v>
      </c>
      <c r="E302" s="48">
        <f t="shared" si="21"/>
        <v>3050</v>
      </c>
      <c r="F302" s="48">
        <f t="shared" si="22"/>
        <v>550</v>
      </c>
      <c r="G302" s="20">
        <v>0.25251737933609797</v>
      </c>
      <c r="H302" s="50"/>
      <c r="I302" s="16"/>
      <c r="J302" s="16"/>
      <c r="K302" s="16"/>
      <c r="L302" s="16"/>
      <c r="M302" s="16">
        <v>296</v>
      </c>
      <c r="N302" s="16">
        <f t="shared" si="23"/>
        <v>0.10598995695839311</v>
      </c>
      <c r="O302" s="16"/>
      <c r="P302" s="16"/>
      <c r="Q302" s="16">
        <f t="shared" si="24"/>
        <v>-1.2481396670760452</v>
      </c>
    </row>
    <row r="303" spans="4:17" ht="15" thickBot="1" x14ac:dyDescent="0.35">
      <c r="D303" s="20">
        <f t="shared" si="20"/>
        <v>297</v>
      </c>
      <c r="E303" s="20">
        <f t="shared" si="21"/>
        <v>3150</v>
      </c>
      <c r="F303" s="20">
        <f t="shared" si="22"/>
        <v>550</v>
      </c>
      <c r="G303" s="20">
        <v>0.25267000019632391</v>
      </c>
      <c r="H303" s="50"/>
      <c r="I303" s="16"/>
      <c r="J303" s="16"/>
      <c r="K303" s="16"/>
      <c r="L303" s="16"/>
      <c r="M303" s="16">
        <v>297</v>
      </c>
      <c r="N303" s="16">
        <f t="shared" si="23"/>
        <v>0.10634863701578193</v>
      </c>
      <c r="O303" s="16"/>
      <c r="P303" s="16"/>
      <c r="Q303" s="16">
        <f t="shared" si="24"/>
        <v>-1.2461828493322418</v>
      </c>
    </row>
    <row r="304" spans="4:17" ht="15" thickBot="1" x14ac:dyDescent="0.35">
      <c r="D304" s="20">
        <f t="shared" si="20"/>
        <v>298</v>
      </c>
      <c r="E304" s="20">
        <f t="shared" si="21"/>
        <v>3250</v>
      </c>
      <c r="F304" s="20">
        <f t="shared" si="22"/>
        <v>550</v>
      </c>
      <c r="G304" s="20">
        <v>0.2527184150261082</v>
      </c>
      <c r="H304" s="50"/>
      <c r="I304" s="16"/>
      <c r="J304" s="16"/>
      <c r="K304" s="16"/>
      <c r="L304" s="16"/>
      <c r="M304" s="16">
        <v>298</v>
      </c>
      <c r="N304" s="16">
        <f t="shared" si="23"/>
        <v>0.10670731707317073</v>
      </c>
      <c r="O304" s="16"/>
      <c r="P304" s="16"/>
      <c r="Q304" s="16">
        <f t="shared" si="24"/>
        <v>-1.2442307917905493</v>
      </c>
    </row>
    <row r="305" spans="4:17" ht="15" thickBot="1" x14ac:dyDescent="0.35">
      <c r="D305" s="20">
        <f t="shared" si="20"/>
        <v>299</v>
      </c>
      <c r="E305" s="20">
        <f t="shared" si="21"/>
        <v>3350</v>
      </c>
      <c r="F305" s="20">
        <f t="shared" si="22"/>
        <v>550</v>
      </c>
      <c r="G305" s="20">
        <v>0.25283887699846924</v>
      </c>
      <c r="H305" s="50"/>
      <c r="I305" s="16"/>
      <c r="J305" s="16"/>
      <c r="K305" s="16"/>
      <c r="L305" s="16"/>
      <c r="M305" s="16">
        <v>299</v>
      </c>
      <c r="N305" s="16">
        <f t="shared" si="23"/>
        <v>0.10706599713055955</v>
      </c>
      <c r="O305" s="16"/>
      <c r="P305" s="16"/>
      <c r="Q305" s="16">
        <f t="shared" si="24"/>
        <v>-1.2422834639452109</v>
      </c>
    </row>
    <row r="306" spans="4:17" ht="15" thickBot="1" x14ac:dyDescent="0.35">
      <c r="D306" s="20">
        <f t="shared" si="20"/>
        <v>300</v>
      </c>
      <c r="E306" s="20">
        <f t="shared" si="21"/>
        <v>3450</v>
      </c>
      <c r="F306" s="20">
        <f t="shared" si="22"/>
        <v>550</v>
      </c>
      <c r="G306" s="20">
        <v>0.25300971324391319</v>
      </c>
      <c r="H306" s="50"/>
      <c r="I306" s="16"/>
      <c r="J306" s="16"/>
      <c r="K306" s="16"/>
      <c r="L306" s="16"/>
      <c r="M306" s="16">
        <v>300</v>
      </c>
      <c r="N306" s="16">
        <f t="shared" si="23"/>
        <v>0.10742467718794835</v>
      </c>
      <c r="O306" s="16"/>
      <c r="P306" s="16"/>
      <c r="Q306" s="16">
        <f t="shared" si="24"/>
        <v>-1.2403408355833341</v>
      </c>
    </row>
    <row r="307" spans="4:17" ht="15" thickBot="1" x14ac:dyDescent="0.35">
      <c r="D307" s="20">
        <f t="shared" si="20"/>
        <v>301</v>
      </c>
      <c r="E307" s="20">
        <f t="shared" si="21"/>
        <v>3550</v>
      </c>
      <c r="F307" s="20">
        <f t="shared" si="22"/>
        <v>550</v>
      </c>
      <c r="G307" s="20">
        <v>0.25352122212308836</v>
      </c>
      <c r="H307" s="50"/>
      <c r="I307" s="16"/>
      <c r="J307" s="16"/>
      <c r="K307" s="16"/>
      <c r="L307" s="16"/>
      <c r="M307" s="16">
        <v>301</v>
      </c>
      <c r="N307" s="16">
        <f t="shared" si="23"/>
        <v>0.10778335724533716</v>
      </c>
      <c r="O307" s="16"/>
      <c r="P307" s="16"/>
      <c r="Q307" s="16">
        <f t="shared" si="24"/>
        <v>-1.2384028767810888</v>
      </c>
    </row>
    <row r="308" spans="4:17" ht="15" thickBot="1" x14ac:dyDescent="0.35">
      <c r="D308" s="20">
        <f t="shared" si="20"/>
        <v>302</v>
      </c>
      <c r="E308" s="20">
        <f t="shared" si="21"/>
        <v>3650</v>
      </c>
      <c r="F308" s="20">
        <f t="shared" si="22"/>
        <v>550</v>
      </c>
      <c r="G308" s="20">
        <v>0.25353262541784072</v>
      </c>
      <c r="H308" s="50"/>
      <c r="I308" s="16"/>
      <c r="J308" s="16"/>
      <c r="K308" s="16"/>
      <c r="L308" s="16"/>
      <c r="M308" s="16">
        <v>302</v>
      </c>
      <c r="N308" s="16">
        <f t="shared" si="23"/>
        <v>0.10814203730272597</v>
      </c>
      <c r="O308" s="16"/>
      <c r="P308" s="16"/>
      <c r="Q308" s="16">
        <f t="shared" si="24"/>
        <v>-1.2364695578999878</v>
      </c>
    </row>
    <row r="309" spans="4:17" ht="15" thickBot="1" x14ac:dyDescent="0.35">
      <c r="D309" s="20">
        <f t="shared" si="20"/>
        <v>303</v>
      </c>
      <c r="E309" s="20">
        <f t="shared" si="21"/>
        <v>3750</v>
      </c>
      <c r="F309" s="20">
        <f t="shared" si="22"/>
        <v>550</v>
      </c>
      <c r="G309" s="20">
        <v>0.25361016206210207</v>
      </c>
      <c r="H309" s="50"/>
      <c r="I309" s="16"/>
      <c r="J309" s="16"/>
      <c r="K309" s="16"/>
      <c r="L309" s="16"/>
      <c r="M309" s="16">
        <v>303</v>
      </c>
      <c r="N309" s="16">
        <f t="shared" si="23"/>
        <v>0.10850071736011478</v>
      </c>
      <c r="O309" s="16"/>
      <c r="P309" s="16"/>
      <c r="Q309" s="16">
        <f t="shared" si="24"/>
        <v>-1.2345408495832078</v>
      </c>
    </row>
    <row r="310" spans="4:17" ht="15" thickBot="1" x14ac:dyDescent="0.35">
      <c r="D310" s="20">
        <f t="shared" si="20"/>
        <v>304</v>
      </c>
      <c r="E310" s="20">
        <f t="shared" si="21"/>
        <v>3850</v>
      </c>
      <c r="F310" s="20">
        <f t="shared" si="22"/>
        <v>550</v>
      </c>
      <c r="G310" s="20">
        <v>0.25382593069985165</v>
      </c>
      <c r="H310" s="50"/>
      <c r="I310" s="16"/>
      <c r="J310" s="16"/>
      <c r="K310" s="16"/>
      <c r="L310" s="16"/>
      <c r="M310" s="16">
        <v>304</v>
      </c>
      <c r="N310" s="16">
        <f t="shared" si="23"/>
        <v>0.10885939741750358</v>
      </c>
      <c r="O310" s="16"/>
      <c r="P310" s="16"/>
      <c r="Q310" s="16">
        <f t="shared" si="24"/>
        <v>-1.2326167227519795</v>
      </c>
    </row>
    <row r="311" spans="4:17" ht="15" thickBot="1" x14ac:dyDescent="0.35">
      <c r="D311" s="20">
        <f t="shared" si="20"/>
        <v>305</v>
      </c>
      <c r="E311" s="47">
        <f t="shared" si="21"/>
        <v>3950</v>
      </c>
      <c r="F311" s="47">
        <f t="shared" si="22"/>
        <v>550</v>
      </c>
      <c r="G311" s="20">
        <v>0.25415104979930792</v>
      </c>
      <c r="H311" s="50"/>
      <c r="I311" s="16"/>
      <c r="J311" s="16"/>
      <c r="K311" s="16"/>
      <c r="L311" s="16"/>
      <c r="M311" s="16">
        <v>305</v>
      </c>
      <c r="N311" s="16">
        <f t="shared" si="23"/>
        <v>0.1092180774748924</v>
      </c>
      <c r="O311" s="16"/>
      <c r="P311" s="16"/>
      <c r="Q311" s="16">
        <f t="shared" si="24"/>
        <v>-1.2306971486020377</v>
      </c>
    </row>
    <row r="312" spans="4:17" ht="15" thickBot="1" x14ac:dyDescent="0.35">
      <c r="D312" s="20">
        <f t="shared" si="20"/>
        <v>306</v>
      </c>
      <c r="E312" s="20">
        <f t="shared" si="21"/>
        <v>4050</v>
      </c>
      <c r="F312" s="20">
        <f t="shared" si="22"/>
        <v>550</v>
      </c>
      <c r="G312" s="20">
        <v>0.2541903323760405</v>
      </c>
      <c r="H312" s="50"/>
      <c r="I312" s="16"/>
      <c r="J312" s="16"/>
      <c r="K312" s="16"/>
      <c r="L312" s="16"/>
      <c r="M312" s="16">
        <v>306</v>
      </c>
      <c r="N312" s="16">
        <f t="shared" si="23"/>
        <v>0.1095767575322812</v>
      </c>
      <c r="O312" s="16"/>
      <c r="P312" s="16"/>
      <c r="Q312" s="16">
        <f t="shared" si="24"/>
        <v>-1.2287820986001166</v>
      </c>
    </row>
    <row r="313" spans="4:17" ht="15" thickBot="1" x14ac:dyDescent="0.35">
      <c r="D313" s="20">
        <f t="shared" si="20"/>
        <v>307</v>
      </c>
      <c r="E313" s="20">
        <f t="shared" si="21"/>
        <v>4150</v>
      </c>
      <c r="F313" s="20">
        <f t="shared" si="22"/>
        <v>550</v>
      </c>
      <c r="G313" s="20">
        <v>0.25420684929021886</v>
      </c>
      <c r="H313" s="50"/>
      <c r="I313" s="16"/>
      <c r="J313" s="16"/>
      <c r="K313" s="16"/>
      <c r="L313" s="16"/>
      <c r="M313" s="16">
        <v>307</v>
      </c>
      <c r="N313" s="16">
        <f t="shared" si="23"/>
        <v>0.10993543758967002</v>
      </c>
      <c r="O313" s="16"/>
      <c r="P313" s="16"/>
      <c r="Q313" s="16">
        <f t="shared" si="24"/>
        <v>-1.2268715444805149</v>
      </c>
    </row>
    <row r="314" spans="4:17" ht="15" thickBot="1" x14ac:dyDescent="0.35">
      <c r="D314" s="20">
        <f t="shared" si="20"/>
        <v>308</v>
      </c>
      <c r="E314" s="20">
        <f t="shared" si="21"/>
        <v>4250</v>
      </c>
      <c r="F314" s="20">
        <f t="shared" si="22"/>
        <v>550</v>
      </c>
      <c r="G314" s="20">
        <v>0.25423199875820779</v>
      </c>
      <c r="H314" s="50"/>
      <c r="I314" s="16"/>
      <c r="J314" s="16"/>
      <c r="K314" s="16"/>
      <c r="L314" s="16"/>
      <c r="M314" s="16">
        <v>308</v>
      </c>
      <c r="N314" s="16">
        <f t="shared" si="23"/>
        <v>0.11029411764705882</v>
      </c>
      <c r="O314" s="16"/>
      <c r="P314" s="16"/>
      <c r="Q314" s="16">
        <f t="shared" si="24"/>
        <v>-1.2249654582417127</v>
      </c>
    </row>
    <row r="315" spans="4:17" ht="15" thickBot="1" x14ac:dyDescent="0.35">
      <c r="D315" s="20">
        <f t="shared" si="20"/>
        <v>309</v>
      </c>
      <c r="E315" s="20">
        <f t="shared" si="21"/>
        <v>4350</v>
      </c>
      <c r="F315" s="20">
        <f t="shared" si="22"/>
        <v>550</v>
      </c>
      <c r="G315" s="20">
        <v>0.25458856438488398</v>
      </c>
      <c r="H315" s="50"/>
      <c r="I315" s="16"/>
      <c r="J315" s="16"/>
      <c r="K315" s="16"/>
      <c r="L315" s="16"/>
      <c r="M315" s="16">
        <v>309</v>
      </c>
      <c r="N315" s="16">
        <f t="shared" si="23"/>
        <v>0.11065279770444764</v>
      </c>
      <c r="O315" s="16"/>
      <c r="P315" s="16"/>
      <c r="Q315" s="16">
        <f t="shared" si="24"/>
        <v>-1.2230638121430322</v>
      </c>
    </row>
    <row r="316" spans="4:17" ht="15" thickBot="1" x14ac:dyDescent="0.35">
      <c r="D316" s="20">
        <f t="shared" si="20"/>
        <v>310</v>
      </c>
      <c r="E316" s="20">
        <f t="shared" si="21"/>
        <v>4450</v>
      </c>
      <c r="F316" s="20">
        <f t="shared" si="22"/>
        <v>550</v>
      </c>
      <c r="G316" s="20">
        <v>0.25467159093105163</v>
      </c>
      <c r="H316" s="50"/>
      <c r="I316" s="16"/>
      <c r="J316" s="16"/>
      <c r="K316" s="16"/>
      <c r="L316" s="16"/>
      <c r="M316" s="16">
        <v>310</v>
      </c>
      <c r="N316" s="16">
        <f t="shared" si="23"/>
        <v>0.11101147776183644</v>
      </c>
      <c r="O316" s="16"/>
      <c r="P316" s="16"/>
      <c r="Q316" s="16">
        <f t="shared" si="24"/>
        <v>-1.2211665787013577</v>
      </c>
    </row>
    <row r="317" spans="4:17" ht="15" thickBot="1" x14ac:dyDescent="0.35">
      <c r="D317" s="20">
        <f t="shared" si="20"/>
        <v>311</v>
      </c>
      <c r="E317" s="20">
        <f t="shared" si="21"/>
        <v>4550</v>
      </c>
      <c r="F317" s="20">
        <f t="shared" si="22"/>
        <v>550</v>
      </c>
      <c r="G317" s="20">
        <v>0.25494544526622975</v>
      </c>
      <c r="H317" s="50"/>
      <c r="I317" s="16"/>
      <c r="J317" s="16"/>
      <c r="K317" s="16"/>
      <c r="L317" s="16"/>
      <c r="M317" s="16">
        <v>311</v>
      </c>
      <c r="N317" s="16">
        <f t="shared" si="23"/>
        <v>0.11137015781922525</v>
      </c>
      <c r="O317" s="16"/>
      <c r="P317" s="16"/>
      <c r="Q317" s="16">
        <f t="shared" si="24"/>
        <v>-1.2192737306879182</v>
      </c>
    </row>
    <row r="318" spans="4:17" ht="15" thickBot="1" x14ac:dyDescent="0.35">
      <c r="D318" s="20">
        <f t="shared" si="20"/>
        <v>312</v>
      </c>
      <c r="E318" s="45">
        <f t="shared" si="21"/>
        <v>4650</v>
      </c>
      <c r="F318" s="45">
        <f t="shared" si="22"/>
        <v>550</v>
      </c>
      <c r="G318" s="20">
        <v>0.25496634205304508</v>
      </c>
      <c r="H318" s="50"/>
      <c r="I318" s="16"/>
      <c r="J318" s="16"/>
      <c r="K318" s="16"/>
      <c r="L318" s="16"/>
      <c r="M318" s="16">
        <v>312</v>
      </c>
      <c r="N318" s="16">
        <f t="shared" si="23"/>
        <v>0.11172883787661406</v>
      </c>
      <c r="O318" s="16"/>
      <c r="P318" s="16"/>
      <c r="Q318" s="16">
        <f t="shared" si="24"/>
        <v>-1.2173852411251018</v>
      </c>
    </row>
    <row r="319" spans="4:17" ht="15" thickBot="1" x14ac:dyDescent="0.35">
      <c r="D319" s="20">
        <f t="shared" si="20"/>
        <v>313</v>
      </c>
      <c r="E319" s="20">
        <f t="shared" si="21"/>
        <v>4750</v>
      </c>
      <c r="F319" s="20">
        <f t="shared" si="22"/>
        <v>550</v>
      </c>
      <c r="G319" s="20">
        <v>0.25515969405398603</v>
      </c>
      <c r="H319" s="50"/>
      <c r="I319" s="16"/>
      <c r="J319" s="16"/>
      <c r="K319" s="16"/>
      <c r="L319" s="16"/>
      <c r="M319" s="16">
        <v>313</v>
      </c>
      <c r="N319" s="16">
        <f t="shared" si="23"/>
        <v>0.11208751793400287</v>
      </c>
      <c r="O319" s="16"/>
      <c r="P319" s="16"/>
      <c r="Q319" s="16">
        <f t="shared" si="24"/>
        <v>-1.2155010832833246</v>
      </c>
    </row>
    <row r="320" spans="4:17" ht="15" thickBot="1" x14ac:dyDescent="0.35">
      <c r="D320" s="20">
        <f t="shared" si="20"/>
        <v>314</v>
      </c>
      <c r="E320" s="20">
        <f t="shared" si="21"/>
        <v>4850</v>
      </c>
      <c r="F320" s="20">
        <f t="shared" si="22"/>
        <v>550</v>
      </c>
      <c r="G320" s="20">
        <v>0.25576555687521996</v>
      </c>
      <c r="H320" s="50"/>
      <c r="I320" s="16"/>
      <c r="J320" s="16"/>
      <c r="K320" s="16"/>
      <c r="L320" s="16"/>
      <c r="M320" s="16">
        <v>314</v>
      </c>
      <c r="N320" s="16">
        <f t="shared" si="23"/>
        <v>0.11244619799139167</v>
      </c>
      <c r="O320" s="16"/>
      <c r="P320" s="16"/>
      <c r="Q320" s="16">
        <f t="shared" si="24"/>
        <v>-1.2136212306779619</v>
      </c>
    </row>
    <row r="321" spans="4:17" ht="15" thickBot="1" x14ac:dyDescent="0.35">
      <c r="D321" s="20">
        <f t="shared" si="20"/>
        <v>315</v>
      </c>
      <c r="E321" s="20">
        <f t="shared" si="21"/>
        <v>4950</v>
      </c>
      <c r="F321" s="20">
        <f t="shared" si="22"/>
        <v>550</v>
      </c>
      <c r="G321" s="20">
        <v>0.25578468243325836</v>
      </c>
      <c r="H321" s="50"/>
      <c r="I321" s="16"/>
      <c r="J321" s="16"/>
      <c r="K321" s="16"/>
      <c r="L321" s="16"/>
      <c r="M321" s="16">
        <v>315</v>
      </c>
      <c r="N321" s="16">
        <f t="shared" si="23"/>
        <v>0.11280487804878049</v>
      </c>
      <c r="O321" s="16"/>
      <c r="P321" s="16"/>
      <c r="Q321" s="16">
        <f t="shared" si="24"/>
        <v>-1.2117456570663125</v>
      </c>
    </row>
    <row r="322" spans="4:17" ht="15" thickBot="1" x14ac:dyDescent="0.35">
      <c r="D322" s="20">
        <f t="shared" si="20"/>
        <v>316</v>
      </c>
      <c r="E322" s="20">
        <f t="shared" si="21"/>
        <v>5050</v>
      </c>
      <c r="F322" s="20">
        <f t="shared" si="22"/>
        <v>550</v>
      </c>
      <c r="G322" s="20">
        <v>0.25586161320618961</v>
      </c>
      <c r="H322" s="50"/>
      <c r="I322" s="16"/>
      <c r="J322" s="16"/>
      <c r="K322" s="16"/>
      <c r="L322" s="16"/>
      <c r="M322" s="16">
        <v>316</v>
      </c>
      <c r="N322" s="16">
        <f t="shared" si="23"/>
        <v>0.11316355810616929</v>
      </c>
      <c r="O322" s="16"/>
      <c r="P322" s="16"/>
      <c r="Q322" s="16">
        <f t="shared" si="24"/>
        <v>-1.2098743364446169</v>
      </c>
    </row>
    <row r="323" spans="4:17" ht="15" thickBot="1" x14ac:dyDescent="0.35">
      <c r="D323" s="20">
        <f t="shared" si="20"/>
        <v>317</v>
      </c>
      <c r="E323" s="20">
        <f t="shared" si="21"/>
        <v>5150</v>
      </c>
      <c r="F323" s="20">
        <f t="shared" si="22"/>
        <v>550</v>
      </c>
      <c r="G323" s="20">
        <v>0.25618839742741417</v>
      </c>
      <c r="H323" s="50"/>
      <c r="I323" s="16"/>
      <c r="J323" s="16"/>
      <c r="K323" s="16"/>
      <c r="L323" s="16"/>
      <c r="M323" s="16">
        <v>317</v>
      </c>
      <c r="N323" s="16">
        <f t="shared" si="23"/>
        <v>0.11352223816355811</v>
      </c>
      <c r="O323" s="16"/>
      <c r="P323" s="16"/>
      <c r="Q323" s="16">
        <f t="shared" si="24"/>
        <v>-1.2080072430451152</v>
      </c>
    </row>
    <row r="324" spans="4:17" ht="15" thickBot="1" x14ac:dyDescent="0.35">
      <c r="D324" s="20">
        <f t="shared" si="20"/>
        <v>318</v>
      </c>
      <c r="E324" s="20">
        <f t="shared" si="21"/>
        <v>5250</v>
      </c>
      <c r="F324" s="20">
        <f t="shared" si="22"/>
        <v>550</v>
      </c>
      <c r="G324" s="20">
        <v>0.25671112495547788</v>
      </c>
      <c r="H324" s="50"/>
      <c r="I324" s="16"/>
      <c r="J324" s="16"/>
      <c r="K324" s="16"/>
      <c r="L324" s="16"/>
      <c r="M324" s="16">
        <v>318</v>
      </c>
      <c r="N324" s="16">
        <f t="shared" si="23"/>
        <v>0.11388091822094691</v>
      </c>
      <c r="O324" s="16"/>
      <c r="P324" s="16"/>
      <c r="Q324" s="16">
        <f t="shared" si="24"/>
        <v>-1.2061443513331642</v>
      </c>
    </row>
    <row r="325" spans="4:17" ht="15" thickBot="1" x14ac:dyDescent="0.35">
      <c r="D325" s="20">
        <f t="shared" si="20"/>
        <v>319</v>
      </c>
      <c r="E325" s="20">
        <f t="shared" si="21"/>
        <v>50</v>
      </c>
      <c r="F325" s="20">
        <f t="shared" si="22"/>
        <v>650</v>
      </c>
      <c r="G325" s="20">
        <v>0.25675827928168943</v>
      </c>
      <c r="H325" s="50"/>
      <c r="I325" s="16"/>
      <c r="J325" s="16"/>
      <c r="K325" s="16"/>
      <c r="L325" s="16"/>
      <c r="M325" s="16">
        <v>319</v>
      </c>
      <c r="N325" s="16">
        <f t="shared" si="23"/>
        <v>0.11423959827833573</v>
      </c>
      <c r="O325" s="16"/>
      <c r="P325" s="16"/>
      <c r="Q325" s="16">
        <f t="shared" si="24"/>
        <v>-1.2042856360043792</v>
      </c>
    </row>
    <row r="326" spans="4:17" ht="15" thickBot="1" x14ac:dyDescent="0.35">
      <c r="D326" s="20">
        <f t="shared" si="20"/>
        <v>320</v>
      </c>
      <c r="E326" s="20">
        <f t="shared" si="21"/>
        <v>150</v>
      </c>
      <c r="F326" s="20">
        <f t="shared" si="22"/>
        <v>650</v>
      </c>
      <c r="G326" s="20">
        <v>0.25676012367292733</v>
      </c>
      <c r="H326" s="50"/>
      <c r="I326" s="16"/>
      <c r="J326" s="16"/>
      <c r="K326" s="16"/>
      <c r="L326" s="16"/>
      <c r="M326" s="16">
        <v>320</v>
      </c>
      <c r="N326" s="16">
        <f t="shared" si="23"/>
        <v>0.11459827833572453</v>
      </c>
      <c r="O326" s="16"/>
      <c r="P326" s="16"/>
      <c r="Q326" s="16">
        <f t="shared" si="24"/>
        <v>-1.2024310719818381</v>
      </c>
    </row>
    <row r="327" spans="4:17" ht="15" thickBot="1" x14ac:dyDescent="0.35">
      <c r="D327" s="20">
        <f t="shared" ref="D327:D390" si="25">ROW()-6</f>
        <v>321</v>
      </c>
      <c r="E327" s="20">
        <f t="shared" ref="E327:E390" si="26">(MOD(D327-1,53)*100)+50</f>
        <v>250</v>
      </c>
      <c r="F327" s="20">
        <f t="shared" ref="F327:F390" si="27">FLOOR((D327-1)/53,1)*100+50</f>
        <v>650</v>
      </c>
      <c r="G327" s="20">
        <v>0.2571197413124155</v>
      </c>
      <c r="H327" s="50"/>
      <c r="I327" s="16"/>
      <c r="J327" s="16"/>
      <c r="K327" s="16"/>
      <c r="L327" s="16"/>
      <c r="M327" s="16">
        <v>321</v>
      </c>
      <c r="N327" s="16">
        <f t="shared" si="23"/>
        <v>0.11495695839311335</v>
      </c>
      <c r="O327" s="16"/>
      <c r="P327" s="16"/>
      <c r="Q327" s="16">
        <f t="shared" si="24"/>
        <v>-1.2005806344133143</v>
      </c>
    </row>
    <row r="328" spans="4:17" ht="15" thickBot="1" x14ac:dyDescent="0.35">
      <c r="D328" s="20">
        <f t="shared" si="25"/>
        <v>322</v>
      </c>
      <c r="E328" s="20">
        <f t="shared" si="26"/>
        <v>350</v>
      </c>
      <c r="F328" s="20">
        <f t="shared" si="27"/>
        <v>650</v>
      </c>
      <c r="G328" s="20">
        <v>0.25726695163065361</v>
      </c>
      <c r="H328" s="50"/>
      <c r="I328" s="16"/>
      <c r="J328" s="16"/>
      <c r="K328" s="16"/>
      <c r="L328" s="16"/>
      <c r="M328" s="16">
        <v>322</v>
      </c>
      <c r="N328" s="16">
        <f t="shared" ref="N328:N391" si="28">(M328-0.5)/$L$7</f>
        <v>0.11531563845050215</v>
      </c>
      <c r="O328" s="16"/>
      <c r="P328" s="16"/>
      <c r="Q328" s="16">
        <f t="shared" ref="Q328:Q391" si="29">_xlfn.NORM.S.INV(N328)</f>
        <v>-1.1987342986685641</v>
      </c>
    </row>
    <row r="329" spans="4:17" ht="15" thickBot="1" x14ac:dyDescent="0.35">
      <c r="D329" s="20">
        <f t="shared" si="25"/>
        <v>323</v>
      </c>
      <c r="E329" s="20">
        <f t="shared" si="26"/>
        <v>450</v>
      </c>
      <c r="F329" s="20">
        <f t="shared" si="27"/>
        <v>650</v>
      </c>
      <c r="G329" s="20">
        <v>0.2573280598880941</v>
      </c>
      <c r="H329" s="50"/>
      <c r="I329" s="16"/>
      <c r="J329" s="16"/>
      <c r="K329" s="16"/>
      <c r="L329" s="16"/>
      <c r="M329" s="16">
        <v>323</v>
      </c>
      <c r="N329" s="16">
        <f t="shared" si="28"/>
        <v>0.11567431850789096</v>
      </c>
      <c r="O329" s="16"/>
      <c r="P329" s="16"/>
      <c r="Q329" s="16">
        <f t="shared" si="29"/>
        <v>-1.1968920403366419</v>
      </c>
    </row>
    <row r="330" spans="4:17" ht="15" thickBot="1" x14ac:dyDescent="0.35">
      <c r="D330" s="20">
        <f t="shared" si="25"/>
        <v>324</v>
      </c>
      <c r="E330" s="20">
        <f t="shared" si="26"/>
        <v>550</v>
      </c>
      <c r="F330" s="20">
        <f t="shared" si="27"/>
        <v>650</v>
      </c>
      <c r="G330" s="20">
        <v>0.25735170991645356</v>
      </c>
      <c r="H330" s="50"/>
      <c r="I330" s="16"/>
      <c r="J330" s="16"/>
      <c r="K330" s="16"/>
      <c r="L330" s="16"/>
      <c r="M330" s="16">
        <v>324</v>
      </c>
      <c r="N330" s="16">
        <f t="shared" si="28"/>
        <v>0.11603299856527977</v>
      </c>
      <c r="O330" s="16"/>
      <c r="P330" s="16"/>
      <c r="Q330" s="16">
        <f t="shared" si="29"/>
        <v>-1.1950538352232662</v>
      </c>
    </row>
    <row r="331" spans="4:17" ht="15" thickBot="1" x14ac:dyDescent="0.35">
      <c r="D331" s="20">
        <f t="shared" si="25"/>
        <v>325</v>
      </c>
      <c r="E331" s="20">
        <f t="shared" si="26"/>
        <v>650</v>
      </c>
      <c r="F331" s="20">
        <f t="shared" si="27"/>
        <v>650</v>
      </c>
      <c r="G331" s="20">
        <v>0.2574721568239785</v>
      </c>
      <c r="H331" s="50"/>
      <c r="I331" s="16"/>
      <c r="J331" s="16"/>
      <c r="K331" s="16"/>
      <c r="L331" s="16"/>
      <c r="M331" s="16">
        <v>325</v>
      </c>
      <c r="N331" s="16">
        <f t="shared" si="28"/>
        <v>0.11639167862266858</v>
      </c>
      <c r="O331" s="16"/>
      <c r="P331" s="16"/>
      <c r="Q331" s="16">
        <f t="shared" si="29"/>
        <v>-1.1932196593482236</v>
      </c>
    </row>
    <row r="332" spans="4:17" ht="15" thickBot="1" x14ac:dyDescent="0.35">
      <c r="D332" s="20">
        <f t="shared" si="25"/>
        <v>326</v>
      </c>
      <c r="E332" s="20">
        <f t="shared" si="26"/>
        <v>750</v>
      </c>
      <c r="F332" s="20">
        <f t="shared" si="27"/>
        <v>650</v>
      </c>
      <c r="G332" s="20">
        <v>0.25770986048133582</v>
      </c>
      <c r="H332" s="50"/>
      <c r="I332" s="16"/>
      <c r="J332" s="16"/>
      <c r="K332" s="16"/>
      <c r="L332" s="16"/>
      <c r="M332" s="16">
        <v>326</v>
      </c>
      <c r="N332" s="16">
        <f t="shared" si="28"/>
        <v>0.11675035868005738</v>
      </c>
      <c r="O332" s="16"/>
      <c r="P332" s="16"/>
      <c r="Q332" s="16">
        <f t="shared" si="29"/>
        <v>-1.1913894889428069</v>
      </c>
    </row>
    <row r="333" spans="4:17" ht="15" thickBot="1" x14ac:dyDescent="0.35">
      <c r="D333" s="20">
        <f t="shared" si="25"/>
        <v>327</v>
      </c>
      <c r="E333" s="20">
        <f t="shared" si="26"/>
        <v>850</v>
      </c>
      <c r="F333" s="20">
        <f t="shared" si="27"/>
        <v>650</v>
      </c>
      <c r="G333" s="20">
        <v>0.25780217829523433</v>
      </c>
      <c r="H333" s="50"/>
      <c r="I333" s="16"/>
      <c r="J333" s="16"/>
      <c r="K333" s="16"/>
      <c r="L333" s="16"/>
      <c r="M333" s="16">
        <v>327</v>
      </c>
      <c r="N333" s="16">
        <f t="shared" si="28"/>
        <v>0.1171090387374462</v>
      </c>
      <c r="O333" s="16"/>
      <c r="P333" s="16"/>
      <c r="Q333" s="16">
        <f t="shared" si="29"/>
        <v>-1.1895633004472979</v>
      </c>
    </row>
    <row r="334" spans="4:17" ht="15" thickBot="1" x14ac:dyDescent="0.35">
      <c r="D334" s="20">
        <f t="shared" si="25"/>
        <v>328</v>
      </c>
      <c r="E334" s="20">
        <f t="shared" si="26"/>
        <v>950</v>
      </c>
      <c r="F334" s="20">
        <f t="shared" si="27"/>
        <v>650</v>
      </c>
      <c r="G334" s="20">
        <v>0.25811023938732625</v>
      </c>
      <c r="H334" s="50"/>
      <c r="I334" s="16"/>
      <c r="J334" s="16"/>
      <c r="K334" s="16"/>
      <c r="L334" s="16"/>
      <c r="M334" s="16">
        <v>328</v>
      </c>
      <c r="N334" s="16">
        <f t="shared" si="28"/>
        <v>0.117467718794835</v>
      </c>
      <c r="O334" s="16"/>
      <c r="P334" s="16"/>
      <c r="Q334" s="16">
        <f t="shared" si="29"/>
        <v>-1.1877410705084814</v>
      </c>
    </row>
    <row r="335" spans="4:17" ht="15" thickBot="1" x14ac:dyDescent="0.35">
      <c r="D335" s="20">
        <f t="shared" si="25"/>
        <v>329</v>
      </c>
      <c r="E335" s="20">
        <f t="shared" si="26"/>
        <v>1050</v>
      </c>
      <c r="F335" s="20">
        <f t="shared" si="27"/>
        <v>650</v>
      </c>
      <c r="G335" s="20">
        <v>0.25813107723138645</v>
      </c>
      <c r="H335" s="50"/>
      <c r="I335" s="16"/>
      <c r="J335" s="16"/>
      <c r="K335" s="16"/>
      <c r="L335" s="16"/>
      <c r="M335" s="16">
        <v>329</v>
      </c>
      <c r="N335" s="16">
        <f t="shared" si="28"/>
        <v>0.11782639885222382</v>
      </c>
      <c r="O335" s="16"/>
      <c r="P335" s="16"/>
      <c r="Q335" s="16">
        <f t="shared" si="29"/>
        <v>-1.185922775977204</v>
      </c>
    </row>
    <row r="336" spans="4:17" ht="15" thickBot="1" x14ac:dyDescent="0.35">
      <c r="D336" s="20">
        <f t="shared" si="25"/>
        <v>330</v>
      </c>
      <c r="E336" s="20">
        <f t="shared" si="26"/>
        <v>1150</v>
      </c>
      <c r="F336" s="20">
        <f t="shared" si="27"/>
        <v>650</v>
      </c>
      <c r="G336" s="20">
        <v>0.2581580971484258</v>
      </c>
      <c r="H336" s="50"/>
      <c r="I336" s="16"/>
      <c r="J336" s="16"/>
      <c r="K336" s="16"/>
      <c r="L336" s="16"/>
      <c r="M336" s="16">
        <v>330</v>
      </c>
      <c r="N336" s="16">
        <f t="shared" si="28"/>
        <v>0.11818507890961262</v>
      </c>
      <c r="O336" s="16"/>
      <c r="P336" s="16"/>
      <c r="Q336" s="16">
        <f t="shared" si="29"/>
        <v>-1.1841083939059627</v>
      </c>
    </row>
    <row r="337" spans="4:17" ht="15" thickBot="1" x14ac:dyDescent="0.35">
      <c r="D337" s="20">
        <f t="shared" si="25"/>
        <v>331</v>
      </c>
      <c r="E337" s="43">
        <f t="shared" si="26"/>
        <v>1250</v>
      </c>
      <c r="F337" s="43">
        <f t="shared" si="27"/>
        <v>650</v>
      </c>
      <c r="G337" s="20">
        <v>0.25849391639521169</v>
      </c>
      <c r="H337" s="50"/>
      <c r="I337" s="16"/>
      <c r="J337" s="16"/>
      <c r="K337" s="16"/>
      <c r="L337" s="16"/>
      <c r="M337" s="16">
        <v>331</v>
      </c>
      <c r="N337" s="16">
        <f t="shared" si="28"/>
        <v>0.11854375896700144</v>
      </c>
      <c r="O337" s="16"/>
      <c r="P337" s="16"/>
      <c r="Q337" s="16">
        <f t="shared" si="29"/>
        <v>-1.1822979015465271</v>
      </c>
    </row>
    <row r="338" spans="4:17" ht="15" thickBot="1" x14ac:dyDescent="0.35">
      <c r="D338" s="20">
        <f t="shared" si="25"/>
        <v>332</v>
      </c>
      <c r="E338" s="20">
        <f t="shared" si="26"/>
        <v>1350</v>
      </c>
      <c r="F338" s="20">
        <f t="shared" si="27"/>
        <v>650</v>
      </c>
      <c r="G338" s="20">
        <v>0.25887356445472604</v>
      </c>
      <c r="H338" s="50"/>
      <c r="I338" s="16"/>
      <c r="J338" s="16"/>
      <c r="K338" s="16"/>
      <c r="L338" s="16"/>
      <c r="M338" s="16">
        <v>332</v>
      </c>
      <c r="N338" s="16">
        <f t="shared" si="28"/>
        <v>0.11890243902439024</v>
      </c>
      <c r="O338" s="16"/>
      <c r="P338" s="16"/>
      <c r="Q338" s="16">
        <f t="shared" si="29"/>
        <v>-1.1804912763476112</v>
      </c>
    </row>
    <row r="339" spans="4:17" ht="15" thickBot="1" x14ac:dyDescent="0.35">
      <c r="D339" s="20">
        <f t="shared" si="25"/>
        <v>333</v>
      </c>
      <c r="E339" s="20">
        <f t="shared" si="26"/>
        <v>1450</v>
      </c>
      <c r="F339" s="20">
        <f t="shared" si="27"/>
        <v>650</v>
      </c>
      <c r="G339" s="20">
        <v>0.2589926950260879</v>
      </c>
      <c r="H339" s="50"/>
      <c r="I339" s="16"/>
      <c r="J339" s="16"/>
      <c r="K339" s="16"/>
      <c r="L339" s="16"/>
      <c r="M339" s="16">
        <v>333</v>
      </c>
      <c r="N339" s="16">
        <f t="shared" si="28"/>
        <v>0.11926111908177905</v>
      </c>
      <c r="O339" s="16"/>
      <c r="P339" s="16"/>
      <c r="Q339" s="16">
        <f t="shared" si="29"/>
        <v>-1.178688495952559</v>
      </c>
    </row>
    <row r="340" spans="4:17" ht="15" thickBot="1" x14ac:dyDescent="0.35">
      <c r="D340" s="20">
        <f t="shared" si="25"/>
        <v>334</v>
      </c>
      <c r="E340" s="20">
        <f t="shared" si="26"/>
        <v>1550</v>
      </c>
      <c r="F340" s="20">
        <f t="shared" si="27"/>
        <v>650</v>
      </c>
      <c r="G340" s="20">
        <v>0.25903391993598779</v>
      </c>
      <c r="H340" s="50"/>
      <c r="I340" s="16"/>
      <c r="J340" s="16"/>
      <c r="K340" s="16"/>
      <c r="L340" s="16"/>
      <c r="M340" s="16">
        <v>334</v>
      </c>
      <c r="N340" s="16">
        <f t="shared" si="28"/>
        <v>0.11961979913916786</v>
      </c>
      <c r="O340" s="16"/>
      <c r="P340" s="16"/>
      <c r="Q340" s="16">
        <f t="shared" si="29"/>
        <v>-1.1768895381970819</v>
      </c>
    </row>
    <row r="341" spans="4:17" ht="15" thickBot="1" x14ac:dyDescent="0.35">
      <c r="D341" s="20">
        <f t="shared" si="25"/>
        <v>335</v>
      </c>
      <c r="E341" s="20">
        <f t="shared" si="26"/>
        <v>1650</v>
      </c>
      <c r="F341" s="20">
        <f t="shared" si="27"/>
        <v>650</v>
      </c>
      <c r="G341" s="20">
        <v>0.2592924055714711</v>
      </c>
      <c r="H341" s="50"/>
      <c r="I341" s="16"/>
      <c r="J341" s="16"/>
      <c r="K341" s="16"/>
      <c r="L341" s="16"/>
      <c r="M341" s="16">
        <v>335</v>
      </c>
      <c r="N341" s="16">
        <f t="shared" si="28"/>
        <v>0.11997847919655667</v>
      </c>
      <c r="O341" s="16"/>
      <c r="P341" s="16"/>
      <c r="Q341" s="16">
        <f t="shared" si="29"/>
        <v>-1.1750943811070156</v>
      </c>
    </row>
    <row r="342" spans="4:17" ht="15" thickBot="1" x14ac:dyDescent="0.35">
      <c r="D342" s="20">
        <f t="shared" si="25"/>
        <v>336</v>
      </c>
      <c r="E342" s="20">
        <f t="shared" si="26"/>
        <v>1750</v>
      </c>
      <c r="F342" s="20">
        <f t="shared" si="27"/>
        <v>650</v>
      </c>
      <c r="G342" s="20">
        <v>0.25948769877338806</v>
      </c>
      <c r="H342" s="50"/>
      <c r="I342" s="16"/>
      <c r="J342" s="16"/>
      <c r="K342" s="16"/>
      <c r="L342" s="16"/>
      <c r="M342" s="16">
        <v>336</v>
      </c>
      <c r="N342" s="16">
        <f t="shared" si="28"/>
        <v>0.12033715925394547</v>
      </c>
      <c r="O342" s="16"/>
      <c r="P342" s="16"/>
      <c r="Q342" s="16">
        <f t="shared" si="29"/>
        <v>-1.1733030028961198</v>
      </c>
    </row>
    <row r="343" spans="4:17" ht="15" thickBot="1" x14ac:dyDescent="0.35">
      <c r="D343" s="20">
        <f t="shared" si="25"/>
        <v>337</v>
      </c>
      <c r="E343" s="20">
        <f t="shared" si="26"/>
        <v>1850</v>
      </c>
      <c r="F343" s="20">
        <f t="shared" si="27"/>
        <v>650</v>
      </c>
      <c r="G343" s="20">
        <v>0.25960523953509773</v>
      </c>
      <c r="H343" s="50"/>
      <c r="I343" s="16"/>
      <c r="J343" s="16"/>
      <c r="K343" s="16"/>
      <c r="L343" s="16"/>
      <c r="M343" s="16">
        <v>337</v>
      </c>
      <c r="N343" s="16">
        <f t="shared" si="28"/>
        <v>0.12069583931133429</v>
      </c>
      <c r="O343" s="16"/>
      <c r="P343" s="16"/>
      <c r="Q343" s="16">
        <f t="shared" si="29"/>
        <v>-1.1715153819639057</v>
      </c>
    </row>
    <row r="344" spans="4:17" ht="15" thickBot="1" x14ac:dyDescent="0.35">
      <c r="D344" s="20">
        <f t="shared" si="25"/>
        <v>338</v>
      </c>
      <c r="E344" s="20">
        <f t="shared" si="26"/>
        <v>1950</v>
      </c>
      <c r="F344" s="20">
        <f t="shared" si="27"/>
        <v>650</v>
      </c>
      <c r="G344" s="20">
        <v>0.25960895394096689</v>
      </c>
      <c r="H344" s="50"/>
      <c r="I344" s="16"/>
      <c r="J344" s="16"/>
      <c r="K344" s="16"/>
      <c r="L344" s="16"/>
      <c r="M344" s="16">
        <v>338</v>
      </c>
      <c r="N344" s="16">
        <f t="shared" si="28"/>
        <v>0.12105451936872309</v>
      </c>
      <c r="O344" s="16"/>
      <c r="P344" s="16"/>
      <c r="Q344" s="16">
        <f t="shared" si="29"/>
        <v>-1.1697314968934915</v>
      </c>
    </row>
    <row r="345" spans="4:17" ht="15" thickBot="1" x14ac:dyDescent="0.35">
      <c r="D345" s="20">
        <f t="shared" si="25"/>
        <v>339</v>
      </c>
      <c r="E345" s="20">
        <f t="shared" si="26"/>
        <v>2050</v>
      </c>
      <c r="F345" s="20">
        <f t="shared" si="27"/>
        <v>650</v>
      </c>
      <c r="G345" s="20">
        <v>0.2597906694433062</v>
      </c>
      <c r="H345" s="50"/>
      <c r="I345" s="16"/>
      <c r="J345" s="16"/>
      <c r="K345" s="16"/>
      <c r="L345" s="16"/>
      <c r="M345" s="16">
        <v>339</v>
      </c>
      <c r="N345" s="16">
        <f t="shared" si="28"/>
        <v>0.12141319942611191</v>
      </c>
      <c r="O345" s="16"/>
      <c r="P345" s="16"/>
      <c r="Q345" s="16">
        <f t="shared" si="29"/>
        <v>-1.1679513264494967</v>
      </c>
    </row>
    <row r="346" spans="4:17" ht="15" thickBot="1" x14ac:dyDescent="0.35">
      <c r="D346" s="20">
        <f t="shared" si="25"/>
        <v>340</v>
      </c>
      <c r="E346" s="20">
        <f t="shared" si="26"/>
        <v>2150</v>
      </c>
      <c r="F346" s="20">
        <f t="shared" si="27"/>
        <v>650</v>
      </c>
      <c r="G346" s="20">
        <v>0.25982749557394968</v>
      </c>
      <c r="H346" s="50"/>
      <c r="I346" s="16"/>
      <c r="J346" s="16"/>
      <c r="K346" s="16"/>
      <c r="L346" s="16"/>
      <c r="M346" s="16">
        <v>340</v>
      </c>
      <c r="N346" s="16">
        <f t="shared" si="28"/>
        <v>0.12177187948350071</v>
      </c>
      <c r="O346" s="16"/>
      <c r="P346" s="16"/>
      <c r="Q346" s="16">
        <f t="shared" si="29"/>
        <v>-1.1661748495759607</v>
      </c>
    </row>
    <row r="347" spans="4:17" ht="15" thickBot="1" x14ac:dyDescent="0.35">
      <c r="D347" s="20">
        <f t="shared" si="25"/>
        <v>341</v>
      </c>
      <c r="E347" s="20">
        <f t="shared" si="26"/>
        <v>2250</v>
      </c>
      <c r="F347" s="20">
        <f t="shared" si="27"/>
        <v>650</v>
      </c>
      <c r="G347" s="20">
        <v>0.2599060382752405</v>
      </c>
      <c r="H347" s="50"/>
      <c r="I347" s="16"/>
      <c r="J347" s="16"/>
      <c r="K347" s="16"/>
      <c r="L347" s="16"/>
      <c r="M347" s="16">
        <v>341</v>
      </c>
      <c r="N347" s="16">
        <f t="shared" si="28"/>
        <v>0.12213055954088953</v>
      </c>
      <c r="O347" s="16"/>
      <c r="P347" s="16"/>
      <c r="Q347" s="16">
        <f t="shared" si="29"/>
        <v>-1.1644020453942938</v>
      </c>
    </row>
    <row r="348" spans="4:17" ht="15" thickBot="1" x14ac:dyDescent="0.35">
      <c r="D348" s="20">
        <f t="shared" si="25"/>
        <v>342</v>
      </c>
      <c r="E348" s="20">
        <f t="shared" si="26"/>
        <v>2350</v>
      </c>
      <c r="F348" s="20">
        <f t="shared" si="27"/>
        <v>650</v>
      </c>
      <c r="G348" s="20">
        <v>0.2601044473376628</v>
      </c>
      <c r="H348" s="50"/>
      <c r="I348" s="16"/>
      <c r="J348" s="16"/>
      <c r="K348" s="16"/>
      <c r="L348" s="16"/>
      <c r="M348" s="16">
        <v>342</v>
      </c>
      <c r="N348" s="16">
        <f t="shared" si="28"/>
        <v>0.12248923959827833</v>
      </c>
      <c r="O348" s="16"/>
      <c r="P348" s="16"/>
      <c r="Q348" s="16">
        <f t="shared" si="29"/>
        <v>-1.162632893201256</v>
      </c>
    </row>
    <row r="349" spans="4:17" ht="15" thickBot="1" x14ac:dyDescent="0.35">
      <c r="D349" s="20">
        <f t="shared" si="25"/>
        <v>343</v>
      </c>
      <c r="E349" s="20">
        <f t="shared" si="26"/>
        <v>2450</v>
      </c>
      <c r="F349" s="20">
        <f t="shared" si="27"/>
        <v>650</v>
      </c>
      <c r="G349" s="20">
        <v>0.26013445924538681</v>
      </c>
      <c r="H349" s="50"/>
      <c r="I349" s="16"/>
      <c r="J349" s="16"/>
      <c r="K349" s="16"/>
      <c r="L349" s="16"/>
      <c r="M349" s="16">
        <v>343</v>
      </c>
      <c r="N349" s="16">
        <f t="shared" si="28"/>
        <v>0.12284791965566715</v>
      </c>
      <c r="O349" s="16"/>
      <c r="P349" s="16"/>
      <c r="Q349" s="16">
        <f t="shared" si="29"/>
        <v>-1.1608673724669667</v>
      </c>
    </row>
    <row r="350" spans="4:17" ht="15" thickBot="1" x14ac:dyDescent="0.35">
      <c r="D350" s="20">
        <f t="shared" si="25"/>
        <v>344</v>
      </c>
      <c r="E350" s="20">
        <f t="shared" si="26"/>
        <v>2550</v>
      </c>
      <c r="F350" s="20">
        <f t="shared" si="27"/>
        <v>650</v>
      </c>
      <c r="G350" s="20">
        <v>0.26028832173587957</v>
      </c>
      <c r="H350" s="50"/>
      <c r="I350" s="16"/>
      <c r="J350" s="16"/>
      <c r="K350" s="16"/>
      <c r="L350" s="16"/>
      <c r="M350" s="16">
        <v>344</v>
      </c>
      <c r="N350" s="16">
        <f t="shared" si="28"/>
        <v>0.12320659971305595</v>
      </c>
      <c r="O350" s="16"/>
      <c r="P350" s="16"/>
      <c r="Q350" s="16">
        <f t="shared" si="29"/>
        <v>-1.1591054628329418</v>
      </c>
    </row>
    <row r="351" spans="4:17" ht="15" thickBot="1" x14ac:dyDescent="0.35">
      <c r="D351" s="20">
        <f t="shared" si="25"/>
        <v>345</v>
      </c>
      <c r="E351" s="20">
        <f t="shared" si="26"/>
        <v>2650</v>
      </c>
      <c r="F351" s="20">
        <f t="shared" si="27"/>
        <v>650</v>
      </c>
      <c r="G351" s="20">
        <v>0.26034789553683102</v>
      </c>
      <c r="H351" s="50"/>
      <c r="I351" s="16"/>
      <c r="J351" s="16"/>
      <c r="K351" s="16"/>
      <c r="L351" s="16"/>
      <c r="M351" s="16">
        <v>345</v>
      </c>
      <c r="N351" s="16">
        <f t="shared" si="28"/>
        <v>0.12356527977044476</v>
      </c>
      <c r="O351" s="16"/>
      <c r="P351" s="16"/>
      <c r="Q351" s="16">
        <f t="shared" si="29"/>
        <v>-1.1573471441101575</v>
      </c>
    </row>
    <row r="352" spans="4:17" ht="15" thickBot="1" x14ac:dyDescent="0.35">
      <c r="D352" s="20">
        <f t="shared" si="25"/>
        <v>346</v>
      </c>
      <c r="E352" s="20">
        <f t="shared" si="26"/>
        <v>2750</v>
      </c>
      <c r="F352" s="20">
        <f t="shared" si="27"/>
        <v>650</v>
      </c>
      <c r="G352" s="20">
        <v>0.26055347133233425</v>
      </c>
      <c r="H352" s="50"/>
      <c r="I352" s="16"/>
      <c r="J352" s="16"/>
      <c r="K352" s="16"/>
      <c r="L352" s="16"/>
      <c r="M352" s="16">
        <v>346</v>
      </c>
      <c r="N352" s="16">
        <f t="shared" si="28"/>
        <v>0.12392395982783357</v>
      </c>
      <c r="O352" s="16"/>
      <c r="P352" s="16"/>
      <c r="Q352" s="16">
        <f t="shared" si="29"/>
        <v>-1.1555923962771435</v>
      </c>
    </row>
    <row r="353" spans="4:17" ht="15" thickBot="1" x14ac:dyDescent="0.35">
      <c r="D353" s="20">
        <f t="shared" si="25"/>
        <v>347</v>
      </c>
      <c r="E353" s="43">
        <f t="shared" si="26"/>
        <v>2850</v>
      </c>
      <c r="F353" s="43">
        <f t="shared" si="27"/>
        <v>650</v>
      </c>
      <c r="G353" s="20">
        <v>0.26076932633090399</v>
      </c>
      <c r="H353" s="50"/>
      <c r="I353" s="16"/>
      <c r="J353" s="16"/>
      <c r="K353" s="16"/>
      <c r="L353" s="16"/>
      <c r="M353" s="16">
        <v>347</v>
      </c>
      <c r="N353" s="16">
        <f t="shared" si="28"/>
        <v>0.12428263988522238</v>
      </c>
      <c r="O353" s="16"/>
      <c r="P353" s="16"/>
      <c r="Q353" s="16">
        <f t="shared" si="29"/>
        <v>-1.1538411994781022</v>
      </c>
    </row>
    <row r="354" spans="4:17" ht="15" thickBot="1" x14ac:dyDescent="0.35">
      <c r="D354" s="20">
        <f t="shared" si="25"/>
        <v>348</v>
      </c>
      <c r="E354" s="20">
        <f t="shared" si="26"/>
        <v>2950</v>
      </c>
      <c r="F354" s="20">
        <f t="shared" si="27"/>
        <v>650</v>
      </c>
      <c r="G354" s="20">
        <v>0.26077800550873265</v>
      </c>
      <c r="H354" s="50"/>
      <c r="I354" s="16"/>
      <c r="J354" s="16"/>
      <c r="K354" s="16"/>
      <c r="L354" s="16"/>
      <c r="M354" s="16">
        <v>348</v>
      </c>
      <c r="N354" s="16">
        <f t="shared" si="28"/>
        <v>0.12464131994261118</v>
      </c>
      <c r="O354" s="16"/>
      <c r="P354" s="16"/>
      <c r="Q354" s="16">
        <f t="shared" si="29"/>
        <v>-1.1520935340210532</v>
      </c>
    </row>
    <row r="355" spans="4:17" ht="15" thickBot="1" x14ac:dyDescent="0.35">
      <c r="D355" s="20">
        <f t="shared" si="25"/>
        <v>349</v>
      </c>
      <c r="E355" s="20">
        <f t="shared" si="26"/>
        <v>3050</v>
      </c>
      <c r="F355" s="20">
        <f t="shared" si="27"/>
        <v>650</v>
      </c>
      <c r="G355" s="20">
        <v>0.26081139093506367</v>
      </c>
      <c r="H355" s="50"/>
      <c r="I355" s="16"/>
      <c r="J355" s="16"/>
      <c r="K355" s="16"/>
      <c r="L355" s="16"/>
      <c r="M355" s="16">
        <v>349</v>
      </c>
      <c r="N355" s="16">
        <f t="shared" si="28"/>
        <v>0.125</v>
      </c>
      <c r="O355" s="16"/>
      <c r="P355" s="16"/>
      <c r="Q355" s="16">
        <f t="shared" si="29"/>
        <v>-1.1503493803760083</v>
      </c>
    </row>
    <row r="356" spans="4:17" ht="15" thickBot="1" x14ac:dyDescent="0.35">
      <c r="D356" s="20">
        <f t="shared" si="25"/>
        <v>350</v>
      </c>
      <c r="E356" s="20">
        <f t="shared" si="26"/>
        <v>3150</v>
      </c>
      <c r="F356" s="20">
        <f t="shared" si="27"/>
        <v>650</v>
      </c>
      <c r="G356" s="20">
        <v>0.26100502749285187</v>
      </c>
      <c r="H356" s="50"/>
      <c r="I356" s="16"/>
      <c r="J356" s="16"/>
      <c r="K356" s="16"/>
      <c r="L356" s="16"/>
      <c r="M356" s="16">
        <v>350</v>
      </c>
      <c r="N356" s="16">
        <f t="shared" si="28"/>
        <v>0.12535868005738882</v>
      </c>
      <c r="O356" s="16"/>
      <c r="P356" s="16"/>
      <c r="Q356" s="16">
        <f t="shared" si="29"/>
        <v>-1.1486087191731642</v>
      </c>
    </row>
    <row r="357" spans="4:17" ht="15" thickBot="1" x14ac:dyDescent="0.35">
      <c r="D357" s="20">
        <f t="shared" si="25"/>
        <v>351</v>
      </c>
      <c r="E357" s="20">
        <f t="shared" si="26"/>
        <v>3250</v>
      </c>
      <c r="F357" s="20">
        <f t="shared" si="27"/>
        <v>650</v>
      </c>
      <c r="G357" s="20">
        <v>0.26142794978757833</v>
      </c>
      <c r="H357" s="50"/>
      <c r="I357" s="16"/>
      <c r="J357" s="16"/>
      <c r="K357" s="16"/>
      <c r="L357" s="16"/>
      <c r="M357" s="16">
        <v>351</v>
      </c>
      <c r="N357" s="16">
        <f t="shared" si="28"/>
        <v>0.12571736011477763</v>
      </c>
      <c r="O357" s="16"/>
      <c r="P357" s="16"/>
      <c r="Q357" s="16">
        <f t="shared" si="29"/>
        <v>-1.1468715312011282</v>
      </c>
    </row>
    <row r="358" spans="4:17" ht="15" thickBot="1" x14ac:dyDescent="0.35">
      <c r="D358" s="20">
        <f t="shared" si="25"/>
        <v>352</v>
      </c>
      <c r="E358" s="47">
        <f t="shared" si="26"/>
        <v>3350</v>
      </c>
      <c r="F358" s="47">
        <f t="shared" si="27"/>
        <v>650</v>
      </c>
      <c r="G358" s="20">
        <v>0.26148175038227478</v>
      </c>
      <c r="H358" s="50"/>
      <c r="I358" s="16"/>
      <c r="J358" s="16"/>
      <c r="K358" s="16"/>
      <c r="L358" s="16"/>
      <c r="M358" s="16">
        <v>352</v>
      </c>
      <c r="N358" s="16">
        <f t="shared" si="28"/>
        <v>0.12607604017216642</v>
      </c>
      <c r="O358" s="16"/>
      <c r="P358" s="16"/>
      <c r="Q358" s="16">
        <f t="shared" si="29"/>
        <v>-1.145137797405166</v>
      </c>
    </row>
    <row r="359" spans="4:17" ht="15" thickBot="1" x14ac:dyDescent="0.35">
      <c r="D359" s="20">
        <f t="shared" si="25"/>
        <v>353</v>
      </c>
      <c r="E359" s="45">
        <f t="shared" si="26"/>
        <v>3450</v>
      </c>
      <c r="F359" s="45">
        <f t="shared" si="27"/>
        <v>650</v>
      </c>
      <c r="G359" s="20">
        <v>0.26149827776161383</v>
      </c>
      <c r="H359" s="50"/>
      <c r="I359" s="16"/>
      <c r="J359" s="16"/>
      <c r="K359" s="16"/>
      <c r="L359" s="16"/>
      <c r="M359" s="16">
        <v>353</v>
      </c>
      <c r="N359" s="16">
        <f t="shared" si="28"/>
        <v>0.12643472022955524</v>
      </c>
      <c r="O359" s="16"/>
      <c r="P359" s="16"/>
      <c r="Q359" s="16">
        <f t="shared" si="29"/>
        <v>-1.1434074988854701</v>
      </c>
    </row>
    <row r="360" spans="4:17" ht="15" thickBot="1" x14ac:dyDescent="0.35">
      <c r="D360" s="20">
        <f t="shared" si="25"/>
        <v>354</v>
      </c>
      <c r="E360" s="20">
        <f t="shared" si="26"/>
        <v>3550</v>
      </c>
      <c r="F360" s="20">
        <f t="shared" si="27"/>
        <v>650</v>
      </c>
      <c r="G360" s="20">
        <v>0.26155630545805558</v>
      </c>
      <c r="H360" s="50"/>
      <c r="I360" s="16"/>
      <c r="J360" s="16"/>
      <c r="K360" s="16"/>
      <c r="L360" s="16"/>
      <c r="M360" s="16">
        <v>354</v>
      </c>
      <c r="N360" s="16">
        <f t="shared" si="28"/>
        <v>0.12679340028694405</v>
      </c>
      <c r="O360" s="16"/>
      <c r="P360" s="16"/>
      <c r="Q360" s="16">
        <f t="shared" si="29"/>
        <v>-1.1416806168954581</v>
      </c>
    </row>
    <row r="361" spans="4:17" ht="15" thickBot="1" x14ac:dyDescent="0.35">
      <c r="D361" s="20">
        <f t="shared" si="25"/>
        <v>355</v>
      </c>
      <c r="E361" s="20">
        <f t="shared" si="26"/>
        <v>3650</v>
      </c>
      <c r="F361" s="20">
        <f t="shared" si="27"/>
        <v>650</v>
      </c>
      <c r="G361" s="20">
        <v>0.26166216843343348</v>
      </c>
      <c r="H361" s="50"/>
      <c r="I361" s="16"/>
      <c r="J361" s="16"/>
      <c r="K361" s="16"/>
      <c r="L361" s="16"/>
      <c r="M361" s="16">
        <v>355</v>
      </c>
      <c r="N361" s="16">
        <f t="shared" si="28"/>
        <v>0.12715208034433287</v>
      </c>
      <c r="O361" s="16"/>
      <c r="P361" s="16"/>
      <c r="Q361" s="16">
        <f t="shared" si="29"/>
        <v>-1.1399571328400904</v>
      </c>
    </row>
    <row r="362" spans="4:17" ht="15" thickBot="1" x14ac:dyDescent="0.35">
      <c r="D362" s="20">
        <f t="shared" si="25"/>
        <v>356</v>
      </c>
      <c r="E362" s="20">
        <f t="shared" si="26"/>
        <v>3750</v>
      </c>
      <c r="F362" s="20">
        <f t="shared" si="27"/>
        <v>650</v>
      </c>
      <c r="G362" s="20">
        <v>0.26167665939382506</v>
      </c>
      <c r="H362" s="50"/>
      <c r="I362" s="16"/>
      <c r="J362" s="16"/>
      <c r="K362" s="16"/>
      <c r="L362" s="16"/>
      <c r="M362" s="16">
        <v>356</v>
      </c>
      <c r="N362" s="16">
        <f t="shared" si="28"/>
        <v>0.12751076040172166</v>
      </c>
      <c r="O362" s="16"/>
      <c r="P362" s="16"/>
      <c r="Q362" s="16">
        <f t="shared" si="29"/>
        <v>-1.138237028274214</v>
      </c>
    </row>
    <row r="363" spans="4:17" ht="15" thickBot="1" x14ac:dyDescent="0.35">
      <c r="D363" s="20">
        <f t="shared" si="25"/>
        <v>357</v>
      </c>
      <c r="E363" s="20">
        <f t="shared" si="26"/>
        <v>3850</v>
      </c>
      <c r="F363" s="20">
        <f t="shared" si="27"/>
        <v>650</v>
      </c>
      <c r="G363" s="20">
        <v>0.26168042823398407</v>
      </c>
      <c r="H363" s="50"/>
      <c r="I363" s="16"/>
      <c r="J363" s="16"/>
      <c r="K363" s="16"/>
      <c r="L363" s="16"/>
      <c r="M363" s="16">
        <v>357</v>
      </c>
      <c r="N363" s="16">
        <f t="shared" si="28"/>
        <v>0.12786944045911047</v>
      </c>
      <c r="O363" s="16"/>
      <c r="P363" s="16"/>
      <c r="Q363" s="16">
        <f t="shared" si="29"/>
        <v>-1.1365202849009244</v>
      </c>
    </row>
    <row r="364" spans="4:17" ht="15" thickBot="1" x14ac:dyDescent="0.35">
      <c r="D364" s="20">
        <f t="shared" si="25"/>
        <v>358</v>
      </c>
      <c r="E364" s="20">
        <f t="shared" si="26"/>
        <v>3950</v>
      </c>
      <c r="F364" s="20">
        <f t="shared" si="27"/>
        <v>650</v>
      </c>
      <c r="G364" s="20">
        <v>0.26171970327455851</v>
      </c>
      <c r="H364" s="50"/>
      <c r="I364" s="16"/>
      <c r="J364" s="16"/>
      <c r="K364" s="16"/>
      <c r="L364" s="16"/>
      <c r="M364" s="16">
        <v>358</v>
      </c>
      <c r="N364" s="16">
        <f t="shared" si="28"/>
        <v>0.12822812051649929</v>
      </c>
      <c r="O364" s="16"/>
      <c r="P364" s="16"/>
      <c r="Q364" s="16">
        <f t="shared" si="29"/>
        <v>-1.1348068845699557</v>
      </c>
    </row>
    <row r="365" spans="4:17" ht="15" thickBot="1" x14ac:dyDescent="0.35">
      <c r="D365" s="20">
        <f t="shared" si="25"/>
        <v>359</v>
      </c>
      <c r="E365" s="20">
        <f t="shared" si="26"/>
        <v>4050</v>
      </c>
      <c r="F365" s="20">
        <f t="shared" si="27"/>
        <v>650</v>
      </c>
      <c r="G365" s="20">
        <v>0.26203330112229206</v>
      </c>
      <c r="H365" s="50"/>
      <c r="I365" s="16"/>
      <c r="J365" s="16"/>
      <c r="K365" s="16"/>
      <c r="L365" s="16"/>
      <c r="M365" s="16">
        <v>359</v>
      </c>
      <c r="N365" s="16">
        <f t="shared" si="28"/>
        <v>0.1285868005738881</v>
      </c>
      <c r="O365" s="16"/>
      <c r="P365" s="16"/>
      <c r="Q365" s="16">
        <f t="shared" si="29"/>
        <v>-1.1330968092760882</v>
      </c>
    </row>
    <row r="366" spans="4:17" ht="15" thickBot="1" x14ac:dyDescent="0.35">
      <c r="D366" s="20">
        <f t="shared" si="25"/>
        <v>360</v>
      </c>
      <c r="E366" s="20">
        <f t="shared" si="26"/>
        <v>4150</v>
      </c>
      <c r="F366" s="20">
        <f t="shared" si="27"/>
        <v>650</v>
      </c>
      <c r="G366" s="20">
        <v>0.26207169336706071</v>
      </c>
      <c r="H366" s="50"/>
      <c r="I366" s="16"/>
      <c r="J366" s="16"/>
      <c r="K366" s="16"/>
      <c r="L366" s="16"/>
      <c r="M366" s="16">
        <v>360</v>
      </c>
      <c r="N366" s="16">
        <f t="shared" si="28"/>
        <v>0.12894548063127689</v>
      </c>
      <c r="O366" s="16"/>
      <c r="P366" s="16"/>
      <c r="Q366" s="16">
        <f t="shared" si="29"/>
        <v>-1.131390041157581</v>
      </c>
    </row>
    <row r="367" spans="4:17" ht="15" thickBot="1" x14ac:dyDescent="0.35">
      <c r="D367" s="20">
        <f t="shared" si="25"/>
        <v>361</v>
      </c>
      <c r="E367" s="20">
        <f t="shared" si="26"/>
        <v>4250</v>
      </c>
      <c r="F367" s="20">
        <f t="shared" si="27"/>
        <v>650</v>
      </c>
      <c r="G367" s="20">
        <v>0.26207550114446621</v>
      </c>
      <c r="H367" s="50"/>
      <c r="I367" s="16"/>
      <c r="J367" s="16"/>
      <c r="K367" s="16"/>
      <c r="L367" s="16"/>
      <c r="M367" s="16">
        <v>361</v>
      </c>
      <c r="N367" s="16">
        <f t="shared" si="28"/>
        <v>0.12930416068866571</v>
      </c>
      <c r="O367" s="16"/>
      <c r="P367" s="16"/>
      <c r="Q367" s="16">
        <f t="shared" si="29"/>
        <v>-1.1296865624946224</v>
      </c>
    </row>
    <row r="368" spans="4:17" ht="15" thickBot="1" x14ac:dyDescent="0.35">
      <c r="D368" s="20">
        <f t="shared" si="25"/>
        <v>362</v>
      </c>
      <c r="E368" s="20">
        <f t="shared" si="26"/>
        <v>4350</v>
      </c>
      <c r="F368" s="20">
        <f t="shared" si="27"/>
        <v>650</v>
      </c>
      <c r="G368" s="20">
        <v>0.26225268079117592</v>
      </c>
      <c r="H368" s="50"/>
      <c r="I368" s="16"/>
      <c r="J368" s="16"/>
      <c r="K368" s="16"/>
      <c r="L368" s="16"/>
      <c r="M368" s="16">
        <v>362</v>
      </c>
      <c r="N368" s="16">
        <f t="shared" si="28"/>
        <v>0.12966284074605453</v>
      </c>
      <c r="O368" s="16"/>
      <c r="P368" s="16"/>
      <c r="Q368" s="16">
        <f t="shared" si="29"/>
        <v>-1.1279863557078045</v>
      </c>
    </row>
    <row r="369" spans="4:17" ht="15" thickBot="1" x14ac:dyDescent="0.35">
      <c r="D369" s="20">
        <f t="shared" si="25"/>
        <v>363</v>
      </c>
      <c r="E369" s="20">
        <f t="shared" si="26"/>
        <v>4450</v>
      </c>
      <c r="F369" s="20">
        <f t="shared" si="27"/>
        <v>650</v>
      </c>
      <c r="G369" s="20">
        <v>0.26239035208340455</v>
      </c>
      <c r="H369" s="50"/>
      <c r="I369" s="16"/>
      <c r="J369" s="16"/>
      <c r="K369" s="16"/>
      <c r="L369" s="16"/>
      <c r="M369" s="16">
        <v>363</v>
      </c>
      <c r="N369" s="16">
        <f t="shared" si="28"/>
        <v>0.13002152080344334</v>
      </c>
      <c r="O369" s="16"/>
      <c r="P369" s="16"/>
      <c r="Q369" s="16">
        <f t="shared" si="29"/>
        <v>-1.1262894033566151</v>
      </c>
    </row>
    <row r="370" spans="4:17" ht="15" thickBot="1" x14ac:dyDescent="0.35">
      <c r="D370" s="20">
        <f t="shared" si="25"/>
        <v>364</v>
      </c>
      <c r="E370" s="20">
        <f t="shared" si="26"/>
        <v>4550</v>
      </c>
      <c r="F370" s="20">
        <f t="shared" si="27"/>
        <v>650</v>
      </c>
      <c r="G370" s="20">
        <v>0.262679573644297</v>
      </c>
      <c r="H370" s="50"/>
      <c r="I370" s="16"/>
      <c r="J370" s="16"/>
      <c r="K370" s="16"/>
      <c r="L370" s="16"/>
      <c r="M370" s="16">
        <v>364</v>
      </c>
      <c r="N370" s="16">
        <f t="shared" si="28"/>
        <v>0.13038020086083213</v>
      </c>
      <c r="O370" s="16"/>
      <c r="P370" s="16"/>
      <c r="Q370" s="16">
        <f t="shared" si="29"/>
        <v>-1.1245956881379549</v>
      </c>
    </row>
    <row r="371" spans="4:17" ht="15" thickBot="1" x14ac:dyDescent="0.35">
      <c r="D371" s="20">
        <f t="shared" si="25"/>
        <v>365</v>
      </c>
      <c r="E371" s="20">
        <f t="shared" si="26"/>
        <v>4650</v>
      </c>
      <c r="F371" s="20">
        <f t="shared" si="27"/>
        <v>650</v>
      </c>
      <c r="G371" s="20">
        <v>0.26281016553798897</v>
      </c>
      <c r="H371" s="50"/>
      <c r="I371" s="16"/>
      <c r="J371" s="16"/>
      <c r="K371" s="16"/>
      <c r="L371" s="16"/>
      <c r="M371" s="16">
        <v>365</v>
      </c>
      <c r="N371" s="16">
        <f t="shared" si="28"/>
        <v>0.13073888091822095</v>
      </c>
      <c r="O371" s="16"/>
      <c r="P371" s="16"/>
      <c r="Q371" s="16">
        <f t="shared" si="29"/>
        <v>-1.1229051928846678</v>
      </c>
    </row>
    <row r="372" spans="4:17" ht="15" thickBot="1" x14ac:dyDescent="0.35">
      <c r="D372" s="20">
        <f t="shared" si="25"/>
        <v>366</v>
      </c>
      <c r="E372" s="20">
        <f t="shared" si="26"/>
        <v>4750</v>
      </c>
      <c r="F372" s="20">
        <f t="shared" si="27"/>
        <v>650</v>
      </c>
      <c r="G372" s="20">
        <v>0.26313343232716774</v>
      </c>
      <c r="H372" s="50"/>
      <c r="I372" s="16"/>
      <c r="J372" s="16"/>
      <c r="K372" s="16"/>
      <c r="L372" s="16"/>
      <c r="M372" s="16">
        <v>366</v>
      </c>
      <c r="N372" s="16">
        <f t="shared" si="28"/>
        <v>0.13109756097560976</v>
      </c>
      <c r="O372" s="16"/>
      <c r="P372" s="16"/>
      <c r="Q372" s="16">
        <f t="shared" si="29"/>
        <v>-1.1212179005640976</v>
      </c>
    </row>
    <row r="373" spans="4:17" ht="15" thickBot="1" x14ac:dyDescent="0.35">
      <c r="D373" s="20">
        <f t="shared" si="25"/>
        <v>367</v>
      </c>
      <c r="E373" s="20">
        <f t="shared" si="26"/>
        <v>4850</v>
      </c>
      <c r="F373" s="20">
        <f t="shared" si="27"/>
        <v>650</v>
      </c>
      <c r="G373" s="20">
        <v>0.26325030986969727</v>
      </c>
      <c r="H373" s="50"/>
      <c r="I373" s="16"/>
      <c r="J373" s="16"/>
      <c r="K373" s="16"/>
      <c r="L373" s="16"/>
      <c r="M373" s="16">
        <v>367</v>
      </c>
      <c r="N373" s="16">
        <f t="shared" si="28"/>
        <v>0.13145624103299858</v>
      </c>
      <c r="O373" s="16"/>
      <c r="P373" s="16"/>
      <c r="Q373" s="16">
        <f t="shared" si="29"/>
        <v>-1.119533794276659</v>
      </c>
    </row>
    <row r="374" spans="4:17" ht="15" thickBot="1" x14ac:dyDescent="0.35">
      <c r="D374" s="20">
        <f t="shared" si="25"/>
        <v>368</v>
      </c>
      <c r="E374" s="20">
        <f t="shared" si="26"/>
        <v>4950</v>
      </c>
      <c r="F374" s="20">
        <f t="shared" si="27"/>
        <v>650</v>
      </c>
      <c r="G374" s="20">
        <v>0.26333851057374658</v>
      </c>
      <c r="H374" s="50"/>
      <c r="I374" s="16"/>
      <c r="J374" s="16"/>
      <c r="K374" s="16"/>
      <c r="L374" s="16"/>
      <c r="M374" s="16">
        <v>368</v>
      </c>
      <c r="N374" s="16">
        <f t="shared" si="28"/>
        <v>0.13181492109038737</v>
      </c>
      <c r="O374" s="16"/>
      <c r="P374" s="16"/>
      <c r="Q374" s="16">
        <f t="shared" si="29"/>
        <v>-1.1178528572544302</v>
      </c>
    </row>
    <row r="375" spans="4:17" ht="15" thickBot="1" x14ac:dyDescent="0.35">
      <c r="D375" s="20">
        <f t="shared" si="25"/>
        <v>369</v>
      </c>
      <c r="E375" s="20">
        <f t="shared" si="26"/>
        <v>5050</v>
      </c>
      <c r="F375" s="20">
        <f t="shared" si="27"/>
        <v>650</v>
      </c>
      <c r="G375" s="20">
        <v>0.26372351220035972</v>
      </c>
      <c r="H375" s="50"/>
      <c r="I375" s="16"/>
      <c r="J375" s="16"/>
      <c r="K375" s="16"/>
      <c r="L375" s="16"/>
      <c r="M375" s="16">
        <v>369</v>
      </c>
      <c r="N375" s="16">
        <f t="shared" si="28"/>
        <v>0.13217360114777618</v>
      </c>
      <c r="O375" s="16"/>
      <c r="P375" s="16"/>
      <c r="Q375" s="16">
        <f t="shared" si="29"/>
        <v>-1.1161750728597637</v>
      </c>
    </row>
    <row r="376" spans="4:17" ht="15" thickBot="1" x14ac:dyDescent="0.35">
      <c r="D376" s="20">
        <f t="shared" si="25"/>
        <v>370</v>
      </c>
      <c r="E376" s="20">
        <f t="shared" si="26"/>
        <v>5150</v>
      </c>
      <c r="F376" s="20">
        <f t="shared" si="27"/>
        <v>650</v>
      </c>
      <c r="G376" s="20">
        <v>0.26397399150635281</v>
      </c>
      <c r="H376" s="50"/>
      <c r="I376" s="16"/>
      <c r="J376" s="16"/>
      <c r="K376" s="16"/>
      <c r="L376" s="16"/>
      <c r="M376" s="16">
        <v>370</v>
      </c>
      <c r="N376" s="16">
        <f t="shared" si="28"/>
        <v>0.132532281205165</v>
      </c>
      <c r="O376" s="16"/>
      <c r="P376" s="16"/>
      <c r="Q376" s="16">
        <f t="shared" si="29"/>
        <v>-1.1145004245839158</v>
      </c>
    </row>
    <row r="377" spans="4:17" ht="15" thickBot="1" x14ac:dyDescent="0.35">
      <c r="D377" s="20">
        <f t="shared" si="25"/>
        <v>371</v>
      </c>
      <c r="E377" s="20">
        <f t="shared" si="26"/>
        <v>5250</v>
      </c>
      <c r="F377" s="20">
        <f t="shared" si="27"/>
        <v>650</v>
      </c>
      <c r="G377" s="20">
        <v>0.26401372595471984</v>
      </c>
      <c r="H377" s="50"/>
      <c r="I377" s="16"/>
      <c r="J377" s="16"/>
      <c r="K377" s="16"/>
      <c r="L377" s="16"/>
      <c r="M377" s="16">
        <v>371</v>
      </c>
      <c r="N377" s="16">
        <f t="shared" si="28"/>
        <v>0.13289096126255381</v>
      </c>
      <c r="O377" s="16"/>
      <c r="P377" s="16"/>
      <c r="Q377" s="16">
        <f t="shared" si="29"/>
        <v>-1.1128288960456905</v>
      </c>
    </row>
    <row r="378" spans="4:17" ht="15" thickBot="1" x14ac:dyDescent="0.35">
      <c r="D378" s="20">
        <f t="shared" si="25"/>
        <v>372</v>
      </c>
      <c r="E378" s="20">
        <f t="shared" si="26"/>
        <v>50</v>
      </c>
      <c r="F378" s="20">
        <f t="shared" si="27"/>
        <v>750</v>
      </c>
      <c r="G378" s="20">
        <v>0.26427194134407683</v>
      </c>
      <c r="H378" s="50"/>
      <c r="I378" s="16"/>
      <c r="J378" s="16"/>
      <c r="K378" s="16"/>
      <c r="L378" s="16"/>
      <c r="M378" s="16">
        <v>372</v>
      </c>
      <c r="N378" s="16">
        <f t="shared" si="28"/>
        <v>0.1332496413199426</v>
      </c>
      <c r="O378" s="16"/>
      <c r="P378" s="16"/>
      <c r="Q378" s="16">
        <f t="shared" si="29"/>
        <v>-1.1111604709901095</v>
      </c>
    </row>
    <row r="379" spans="4:17" ht="15" thickBot="1" x14ac:dyDescent="0.35">
      <c r="D379" s="20">
        <f t="shared" si="25"/>
        <v>373</v>
      </c>
      <c r="E379" s="20">
        <f t="shared" si="26"/>
        <v>150</v>
      </c>
      <c r="F379" s="20">
        <f t="shared" si="27"/>
        <v>750</v>
      </c>
      <c r="G379" s="20">
        <v>0.26428811211805969</v>
      </c>
      <c r="H379" s="50"/>
      <c r="I379" s="16"/>
      <c r="J379" s="16"/>
      <c r="K379" s="16"/>
      <c r="L379" s="16"/>
      <c r="M379" s="16">
        <v>373</v>
      </c>
      <c r="N379" s="16">
        <f t="shared" si="28"/>
        <v>0.13360832137733142</v>
      </c>
      <c r="O379" s="16"/>
      <c r="P379" s="16"/>
      <c r="Q379" s="16">
        <f t="shared" si="29"/>
        <v>-1.1094951332870899</v>
      </c>
    </row>
    <row r="380" spans="4:17" ht="15" thickBot="1" x14ac:dyDescent="0.35">
      <c r="D380" s="20">
        <f t="shared" si="25"/>
        <v>374</v>
      </c>
      <c r="E380" s="20">
        <f t="shared" si="26"/>
        <v>250</v>
      </c>
      <c r="F380" s="20">
        <f t="shared" si="27"/>
        <v>750</v>
      </c>
      <c r="G380" s="20">
        <v>0.26431600285783519</v>
      </c>
      <c r="H380" s="50"/>
      <c r="I380" s="16"/>
      <c r="J380" s="16"/>
      <c r="K380" s="16"/>
      <c r="L380" s="16"/>
      <c r="M380" s="16">
        <v>374</v>
      </c>
      <c r="N380" s="16">
        <f t="shared" si="28"/>
        <v>0.13396700143472023</v>
      </c>
      <c r="O380" s="16"/>
      <c r="P380" s="16"/>
      <c r="Q380" s="16">
        <f t="shared" si="29"/>
        <v>-1.1078328669301476</v>
      </c>
    </row>
    <row r="381" spans="4:17" ht="15" thickBot="1" x14ac:dyDescent="0.35">
      <c r="D381" s="20">
        <f t="shared" si="25"/>
        <v>375</v>
      </c>
      <c r="E381" s="20">
        <f t="shared" si="26"/>
        <v>350</v>
      </c>
      <c r="F381" s="20">
        <f t="shared" si="27"/>
        <v>750</v>
      </c>
      <c r="G381" s="20">
        <v>0.26438917868449141</v>
      </c>
      <c r="H381" s="50"/>
      <c r="I381" s="16"/>
      <c r="J381" s="16"/>
      <c r="K381" s="16"/>
      <c r="L381" s="16"/>
      <c r="M381" s="16">
        <v>375</v>
      </c>
      <c r="N381" s="16">
        <f t="shared" si="28"/>
        <v>0.13432568149210905</v>
      </c>
      <c r="O381" s="16"/>
      <c r="P381" s="16"/>
      <c r="Q381" s="16">
        <f t="shared" si="29"/>
        <v>-1.1061736560351099</v>
      </c>
    </row>
    <row r="382" spans="4:17" ht="15" thickBot="1" x14ac:dyDescent="0.35">
      <c r="D382" s="20">
        <f t="shared" si="25"/>
        <v>376</v>
      </c>
      <c r="E382" s="20">
        <f t="shared" si="26"/>
        <v>450</v>
      </c>
      <c r="F382" s="20">
        <f t="shared" si="27"/>
        <v>750</v>
      </c>
      <c r="G382" s="20">
        <v>0.26443311688695448</v>
      </c>
      <c r="H382" s="50"/>
      <c r="I382" s="16"/>
      <c r="J382" s="16"/>
      <c r="K382" s="16"/>
      <c r="L382" s="16"/>
      <c r="M382" s="16">
        <v>376</v>
      </c>
      <c r="N382" s="16">
        <f t="shared" si="28"/>
        <v>0.13468436154949784</v>
      </c>
      <c r="O382" s="16"/>
      <c r="P382" s="16"/>
      <c r="Q382" s="16">
        <f t="shared" si="29"/>
        <v>-1.104517484838855</v>
      </c>
    </row>
    <row r="383" spans="4:17" ht="15" thickBot="1" x14ac:dyDescent="0.35">
      <c r="D383" s="20">
        <f t="shared" si="25"/>
        <v>377</v>
      </c>
      <c r="E383" s="45">
        <f t="shared" si="26"/>
        <v>550</v>
      </c>
      <c r="F383" s="45">
        <f t="shared" si="27"/>
        <v>750</v>
      </c>
      <c r="G383" s="20">
        <v>0.26445256114241472</v>
      </c>
      <c r="H383" s="50"/>
      <c r="I383" s="16"/>
      <c r="J383" s="16"/>
      <c r="K383" s="16"/>
      <c r="L383" s="16"/>
      <c r="M383" s="16">
        <v>377</v>
      </c>
      <c r="N383" s="16">
        <f t="shared" si="28"/>
        <v>0.13504304160688665</v>
      </c>
      <c r="O383" s="16"/>
      <c r="P383" s="16"/>
      <c r="Q383" s="16">
        <f t="shared" si="29"/>
        <v>-1.1028643376980545</v>
      </c>
    </row>
    <row r="384" spans="4:17" ht="15" thickBot="1" x14ac:dyDescent="0.35">
      <c r="D384" s="20">
        <f t="shared" si="25"/>
        <v>378</v>
      </c>
      <c r="E384" s="20">
        <f t="shared" si="26"/>
        <v>650</v>
      </c>
      <c r="F384" s="20">
        <f t="shared" si="27"/>
        <v>750</v>
      </c>
      <c r="G384" s="20">
        <v>0.26463122327911065</v>
      </c>
      <c r="H384" s="50"/>
      <c r="I384" s="16"/>
      <c r="J384" s="16"/>
      <c r="K384" s="16"/>
      <c r="L384" s="16"/>
      <c r="M384" s="16">
        <v>378</v>
      </c>
      <c r="N384" s="16">
        <f t="shared" si="28"/>
        <v>0.13540172166427547</v>
      </c>
      <c r="O384" s="16"/>
      <c r="P384" s="16"/>
      <c r="Q384" s="16">
        <f t="shared" si="29"/>
        <v>-1.1012141990879452</v>
      </c>
    </row>
    <row r="385" spans="4:17" ht="15" thickBot="1" x14ac:dyDescent="0.35">
      <c r="D385" s="20">
        <f t="shared" si="25"/>
        <v>379</v>
      </c>
      <c r="E385" s="20">
        <f t="shared" si="26"/>
        <v>750</v>
      </c>
      <c r="F385" s="20">
        <f t="shared" si="27"/>
        <v>750</v>
      </c>
      <c r="G385" s="20">
        <v>0.26493498864668241</v>
      </c>
      <c r="H385" s="50"/>
      <c r="I385" s="16"/>
      <c r="J385" s="16"/>
      <c r="K385" s="16"/>
      <c r="L385" s="16"/>
      <c r="M385" s="16">
        <v>379</v>
      </c>
      <c r="N385" s="16">
        <f t="shared" si="28"/>
        <v>0.13576040172166429</v>
      </c>
      <c r="O385" s="16"/>
      <c r="P385" s="16"/>
      <c r="Q385" s="16">
        <f t="shared" si="29"/>
        <v>-1.0995670536011071</v>
      </c>
    </row>
    <row r="386" spans="4:17" ht="15" thickBot="1" x14ac:dyDescent="0.35">
      <c r="D386" s="20">
        <f t="shared" si="25"/>
        <v>380</v>
      </c>
      <c r="E386" s="45">
        <f t="shared" si="26"/>
        <v>850</v>
      </c>
      <c r="F386" s="45">
        <f t="shared" si="27"/>
        <v>750</v>
      </c>
      <c r="G386" s="20">
        <v>0.26495949493503002</v>
      </c>
      <c r="H386" s="50"/>
      <c r="I386" s="16"/>
      <c r="J386" s="16"/>
      <c r="K386" s="16"/>
      <c r="L386" s="16"/>
      <c r="M386" s="16">
        <v>380</v>
      </c>
      <c r="N386" s="16">
        <f t="shared" si="28"/>
        <v>0.13611908177905307</v>
      </c>
      <c r="O386" s="16"/>
      <c r="P386" s="16"/>
      <c r="Q386" s="16">
        <f t="shared" si="29"/>
        <v>-1.0979228859462657</v>
      </c>
    </row>
    <row r="387" spans="4:17" ht="15" thickBot="1" x14ac:dyDescent="0.35">
      <c r="D387" s="20">
        <f t="shared" si="25"/>
        <v>381</v>
      </c>
      <c r="E387" s="20">
        <f t="shared" si="26"/>
        <v>950</v>
      </c>
      <c r="F387" s="20">
        <f t="shared" si="27"/>
        <v>750</v>
      </c>
      <c r="G387" s="20">
        <v>0.26533219952206949</v>
      </c>
      <c r="H387" s="50"/>
      <c r="I387" s="16"/>
      <c r="J387" s="16"/>
      <c r="K387" s="16"/>
      <c r="L387" s="16"/>
      <c r="M387" s="16">
        <v>381</v>
      </c>
      <c r="N387" s="16">
        <f t="shared" si="28"/>
        <v>0.13647776183644189</v>
      </c>
      <c r="O387" s="16"/>
      <c r="P387" s="16"/>
      <c r="Q387" s="16">
        <f t="shared" si="29"/>
        <v>-1.0962816809470999</v>
      </c>
    </row>
    <row r="388" spans="4:17" ht="15" thickBot="1" x14ac:dyDescent="0.35">
      <c r="D388" s="20">
        <f t="shared" si="25"/>
        <v>382</v>
      </c>
      <c r="E388" s="20">
        <f t="shared" si="26"/>
        <v>1050</v>
      </c>
      <c r="F388" s="20">
        <f t="shared" si="27"/>
        <v>750</v>
      </c>
      <c r="G388" s="20">
        <v>0.265341961318874</v>
      </c>
      <c r="H388" s="50"/>
      <c r="I388" s="16"/>
      <c r="J388" s="16"/>
      <c r="K388" s="16"/>
      <c r="L388" s="16"/>
      <c r="M388" s="16">
        <v>382</v>
      </c>
      <c r="N388" s="16">
        <f t="shared" si="28"/>
        <v>0.13683644189383071</v>
      </c>
      <c r="O388" s="16"/>
      <c r="P388" s="16"/>
      <c r="Q388" s="16">
        <f t="shared" si="29"/>
        <v>-1.0946434235410734</v>
      </c>
    </row>
    <row r="389" spans="4:17" ht="15" thickBot="1" x14ac:dyDescent="0.35">
      <c r="D389" s="20">
        <f t="shared" si="25"/>
        <v>383</v>
      </c>
      <c r="E389" s="20">
        <f t="shared" si="26"/>
        <v>1150</v>
      </c>
      <c r="F389" s="20">
        <f t="shared" si="27"/>
        <v>750</v>
      </c>
      <c r="G389" s="20">
        <v>0.26546049134711736</v>
      </c>
      <c r="H389" s="50"/>
      <c r="I389" s="16"/>
      <c r="J389" s="16"/>
      <c r="K389" s="16"/>
      <c r="L389" s="16"/>
      <c r="M389" s="16">
        <v>383</v>
      </c>
      <c r="N389" s="16">
        <f t="shared" si="28"/>
        <v>0.13719512195121952</v>
      </c>
      <c r="O389" s="16"/>
      <c r="P389" s="16"/>
      <c r="Q389" s="16">
        <f t="shared" si="29"/>
        <v>-1.0930080987782778</v>
      </c>
    </row>
    <row r="390" spans="4:17" ht="15" thickBot="1" x14ac:dyDescent="0.35">
      <c r="D390" s="20">
        <f t="shared" si="25"/>
        <v>384</v>
      </c>
      <c r="E390" s="45">
        <f t="shared" si="26"/>
        <v>1250</v>
      </c>
      <c r="F390" s="45">
        <f t="shared" si="27"/>
        <v>750</v>
      </c>
      <c r="G390" s="20">
        <v>0.26563068939660084</v>
      </c>
      <c r="H390" s="50"/>
      <c r="I390" s="16"/>
      <c r="J390" s="16"/>
      <c r="K390" s="16"/>
      <c r="L390" s="16"/>
      <c r="M390" s="16">
        <v>384</v>
      </c>
      <c r="N390" s="16">
        <f t="shared" si="28"/>
        <v>0.13755380200860831</v>
      </c>
      <c r="O390" s="16"/>
      <c r="P390" s="16"/>
      <c r="Q390" s="16">
        <f t="shared" si="29"/>
        <v>-1.091375691820289</v>
      </c>
    </row>
    <row r="391" spans="4:17" ht="15" thickBot="1" x14ac:dyDescent="0.35">
      <c r="D391" s="20">
        <f t="shared" ref="D391:D454" si="30">ROW()-6</f>
        <v>385</v>
      </c>
      <c r="E391" s="48">
        <f t="shared" ref="E391:E454" si="31">(MOD(D391-1,53)*100)+50</f>
        <v>1350</v>
      </c>
      <c r="F391" s="48">
        <f t="shared" ref="F391:F454" si="32">FLOOR((D391-1)/53,1)*100+50</f>
        <v>750</v>
      </c>
      <c r="G391" s="20">
        <v>0.26565633048819937</v>
      </c>
      <c r="H391" s="50"/>
      <c r="I391" s="16"/>
      <c r="J391" s="16"/>
      <c r="K391" s="16"/>
      <c r="L391" s="16"/>
      <c r="M391" s="16">
        <v>385</v>
      </c>
      <c r="N391" s="16">
        <f t="shared" si="28"/>
        <v>0.13791248206599713</v>
      </c>
      <c r="O391" s="16"/>
      <c r="P391" s="16"/>
      <c r="Q391" s="16">
        <f t="shared" si="29"/>
        <v>-1.0897461879390424</v>
      </c>
    </row>
    <row r="392" spans="4:17" ht="15" thickBot="1" x14ac:dyDescent="0.35">
      <c r="D392" s="20">
        <f t="shared" si="30"/>
        <v>386</v>
      </c>
      <c r="E392" s="20">
        <f t="shared" si="31"/>
        <v>1450</v>
      </c>
      <c r="F392" s="20">
        <f t="shared" si="32"/>
        <v>750</v>
      </c>
      <c r="G392" s="20">
        <v>0.26579770760885457</v>
      </c>
      <c r="H392" s="50"/>
      <c r="I392" s="16"/>
      <c r="J392" s="16"/>
      <c r="K392" s="16"/>
      <c r="L392" s="16"/>
      <c r="M392" s="16">
        <v>386</v>
      </c>
      <c r="N392" s="16">
        <f t="shared" ref="N392:N455" si="33">(M392-0.5)/$L$7</f>
        <v>0.13827116212338594</v>
      </c>
      <c r="O392" s="16"/>
      <c r="P392" s="16"/>
      <c r="Q392" s="16">
        <f t="shared" ref="Q392:Q455" si="34">_xlfn.NORM.S.INV(N392)</f>
        <v>-1.0881195725157191</v>
      </c>
    </row>
    <row r="393" spans="4:17" ht="15" thickBot="1" x14ac:dyDescent="0.35">
      <c r="D393" s="20">
        <f t="shared" si="30"/>
        <v>387</v>
      </c>
      <c r="E393" s="48">
        <f t="shared" si="31"/>
        <v>1550</v>
      </c>
      <c r="F393" s="48">
        <f t="shared" si="32"/>
        <v>750</v>
      </c>
      <c r="G393" s="20">
        <v>0.26604163825770888</v>
      </c>
      <c r="H393" s="50"/>
      <c r="I393" s="16"/>
      <c r="J393" s="16"/>
      <c r="K393" s="16"/>
      <c r="L393" s="16"/>
      <c r="M393" s="16">
        <v>387</v>
      </c>
      <c r="N393" s="16">
        <f t="shared" si="33"/>
        <v>0.13862984218077476</v>
      </c>
      <c r="O393" s="16"/>
      <c r="P393" s="16"/>
      <c r="Q393" s="16">
        <f t="shared" si="34"/>
        <v>-1.0864958310396431</v>
      </c>
    </row>
    <row r="394" spans="4:17" ht="15" thickBot="1" x14ac:dyDescent="0.35">
      <c r="D394" s="20">
        <f t="shared" si="30"/>
        <v>388</v>
      </c>
      <c r="E394" s="20">
        <f t="shared" si="31"/>
        <v>1650</v>
      </c>
      <c r="F394" s="20">
        <f t="shared" si="32"/>
        <v>750</v>
      </c>
      <c r="G394" s="20">
        <v>0.26607801051944613</v>
      </c>
      <c r="H394" s="50"/>
      <c r="I394" s="16"/>
      <c r="J394" s="16"/>
      <c r="K394" s="16"/>
      <c r="L394" s="16"/>
      <c r="M394" s="16">
        <v>388</v>
      </c>
      <c r="N394" s="16">
        <f t="shared" si="33"/>
        <v>0.13898852223816355</v>
      </c>
      <c r="O394" s="16"/>
      <c r="P394" s="16"/>
      <c r="Q394" s="16">
        <f t="shared" si="34"/>
        <v>-1.0848749491072021</v>
      </c>
    </row>
    <row r="395" spans="4:17" ht="15" thickBot="1" x14ac:dyDescent="0.35">
      <c r="D395" s="20">
        <f t="shared" si="30"/>
        <v>389</v>
      </c>
      <c r="E395" s="20">
        <f t="shared" si="31"/>
        <v>1750</v>
      </c>
      <c r="F395" s="20">
        <f t="shared" si="32"/>
        <v>750</v>
      </c>
      <c r="G395" s="20">
        <v>0.26635242291997119</v>
      </c>
      <c r="H395" s="50"/>
      <c r="I395" s="16"/>
      <c r="J395" s="16"/>
      <c r="K395" s="16"/>
      <c r="L395" s="16"/>
      <c r="M395" s="16">
        <v>389</v>
      </c>
      <c r="N395" s="16">
        <f t="shared" si="33"/>
        <v>0.13934720229555236</v>
      </c>
      <c r="O395" s="16"/>
      <c r="P395" s="16"/>
      <c r="Q395" s="16">
        <f t="shared" si="34"/>
        <v>-1.0832569124207718</v>
      </c>
    </row>
    <row r="396" spans="4:17" ht="15" thickBot="1" x14ac:dyDescent="0.35">
      <c r="D396" s="20">
        <f t="shared" si="30"/>
        <v>390</v>
      </c>
      <c r="E396" s="20">
        <f t="shared" si="31"/>
        <v>1850</v>
      </c>
      <c r="F396" s="20">
        <f t="shared" si="32"/>
        <v>750</v>
      </c>
      <c r="G396" s="20">
        <v>0.26635756207733396</v>
      </c>
      <c r="H396" s="50"/>
      <c r="I396" s="16"/>
      <c r="J396" s="16"/>
      <c r="K396" s="16"/>
      <c r="L396" s="16"/>
      <c r="M396" s="16">
        <v>390</v>
      </c>
      <c r="N396" s="16">
        <f t="shared" si="33"/>
        <v>0.13970588235294118</v>
      </c>
      <c r="O396" s="16"/>
      <c r="P396" s="16"/>
      <c r="Q396" s="16">
        <f t="shared" si="34"/>
        <v>-1.0816417067876596</v>
      </c>
    </row>
    <row r="397" spans="4:17" ht="15" thickBot="1" x14ac:dyDescent="0.35">
      <c r="D397" s="20">
        <f t="shared" si="30"/>
        <v>391</v>
      </c>
      <c r="E397" s="20">
        <f t="shared" si="31"/>
        <v>1950</v>
      </c>
      <c r="F397" s="20">
        <f t="shared" si="32"/>
        <v>750</v>
      </c>
      <c r="G397" s="20">
        <v>0.26641057904886761</v>
      </c>
      <c r="H397" s="50"/>
      <c r="I397" s="16"/>
      <c r="J397" s="16"/>
      <c r="K397" s="16"/>
      <c r="L397" s="16"/>
      <c r="M397" s="16">
        <v>391</v>
      </c>
      <c r="N397" s="16">
        <f t="shared" si="33"/>
        <v>0.14006456241033</v>
      </c>
      <c r="O397" s="16"/>
      <c r="P397" s="16"/>
      <c r="Q397" s="16">
        <f t="shared" si="34"/>
        <v>-1.0800293181190592</v>
      </c>
    </row>
    <row r="398" spans="4:17" ht="15" thickBot="1" x14ac:dyDescent="0.35">
      <c r="D398" s="20">
        <f t="shared" si="30"/>
        <v>392</v>
      </c>
      <c r="E398" s="20">
        <f t="shared" si="31"/>
        <v>2050</v>
      </c>
      <c r="F398" s="20">
        <f t="shared" si="32"/>
        <v>750</v>
      </c>
      <c r="G398" s="20">
        <v>0.26642930043043117</v>
      </c>
      <c r="H398" s="50"/>
      <c r="I398" s="16"/>
      <c r="J398" s="16"/>
      <c r="K398" s="16"/>
      <c r="L398" s="16"/>
      <c r="M398" s="16">
        <v>392</v>
      </c>
      <c r="N398" s="16">
        <f t="shared" si="33"/>
        <v>0.14042324246771878</v>
      </c>
      <c r="O398" s="16"/>
      <c r="P398" s="16"/>
      <c r="Q398" s="16">
        <f t="shared" si="34"/>
        <v>-1.0784197324290197</v>
      </c>
    </row>
    <row r="399" spans="4:17" ht="15" thickBot="1" x14ac:dyDescent="0.35">
      <c r="D399" s="20">
        <f t="shared" si="30"/>
        <v>393</v>
      </c>
      <c r="E399" s="48">
        <f t="shared" si="31"/>
        <v>2150</v>
      </c>
      <c r="F399" s="48">
        <f t="shared" si="32"/>
        <v>750</v>
      </c>
      <c r="G399" s="20">
        <v>0.26648949067717914</v>
      </c>
      <c r="H399" s="50"/>
      <c r="I399" s="16"/>
      <c r="J399" s="16"/>
      <c r="K399" s="16"/>
      <c r="L399" s="16"/>
      <c r="M399" s="16">
        <v>393</v>
      </c>
      <c r="N399" s="16">
        <f t="shared" si="33"/>
        <v>0.1407819225251076</v>
      </c>
      <c r="O399" s="16"/>
      <c r="P399" s="16"/>
      <c r="Q399" s="16">
        <f t="shared" si="34"/>
        <v>-1.076812935833424</v>
      </c>
    </row>
    <row r="400" spans="4:17" ht="15" thickBot="1" x14ac:dyDescent="0.35">
      <c r="D400" s="20">
        <f t="shared" si="30"/>
        <v>394</v>
      </c>
      <c r="E400" s="20">
        <f t="shared" si="31"/>
        <v>2250</v>
      </c>
      <c r="F400" s="20">
        <f t="shared" si="32"/>
        <v>750</v>
      </c>
      <c r="G400" s="20">
        <v>0.26659741864469499</v>
      </c>
      <c r="H400" s="50"/>
      <c r="I400" s="16"/>
      <c r="J400" s="16"/>
      <c r="K400" s="16"/>
      <c r="L400" s="16"/>
      <c r="M400" s="16">
        <v>394</v>
      </c>
      <c r="N400" s="16">
        <f t="shared" si="33"/>
        <v>0.14114060258249642</v>
      </c>
      <c r="O400" s="16"/>
      <c r="P400" s="16"/>
      <c r="Q400" s="16">
        <f t="shared" si="34"/>
        <v>-1.0752089145489883</v>
      </c>
    </row>
    <row r="401" spans="4:17" ht="15" thickBot="1" x14ac:dyDescent="0.35">
      <c r="D401" s="20">
        <f t="shared" si="30"/>
        <v>395</v>
      </c>
      <c r="E401" s="20">
        <f t="shared" si="31"/>
        <v>2350</v>
      </c>
      <c r="F401" s="20">
        <f t="shared" si="32"/>
        <v>750</v>
      </c>
      <c r="G401" s="20">
        <v>0.26669707175878826</v>
      </c>
      <c r="H401" s="50"/>
      <c r="I401" s="16"/>
      <c r="J401" s="16"/>
      <c r="K401" s="16"/>
      <c r="L401" s="16"/>
      <c r="M401" s="16">
        <v>395</v>
      </c>
      <c r="N401" s="16">
        <f t="shared" si="33"/>
        <v>0.14149928263988523</v>
      </c>
      <c r="O401" s="16"/>
      <c r="P401" s="16"/>
      <c r="Q401" s="16">
        <f t="shared" si="34"/>
        <v>-1.0736076548922593</v>
      </c>
    </row>
    <row r="402" spans="4:17" ht="15" thickBot="1" x14ac:dyDescent="0.35">
      <c r="D402" s="20">
        <f t="shared" si="30"/>
        <v>396</v>
      </c>
      <c r="E402" s="20">
        <f t="shared" si="31"/>
        <v>2450</v>
      </c>
      <c r="F402" s="20">
        <f t="shared" si="32"/>
        <v>750</v>
      </c>
      <c r="G402" s="20">
        <v>0.26684888180490923</v>
      </c>
      <c r="H402" s="50"/>
      <c r="I402" s="16"/>
      <c r="J402" s="16"/>
      <c r="K402" s="16"/>
      <c r="L402" s="16"/>
      <c r="M402" s="16">
        <v>396</v>
      </c>
      <c r="N402" s="16">
        <f t="shared" si="33"/>
        <v>0.14185796269727402</v>
      </c>
      <c r="O402" s="16"/>
      <c r="P402" s="16"/>
      <c r="Q402" s="16">
        <f t="shared" si="34"/>
        <v>-1.0720091432786434</v>
      </c>
    </row>
    <row r="403" spans="4:17" ht="15" thickBot="1" x14ac:dyDescent="0.35">
      <c r="D403" s="20">
        <f t="shared" si="30"/>
        <v>397</v>
      </c>
      <c r="E403" s="20">
        <f t="shared" si="31"/>
        <v>2550</v>
      </c>
      <c r="F403" s="20">
        <f t="shared" si="32"/>
        <v>750</v>
      </c>
      <c r="G403" s="20">
        <v>0.26690455935450486</v>
      </c>
      <c r="H403" s="50"/>
      <c r="I403" s="16"/>
      <c r="J403" s="16"/>
      <c r="K403" s="16"/>
      <c r="L403" s="16"/>
      <c r="M403" s="16">
        <v>397</v>
      </c>
      <c r="N403" s="16">
        <f t="shared" si="33"/>
        <v>0.14221664275466284</v>
      </c>
      <c r="O403" s="16"/>
      <c r="P403" s="16"/>
      <c r="Q403" s="16">
        <f t="shared" si="34"/>
        <v>-1.0704133662214286</v>
      </c>
    </row>
    <row r="404" spans="4:17" ht="15" thickBot="1" x14ac:dyDescent="0.35">
      <c r="D404" s="20">
        <f t="shared" si="30"/>
        <v>398</v>
      </c>
      <c r="E404" s="20">
        <f t="shared" si="31"/>
        <v>2650</v>
      </c>
      <c r="F404" s="20">
        <f t="shared" si="32"/>
        <v>750</v>
      </c>
      <c r="G404" s="20">
        <v>0.26714468138798547</v>
      </c>
      <c r="H404" s="50"/>
      <c r="I404" s="16"/>
      <c r="J404" s="16"/>
      <c r="K404" s="16"/>
      <c r="L404" s="16"/>
      <c r="M404" s="16">
        <v>398</v>
      </c>
      <c r="N404" s="16">
        <f t="shared" si="33"/>
        <v>0.14257532281205165</v>
      </c>
      <c r="O404" s="16"/>
      <c r="P404" s="16"/>
      <c r="Q404" s="16">
        <f t="shared" si="34"/>
        <v>-1.068820310330832</v>
      </c>
    </row>
    <row r="405" spans="4:17" ht="15" thickBot="1" x14ac:dyDescent="0.35">
      <c r="D405" s="20">
        <f t="shared" si="30"/>
        <v>399</v>
      </c>
      <c r="E405" s="20">
        <f t="shared" si="31"/>
        <v>2750</v>
      </c>
      <c r="F405" s="20">
        <f t="shared" si="32"/>
        <v>750</v>
      </c>
      <c r="G405" s="20">
        <v>0.26724284495001766</v>
      </c>
      <c r="H405" s="50"/>
      <c r="I405" s="16"/>
      <c r="J405" s="16"/>
      <c r="K405" s="16"/>
      <c r="L405" s="16"/>
      <c r="M405" s="16">
        <v>399</v>
      </c>
      <c r="N405" s="16">
        <f t="shared" si="33"/>
        <v>0.14293400286944047</v>
      </c>
      <c r="O405" s="16"/>
      <c r="P405" s="16"/>
      <c r="Q405" s="16">
        <f t="shared" si="34"/>
        <v>-1.0672299623130508</v>
      </c>
    </row>
    <row r="406" spans="4:17" ht="15" thickBot="1" x14ac:dyDescent="0.35">
      <c r="D406" s="20">
        <f t="shared" si="30"/>
        <v>400</v>
      </c>
      <c r="E406" s="20">
        <f t="shared" si="31"/>
        <v>2850</v>
      </c>
      <c r="F406" s="20">
        <f t="shared" si="32"/>
        <v>750</v>
      </c>
      <c r="G406" s="20">
        <v>0.26732266945539751</v>
      </c>
      <c r="H406" s="50"/>
      <c r="I406" s="16"/>
      <c r="J406" s="16"/>
      <c r="K406" s="16"/>
      <c r="L406" s="16"/>
      <c r="M406" s="16">
        <v>400</v>
      </c>
      <c r="N406" s="16">
        <f t="shared" si="33"/>
        <v>0.14329268292682926</v>
      </c>
      <c r="O406" s="16"/>
      <c r="P406" s="16"/>
      <c r="Q406" s="16">
        <f t="shared" si="34"/>
        <v>-1.0656423089693323</v>
      </c>
    </row>
    <row r="407" spans="4:17" ht="15" thickBot="1" x14ac:dyDescent="0.35">
      <c r="D407" s="20">
        <f t="shared" si="30"/>
        <v>401</v>
      </c>
      <c r="E407" s="20">
        <f t="shared" si="31"/>
        <v>2950</v>
      </c>
      <c r="F407" s="20">
        <f t="shared" si="32"/>
        <v>750</v>
      </c>
      <c r="G407" s="20">
        <v>0.26742896391692389</v>
      </c>
      <c r="H407" s="50"/>
      <c r="I407" s="16"/>
      <c r="J407" s="16"/>
      <c r="K407" s="16"/>
      <c r="L407" s="16"/>
      <c r="M407" s="16">
        <v>401</v>
      </c>
      <c r="N407" s="16">
        <f t="shared" si="33"/>
        <v>0.14365136298421807</v>
      </c>
      <c r="O407" s="16"/>
      <c r="P407" s="16"/>
      <c r="Q407" s="16">
        <f t="shared" si="34"/>
        <v>-1.0640573371950459</v>
      </c>
    </row>
    <row r="408" spans="4:17" ht="15" thickBot="1" x14ac:dyDescent="0.35">
      <c r="D408" s="20">
        <f t="shared" si="30"/>
        <v>402</v>
      </c>
      <c r="E408" s="20">
        <f t="shared" si="31"/>
        <v>3050</v>
      </c>
      <c r="F408" s="20">
        <f t="shared" si="32"/>
        <v>750</v>
      </c>
      <c r="G408" s="20">
        <v>0.26756111480456124</v>
      </c>
      <c r="H408" s="50"/>
      <c r="I408" s="16"/>
      <c r="J408" s="16"/>
      <c r="K408" s="16"/>
      <c r="L408" s="16"/>
      <c r="M408" s="16">
        <v>402</v>
      </c>
      <c r="N408" s="16">
        <f t="shared" si="33"/>
        <v>0.14401004304160689</v>
      </c>
      <c r="O408" s="16"/>
      <c r="P408" s="16"/>
      <c r="Q408" s="16">
        <f t="shared" si="34"/>
        <v>-1.0624750339787767</v>
      </c>
    </row>
    <row r="409" spans="4:17" ht="15" thickBot="1" x14ac:dyDescent="0.35">
      <c r="D409" s="20">
        <f t="shared" si="30"/>
        <v>403</v>
      </c>
      <c r="E409" s="20">
        <f t="shared" si="31"/>
        <v>3150</v>
      </c>
      <c r="F409" s="20">
        <f t="shared" si="32"/>
        <v>750</v>
      </c>
      <c r="G409" s="20">
        <v>0.26756479201997513</v>
      </c>
      <c r="H409" s="50"/>
      <c r="I409" s="16"/>
      <c r="J409" s="16"/>
      <c r="K409" s="16"/>
      <c r="L409" s="16"/>
      <c r="M409" s="16">
        <v>403</v>
      </c>
      <c r="N409" s="16">
        <f t="shared" si="33"/>
        <v>0.1443687230989957</v>
      </c>
      <c r="O409" s="16"/>
      <c r="P409" s="16"/>
      <c r="Q409" s="16">
        <f t="shared" si="34"/>
        <v>-1.0608953864014214</v>
      </c>
    </row>
    <row r="410" spans="4:17" ht="15" thickBot="1" x14ac:dyDescent="0.35">
      <c r="D410" s="20">
        <f t="shared" si="30"/>
        <v>404</v>
      </c>
      <c r="E410" s="48">
        <f t="shared" si="31"/>
        <v>3250</v>
      </c>
      <c r="F410" s="48">
        <f t="shared" si="32"/>
        <v>750</v>
      </c>
      <c r="G410" s="20">
        <v>0.26779877407871977</v>
      </c>
      <c r="H410" s="50"/>
      <c r="I410" s="16"/>
      <c r="J410" s="16"/>
      <c r="K410" s="16"/>
      <c r="L410" s="16"/>
      <c r="M410" s="16">
        <v>404</v>
      </c>
      <c r="N410" s="16">
        <f t="shared" si="33"/>
        <v>0.14472740315638449</v>
      </c>
      <c r="O410" s="16"/>
      <c r="P410" s="16"/>
      <c r="Q410" s="16">
        <f t="shared" si="34"/>
        <v>-1.0593183816353013</v>
      </c>
    </row>
    <row r="411" spans="4:17" ht="15" thickBot="1" x14ac:dyDescent="0.35">
      <c r="D411" s="20">
        <f t="shared" si="30"/>
        <v>405</v>
      </c>
      <c r="E411" s="20">
        <f t="shared" si="31"/>
        <v>3350</v>
      </c>
      <c r="F411" s="20">
        <f t="shared" si="32"/>
        <v>750</v>
      </c>
      <c r="G411" s="20">
        <v>0.26780406613549057</v>
      </c>
      <c r="H411" s="50"/>
      <c r="I411" s="16"/>
      <c r="J411" s="16"/>
      <c r="K411" s="16"/>
      <c r="L411" s="16"/>
      <c r="M411" s="16">
        <v>405</v>
      </c>
      <c r="N411" s="16">
        <f t="shared" si="33"/>
        <v>0.14508608321377331</v>
      </c>
      <c r="O411" s="16"/>
      <c r="P411" s="16"/>
      <c r="Q411" s="16">
        <f t="shared" si="34"/>
        <v>-1.0577440069432811</v>
      </c>
    </row>
    <row r="412" spans="4:17" ht="15" thickBot="1" x14ac:dyDescent="0.35">
      <c r="D412" s="20">
        <f t="shared" si="30"/>
        <v>406</v>
      </c>
      <c r="E412" s="20">
        <f t="shared" si="31"/>
        <v>3450</v>
      </c>
      <c r="F412" s="20">
        <f t="shared" si="32"/>
        <v>750</v>
      </c>
      <c r="G412" s="20">
        <v>0.26810330040515001</v>
      </c>
      <c r="H412" s="50"/>
      <c r="I412" s="16"/>
      <c r="J412" s="16"/>
      <c r="K412" s="16"/>
      <c r="L412" s="16"/>
      <c r="M412" s="16">
        <v>406</v>
      </c>
      <c r="N412" s="16">
        <f t="shared" si="33"/>
        <v>0.14544476327116213</v>
      </c>
      <c r="O412" s="16"/>
      <c r="P412" s="16"/>
      <c r="Q412" s="16">
        <f t="shared" si="34"/>
        <v>-1.0561722496779022</v>
      </c>
    </row>
    <row r="413" spans="4:17" ht="15" thickBot="1" x14ac:dyDescent="0.35">
      <c r="D413" s="20">
        <f t="shared" si="30"/>
        <v>407</v>
      </c>
      <c r="E413" s="20">
        <f t="shared" si="31"/>
        <v>3550</v>
      </c>
      <c r="F413" s="20">
        <f t="shared" si="32"/>
        <v>750</v>
      </c>
      <c r="G413" s="20">
        <v>0.26832951065252725</v>
      </c>
      <c r="H413" s="50"/>
      <c r="I413" s="16"/>
      <c r="J413" s="16"/>
      <c r="K413" s="16"/>
      <c r="L413" s="16"/>
      <c r="M413" s="16">
        <v>407</v>
      </c>
      <c r="N413" s="16">
        <f t="shared" si="33"/>
        <v>0.14580344332855094</v>
      </c>
      <c r="O413" s="16"/>
      <c r="P413" s="16"/>
      <c r="Q413" s="16">
        <f t="shared" si="34"/>
        <v>-1.0546030972805267</v>
      </c>
    </row>
    <row r="414" spans="4:17" ht="15" thickBot="1" x14ac:dyDescent="0.35">
      <c r="D414" s="20">
        <f t="shared" si="30"/>
        <v>408</v>
      </c>
      <c r="E414" s="20">
        <f t="shared" si="31"/>
        <v>3650</v>
      </c>
      <c r="F414" s="20">
        <f t="shared" si="32"/>
        <v>750</v>
      </c>
      <c r="G414" s="20">
        <v>0.26840855104281447</v>
      </c>
      <c r="H414" s="50"/>
      <c r="I414" s="16"/>
      <c r="J414" s="16"/>
      <c r="K414" s="16"/>
      <c r="L414" s="16"/>
      <c r="M414" s="16">
        <v>408</v>
      </c>
      <c r="N414" s="16">
        <f t="shared" si="33"/>
        <v>0.14616212338593973</v>
      </c>
      <c r="O414" s="16"/>
      <c r="P414" s="16"/>
      <c r="Q414" s="16">
        <f t="shared" si="34"/>
        <v>-1.0530365372804853</v>
      </c>
    </row>
    <row r="415" spans="4:17" ht="15" thickBot="1" x14ac:dyDescent="0.35">
      <c r="D415" s="20">
        <f t="shared" si="30"/>
        <v>409</v>
      </c>
      <c r="E415" s="20">
        <f t="shared" si="31"/>
        <v>3750</v>
      </c>
      <c r="F415" s="20">
        <f t="shared" si="32"/>
        <v>750</v>
      </c>
      <c r="G415" s="20">
        <v>0.26868800970145812</v>
      </c>
      <c r="H415" s="50"/>
      <c r="I415" s="16"/>
      <c r="J415" s="16"/>
      <c r="K415" s="16"/>
      <c r="L415" s="16"/>
      <c r="M415" s="16">
        <v>409</v>
      </c>
      <c r="N415" s="16">
        <f t="shared" si="33"/>
        <v>0.14652080344332855</v>
      </c>
      <c r="O415" s="16"/>
      <c r="P415" s="16"/>
      <c r="Q415" s="16">
        <f t="shared" si="34"/>
        <v>-1.0514725572942398</v>
      </c>
    </row>
    <row r="416" spans="4:17" ht="15" thickBot="1" x14ac:dyDescent="0.35">
      <c r="D416" s="20">
        <f t="shared" si="30"/>
        <v>410</v>
      </c>
      <c r="E416" s="43">
        <f t="shared" si="31"/>
        <v>3850</v>
      </c>
      <c r="F416" s="43">
        <f t="shared" si="32"/>
        <v>750</v>
      </c>
      <c r="G416" s="20">
        <v>0.26881577374906729</v>
      </c>
      <c r="H416" s="50"/>
      <c r="I416" s="16"/>
      <c r="J416" s="16"/>
      <c r="K416" s="16"/>
      <c r="L416" s="16"/>
      <c r="M416" s="16">
        <v>410</v>
      </c>
      <c r="N416" s="16">
        <f t="shared" si="33"/>
        <v>0.14687948350071736</v>
      </c>
      <c r="O416" s="16"/>
      <c r="P416" s="16"/>
      <c r="Q416" s="16">
        <f t="shared" si="34"/>
        <v>-1.0499111450245728</v>
      </c>
    </row>
    <row r="417" spans="4:17" ht="15" thickBot="1" x14ac:dyDescent="0.35">
      <c r="D417" s="20">
        <f t="shared" si="30"/>
        <v>411</v>
      </c>
      <c r="E417" s="20">
        <f t="shared" si="31"/>
        <v>3950</v>
      </c>
      <c r="F417" s="20">
        <f t="shared" si="32"/>
        <v>750</v>
      </c>
      <c r="G417" s="20">
        <v>0.26894324274437731</v>
      </c>
      <c r="H417" s="50"/>
      <c r="I417" s="16"/>
      <c r="J417" s="16"/>
      <c r="K417" s="16"/>
      <c r="L417" s="16"/>
      <c r="M417" s="16">
        <v>411</v>
      </c>
      <c r="N417" s="16">
        <f t="shared" si="33"/>
        <v>0.14723816355810618</v>
      </c>
      <c r="O417" s="16"/>
      <c r="P417" s="16"/>
      <c r="Q417" s="16">
        <f t="shared" si="34"/>
        <v>-1.0483522882597411</v>
      </c>
    </row>
    <row r="418" spans="4:17" ht="15" thickBot="1" x14ac:dyDescent="0.35">
      <c r="D418" s="20">
        <f t="shared" si="30"/>
        <v>412</v>
      </c>
      <c r="E418" s="20">
        <f t="shared" si="31"/>
        <v>4050</v>
      </c>
      <c r="F418" s="20">
        <f t="shared" si="32"/>
        <v>750</v>
      </c>
      <c r="G418" s="20">
        <v>0.26911433291201486</v>
      </c>
      <c r="H418" s="50"/>
      <c r="I418" s="16"/>
      <c r="J418" s="16"/>
      <c r="K418" s="16"/>
      <c r="L418" s="16"/>
      <c r="M418" s="16">
        <v>412</v>
      </c>
      <c r="N418" s="16">
        <f t="shared" si="33"/>
        <v>0.14759684361549497</v>
      </c>
      <c r="O418" s="16"/>
      <c r="P418" s="16"/>
      <c r="Q418" s="16">
        <f t="shared" si="34"/>
        <v>-1.0467959748726854</v>
      </c>
    </row>
    <row r="419" spans="4:17" ht="15" thickBot="1" x14ac:dyDescent="0.35">
      <c r="D419" s="20">
        <f t="shared" si="30"/>
        <v>413</v>
      </c>
      <c r="E419" s="20">
        <f t="shared" si="31"/>
        <v>4150</v>
      </c>
      <c r="F419" s="20">
        <f t="shared" si="32"/>
        <v>750</v>
      </c>
      <c r="G419" s="20">
        <v>0.26956593311583826</v>
      </c>
      <c r="H419" s="50"/>
      <c r="I419" s="16"/>
      <c r="J419" s="16"/>
      <c r="K419" s="16"/>
      <c r="L419" s="16"/>
      <c r="M419" s="16">
        <v>413</v>
      </c>
      <c r="N419" s="16">
        <f t="shared" si="33"/>
        <v>0.14795552367288378</v>
      </c>
      <c r="O419" s="16"/>
      <c r="P419" s="16"/>
      <c r="Q419" s="16">
        <f t="shared" si="34"/>
        <v>-1.0452421928202371</v>
      </c>
    </row>
    <row r="420" spans="4:17" ht="15" thickBot="1" x14ac:dyDescent="0.35">
      <c r="D420" s="20">
        <f t="shared" si="30"/>
        <v>414</v>
      </c>
      <c r="E420" s="20">
        <f t="shared" si="31"/>
        <v>4250</v>
      </c>
      <c r="F420" s="20">
        <f t="shared" si="32"/>
        <v>750</v>
      </c>
      <c r="G420" s="20">
        <v>0.26963147056187009</v>
      </c>
      <c r="H420" s="50"/>
      <c r="I420" s="16"/>
      <c r="J420" s="16"/>
      <c r="K420" s="16"/>
      <c r="L420" s="16"/>
      <c r="M420" s="16">
        <v>414</v>
      </c>
      <c r="N420" s="16">
        <f t="shared" si="33"/>
        <v>0.1483142037302726</v>
      </c>
      <c r="O420" s="16"/>
      <c r="P420" s="16"/>
      <c r="Q420" s="16">
        <f t="shared" si="34"/>
        <v>-1.0436909301423187</v>
      </c>
    </row>
    <row r="421" spans="4:17" ht="15" thickBot="1" x14ac:dyDescent="0.35">
      <c r="D421" s="20">
        <f t="shared" si="30"/>
        <v>415</v>
      </c>
      <c r="E421" s="20">
        <f t="shared" si="31"/>
        <v>4350</v>
      </c>
      <c r="F421" s="20">
        <f t="shared" si="32"/>
        <v>750</v>
      </c>
      <c r="G421" s="20">
        <v>0.26974741646518702</v>
      </c>
      <c r="H421" s="50"/>
      <c r="I421" s="16"/>
      <c r="J421" s="16"/>
      <c r="K421" s="16"/>
      <c r="L421" s="16"/>
      <c r="M421" s="16">
        <v>415</v>
      </c>
      <c r="N421" s="16">
        <f t="shared" si="33"/>
        <v>0.14867288378766141</v>
      </c>
      <c r="O421" s="16"/>
      <c r="P421" s="16"/>
      <c r="Q421" s="16">
        <f t="shared" si="34"/>
        <v>-1.0421421749611568</v>
      </c>
    </row>
    <row r="422" spans="4:17" ht="15" thickBot="1" x14ac:dyDescent="0.35">
      <c r="D422" s="20">
        <f t="shared" si="30"/>
        <v>416</v>
      </c>
      <c r="E422" s="20">
        <f t="shared" si="31"/>
        <v>4450</v>
      </c>
      <c r="F422" s="20">
        <f t="shared" si="32"/>
        <v>750</v>
      </c>
      <c r="G422" s="20">
        <v>0.26978850483596811</v>
      </c>
      <c r="H422" s="50"/>
      <c r="I422" s="16"/>
      <c r="J422" s="16"/>
      <c r="K422" s="16"/>
      <c r="L422" s="16"/>
      <c r="M422" s="16">
        <v>416</v>
      </c>
      <c r="N422" s="16">
        <f t="shared" si="33"/>
        <v>0.1490315638450502</v>
      </c>
      <c r="O422" s="16"/>
      <c r="P422" s="16"/>
      <c r="Q422" s="16">
        <f t="shared" si="34"/>
        <v>-1.0405959154805442</v>
      </c>
    </row>
    <row r="423" spans="4:17" ht="15" thickBot="1" x14ac:dyDescent="0.35">
      <c r="D423" s="20">
        <f t="shared" si="30"/>
        <v>417</v>
      </c>
      <c r="E423" s="20">
        <f t="shared" si="31"/>
        <v>4550</v>
      </c>
      <c r="F423" s="20">
        <f t="shared" si="32"/>
        <v>750</v>
      </c>
      <c r="G423" s="20">
        <v>0.26986151731694602</v>
      </c>
      <c r="H423" s="50"/>
      <c r="I423" s="16"/>
      <c r="J423" s="16"/>
      <c r="K423" s="16"/>
      <c r="L423" s="16"/>
      <c r="M423" s="16">
        <v>417</v>
      </c>
      <c r="N423" s="16">
        <f t="shared" si="33"/>
        <v>0.14939024390243902</v>
      </c>
      <c r="O423" s="16"/>
      <c r="P423" s="16"/>
      <c r="Q423" s="16">
        <f t="shared" si="34"/>
        <v>-1.0390521399850348</v>
      </c>
    </row>
    <row r="424" spans="4:17" ht="15" thickBot="1" x14ac:dyDescent="0.35">
      <c r="D424" s="20">
        <f t="shared" si="30"/>
        <v>418</v>
      </c>
      <c r="E424" s="20">
        <f t="shared" si="31"/>
        <v>4650</v>
      </c>
      <c r="F424" s="20">
        <f t="shared" si="32"/>
        <v>750</v>
      </c>
      <c r="G424" s="20">
        <v>0.26993582040216502</v>
      </c>
      <c r="H424" s="50"/>
      <c r="I424" s="16"/>
      <c r="J424" s="16"/>
      <c r="K424" s="16"/>
      <c r="L424" s="16"/>
      <c r="M424" s="16">
        <v>418</v>
      </c>
      <c r="N424" s="16">
        <f t="shared" si="33"/>
        <v>0.14974892395982783</v>
      </c>
      <c r="O424" s="16"/>
      <c r="P424" s="16"/>
      <c r="Q424" s="16">
        <f t="shared" si="34"/>
        <v>-1.0375108368392376</v>
      </c>
    </row>
    <row r="425" spans="4:17" ht="15" thickBot="1" x14ac:dyDescent="0.35">
      <c r="D425" s="20">
        <f t="shared" si="30"/>
        <v>419</v>
      </c>
      <c r="E425" s="20">
        <f t="shared" si="31"/>
        <v>4750</v>
      </c>
      <c r="F425" s="20">
        <f t="shared" si="32"/>
        <v>750</v>
      </c>
      <c r="G425" s="20">
        <v>0.26996479411702351</v>
      </c>
      <c r="H425" s="50"/>
      <c r="I425" s="16"/>
      <c r="J425" s="16"/>
      <c r="K425" s="16"/>
      <c r="L425" s="16"/>
      <c r="M425" s="16">
        <v>419</v>
      </c>
      <c r="N425" s="16">
        <f t="shared" si="33"/>
        <v>0.15010760401721665</v>
      </c>
      <c r="O425" s="16"/>
      <c r="P425" s="16"/>
      <c r="Q425" s="16">
        <f t="shared" si="34"/>
        <v>-1.0359719944870254</v>
      </c>
    </row>
    <row r="426" spans="4:17" ht="15" thickBot="1" x14ac:dyDescent="0.35">
      <c r="D426" s="20">
        <f t="shared" si="30"/>
        <v>420</v>
      </c>
      <c r="E426" s="20">
        <f t="shared" si="31"/>
        <v>4850</v>
      </c>
      <c r="F426" s="20">
        <f t="shared" si="32"/>
        <v>750</v>
      </c>
      <c r="G426" s="20">
        <v>0.27000473930789493</v>
      </c>
      <c r="H426" s="50"/>
      <c r="I426" s="16"/>
      <c r="J426" s="16"/>
      <c r="K426" s="16"/>
      <c r="L426" s="16"/>
      <c r="M426" s="16">
        <v>420</v>
      </c>
      <c r="N426" s="16">
        <f t="shared" si="33"/>
        <v>0.15046628407460544</v>
      </c>
      <c r="O426" s="16"/>
      <c r="P426" s="16"/>
      <c r="Q426" s="16">
        <f t="shared" si="34"/>
        <v>-1.0344356014508427</v>
      </c>
    </row>
    <row r="427" spans="4:17" ht="15" thickBot="1" x14ac:dyDescent="0.35">
      <c r="D427" s="20">
        <f t="shared" si="30"/>
        <v>421</v>
      </c>
      <c r="E427" s="44">
        <f t="shared" si="31"/>
        <v>4950</v>
      </c>
      <c r="F427" s="44">
        <f t="shared" si="32"/>
        <v>750</v>
      </c>
      <c r="G427" s="20">
        <v>0.27018604233114374</v>
      </c>
      <c r="H427" s="50"/>
      <c r="I427" s="16"/>
      <c r="J427" s="16"/>
      <c r="K427" s="16"/>
      <c r="L427" s="16"/>
      <c r="M427" s="16">
        <v>421</v>
      </c>
      <c r="N427" s="16">
        <f t="shared" si="33"/>
        <v>0.15082496413199425</v>
      </c>
      <c r="O427" s="16"/>
      <c r="P427" s="16"/>
      <c r="Q427" s="16">
        <f t="shared" si="34"/>
        <v>-1.0329016463309522</v>
      </c>
    </row>
    <row r="428" spans="4:17" ht="15" thickBot="1" x14ac:dyDescent="0.35">
      <c r="D428" s="20">
        <f t="shared" si="30"/>
        <v>422</v>
      </c>
      <c r="E428" s="20">
        <f t="shared" si="31"/>
        <v>5050</v>
      </c>
      <c r="F428" s="20">
        <f t="shared" si="32"/>
        <v>750</v>
      </c>
      <c r="G428" s="20">
        <v>0.2702013925550425</v>
      </c>
      <c r="H428" s="50"/>
      <c r="I428" s="16"/>
      <c r="J428" s="16"/>
      <c r="K428" s="16"/>
      <c r="L428" s="16"/>
      <c r="M428" s="16">
        <v>422</v>
      </c>
      <c r="N428" s="16">
        <f t="shared" si="33"/>
        <v>0.15118364418938307</v>
      </c>
      <c r="O428" s="16"/>
      <c r="P428" s="16"/>
      <c r="Q428" s="16">
        <f t="shared" si="34"/>
        <v>-1.0313701178047257</v>
      </c>
    </row>
    <row r="429" spans="4:17" ht="15" thickBot="1" x14ac:dyDescent="0.35">
      <c r="D429" s="20">
        <f t="shared" si="30"/>
        <v>423</v>
      </c>
      <c r="E429" s="20">
        <f t="shared" si="31"/>
        <v>5150</v>
      </c>
      <c r="F429" s="20">
        <f t="shared" si="32"/>
        <v>750</v>
      </c>
      <c r="G429" s="20">
        <v>0.27022633207157476</v>
      </c>
      <c r="H429" s="50"/>
      <c r="I429" s="16"/>
      <c r="J429" s="16"/>
      <c r="K429" s="16"/>
      <c r="L429" s="16"/>
      <c r="M429" s="16">
        <v>423</v>
      </c>
      <c r="N429" s="16">
        <f t="shared" si="33"/>
        <v>0.15154232424677189</v>
      </c>
      <c r="O429" s="16"/>
      <c r="P429" s="16"/>
      <c r="Q429" s="16">
        <f t="shared" si="34"/>
        <v>-1.0298410046259314</v>
      </c>
    </row>
    <row r="430" spans="4:17" ht="15" thickBot="1" x14ac:dyDescent="0.35">
      <c r="D430" s="20">
        <f t="shared" si="30"/>
        <v>424</v>
      </c>
      <c r="E430" s="20">
        <f t="shared" si="31"/>
        <v>5250</v>
      </c>
      <c r="F430" s="20">
        <f t="shared" si="32"/>
        <v>750</v>
      </c>
      <c r="G430" s="20">
        <v>0.27036961914247976</v>
      </c>
      <c r="H430" s="50"/>
      <c r="I430" s="16"/>
      <c r="J430" s="16"/>
      <c r="K430" s="16"/>
      <c r="L430" s="16"/>
      <c r="M430" s="16">
        <v>424</v>
      </c>
      <c r="N430" s="16">
        <f t="shared" si="33"/>
        <v>0.15190100430416068</v>
      </c>
      <c r="O430" s="16"/>
      <c r="P430" s="16"/>
      <c r="Q430" s="16">
        <f t="shared" si="34"/>
        <v>-1.0283142956240383</v>
      </c>
    </row>
    <row r="431" spans="4:17" ht="15" thickBot="1" x14ac:dyDescent="0.35">
      <c r="D431" s="20">
        <f t="shared" si="30"/>
        <v>425</v>
      </c>
      <c r="E431" s="20">
        <f t="shared" si="31"/>
        <v>50</v>
      </c>
      <c r="F431" s="20">
        <f t="shared" si="32"/>
        <v>850</v>
      </c>
      <c r="G431" s="20">
        <v>0.27037253776441644</v>
      </c>
      <c r="H431" s="50"/>
      <c r="I431" s="16"/>
      <c r="J431" s="16"/>
      <c r="K431" s="16"/>
      <c r="L431" s="16"/>
      <c r="M431" s="16">
        <v>425</v>
      </c>
      <c r="N431" s="16">
        <f t="shared" si="33"/>
        <v>0.15225968436154949</v>
      </c>
      <c r="O431" s="16"/>
      <c r="P431" s="16"/>
      <c r="Q431" s="16">
        <f t="shared" si="34"/>
        <v>-1.0267899797035263</v>
      </c>
    </row>
    <row r="432" spans="4:17" ht="15" thickBot="1" x14ac:dyDescent="0.35">
      <c r="D432" s="20">
        <f t="shared" si="30"/>
        <v>426</v>
      </c>
      <c r="E432" s="20">
        <f t="shared" si="31"/>
        <v>150</v>
      </c>
      <c r="F432" s="20">
        <f t="shared" si="32"/>
        <v>850</v>
      </c>
      <c r="G432" s="20">
        <v>0.27053064238511204</v>
      </c>
      <c r="H432" s="50"/>
      <c r="I432" s="16"/>
      <c r="J432" s="16"/>
      <c r="K432" s="16"/>
      <c r="L432" s="16"/>
      <c r="M432" s="16">
        <v>426</v>
      </c>
      <c r="N432" s="16">
        <f t="shared" si="33"/>
        <v>0.15261836441893831</v>
      </c>
      <c r="O432" s="16"/>
      <c r="P432" s="16"/>
      <c r="Q432" s="16">
        <f t="shared" si="34"/>
        <v>-1.0252680458431775</v>
      </c>
    </row>
    <row r="433" spans="4:17" ht="15" thickBot="1" x14ac:dyDescent="0.35">
      <c r="D433" s="20">
        <f t="shared" si="30"/>
        <v>427</v>
      </c>
      <c r="E433" s="45">
        <f t="shared" si="31"/>
        <v>250</v>
      </c>
      <c r="F433" s="45">
        <f t="shared" si="32"/>
        <v>850</v>
      </c>
      <c r="G433" s="20">
        <v>0.27074410326497095</v>
      </c>
      <c r="H433" s="50"/>
      <c r="I433" s="16"/>
      <c r="J433" s="16"/>
      <c r="K433" s="16"/>
      <c r="L433" s="16"/>
      <c r="M433" s="16">
        <v>427</v>
      </c>
      <c r="N433" s="16">
        <f t="shared" si="33"/>
        <v>0.15297704447632712</v>
      </c>
      <c r="O433" s="16"/>
      <c r="P433" s="16"/>
      <c r="Q433" s="16">
        <f t="shared" si="34"/>
        <v>-1.0237484830954369</v>
      </c>
    </row>
    <row r="434" spans="4:17" ht="15" thickBot="1" x14ac:dyDescent="0.35">
      <c r="D434" s="20">
        <f t="shared" si="30"/>
        <v>428</v>
      </c>
      <c r="E434" s="20">
        <f t="shared" si="31"/>
        <v>350</v>
      </c>
      <c r="F434" s="20">
        <f t="shared" si="32"/>
        <v>850</v>
      </c>
      <c r="G434" s="20">
        <v>0.27082374120218089</v>
      </c>
      <c r="H434" s="50"/>
      <c r="I434" s="16"/>
      <c r="J434" s="16"/>
      <c r="K434" s="16"/>
      <c r="L434" s="16"/>
      <c r="M434" s="16">
        <v>428</v>
      </c>
      <c r="N434" s="16">
        <f t="shared" si="33"/>
        <v>0.15333572453371594</v>
      </c>
      <c r="O434" s="16"/>
      <c r="P434" s="16"/>
      <c r="Q434" s="16">
        <f t="shared" si="34"/>
        <v>-1.0222312805857012</v>
      </c>
    </row>
    <row r="435" spans="4:17" ht="15" thickBot="1" x14ac:dyDescent="0.35">
      <c r="D435" s="20">
        <f t="shared" si="30"/>
        <v>429</v>
      </c>
      <c r="E435" s="47">
        <f t="shared" si="31"/>
        <v>450</v>
      </c>
      <c r="F435" s="47">
        <f t="shared" si="32"/>
        <v>850</v>
      </c>
      <c r="G435" s="20">
        <v>0.27112125680531945</v>
      </c>
      <c r="H435" s="50"/>
      <c r="I435" s="16"/>
      <c r="J435" s="16"/>
      <c r="K435" s="16"/>
      <c r="L435" s="16"/>
      <c r="M435" s="16">
        <v>429</v>
      </c>
      <c r="N435" s="16">
        <f t="shared" si="33"/>
        <v>0.15369440459110473</v>
      </c>
      <c r="O435" s="16"/>
      <c r="P435" s="16"/>
      <c r="Q435" s="16">
        <f t="shared" si="34"/>
        <v>-1.0207164275116911</v>
      </c>
    </row>
    <row r="436" spans="4:17" ht="15" thickBot="1" x14ac:dyDescent="0.35">
      <c r="D436" s="20">
        <f t="shared" si="30"/>
        <v>430</v>
      </c>
      <c r="E436" s="20">
        <f t="shared" si="31"/>
        <v>550</v>
      </c>
      <c r="F436" s="20">
        <f t="shared" si="32"/>
        <v>850</v>
      </c>
      <c r="G436" s="20">
        <v>0.27121197548361831</v>
      </c>
      <c r="H436" s="50"/>
      <c r="I436" s="16"/>
      <c r="J436" s="16"/>
      <c r="K436" s="16"/>
      <c r="L436" s="16"/>
      <c r="M436" s="16">
        <v>430</v>
      </c>
      <c r="N436" s="16">
        <f t="shared" si="33"/>
        <v>0.15405308464849354</v>
      </c>
      <c r="O436" s="16"/>
      <c r="P436" s="16"/>
      <c r="Q436" s="16">
        <f t="shared" si="34"/>
        <v>-1.0192039131427704</v>
      </c>
    </row>
    <row r="437" spans="4:17" ht="15" thickBot="1" x14ac:dyDescent="0.35">
      <c r="D437" s="20">
        <f t="shared" si="30"/>
        <v>431</v>
      </c>
      <c r="E437" s="20">
        <f t="shared" si="31"/>
        <v>650</v>
      </c>
      <c r="F437" s="20">
        <f t="shared" si="32"/>
        <v>850</v>
      </c>
      <c r="G437" s="20">
        <v>0.27121996313968372</v>
      </c>
      <c r="H437" s="50"/>
      <c r="I437" s="16"/>
      <c r="J437" s="16"/>
      <c r="K437" s="16"/>
      <c r="L437" s="16"/>
      <c r="M437" s="16">
        <v>431</v>
      </c>
      <c r="N437" s="16">
        <f t="shared" si="33"/>
        <v>0.15441176470588236</v>
      </c>
      <c r="O437" s="16"/>
      <c r="P437" s="16"/>
      <c r="Q437" s="16">
        <f t="shared" si="34"/>
        <v>-1.0176937268193196</v>
      </c>
    </row>
    <row r="438" spans="4:17" ht="15" thickBot="1" x14ac:dyDescent="0.35">
      <c r="D438" s="20">
        <f t="shared" si="30"/>
        <v>432</v>
      </c>
      <c r="E438" s="47">
        <f t="shared" si="31"/>
        <v>750</v>
      </c>
      <c r="F438" s="47">
        <f t="shared" si="32"/>
        <v>850</v>
      </c>
      <c r="G438" s="20">
        <v>0.27139308306254351</v>
      </c>
      <c r="H438" s="50"/>
      <c r="I438" s="16"/>
      <c r="J438" s="16"/>
      <c r="K438" s="16"/>
      <c r="L438" s="16"/>
      <c r="M438" s="16">
        <v>432</v>
      </c>
      <c r="N438" s="16">
        <f t="shared" si="33"/>
        <v>0.15477044476327118</v>
      </c>
      <c r="O438" s="16"/>
      <c r="P438" s="16"/>
      <c r="Q438" s="16">
        <f t="shared" si="34"/>
        <v>-1.0161858579520826</v>
      </c>
    </row>
    <row r="439" spans="4:17" ht="15" thickBot="1" x14ac:dyDescent="0.35">
      <c r="D439" s="20">
        <f t="shared" si="30"/>
        <v>433</v>
      </c>
      <c r="E439" s="20">
        <f t="shared" si="31"/>
        <v>850</v>
      </c>
      <c r="F439" s="20">
        <f t="shared" si="32"/>
        <v>850</v>
      </c>
      <c r="G439" s="20">
        <v>0.27170860658448831</v>
      </c>
      <c r="H439" s="50"/>
      <c r="I439" s="16"/>
      <c r="J439" s="16"/>
      <c r="K439" s="16"/>
      <c r="L439" s="16"/>
      <c r="M439" s="16">
        <v>433</v>
      </c>
      <c r="N439" s="16">
        <f t="shared" si="33"/>
        <v>0.15512912482065996</v>
      </c>
      <c r="O439" s="16"/>
      <c r="P439" s="16"/>
      <c r="Q439" s="16">
        <f t="shared" si="34"/>
        <v>-1.0146802960215424</v>
      </c>
    </row>
    <row r="440" spans="4:17" ht="15" thickBot="1" x14ac:dyDescent="0.35">
      <c r="D440" s="20">
        <f t="shared" si="30"/>
        <v>434</v>
      </c>
      <c r="E440" s="20">
        <f t="shared" si="31"/>
        <v>950</v>
      </c>
      <c r="F440" s="20">
        <f t="shared" si="32"/>
        <v>850</v>
      </c>
      <c r="G440" s="20">
        <v>0.27185525890103424</v>
      </c>
      <c r="H440" s="50"/>
      <c r="I440" s="16"/>
      <c r="J440" s="16"/>
      <c r="K440" s="16"/>
      <c r="L440" s="16"/>
      <c r="M440" s="16">
        <v>434</v>
      </c>
      <c r="N440" s="16">
        <f t="shared" si="33"/>
        <v>0.15548780487804878</v>
      </c>
      <c r="O440" s="16"/>
      <c r="P440" s="16"/>
      <c r="Q440" s="16">
        <f t="shared" si="34"/>
        <v>-1.013177030577286</v>
      </c>
    </row>
    <row r="441" spans="4:17" ht="15" thickBot="1" x14ac:dyDescent="0.35">
      <c r="D441" s="20">
        <f t="shared" si="30"/>
        <v>435</v>
      </c>
      <c r="E441" s="20">
        <f t="shared" si="31"/>
        <v>1050</v>
      </c>
      <c r="F441" s="20">
        <f t="shared" si="32"/>
        <v>850</v>
      </c>
      <c r="G441" s="20">
        <v>0.27190035774407512</v>
      </c>
      <c r="H441" s="50"/>
      <c r="I441" s="16"/>
      <c r="J441" s="16"/>
      <c r="K441" s="16"/>
      <c r="L441" s="16"/>
      <c r="M441" s="16">
        <v>435</v>
      </c>
      <c r="N441" s="16">
        <f t="shared" si="33"/>
        <v>0.1558464849354376</v>
      </c>
      <c r="O441" s="16"/>
      <c r="P441" s="16"/>
      <c r="Q441" s="16">
        <f t="shared" si="34"/>
        <v>-1.0116760512373966</v>
      </c>
    </row>
    <row r="442" spans="4:17" ht="15" thickBot="1" x14ac:dyDescent="0.35">
      <c r="D442" s="20">
        <f t="shared" si="30"/>
        <v>436</v>
      </c>
      <c r="E442" s="20">
        <f t="shared" si="31"/>
        <v>1150</v>
      </c>
      <c r="F442" s="20">
        <f t="shared" si="32"/>
        <v>850</v>
      </c>
      <c r="G442" s="20">
        <v>0.27192707933069044</v>
      </c>
      <c r="H442" s="50"/>
      <c r="I442" s="16"/>
      <c r="J442" s="16"/>
      <c r="K442" s="16"/>
      <c r="L442" s="16"/>
      <c r="M442" s="16">
        <v>436</v>
      </c>
      <c r="N442" s="16">
        <f t="shared" si="33"/>
        <v>0.15620516499282641</v>
      </c>
      <c r="O442" s="16"/>
      <c r="P442" s="16"/>
      <c r="Q442" s="16">
        <f t="shared" si="34"/>
        <v>-1.010177347687834</v>
      </c>
    </row>
    <row r="443" spans="4:17" ht="15" thickBot="1" x14ac:dyDescent="0.35">
      <c r="D443" s="20">
        <f t="shared" si="30"/>
        <v>437</v>
      </c>
      <c r="E443" s="20">
        <f t="shared" si="31"/>
        <v>1250</v>
      </c>
      <c r="F443" s="20">
        <f t="shared" si="32"/>
        <v>850</v>
      </c>
      <c r="G443" s="20">
        <v>0.27197904640169379</v>
      </c>
      <c r="H443" s="50"/>
      <c r="I443" s="16"/>
      <c r="J443" s="16"/>
      <c r="K443" s="16"/>
      <c r="L443" s="16"/>
      <c r="M443" s="16">
        <v>437</v>
      </c>
      <c r="N443" s="16">
        <f t="shared" si="33"/>
        <v>0.1565638450502152</v>
      </c>
      <c r="O443" s="16"/>
      <c r="P443" s="16"/>
      <c r="Q443" s="16">
        <f t="shared" si="34"/>
        <v>-1.0086809096818363</v>
      </c>
    </row>
    <row r="444" spans="4:17" ht="15" thickBot="1" x14ac:dyDescent="0.35">
      <c r="D444" s="20">
        <f t="shared" si="30"/>
        <v>438</v>
      </c>
      <c r="E444" s="20">
        <f t="shared" si="31"/>
        <v>1350</v>
      </c>
      <c r="F444" s="20">
        <f t="shared" si="32"/>
        <v>850</v>
      </c>
      <c r="G444" s="20">
        <v>0.27201901565795461</v>
      </c>
      <c r="H444" s="50"/>
      <c r="I444" s="16"/>
      <c r="J444" s="16"/>
      <c r="K444" s="16"/>
      <c r="L444" s="16"/>
      <c r="M444" s="16">
        <v>438</v>
      </c>
      <c r="N444" s="16">
        <f t="shared" si="33"/>
        <v>0.15692252510760402</v>
      </c>
      <c r="O444" s="16"/>
      <c r="P444" s="16"/>
      <c r="Q444" s="16">
        <f t="shared" si="34"/>
        <v>-1.0071867270393131</v>
      </c>
    </row>
    <row r="445" spans="4:17" ht="15" thickBot="1" x14ac:dyDescent="0.35">
      <c r="D445" s="20">
        <f t="shared" si="30"/>
        <v>439</v>
      </c>
      <c r="E445" s="20">
        <f t="shared" si="31"/>
        <v>1450</v>
      </c>
      <c r="F445" s="20">
        <f t="shared" si="32"/>
        <v>850</v>
      </c>
      <c r="G445" s="20">
        <v>0.27232126058614153</v>
      </c>
      <c r="H445" s="50"/>
      <c r="I445" s="16"/>
      <c r="J445" s="16"/>
      <c r="K445" s="16"/>
      <c r="L445" s="16"/>
      <c r="M445" s="16">
        <v>439</v>
      </c>
      <c r="N445" s="16">
        <f t="shared" si="33"/>
        <v>0.15728120516499283</v>
      </c>
      <c r="O445" s="16"/>
      <c r="P445" s="16"/>
      <c r="Q445" s="16">
        <f t="shared" si="34"/>
        <v>-1.0056947896462742</v>
      </c>
    </row>
    <row r="446" spans="4:17" ht="15" thickBot="1" x14ac:dyDescent="0.35">
      <c r="D446" s="20">
        <f t="shared" si="30"/>
        <v>440</v>
      </c>
      <c r="E446" s="44">
        <f t="shared" si="31"/>
        <v>1550</v>
      </c>
      <c r="F446" s="44">
        <f t="shared" si="32"/>
        <v>850</v>
      </c>
      <c r="G446" s="20">
        <v>0.27234866471681057</v>
      </c>
      <c r="H446" s="50"/>
      <c r="I446" s="16"/>
      <c r="J446" s="16"/>
      <c r="K446" s="16"/>
      <c r="L446" s="16"/>
      <c r="M446" s="16">
        <v>440</v>
      </c>
      <c r="N446" s="16">
        <f t="shared" si="33"/>
        <v>0.15763988522238165</v>
      </c>
      <c r="O446" s="16"/>
      <c r="P446" s="16"/>
      <c r="Q446" s="16">
        <f t="shared" si="34"/>
        <v>-1.0042050874542052</v>
      </c>
    </row>
    <row r="447" spans="4:17" ht="15" thickBot="1" x14ac:dyDescent="0.35">
      <c r="D447" s="20">
        <f t="shared" si="30"/>
        <v>441</v>
      </c>
      <c r="E447" s="43">
        <f t="shared" si="31"/>
        <v>1650</v>
      </c>
      <c r="F447" s="43">
        <f t="shared" si="32"/>
        <v>850</v>
      </c>
      <c r="G447" s="20">
        <v>0.2723525847119882</v>
      </c>
      <c r="H447" s="50"/>
      <c r="I447" s="16"/>
      <c r="J447" s="16"/>
      <c r="K447" s="16"/>
      <c r="L447" s="16"/>
      <c r="M447" s="16">
        <v>441</v>
      </c>
      <c r="N447" s="16">
        <f t="shared" si="33"/>
        <v>0.15799856527977044</v>
      </c>
      <c r="O447" s="16"/>
      <c r="P447" s="16"/>
      <c r="Q447" s="16">
        <f t="shared" si="34"/>
        <v>-1.0027176104795374</v>
      </c>
    </row>
    <row r="448" spans="4:17" ht="15" thickBot="1" x14ac:dyDescent="0.35">
      <c r="D448" s="20">
        <f t="shared" si="30"/>
        <v>442</v>
      </c>
      <c r="E448" s="20">
        <f t="shared" si="31"/>
        <v>1750</v>
      </c>
      <c r="F448" s="20">
        <f t="shared" si="32"/>
        <v>850</v>
      </c>
      <c r="G448" s="20">
        <v>0.27241819022031821</v>
      </c>
      <c r="H448" s="50"/>
      <c r="I448" s="16"/>
      <c r="J448" s="16"/>
      <c r="K448" s="16"/>
      <c r="L448" s="16"/>
      <c r="M448" s="16">
        <v>442</v>
      </c>
      <c r="N448" s="16">
        <f t="shared" si="33"/>
        <v>0.15835724533715925</v>
      </c>
      <c r="O448" s="16"/>
      <c r="P448" s="16"/>
      <c r="Q448" s="16">
        <f t="shared" si="34"/>
        <v>-1.0012323488030457</v>
      </c>
    </row>
    <row r="449" spans="4:17" ht="15" thickBot="1" x14ac:dyDescent="0.35">
      <c r="D449" s="20">
        <f t="shared" si="30"/>
        <v>443</v>
      </c>
      <c r="E449" s="20">
        <f t="shared" si="31"/>
        <v>1850</v>
      </c>
      <c r="F449" s="20">
        <f t="shared" si="32"/>
        <v>850</v>
      </c>
      <c r="G449" s="20">
        <v>0.27269834558107509</v>
      </c>
      <c r="H449" s="50"/>
      <c r="I449" s="16"/>
      <c r="J449" s="16"/>
      <c r="K449" s="16"/>
      <c r="L449" s="16"/>
      <c r="M449" s="16">
        <v>443</v>
      </c>
      <c r="N449" s="16">
        <f t="shared" si="33"/>
        <v>0.15871592539454807</v>
      </c>
      <c r="O449" s="16"/>
      <c r="P449" s="16"/>
      <c r="Q449" s="16">
        <f t="shared" si="34"/>
        <v>-0.99974929256929168</v>
      </c>
    </row>
    <row r="450" spans="4:17" ht="15" thickBot="1" x14ac:dyDescent="0.35">
      <c r="D450" s="20">
        <f t="shared" si="30"/>
        <v>444</v>
      </c>
      <c r="E450" s="20">
        <f t="shared" si="31"/>
        <v>1950</v>
      </c>
      <c r="F450" s="20">
        <f t="shared" si="32"/>
        <v>850</v>
      </c>
      <c r="G450" s="20">
        <v>0.27279038033700959</v>
      </c>
      <c r="H450" s="50"/>
      <c r="I450" s="16"/>
      <c r="J450" s="16"/>
      <c r="K450" s="16"/>
      <c r="L450" s="16"/>
      <c r="M450" s="16">
        <v>444</v>
      </c>
      <c r="N450" s="16">
        <f t="shared" si="33"/>
        <v>0.15907460545193688</v>
      </c>
      <c r="O450" s="16"/>
      <c r="P450" s="16"/>
      <c r="Q450" s="16">
        <f t="shared" si="34"/>
        <v>-0.99826843198605819</v>
      </c>
    </row>
    <row r="451" spans="4:17" ht="15" thickBot="1" x14ac:dyDescent="0.35">
      <c r="D451" s="20">
        <f t="shared" si="30"/>
        <v>445</v>
      </c>
      <c r="E451" s="45">
        <f t="shared" si="31"/>
        <v>2050</v>
      </c>
      <c r="F451" s="45">
        <f t="shared" si="32"/>
        <v>850</v>
      </c>
      <c r="G451" s="20">
        <v>0.27284845157121729</v>
      </c>
      <c r="H451" s="50"/>
      <c r="I451" s="16"/>
      <c r="J451" s="16"/>
      <c r="K451" s="16"/>
      <c r="L451" s="16"/>
      <c r="M451" s="16">
        <v>445</v>
      </c>
      <c r="N451" s="16">
        <f t="shared" si="33"/>
        <v>0.15943328550932567</v>
      </c>
      <c r="O451" s="16"/>
      <c r="P451" s="16"/>
      <c r="Q451" s="16">
        <f t="shared" si="34"/>
        <v>-0.99678975732380992</v>
      </c>
    </row>
    <row r="452" spans="4:17" ht="15" thickBot="1" x14ac:dyDescent="0.35">
      <c r="D452" s="20">
        <f t="shared" si="30"/>
        <v>446</v>
      </c>
      <c r="E452" s="20">
        <f t="shared" si="31"/>
        <v>2150</v>
      </c>
      <c r="F452" s="20">
        <f t="shared" si="32"/>
        <v>850</v>
      </c>
      <c r="G452" s="20">
        <v>0.27305502252291514</v>
      </c>
      <c r="H452" s="50"/>
      <c r="I452" s="16"/>
      <c r="J452" s="16"/>
      <c r="K452" s="16"/>
      <c r="L452" s="16"/>
      <c r="M452" s="16">
        <v>446</v>
      </c>
      <c r="N452" s="16">
        <f t="shared" si="33"/>
        <v>0.15979196556671449</v>
      </c>
      <c r="O452" s="16"/>
      <c r="P452" s="16"/>
      <c r="Q452" s="16">
        <f t="shared" si="34"/>
        <v>-0.99531325891512723</v>
      </c>
    </row>
    <row r="453" spans="4:17" ht="15" thickBot="1" x14ac:dyDescent="0.35">
      <c r="D453" s="20">
        <f t="shared" si="30"/>
        <v>447</v>
      </c>
      <c r="E453" s="20">
        <f t="shared" si="31"/>
        <v>2250</v>
      </c>
      <c r="F453" s="20">
        <f t="shared" si="32"/>
        <v>850</v>
      </c>
      <c r="G453" s="20">
        <v>0.27309496796258487</v>
      </c>
      <c r="H453" s="50"/>
      <c r="I453" s="16"/>
      <c r="J453" s="16"/>
      <c r="K453" s="16"/>
      <c r="L453" s="16"/>
      <c r="M453" s="16">
        <v>447</v>
      </c>
      <c r="N453" s="16">
        <f t="shared" si="33"/>
        <v>0.1601506456241033</v>
      </c>
      <c r="O453" s="16"/>
      <c r="P453" s="16"/>
      <c r="Q453" s="16">
        <f t="shared" si="34"/>
        <v>-0.99383892715419286</v>
      </c>
    </row>
    <row r="454" spans="4:17" ht="15" thickBot="1" x14ac:dyDescent="0.35">
      <c r="D454" s="20">
        <f t="shared" si="30"/>
        <v>448</v>
      </c>
      <c r="E454" s="20">
        <f t="shared" si="31"/>
        <v>2350</v>
      </c>
      <c r="F454" s="20">
        <f t="shared" si="32"/>
        <v>850</v>
      </c>
      <c r="G454" s="20">
        <v>0.27323415223429387</v>
      </c>
      <c r="H454" s="50"/>
      <c r="I454" s="16"/>
      <c r="J454" s="16"/>
      <c r="K454" s="16"/>
      <c r="L454" s="16"/>
      <c r="M454" s="16">
        <v>448</v>
      </c>
      <c r="N454" s="16">
        <f t="shared" si="33"/>
        <v>0.16050932568149212</v>
      </c>
      <c r="O454" s="16"/>
      <c r="P454" s="16"/>
      <c r="Q454" s="16">
        <f t="shared" si="34"/>
        <v>-0.99236675249622075</v>
      </c>
    </row>
    <row r="455" spans="4:17" ht="15" thickBot="1" x14ac:dyDescent="0.35">
      <c r="D455" s="20">
        <f t="shared" ref="D455:D518" si="35">ROW()-6</f>
        <v>449</v>
      </c>
      <c r="E455" s="20">
        <f t="shared" ref="E455:E518" si="36">(MOD(D455-1,53)*100)+50</f>
        <v>2450</v>
      </c>
      <c r="F455" s="20">
        <f t="shared" ref="F455:F518" si="37">FLOOR((D455-1)/53,1)*100+50</f>
        <v>850</v>
      </c>
      <c r="G455" s="20">
        <v>0.27359102764158427</v>
      </c>
      <c r="H455" s="50"/>
      <c r="I455" s="16"/>
      <c r="J455" s="16"/>
      <c r="K455" s="16"/>
      <c r="L455" s="16"/>
      <c r="M455" s="16">
        <v>449</v>
      </c>
      <c r="N455" s="16">
        <f t="shared" si="33"/>
        <v>0.16086800573888091</v>
      </c>
      <c r="O455" s="16"/>
      <c r="P455" s="16"/>
      <c r="Q455" s="16">
        <f t="shared" si="34"/>
        <v>-0.99089672545695362</v>
      </c>
    </row>
    <row r="456" spans="4:17" ht="15" thickBot="1" x14ac:dyDescent="0.35">
      <c r="D456" s="20">
        <f t="shared" si="35"/>
        <v>450</v>
      </c>
      <c r="E456" s="20">
        <f t="shared" si="36"/>
        <v>2550</v>
      </c>
      <c r="F456" s="20">
        <f t="shared" si="37"/>
        <v>850</v>
      </c>
      <c r="G456" s="20">
        <v>0.27360810018907683</v>
      </c>
      <c r="H456" s="50"/>
      <c r="I456" s="16"/>
      <c r="J456" s="16"/>
      <c r="K456" s="16"/>
      <c r="L456" s="16"/>
      <c r="M456" s="16">
        <v>450</v>
      </c>
      <c r="N456" s="16">
        <f t="shared" ref="N456:N519" si="38">(M456-0.5)/$L$7</f>
        <v>0.16122668579626973</v>
      </c>
      <c r="O456" s="16"/>
      <c r="P456" s="16"/>
      <c r="Q456" s="16">
        <f t="shared" ref="Q456:Q519" si="39">_xlfn.NORM.S.INV(N456)</f>
        <v>-0.98942883661213332</v>
      </c>
    </row>
    <row r="457" spans="4:17" ht="15" thickBot="1" x14ac:dyDescent="0.35">
      <c r="D457" s="20">
        <f t="shared" si="35"/>
        <v>451</v>
      </c>
      <c r="E457" s="20">
        <f t="shared" si="36"/>
        <v>2650</v>
      </c>
      <c r="F457" s="20">
        <f t="shared" si="37"/>
        <v>850</v>
      </c>
      <c r="G457" s="20">
        <v>0.27368041302993468</v>
      </c>
      <c r="H457" s="50"/>
      <c r="I457" s="16"/>
      <c r="J457" s="16"/>
      <c r="K457" s="16"/>
      <c r="L457" s="16"/>
      <c r="M457" s="16">
        <v>451</v>
      </c>
      <c r="N457" s="16">
        <f t="shared" si="38"/>
        <v>0.16158536585365854</v>
      </c>
      <c r="O457" s="16"/>
      <c r="P457" s="16"/>
      <c r="Q457" s="16">
        <f t="shared" si="39"/>
        <v>-0.98796307659698357</v>
      </c>
    </row>
    <row r="458" spans="4:17" ht="15" thickBot="1" x14ac:dyDescent="0.35">
      <c r="D458" s="20">
        <f t="shared" si="35"/>
        <v>452</v>
      </c>
      <c r="E458" s="20">
        <f t="shared" si="36"/>
        <v>2750</v>
      </c>
      <c r="F458" s="20">
        <f t="shared" si="37"/>
        <v>850</v>
      </c>
      <c r="G458" s="20">
        <v>0.27375450312071753</v>
      </c>
      <c r="H458" s="50"/>
      <c r="I458" s="16"/>
      <c r="J458" s="16"/>
      <c r="K458" s="16"/>
      <c r="L458" s="16"/>
      <c r="M458" s="16">
        <v>452</v>
      </c>
      <c r="N458" s="16">
        <f t="shared" si="38"/>
        <v>0.16194404591104736</v>
      </c>
      <c r="O458" s="16"/>
      <c r="P458" s="16"/>
      <c r="Q458" s="16">
        <f t="shared" si="39"/>
        <v>-0.98649943610568314</v>
      </c>
    </row>
    <row r="459" spans="4:17" ht="15" thickBot="1" x14ac:dyDescent="0.35">
      <c r="D459" s="20">
        <f t="shared" si="35"/>
        <v>453</v>
      </c>
      <c r="E459" s="20">
        <f t="shared" si="36"/>
        <v>2850</v>
      </c>
      <c r="F459" s="20">
        <f t="shared" si="37"/>
        <v>850</v>
      </c>
      <c r="G459" s="20">
        <v>0.27411415802270495</v>
      </c>
      <c r="H459" s="50"/>
      <c r="I459" s="16"/>
      <c r="J459" s="16"/>
      <c r="K459" s="16"/>
      <c r="L459" s="16"/>
      <c r="M459" s="16">
        <v>453</v>
      </c>
      <c r="N459" s="16">
        <f t="shared" si="38"/>
        <v>0.16230272596843615</v>
      </c>
      <c r="O459" s="16"/>
      <c r="P459" s="16"/>
      <c r="Q459" s="16">
        <f t="shared" si="39"/>
        <v>-0.98503790589088602</v>
      </c>
    </row>
    <row r="460" spans="4:17" ht="15" thickBot="1" x14ac:dyDescent="0.35">
      <c r="D460" s="20">
        <f t="shared" si="35"/>
        <v>454</v>
      </c>
      <c r="E460" s="20">
        <f t="shared" si="36"/>
        <v>2950</v>
      </c>
      <c r="F460" s="20">
        <f t="shared" si="37"/>
        <v>850</v>
      </c>
      <c r="G460" s="20">
        <v>0.27419179732471433</v>
      </c>
      <c r="H460" s="50"/>
      <c r="I460" s="16"/>
      <c r="J460" s="16"/>
      <c r="K460" s="16"/>
      <c r="L460" s="16"/>
      <c r="M460" s="16">
        <v>454</v>
      </c>
      <c r="N460" s="16">
        <f t="shared" si="38"/>
        <v>0.16266140602582496</v>
      </c>
      <c r="O460" s="16"/>
      <c r="P460" s="16"/>
      <c r="Q460" s="16">
        <f t="shared" si="39"/>
        <v>-0.98357847676319476</v>
      </c>
    </row>
    <row r="461" spans="4:17" ht="15" thickBot="1" x14ac:dyDescent="0.35">
      <c r="D461" s="20">
        <f t="shared" si="35"/>
        <v>455</v>
      </c>
      <c r="E461" s="20">
        <f t="shared" si="36"/>
        <v>3050</v>
      </c>
      <c r="F461" s="20">
        <f t="shared" si="37"/>
        <v>850</v>
      </c>
      <c r="G461" s="20">
        <v>0.27424923490857983</v>
      </c>
      <c r="H461" s="50"/>
      <c r="I461" s="16"/>
      <c r="J461" s="16"/>
      <c r="K461" s="16"/>
      <c r="L461" s="16"/>
      <c r="M461" s="16">
        <v>455</v>
      </c>
      <c r="N461" s="16">
        <f t="shared" si="38"/>
        <v>0.16302008608321378</v>
      </c>
      <c r="O461" s="16"/>
      <c r="P461" s="16"/>
      <c r="Q461" s="16">
        <f t="shared" si="39"/>
        <v>-0.98212113959067771</v>
      </c>
    </row>
    <row r="462" spans="4:17" ht="15" thickBot="1" x14ac:dyDescent="0.35">
      <c r="D462" s="20">
        <f t="shared" si="35"/>
        <v>456</v>
      </c>
      <c r="E462" s="20">
        <f t="shared" si="36"/>
        <v>3150</v>
      </c>
      <c r="F462" s="20">
        <f t="shared" si="37"/>
        <v>850</v>
      </c>
      <c r="G462" s="20">
        <v>0.27429201346843068</v>
      </c>
      <c r="H462" s="50"/>
      <c r="I462" s="16"/>
      <c r="J462" s="16"/>
      <c r="K462" s="16"/>
      <c r="L462" s="16"/>
      <c r="M462" s="16">
        <v>456</v>
      </c>
      <c r="N462" s="16">
        <f t="shared" si="38"/>
        <v>0.16337876614060259</v>
      </c>
      <c r="O462" s="16"/>
      <c r="P462" s="16"/>
      <c r="Q462" s="16">
        <f t="shared" si="39"/>
        <v>-0.98066588529837606</v>
      </c>
    </row>
    <row r="463" spans="4:17" ht="15" thickBot="1" x14ac:dyDescent="0.35">
      <c r="D463" s="20">
        <f t="shared" si="35"/>
        <v>457</v>
      </c>
      <c r="E463" s="20">
        <f t="shared" si="36"/>
        <v>3250</v>
      </c>
      <c r="F463" s="20">
        <f t="shared" si="37"/>
        <v>850</v>
      </c>
      <c r="G463" s="20">
        <v>0.27431558653572946</v>
      </c>
      <c r="H463" s="50"/>
      <c r="I463" s="16"/>
      <c r="J463" s="16"/>
      <c r="K463" s="16"/>
      <c r="L463" s="16"/>
      <c r="M463" s="16">
        <v>457</v>
      </c>
      <c r="N463" s="16">
        <f t="shared" si="38"/>
        <v>0.16373744619799138</v>
      </c>
      <c r="O463" s="16"/>
      <c r="P463" s="16"/>
      <c r="Q463" s="16">
        <f t="shared" si="39"/>
        <v>-0.97921270486781897</v>
      </c>
    </row>
    <row r="464" spans="4:17" ht="15" thickBot="1" x14ac:dyDescent="0.35">
      <c r="D464" s="20">
        <f t="shared" si="35"/>
        <v>458</v>
      </c>
      <c r="E464" s="20">
        <f t="shared" si="36"/>
        <v>3350</v>
      </c>
      <c r="F464" s="20">
        <f t="shared" si="37"/>
        <v>850</v>
      </c>
      <c r="G464" s="20">
        <v>0.2745391238506954</v>
      </c>
      <c r="H464" s="50"/>
      <c r="I464" s="16"/>
      <c r="J464" s="16"/>
      <c r="K464" s="16"/>
      <c r="L464" s="16"/>
      <c r="M464" s="16">
        <v>458</v>
      </c>
      <c r="N464" s="16">
        <f t="shared" si="38"/>
        <v>0.1640961262553802</v>
      </c>
      <c r="O464" s="16"/>
      <c r="P464" s="16"/>
      <c r="Q464" s="16">
        <f t="shared" si="39"/>
        <v>-0.977761589336542</v>
      </c>
    </row>
    <row r="465" spans="4:17" ht="15" thickBot="1" x14ac:dyDescent="0.35">
      <c r="D465" s="20">
        <f t="shared" si="35"/>
        <v>459</v>
      </c>
      <c r="E465" s="20">
        <f t="shared" si="36"/>
        <v>3450</v>
      </c>
      <c r="F465" s="20">
        <f t="shared" si="37"/>
        <v>850</v>
      </c>
      <c r="G465" s="20">
        <v>0.27467764482887719</v>
      </c>
      <c r="H465" s="50"/>
      <c r="I465" s="16"/>
      <c r="J465" s="16"/>
      <c r="K465" s="16"/>
      <c r="L465" s="16"/>
      <c r="M465" s="16">
        <v>459</v>
      </c>
      <c r="N465" s="16">
        <f t="shared" si="38"/>
        <v>0.16445480631276901</v>
      </c>
      <c r="O465" s="16"/>
      <c r="P465" s="16"/>
      <c r="Q465" s="16">
        <f t="shared" si="39"/>
        <v>-0.97631252979761474</v>
      </c>
    </row>
    <row r="466" spans="4:17" ht="15" thickBot="1" x14ac:dyDescent="0.35">
      <c r="D466" s="20">
        <f t="shared" si="35"/>
        <v>460</v>
      </c>
      <c r="E466" s="20">
        <f t="shared" si="36"/>
        <v>3550</v>
      </c>
      <c r="F466" s="20">
        <f t="shared" si="37"/>
        <v>850</v>
      </c>
      <c r="G466" s="20">
        <v>0.27499198185775742</v>
      </c>
      <c r="H466" s="50"/>
      <c r="I466" s="16"/>
      <c r="J466" s="16"/>
      <c r="K466" s="16"/>
      <c r="L466" s="16"/>
      <c r="M466" s="16">
        <v>460</v>
      </c>
      <c r="N466" s="16">
        <f t="shared" si="38"/>
        <v>0.16481348637015783</v>
      </c>
      <c r="O466" s="16"/>
      <c r="P466" s="16"/>
      <c r="Q466" s="16">
        <f t="shared" si="39"/>
        <v>-0.97486551739916283</v>
      </c>
    </row>
    <row r="467" spans="4:17" ht="15" thickBot="1" x14ac:dyDescent="0.35">
      <c r="D467" s="20">
        <f t="shared" si="35"/>
        <v>461</v>
      </c>
      <c r="E467" s="44">
        <f t="shared" si="36"/>
        <v>3650</v>
      </c>
      <c r="F467" s="44">
        <f t="shared" si="37"/>
        <v>850</v>
      </c>
      <c r="G467" s="20">
        <v>0.27499357725323714</v>
      </c>
      <c r="H467" s="50"/>
      <c r="I467" s="16"/>
      <c r="J467" s="16"/>
      <c r="K467" s="16"/>
      <c r="L467" s="16"/>
      <c r="M467" s="16">
        <v>461</v>
      </c>
      <c r="N467" s="16">
        <f t="shared" si="38"/>
        <v>0.16517216642754662</v>
      </c>
      <c r="O467" s="16"/>
      <c r="P467" s="16"/>
      <c r="Q467" s="16">
        <f t="shared" si="39"/>
        <v>-0.97342054334391392</v>
      </c>
    </row>
    <row r="468" spans="4:17" ht="15" thickBot="1" x14ac:dyDescent="0.35">
      <c r="D468" s="20">
        <f t="shared" si="35"/>
        <v>462</v>
      </c>
      <c r="E468" s="20">
        <f t="shared" si="36"/>
        <v>3750</v>
      </c>
      <c r="F468" s="20">
        <f t="shared" si="37"/>
        <v>850</v>
      </c>
      <c r="G468" s="20">
        <v>0.27516878148011514</v>
      </c>
      <c r="H468" s="50"/>
      <c r="I468" s="16"/>
      <c r="J468" s="16"/>
      <c r="K468" s="16"/>
      <c r="L468" s="16"/>
      <c r="M468" s="16">
        <v>462</v>
      </c>
      <c r="N468" s="16">
        <f t="shared" si="38"/>
        <v>0.16553084648493543</v>
      </c>
      <c r="O468" s="16"/>
      <c r="P468" s="16"/>
      <c r="Q468" s="16">
        <f t="shared" si="39"/>
        <v>-0.97197759888873336</v>
      </c>
    </row>
    <row r="469" spans="4:17" ht="15" thickBot="1" x14ac:dyDescent="0.35">
      <c r="D469" s="20">
        <f t="shared" si="35"/>
        <v>463</v>
      </c>
      <c r="E469" s="20">
        <f t="shared" si="36"/>
        <v>3850</v>
      </c>
      <c r="F469" s="20">
        <f t="shared" si="37"/>
        <v>850</v>
      </c>
      <c r="G469" s="20">
        <v>0.27518574073617486</v>
      </c>
      <c r="H469" s="50"/>
      <c r="I469" s="16"/>
      <c r="J469" s="16"/>
      <c r="K469" s="16"/>
      <c r="L469" s="16"/>
      <c r="M469" s="16">
        <v>463</v>
      </c>
      <c r="N469" s="16">
        <f t="shared" si="38"/>
        <v>0.16588952654232425</v>
      </c>
      <c r="O469" s="16"/>
      <c r="P469" s="16"/>
      <c r="Q469" s="16">
        <f t="shared" si="39"/>
        <v>-0.97053667534415833</v>
      </c>
    </row>
    <row r="470" spans="4:17" ht="15" thickBot="1" x14ac:dyDescent="0.35">
      <c r="D470" s="20">
        <f t="shared" si="35"/>
        <v>464</v>
      </c>
      <c r="E470" s="20">
        <f t="shared" si="36"/>
        <v>3950</v>
      </c>
      <c r="F470" s="20">
        <f t="shared" si="37"/>
        <v>850</v>
      </c>
      <c r="G470" s="20">
        <v>0.27524851839914372</v>
      </c>
      <c r="H470" s="50"/>
      <c r="I470" s="16"/>
      <c r="J470" s="16"/>
      <c r="K470" s="16"/>
      <c r="L470" s="16"/>
      <c r="M470" s="16">
        <v>464</v>
      </c>
      <c r="N470" s="16">
        <f t="shared" si="38"/>
        <v>0.16624820659971307</v>
      </c>
      <c r="O470" s="16"/>
      <c r="P470" s="16"/>
      <c r="Q470" s="16">
        <f t="shared" si="39"/>
        <v>-0.96909776407397552</v>
      </c>
    </row>
    <row r="471" spans="4:17" ht="15" thickBot="1" x14ac:dyDescent="0.35">
      <c r="D471" s="20">
        <f t="shared" si="35"/>
        <v>465</v>
      </c>
      <c r="E471" s="20">
        <f t="shared" si="36"/>
        <v>4050</v>
      </c>
      <c r="F471" s="20">
        <f t="shared" si="37"/>
        <v>850</v>
      </c>
      <c r="G471" s="20">
        <v>0.27527932124798987</v>
      </c>
      <c r="H471" s="50"/>
      <c r="I471" s="16"/>
      <c r="J471" s="16"/>
      <c r="K471" s="16"/>
      <c r="L471" s="16"/>
      <c r="M471" s="16">
        <v>465</v>
      </c>
      <c r="N471" s="16">
        <f t="shared" si="38"/>
        <v>0.16660688665710185</v>
      </c>
      <c r="O471" s="16"/>
      <c r="P471" s="16"/>
      <c r="Q471" s="16">
        <f t="shared" si="39"/>
        <v>-0.96766085649473688</v>
      </c>
    </row>
    <row r="472" spans="4:17" ht="15" thickBot="1" x14ac:dyDescent="0.35">
      <c r="D472" s="20">
        <f t="shared" si="35"/>
        <v>466</v>
      </c>
      <c r="E472" s="20">
        <f t="shared" si="36"/>
        <v>4150</v>
      </c>
      <c r="F472" s="20">
        <f t="shared" si="37"/>
        <v>850</v>
      </c>
      <c r="G472" s="20">
        <v>0.27534100896218083</v>
      </c>
      <c r="H472" s="50"/>
      <c r="I472" s="16"/>
      <c r="J472" s="16"/>
      <c r="K472" s="16"/>
      <c r="L472" s="16"/>
      <c r="M472" s="16">
        <v>466</v>
      </c>
      <c r="N472" s="16">
        <f t="shared" si="38"/>
        <v>0.16696556671449067</v>
      </c>
      <c r="O472" s="16"/>
      <c r="P472" s="16"/>
      <c r="Q472" s="16">
        <f t="shared" si="39"/>
        <v>-0.9662259440753489</v>
      </c>
    </row>
    <row r="473" spans="4:17" ht="15" thickBot="1" x14ac:dyDescent="0.35">
      <c r="D473" s="20">
        <f t="shared" si="35"/>
        <v>467</v>
      </c>
      <c r="E473" s="20">
        <f t="shared" si="36"/>
        <v>4250</v>
      </c>
      <c r="F473" s="20">
        <f t="shared" si="37"/>
        <v>850</v>
      </c>
      <c r="G473" s="20">
        <v>0.27560956439926787</v>
      </c>
      <c r="H473" s="50"/>
      <c r="I473" s="16"/>
      <c r="J473" s="16"/>
      <c r="K473" s="16"/>
      <c r="L473" s="16"/>
      <c r="M473" s="16">
        <v>467</v>
      </c>
      <c r="N473" s="16">
        <f t="shared" si="38"/>
        <v>0.16732424677187949</v>
      </c>
      <c r="O473" s="16"/>
      <c r="P473" s="16"/>
      <c r="Q473" s="16">
        <f t="shared" si="39"/>
        <v>-0.96479301833663123</v>
      </c>
    </row>
    <row r="474" spans="4:17" ht="15" thickBot="1" x14ac:dyDescent="0.35">
      <c r="D474" s="20">
        <f t="shared" si="35"/>
        <v>468</v>
      </c>
      <c r="E474" s="20">
        <f t="shared" si="36"/>
        <v>4350</v>
      </c>
      <c r="F474" s="20">
        <f t="shared" si="37"/>
        <v>850</v>
      </c>
      <c r="G474" s="20">
        <v>0.27584487133501168</v>
      </c>
      <c r="H474" s="50"/>
      <c r="I474" s="16"/>
      <c r="J474" s="16"/>
      <c r="K474" s="16"/>
      <c r="L474" s="16"/>
      <c r="M474" s="16">
        <v>468</v>
      </c>
      <c r="N474" s="16">
        <f t="shared" si="38"/>
        <v>0.1676829268292683</v>
      </c>
      <c r="O474" s="16"/>
      <c r="P474" s="16"/>
      <c r="Q474" s="16">
        <f t="shared" si="39"/>
        <v>-0.96336207085086911</v>
      </c>
    </row>
    <row r="475" spans="4:17" ht="15" thickBot="1" x14ac:dyDescent="0.35">
      <c r="D475" s="20">
        <f t="shared" si="35"/>
        <v>469</v>
      </c>
      <c r="E475" s="20">
        <f t="shared" si="36"/>
        <v>4450</v>
      </c>
      <c r="F475" s="20">
        <f t="shared" si="37"/>
        <v>850</v>
      </c>
      <c r="G475" s="20">
        <v>0.27598870069631837</v>
      </c>
      <c r="H475" s="50"/>
      <c r="I475" s="16"/>
      <c r="J475" s="16"/>
      <c r="K475" s="16"/>
      <c r="L475" s="16"/>
      <c r="M475" s="16">
        <v>469</v>
      </c>
      <c r="N475" s="16">
        <f t="shared" si="38"/>
        <v>0.16804160688665709</v>
      </c>
      <c r="O475" s="16"/>
      <c r="P475" s="16"/>
      <c r="Q475" s="16">
        <f t="shared" si="39"/>
        <v>-0.96193309324140042</v>
      </c>
    </row>
    <row r="476" spans="4:17" ht="15" thickBot="1" x14ac:dyDescent="0.35">
      <c r="D476" s="20">
        <f t="shared" si="35"/>
        <v>470</v>
      </c>
      <c r="E476" s="20">
        <f t="shared" si="36"/>
        <v>4550</v>
      </c>
      <c r="F476" s="20">
        <f t="shared" si="37"/>
        <v>850</v>
      </c>
      <c r="G476" s="20">
        <v>0.2760465427293482</v>
      </c>
      <c r="H476" s="50"/>
      <c r="I476" s="16"/>
      <c r="J476" s="16"/>
      <c r="K476" s="16"/>
      <c r="L476" s="16"/>
      <c r="M476" s="16">
        <v>470</v>
      </c>
      <c r="N476" s="16">
        <f t="shared" si="38"/>
        <v>0.16840028694404591</v>
      </c>
      <c r="O476" s="16"/>
      <c r="P476" s="16"/>
      <c r="Q476" s="16">
        <f t="shared" si="39"/>
        <v>-0.96050607718218939</v>
      </c>
    </row>
    <row r="477" spans="4:17" ht="15" thickBot="1" x14ac:dyDescent="0.35">
      <c r="D477" s="20">
        <f t="shared" si="35"/>
        <v>471</v>
      </c>
      <c r="E477" s="20">
        <f t="shared" si="36"/>
        <v>4650</v>
      </c>
      <c r="F477" s="20">
        <f t="shared" si="37"/>
        <v>850</v>
      </c>
      <c r="G477" s="20">
        <v>0.27611444592579054</v>
      </c>
      <c r="H477" s="50"/>
      <c r="I477" s="16"/>
      <c r="J477" s="16"/>
      <c r="K477" s="16"/>
      <c r="L477" s="16"/>
      <c r="M477" s="16">
        <v>471</v>
      </c>
      <c r="N477" s="16">
        <f t="shared" si="38"/>
        <v>0.16875896700143472</v>
      </c>
      <c r="O477" s="16"/>
      <c r="P477" s="16"/>
      <c r="Q477" s="16">
        <f t="shared" si="39"/>
        <v>-0.95908101439741089</v>
      </c>
    </row>
    <row r="478" spans="4:17" ht="15" thickBot="1" x14ac:dyDescent="0.35">
      <c r="D478" s="20">
        <f t="shared" si="35"/>
        <v>472</v>
      </c>
      <c r="E478" s="20">
        <f t="shared" si="36"/>
        <v>4750</v>
      </c>
      <c r="F478" s="20">
        <f t="shared" si="37"/>
        <v>850</v>
      </c>
      <c r="G478" s="20">
        <v>0.27613757196591865</v>
      </c>
      <c r="H478" s="50"/>
      <c r="I478" s="16"/>
      <c r="J478" s="16"/>
      <c r="K478" s="16"/>
      <c r="L478" s="16"/>
      <c r="M478" s="16">
        <v>472</v>
      </c>
      <c r="N478" s="16">
        <f t="shared" si="38"/>
        <v>0.16911764705882354</v>
      </c>
      <c r="O478" s="16"/>
      <c r="P478" s="16"/>
      <c r="Q478" s="16">
        <f t="shared" si="39"/>
        <v>-0.95765789666102774</v>
      </c>
    </row>
    <row r="479" spans="4:17" ht="15" thickBot="1" x14ac:dyDescent="0.35">
      <c r="D479" s="20">
        <f t="shared" si="35"/>
        <v>473</v>
      </c>
      <c r="E479" s="20">
        <f t="shared" si="36"/>
        <v>4850</v>
      </c>
      <c r="F479" s="20">
        <f t="shared" si="37"/>
        <v>850</v>
      </c>
      <c r="G479" s="20">
        <v>0.27615100465385334</v>
      </c>
      <c r="H479" s="50"/>
      <c r="I479" s="16"/>
      <c r="J479" s="16"/>
      <c r="K479" s="16"/>
      <c r="L479" s="16"/>
      <c r="M479" s="16">
        <v>473</v>
      </c>
      <c r="N479" s="16">
        <f t="shared" si="38"/>
        <v>0.16947632711621233</v>
      </c>
      <c r="O479" s="16"/>
      <c r="P479" s="16"/>
      <c r="Q479" s="16">
        <f t="shared" si="39"/>
        <v>-0.95623671579638736</v>
      </c>
    </row>
    <row r="480" spans="4:17" ht="15" thickBot="1" x14ac:dyDescent="0.35">
      <c r="D480" s="20">
        <f t="shared" si="35"/>
        <v>474</v>
      </c>
      <c r="E480" s="20">
        <f t="shared" si="36"/>
        <v>4950</v>
      </c>
      <c r="F480" s="20">
        <f t="shared" si="37"/>
        <v>850</v>
      </c>
      <c r="G480" s="20">
        <v>0.27619797965452375</v>
      </c>
      <c r="H480" s="50"/>
      <c r="I480" s="16"/>
      <c r="J480" s="16"/>
      <c r="K480" s="16"/>
      <c r="L480" s="16"/>
      <c r="M480" s="16">
        <v>474</v>
      </c>
      <c r="N480" s="16">
        <f t="shared" si="38"/>
        <v>0.16983500717360114</v>
      </c>
      <c r="O480" s="16"/>
      <c r="P480" s="16"/>
      <c r="Q480" s="16">
        <f t="shared" si="39"/>
        <v>-0.95481746367582188</v>
      </c>
    </row>
    <row r="481" spans="4:17" ht="15" thickBot="1" x14ac:dyDescent="0.35">
      <c r="D481" s="20">
        <f t="shared" si="35"/>
        <v>475</v>
      </c>
      <c r="E481" s="20">
        <f t="shared" si="36"/>
        <v>5050</v>
      </c>
      <c r="F481" s="20">
        <f t="shared" si="37"/>
        <v>850</v>
      </c>
      <c r="G481" s="20">
        <v>0.27620677090246726</v>
      </c>
      <c r="H481" s="50"/>
      <c r="I481" s="16"/>
      <c r="J481" s="16"/>
      <c r="K481" s="16"/>
      <c r="L481" s="16"/>
      <c r="M481" s="16">
        <v>475</v>
      </c>
      <c r="N481" s="16">
        <f t="shared" si="38"/>
        <v>0.17019368723098996</v>
      </c>
      <c r="O481" s="16"/>
      <c r="P481" s="16"/>
      <c r="Q481" s="16">
        <f t="shared" si="39"/>
        <v>-0.95340013222022513</v>
      </c>
    </row>
    <row r="482" spans="4:17" ht="15" thickBot="1" x14ac:dyDescent="0.35">
      <c r="D482" s="20">
        <f t="shared" si="35"/>
        <v>476</v>
      </c>
      <c r="E482" s="20">
        <f t="shared" si="36"/>
        <v>5150</v>
      </c>
      <c r="F482" s="20">
        <f t="shared" si="37"/>
        <v>850</v>
      </c>
      <c r="G482" s="20">
        <v>0.27644893081051253</v>
      </c>
      <c r="H482" s="50"/>
      <c r="I482" s="16"/>
      <c r="J482" s="16"/>
      <c r="K482" s="16"/>
      <c r="L482" s="16"/>
      <c r="M482" s="16">
        <v>476</v>
      </c>
      <c r="N482" s="16">
        <f t="shared" si="38"/>
        <v>0.17055236728837878</v>
      </c>
      <c r="O482" s="16"/>
      <c r="P482" s="16"/>
      <c r="Q482" s="16">
        <f t="shared" si="39"/>
        <v>-0.95198471339867963</v>
      </c>
    </row>
    <row r="483" spans="4:17" ht="15" thickBot="1" x14ac:dyDescent="0.35">
      <c r="D483" s="20">
        <f t="shared" si="35"/>
        <v>477</v>
      </c>
      <c r="E483" s="20">
        <f t="shared" si="36"/>
        <v>5250</v>
      </c>
      <c r="F483" s="20">
        <f t="shared" si="37"/>
        <v>850</v>
      </c>
      <c r="G483" s="20">
        <v>0.27645321848280308</v>
      </c>
      <c r="H483" s="50"/>
      <c r="I483" s="16"/>
      <c r="J483" s="16"/>
      <c r="K483" s="16"/>
      <c r="L483" s="16"/>
      <c r="M483" s="16">
        <v>477</v>
      </c>
      <c r="N483" s="16">
        <f t="shared" si="38"/>
        <v>0.17091104734576756</v>
      </c>
      <c r="O483" s="16"/>
      <c r="P483" s="16"/>
      <c r="Q483" s="16">
        <f t="shared" si="39"/>
        <v>-0.95057119922805444</v>
      </c>
    </row>
    <row r="484" spans="4:17" ht="15" thickBot="1" x14ac:dyDescent="0.35">
      <c r="D484" s="20">
        <f t="shared" si="35"/>
        <v>478</v>
      </c>
      <c r="E484" s="20">
        <f t="shared" si="36"/>
        <v>50</v>
      </c>
      <c r="F484" s="20">
        <f t="shared" si="37"/>
        <v>950</v>
      </c>
      <c r="G484" s="20">
        <v>0.27649194859418103</v>
      </c>
      <c r="H484" s="50"/>
      <c r="I484" s="16"/>
      <c r="J484" s="16"/>
      <c r="K484" s="16"/>
      <c r="L484" s="16"/>
      <c r="M484" s="16">
        <v>478</v>
      </c>
      <c r="N484" s="16">
        <f t="shared" si="38"/>
        <v>0.17126972740315638</v>
      </c>
      <c r="O484" s="16"/>
      <c r="P484" s="16"/>
      <c r="Q484" s="16">
        <f t="shared" si="39"/>
        <v>-0.94915958177260995</v>
      </c>
    </row>
    <row r="485" spans="4:17" ht="15" thickBot="1" x14ac:dyDescent="0.35">
      <c r="D485" s="20">
        <f t="shared" si="35"/>
        <v>479</v>
      </c>
      <c r="E485" s="20">
        <f t="shared" si="36"/>
        <v>150</v>
      </c>
      <c r="F485" s="20">
        <f t="shared" si="37"/>
        <v>950</v>
      </c>
      <c r="G485" s="20">
        <v>0.27670468505580614</v>
      </c>
      <c r="H485" s="50"/>
      <c r="I485" s="16"/>
      <c r="J485" s="16"/>
      <c r="K485" s="16"/>
      <c r="L485" s="16"/>
      <c r="M485" s="16">
        <v>479</v>
      </c>
      <c r="N485" s="16">
        <f t="shared" si="38"/>
        <v>0.1716284074605452</v>
      </c>
      <c r="O485" s="16"/>
      <c r="P485" s="16"/>
      <c r="Q485" s="16">
        <f t="shared" si="39"/>
        <v>-0.9477498531436207</v>
      </c>
    </row>
    <row r="486" spans="4:17" ht="15" thickBot="1" x14ac:dyDescent="0.35">
      <c r="D486" s="20">
        <f t="shared" si="35"/>
        <v>480</v>
      </c>
      <c r="E486" s="43">
        <f t="shared" si="36"/>
        <v>250</v>
      </c>
      <c r="F486" s="43">
        <f t="shared" si="37"/>
        <v>950</v>
      </c>
      <c r="G486" s="20">
        <v>0.27671253520736849</v>
      </c>
      <c r="H486" s="50"/>
      <c r="I486" s="16"/>
      <c r="J486" s="16"/>
      <c r="K486" s="16"/>
      <c r="L486" s="16"/>
      <c r="M486" s="16">
        <v>480</v>
      </c>
      <c r="N486" s="16">
        <f t="shared" si="38"/>
        <v>0.17198708751793401</v>
      </c>
      <c r="O486" s="16"/>
      <c r="P486" s="16"/>
      <c r="Q486" s="16">
        <f t="shared" si="39"/>
        <v>-0.9463420054989905</v>
      </c>
    </row>
    <row r="487" spans="4:17" ht="15" thickBot="1" x14ac:dyDescent="0.35">
      <c r="D487" s="20">
        <f t="shared" si="35"/>
        <v>481</v>
      </c>
      <c r="E487" s="20">
        <f t="shared" si="36"/>
        <v>350</v>
      </c>
      <c r="F487" s="20">
        <f t="shared" si="37"/>
        <v>950</v>
      </c>
      <c r="G487" s="20">
        <v>0.27683747404722059</v>
      </c>
      <c r="H487" s="50"/>
      <c r="I487" s="16"/>
      <c r="J487" s="16"/>
      <c r="K487" s="16"/>
      <c r="L487" s="16"/>
      <c r="M487" s="16">
        <v>481</v>
      </c>
      <c r="N487" s="16">
        <f t="shared" si="38"/>
        <v>0.1723457675753228</v>
      </c>
      <c r="O487" s="16"/>
      <c r="P487" s="16"/>
      <c r="Q487" s="16">
        <f t="shared" si="39"/>
        <v>-0.94493603104286916</v>
      </c>
    </row>
    <row r="488" spans="4:17" ht="15" thickBot="1" x14ac:dyDescent="0.35">
      <c r="D488" s="20">
        <f t="shared" si="35"/>
        <v>482</v>
      </c>
      <c r="E488" s="45">
        <f t="shared" si="36"/>
        <v>450</v>
      </c>
      <c r="F488" s="45">
        <f t="shared" si="37"/>
        <v>950</v>
      </c>
      <c r="G488" s="20">
        <v>0.27686962083065381</v>
      </c>
      <c r="H488" s="50"/>
      <c r="I488" s="16"/>
      <c r="J488" s="16"/>
      <c r="K488" s="16"/>
      <c r="L488" s="16"/>
      <c r="M488" s="16">
        <v>482</v>
      </c>
      <c r="N488" s="16">
        <f t="shared" si="38"/>
        <v>0.17270444763271162</v>
      </c>
      <c r="O488" s="16"/>
      <c r="P488" s="16"/>
      <c r="Q488" s="16">
        <f t="shared" si="39"/>
        <v>-0.94353192202529634</v>
      </c>
    </row>
    <row r="489" spans="4:17" ht="15" thickBot="1" x14ac:dyDescent="0.35">
      <c r="D489" s="20">
        <f t="shared" si="35"/>
        <v>483</v>
      </c>
      <c r="E489" s="20">
        <f t="shared" si="36"/>
        <v>550</v>
      </c>
      <c r="F489" s="20">
        <f t="shared" si="37"/>
        <v>950</v>
      </c>
      <c r="G489" s="20">
        <v>0.2769021705650786</v>
      </c>
      <c r="H489" s="50"/>
      <c r="I489" s="16"/>
      <c r="J489" s="16"/>
      <c r="K489" s="16"/>
      <c r="L489" s="16"/>
      <c r="M489" s="16">
        <v>483</v>
      </c>
      <c r="N489" s="16">
        <f t="shared" si="38"/>
        <v>0.17306312769010043</v>
      </c>
      <c r="O489" s="16"/>
      <c r="P489" s="16"/>
      <c r="Q489" s="16">
        <f t="shared" si="39"/>
        <v>-0.9421296707418092</v>
      </c>
    </row>
    <row r="490" spans="4:17" ht="15" thickBot="1" x14ac:dyDescent="0.35">
      <c r="D490" s="20">
        <f t="shared" si="35"/>
        <v>484</v>
      </c>
      <c r="E490" s="20">
        <f t="shared" si="36"/>
        <v>650</v>
      </c>
      <c r="F490" s="20">
        <f t="shared" si="37"/>
        <v>950</v>
      </c>
      <c r="G490" s="20">
        <v>0.27692286308941605</v>
      </c>
      <c r="H490" s="50"/>
      <c r="I490" s="16"/>
      <c r="J490" s="16"/>
      <c r="K490" s="16"/>
      <c r="L490" s="16"/>
      <c r="M490" s="16">
        <v>484</v>
      </c>
      <c r="N490" s="16">
        <f t="shared" si="38"/>
        <v>0.17342180774748925</v>
      </c>
      <c r="O490" s="16"/>
      <c r="P490" s="16"/>
      <c r="Q490" s="16">
        <f t="shared" si="39"/>
        <v>-0.94072926953309444</v>
      </c>
    </row>
    <row r="491" spans="4:17" ht="15" thickBot="1" x14ac:dyDescent="0.35">
      <c r="D491" s="20">
        <f t="shared" si="35"/>
        <v>485</v>
      </c>
      <c r="E491" s="20">
        <f t="shared" si="36"/>
        <v>750</v>
      </c>
      <c r="F491" s="20">
        <f t="shared" si="37"/>
        <v>950</v>
      </c>
      <c r="G491" s="20">
        <v>0.27692579118715765</v>
      </c>
      <c r="H491" s="50"/>
      <c r="I491" s="16"/>
      <c r="J491" s="16"/>
      <c r="K491" s="16"/>
      <c r="L491" s="16"/>
      <c r="M491" s="16">
        <v>485</v>
      </c>
      <c r="N491" s="16">
        <f t="shared" si="38"/>
        <v>0.17378048780487804</v>
      </c>
      <c r="O491" s="16"/>
      <c r="P491" s="16"/>
      <c r="Q491" s="16">
        <f t="shared" si="39"/>
        <v>-0.93933071078461428</v>
      </c>
    </row>
    <row r="492" spans="4:17" ht="15" thickBot="1" x14ac:dyDescent="0.35">
      <c r="D492" s="20">
        <f t="shared" si="35"/>
        <v>486</v>
      </c>
      <c r="E492" s="20">
        <f t="shared" si="36"/>
        <v>850</v>
      </c>
      <c r="F492" s="20">
        <f t="shared" si="37"/>
        <v>950</v>
      </c>
      <c r="G492" s="20">
        <v>0.27726857692947759</v>
      </c>
      <c r="H492" s="50"/>
      <c r="I492" s="16"/>
      <c r="J492" s="16"/>
      <c r="K492" s="16"/>
      <c r="L492" s="16"/>
      <c r="M492" s="16">
        <v>486</v>
      </c>
      <c r="N492" s="16">
        <f t="shared" si="38"/>
        <v>0.17413916786226685</v>
      </c>
      <c r="O492" s="16"/>
      <c r="P492" s="16"/>
      <c r="Q492" s="16">
        <f t="shared" si="39"/>
        <v>-0.93793398692625041</v>
      </c>
    </row>
    <row r="493" spans="4:17" ht="15" thickBot="1" x14ac:dyDescent="0.35">
      <c r="D493" s="20">
        <f t="shared" si="35"/>
        <v>487</v>
      </c>
      <c r="E493" s="48">
        <f t="shared" si="36"/>
        <v>950</v>
      </c>
      <c r="F493" s="48">
        <f t="shared" si="37"/>
        <v>950</v>
      </c>
      <c r="G493" s="20">
        <v>0.27730854959129714</v>
      </c>
      <c r="H493" s="50"/>
      <c r="I493" s="16"/>
      <c r="J493" s="16"/>
      <c r="K493" s="16"/>
      <c r="L493" s="16"/>
      <c r="M493" s="16">
        <v>487</v>
      </c>
      <c r="N493" s="16">
        <f t="shared" si="38"/>
        <v>0.17449784791965567</v>
      </c>
      <c r="O493" s="16"/>
      <c r="P493" s="16"/>
      <c r="Q493" s="16">
        <f t="shared" si="39"/>
        <v>-0.93653909043195804</v>
      </c>
    </row>
    <row r="494" spans="4:17" ht="15" thickBot="1" x14ac:dyDescent="0.35">
      <c r="D494" s="20">
        <f t="shared" si="35"/>
        <v>488</v>
      </c>
      <c r="E494" s="20">
        <f t="shared" si="36"/>
        <v>1050</v>
      </c>
      <c r="F494" s="20">
        <f t="shared" si="37"/>
        <v>950</v>
      </c>
      <c r="G494" s="20">
        <v>0.27748177076464969</v>
      </c>
      <c r="H494" s="50"/>
      <c r="I494" s="16"/>
      <c r="J494" s="16"/>
      <c r="K494" s="16"/>
      <c r="L494" s="16"/>
      <c r="M494" s="16">
        <v>488</v>
      </c>
      <c r="N494" s="16">
        <f t="shared" si="38"/>
        <v>0.17485652797704448</v>
      </c>
      <c r="O494" s="16"/>
      <c r="P494" s="16"/>
      <c r="Q494" s="16">
        <f t="shared" si="39"/>
        <v>-0.93514601381939777</v>
      </c>
    </row>
    <row r="495" spans="4:17" ht="15" thickBot="1" x14ac:dyDescent="0.35">
      <c r="D495" s="20">
        <f t="shared" si="35"/>
        <v>489</v>
      </c>
      <c r="E495" s="20">
        <f t="shared" si="36"/>
        <v>1150</v>
      </c>
      <c r="F495" s="20">
        <f t="shared" si="37"/>
        <v>950</v>
      </c>
      <c r="G495" s="20">
        <v>0.27750840279023808</v>
      </c>
      <c r="H495" s="50"/>
      <c r="I495" s="16"/>
      <c r="J495" s="16"/>
      <c r="K495" s="16"/>
      <c r="L495" s="16"/>
      <c r="M495" s="16">
        <v>489</v>
      </c>
      <c r="N495" s="16">
        <f t="shared" si="38"/>
        <v>0.17521520803443327</v>
      </c>
      <c r="O495" s="16"/>
      <c r="P495" s="16"/>
      <c r="Q495" s="16">
        <f t="shared" si="39"/>
        <v>-0.93375474964959926</v>
      </c>
    </row>
    <row r="496" spans="4:17" ht="15" thickBot="1" x14ac:dyDescent="0.35">
      <c r="D496" s="20">
        <f t="shared" si="35"/>
        <v>490</v>
      </c>
      <c r="E496" s="20">
        <f t="shared" si="36"/>
        <v>1250</v>
      </c>
      <c r="F496" s="20">
        <f t="shared" si="37"/>
        <v>950</v>
      </c>
      <c r="G496" s="20">
        <v>0.27759988910271527</v>
      </c>
      <c r="H496" s="50"/>
      <c r="I496" s="16"/>
      <c r="J496" s="16"/>
      <c r="K496" s="16"/>
      <c r="L496" s="16"/>
      <c r="M496" s="16">
        <v>490</v>
      </c>
      <c r="N496" s="16">
        <f t="shared" si="38"/>
        <v>0.17557388809182209</v>
      </c>
      <c r="O496" s="16"/>
      <c r="P496" s="16"/>
      <c r="Q496" s="16">
        <f t="shared" si="39"/>
        <v>-0.93236529052661909</v>
      </c>
    </row>
    <row r="497" spans="4:17" ht="15" thickBot="1" x14ac:dyDescent="0.35">
      <c r="D497" s="20">
        <f t="shared" si="35"/>
        <v>491</v>
      </c>
      <c r="E497" s="20">
        <f t="shared" si="36"/>
        <v>1350</v>
      </c>
      <c r="F497" s="20">
        <f t="shared" si="37"/>
        <v>950</v>
      </c>
      <c r="G497" s="20">
        <v>0.27784085269862241</v>
      </c>
      <c r="H497" s="50"/>
      <c r="I497" s="16"/>
      <c r="J497" s="16"/>
      <c r="K497" s="16"/>
      <c r="L497" s="16"/>
      <c r="M497" s="16">
        <v>491</v>
      </c>
      <c r="N497" s="16">
        <f t="shared" si="38"/>
        <v>0.17593256814921091</v>
      </c>
      <c r="O497" s="16"/>
      <c r="P497" s="16"/>
      <c r="Q497" s="16">
        <f t="shared" si="39"/>
        <v>-0.93097762909718262</v>
      </c>
    </row>
    <row r="498" spans="4:17" ht="15" thickBot="1" x14ac:dyDescent="0.35">
      <c r="D498" s="20">
        <f t="shared" si="35"/>
        <v>492</v>
      </c>
      <c r="E498" s="47">
        <f t="shared" si="36"/>
        <v>1450</v>
      </c>
      <c r="F498" s="47">
        <f t="shared" si="37"/>
        <v>950</v>
      </c>
      <c r="G498" s="20">
        <v>0.27785000282831263</v>
      </c>
      <c r="H498" s="50"/>
      <c r="I498" s="16"/>
      <c r="J498" s="16"/>
      <c r="K498" s="16"/>
      <c r="L498" s="16"/>
      <c r="M498" s="16">
        <v>492</v>
      </c>
      <c r="N498" s="16">
        <f t="shared" si="38"/>
        <v>0.17629124820659972</v>
      </c>
      <c r="O498" s="16"/>
      <c r="P498" s="16"/>
      <c r="Q498" s="16">
        <f t="shared" si="39"/>
        <v>-0.92959175805036609</v>
      </c>
    </row>
    <row r="499" spans="4:17" ht="15" thickBot="1" x14ac:dyDescent="0.35">
      <c r="D499" s="20">
        <f t="shared" si="35"/>
        <v>493</v>
      </c>
      <c r="E499" s="20">
        <f t="shared" si="36"/>
        <v>1550</v>
      </c>
      <c r="F499" s="20">
        <f t="shared" si="37"/>
        <v>950</v>
      </c>
      <c r="G499" s="20">
        <v>0.27804611395250067</v>
      </c>
      <c r="H499" s="50"/>
      <c r="I499" s="16"/>
      <c r="J499" s="16"/>
      <c r="K499" s="16"/>
      <c r="L499" s="16"/>
      <c r="M499" s="16">
        <v>493</v>
      </c>
      <c r="N499" s="16">
        <f t="shared" si="38"/>
        <v>0.17664992826398851</v>
      </c>
      <c r="O499" s="16"/>
      <c r="P499" s="16"/>
      <c r="Q499" s="16">
        <f t="shared" si="39"/>
        <v>-0.92820767011724803</v>
      </c>
    </row>
    <row r="500" spans="4:17" ht="15" thickBot="1" x14ac:dyDescent="0.35">
      <c r="D500" s="20">
        <f t="shared" si="35"/>
        <v>494</v>
      </c>
      <c r="E500" s="20">
        <f t="shared" si="36"/>
        <v>1650</v>
      </c>
      <c r="F500" s="20">
        <f t="shared" si="37"/>
        <v>950</v>
      </c>
      <c r="G500" s="20">
        <v>0.27805040231210609</v>
      </c>
      <c r="H500" s="50"/>
      <c r="I500" s="16"/>
      <c r="J500" s="16"/>
      <c r="K500" s="16"/>
      <c r="L500" s="16"/>
      <c r="M500" s="16">
        <v>494</v>
      </c>
      <c r="N500" s="16">
        <f t="shared" si="38"/>
        <v>0.17700860832137733</v>
      </c>
      <c r="O500" s="16"/>
      <c r="P500" s="16"/>
      <c r="Q500" s="16">
        <f t="shared" si="39"/>
        <v>-0.9268253580705913</v>
      </c>
    </row>
    <row r="501" spans="4:17" ht="15" thickBot="1" x14ac:dyDescent="0.35">
      <c r="D501" s="20">
        <f t="shared" si="35"/>
        <v>495</v>
      </c>
      <c r="E501" s="20">
        <f t="shared" si="36"/>
        <v>1750</v>
      </c>
      <c r="F501" s="20">
        <f t="shared" si="37"/>
        <v>950</v>
      </c>
      <c r="G501" s="20">
        <v>0.27809137008444951</v>
      </c>
      <c r="H501" s="50"/>
      <c r="I501" s="16"/>
      <c r="J501" s="16"/>
      <c r="K501" s="16"/>
      <c r="L501" s="16"/>
      <c r="M501" s="16">
        <v>495</v>
      </c>
      <c r="N501" s="16">
        <f t="shared" si="38"/>
        <v>0.17736728837876614</v>
      </c>
      <c r="O501" s="16"/>
      <c r="P501" s="16"/>
      <c r="Q501" s="16">
        <f t="shared" si="39"/>
        <v>-0.92544481472449469</v>
      </c>
    </row>
    <row r="502" spans="4:17" ht="15" thickBot="1" x14ac:dyDescent="0.35">
      <c r="D502" s="20">
        <f t="shared" si="35"/>
        <v>496</v>
      </c>
      <c r="E502" s="20">
        <f t="shared" si="36"/>
        <v>1850</v>
      </c>
      <c r="F502" s="20">
        <f t="shared" si="37"/>
        <v>950</v>
      </c>
      <c r="G502" s="20">
        <v>0.27811857094551828</v>
      </c>
      <c r="H502" s="50"/>
      <c r="I502" s="16"/>
      <c r="J502" s="16"/>
      <c r="K502" s="16"/>
      <c r="L502" s="16"/>
      <c r="M502" s="16">
        <v>496</v>
      </c>
      <c r="N502" s="16">
        <f t="shared" si="38"/>
        <v>0.17772596843615496</v>
      </c>
      <c r="O502" s="16"/>
      <c r="P502" s="16"/>
      <c r="Q502" s="16">
        <f t="shared" si="39"/>
        <v>-0.9240660329340914</v>
      </c>
    </row>
    <row r="503" spans="4:17" ht="15" thickBot="1" x14ac:dyDescent="0.35">
      <c r="D503" s="20">
        <f t="shared" si="35"/>
        <v>497</v>
      </c>
      <c r="E503" s="20">
        <f t="shared" si="36"/>
        <v>1950</v>
      </c>
      <c r="F503" s="20">
        <f t="shared" si="37"/>
        <v>950</v>
      </c>
      <c r="G503" s="20">
        <v>0.27817545643518032</v>
      </c>
      <c r="H503" s="50"/>
      <c r="I503" s="16"/>
      <c r="J503" s="16"/>
      <c r="K503" s="16"/>
      <c r="L503" s="16"/>
      <c r="M503" s="16">
        <v>497</v>
      </c>
      <c r="N503" s="16">
        <f t="shared" si="38"/>
        <v>0.17808464849354375</v>
      </c>
      <c r="O503" s="16"/>
      <c r="P503" s="16"/>
      <c r="Q503" s="16">
        <f t="shared" si="39"/>
        <v>-0.92268900559521316</v>
      </c>
    </row>
    <row r="504" spans="4:17" ht="15" thickBot="1" x14ac:dyDescent="0.35">
      <c r="D504" s="20">
        <f t="shared" si="35"/>
        <v>498</v>
      </c>
      <c r="E504" s="45">
        <f t="shared" si="36"/>
        <v>2050</v>
      </c>
      <c r="F504" s="45">
        <f t="shared" si="37"/>
        <v>950</v>
      </c>
      <c r="G504" s="20">
        <v>0.27818367874928984</v>
      </c>
      <c r="H504" s="50"/>
      <c r="I504" s="16"/>
      <c r="J504" s="16"/>
      <c r="K504" s="16"/>
      <c r="L504" s="16"/>
      <c r="M504" s="16">
        <v>498</v>
      </c>
      <c r="N504" s="16">
        <f t="shared" si="38"/>
        <v>0.17844332855093256</v>
      </c>
      <c r="O504" s="16"/>
      <c r="P504" s="16"/>
      <c r="Q504" s="16">
        <f t="shared" si="39"/>
        <v>-0.92131372564407421</v>
      </c>
    </row>
    <row r="505" spans="4:17" ht="15" thickBot="1" x14ac:dyDescent="0.35">
      <c r="D505" s="20">
        <f t="shared" si="35"/>
        <v>499</v>
      </c>
      <c r="E505" s="20">
        <f t="shared" si="36"/>
        <v>2150</v>
      </c>
      <c r="F505" s="20">
        <f t="shared" si="37"/>
        <v>950</v>
      </c>
      <c r="G505" s="20">
        <v>0.27824726845787218</v>
      </c>
      <c r="H505" s="50"/>
      <c r="I505" s="16"/>
      <c r="J505" s="16"/>
      <c r="K505" s="16"/>
      <c r="L505" s="16"/>
      <c r="M505" s="16">
        <v>499</v>
      </c>
      <c r="N505" s="16">
        <f t="shared" si="38"/>
        <v>0.17880200860832138</v>
      </c>
      <c r="O505" s="16"/>
      <c r="P505" s="16"/>
      <c r="Q505" s="16">
        <f t="shared" si="39"/>
        <v>-0.91994018605695815</v>
      </c>
    </row>
    <row r="506" spans="4:17" ht="15" thickBot="1" x14ac:dyDescent="0.35">
      <c r="D506" s="20">
        <f t="shared" si="35"/>
        <v>500</v>
      </c>
      <c r="E506" s="20">
        <f t="shared" si="36"/>
        <v>2250</v>
      </c>
      <c r="F506" s="20">
        <f t="shared" si="37"/>
        <v>950</v>
      </c>
      <c r="G506" s="20">
        <v>0.27834697311996748</v>
      </c>
      <c r="H506" s="50"/>
      <c r="I506" s="16"/>
      <c r="J506" s="16"/>
      <c r="K506" s="16"/>
      <c r="L506" s="16"/>
      <c r="M506" s="16">
        <v>500</v>
      </c>
      <c r="N506" s="16">
        <f t="shared" si="38"/>
        <v>0.17916068866571019</v>
      </c>
      <c r="O506" s="16"/>
      <c r="P506" s="16"/>
      <c r="Q506" s="16">
        <f t="shared" si="39"/>
        <v>-0.91856837984990947</v>
      </c>
    </row>
    <row r="507" spans="4:17" ht="15" thickBot="1" x14ac:dyDescent="0.35">
      <c r="D507" s="20">
        <f t="shared" si="35"/>
        <v>501</v>
      </c>
      <c r="E507" s="20">
        <f t="shared" si="36"/>
        <v>2350</v>
      </c>
      <c r="F507" s="20">
        <f t="shared" si="37"/>
        <v>950</v>
      </c>
      <c r="G507" s="20">
        <v>0.27835016988094735</v>
      </c>
      <c r="H507" s="50"/>
      <c r="I507" s="16"/>
      <c r="J507" s="16"/>
      <c r="K507" s="16"/>
      <c r="L507" s="16"/>
      <c r="M507" s="16">
        <v>501</v>
      </c>
      <c r="N507" s="16">
        <f t="shared" si="38"/>
        <v>0.17951936872309898</v>
      </c>
      <c r="O507" s="16"/>
      <c r="P507" s="16"/>
      <c r="Q507" s="16">
        <f t="shared" si="39"/>
        <v>-0.91719830007841041</v>
      </c>
    </row>
    <row r="508" spans="4:17" ht="15" thickBot="1" x14ac:dyDescent="0.35">
      <c r="D508" s="20">
        <f t="shared" si="35"/>
        <v>502</v>
      </c>
      <c r="E508" s="20">
        <f t="shared" si="36"/>
        <v>2450</v>
      </c>
      <c r="F508" s="20">
        <f t="shared" si="37"/>
        <v>950</v>
      </c>
      <c r="G508" s="20">
        <v>0.27865308504901598</v>
      </c>
      <c r="H508" s="50"/>
      <c r="I508" s="16"/>
      <c r="J508" s="16"/>
      <c r="K508" s="16"/>
      <c r="L508" s="16"/>
      <c r="M508" s="16">
        <v>502</v>
      </c>
      <c r="N508" s="16">
        <f t="shared" si="38"/>
        <v>0.1798780487804878</v>
      </c>
      <c r="O508" s="16"/>
      <c r="P508" s="16"/>
      <c r="Q508" s="16">
        <f t="shared" si="39"/>
        <v>-0.91582993983709327</v>
      </c>
    </row>
    <row r="509" spans="4:17" ht="15" thickBot="1" x14ac:dyDescent="0.35">
      <c r="D509" s="20">
        <f t="shared" si="35"/>
        <v>503</v>
      </c>
      <c r="E509" s="20">
        <f t="shared" si="36"/>
        <v>2550</v>
      </c>
      <c r="F509" s="20">
        <f t="shared" si="37"/>
        <v>950</v>
      </c>
      <c r="G509" s="20">
        <v>0.27872228623247286</v>
      </c>
      <c r="H509" s="50"/>
      <c r="I509" s="16"/>
      <c r="J509" s="16"/>
      <c r="K509" s="16"/>
      <c r="L509" s="16"/>
      <c r="M509" s="16">
        <v>503</v>
      </c>
      <c r="N509" s="16">
        <f t="shared" si="38"/>
        <v>0.18023672883787661</v>
      </c>
      <c r="O509" s="16"/>
      <c r="P509" s="16"/>
      <c r="Q509" s="16">
        <f t="shared" si="39"/>
        <v>-0.9144632922594228</v>
      </c>
    </row>
    <row r="510" spans="4:17" ht="15" thickBot="1" x14ac:dyDescent="0.35">
      <c r="D510" s="20">
        <f t="shared" si="35"/>
        <v>504</v>
      </c>
      <c r="E510" s="20">
        <f t="shared" si="36"/>
        <v>2650</v>
      </c>
      <c r="F510" s="20">
        <f t="shared" si="37"/>
        <v>950</v>
      </c>
      <c r="G510" s="20">
        <v>0.2788714807055695</v>
      </c>
      <c r="H510" s="50"/>
      <c r="I510" s="16"/>
      <c r="J510" s="16"/>
      <c r="K510" s="16"/>
      <c r="L510" s="16"/>
      <c r="M510" s="16">
        <v>504</v>
      </c>
      <c r="N510" s="16">
        <f t="shared" si="38"/>
        <v>0.18059540889526543</v>
      </c>
      <c r="O510" s="16"/>
      <c r="P510" s="16"/>
      <c r="Q510" s="16">
        <f t="shared" si="39"/>
        <v>-0.91309835051740929</v>
      </c>
    </row>
    <row r="511" spans="4:17" ht="15" thickBot="1" x14ac:dyDescent="0.35">
      <c r="D511" s="20">
        <f t="shared" si="35"/>
        <v>505</v>
      </c>
      <c r="E511" s="20">
        <f t="shared" si="36"/>
        <v>2750</v>
      </c>
      <c r="F511" s="20">
        <f t="shared" si="37"/>
        <v>950</v>
      </c>
      <c r="G511" s="20">
        <v>0.27916201420063441</v>
      </c>
      <c r="H511" s="50"/>
      <c r="I511" s="16"/>
      <c r="J511" s="16"/>
      <c r="K511" s="16"/>
      <c r="L511" s="16"/>
      <c r="M511" s="16">
        <v>505</v>
      </c>
      <c r="N511" s="16">
        <f t="shared" si="38"/>
        <v>0.18095408895265425</v>
      </c>
      <c r="O511" s="16"/>
      <c r="P511" s="16"/>
      <c r="Q511" s="16">
        <f t="shared" si="39"/>
        <v>-0.91173510782129263</v>
      </c>
    </row>
    <row r="512" spans="4:17" ht="15" thickBot="1" x14ac:dyDescent="0.35">
      <c r="D512" s="20">
        <f t="shared" si="35"/>
        <v>506</v>
      </c>
      <c r="E512" s="20">
        <f t="shared" si="36"/>
        <v>2850</v>
      </c>
      <c r="F512" s="20">
        <f t="shared" si="37"/>
        <v>950</v>
      </c>
      <c r="G512" s="20">
        <v>0.27926768597879525</v>
      </c>
      <c r="H512" s="50"/>
      <c r="I512" s="16"/>
      <c r="J512" s="16"/>
      <c r="K512" s="16"/>
      <c r="L512" s="16"/>
      <c r="M512" s="16">
        <v>506</v>
      </c>
      <c r="N512" s="16">
        <f t="shared" si="38"/>
        <v>0.18131276901004303</v>
      </c>
      <c r="O512" s="16"/>
      <c r="P512" s="16"/>
      <c r="Q512" s="16">
        <f t="shared" si="39"/>
        <v>-0.9103735574192654</v>
      </c>
    </row>
    <row r="513" spans="4:17" ht="15" thickBot="1" x14ac:dyDescent="0.35">
      <c r="D513" s="20">
        <f t="shared" si="35"/>
        <v>507</v>
      </c>
      <c r="E513" s="48">
        <f t="shared" si="36"/>
        <v>2950</v>
      </c>
      <c r="F513" s="48">
        <f t="shared" si="37"/>
        <v>950</v>
      </c>
      <c r="G513" s="20">
        <v>0.27932165840972401</v>
      </c>
      <c r="H513" s="50"/>
      <c r="I513" s="16"/>
      <c r="J513" s="16"/>
      <c r="K513" s="16"/>
      <c r="L513" s="16"/>
      <c r="M513" s="16">
        <v>507</v>
      </c>
      <c r="N513" s="16">
        <f t="shared" si="38"/>
        <v>0.18167144906743185</v>
      </c>
      <c r="O513" s="16"/>
      <c r="P513" s="16"/>
      <c r="Q513" s="16">
        <f t="shared" si="39"/>
        <v>-0.90901369259717724</v>
      </c>
    </row>
    <row r="514" spans="4:17" ht="15" thickBot="1" x14ac:dyDescent="0.35">
      <c r="D514" s="20">
        <f t="shared" si="35"/>
        <v>508</v>
      </c>
      <c r="E514" s="20">
        <f t="shared" si="36"/>
        <v>3050</v>
      </c>
      <c r="F514" s="20">
        <f t="shared" si="37"/>
        <v>950</v>
      </c>
      <c r="G514" s="20">
        <v>0.27965438867868531</v>
      </c>
      <c r="H514" s="50"/>
      <c r="I514" s="16"/>
      <c r="J514" s="16"/>
      <c r="K514" s="16"/>
      <c r="L514" s="16"/>
      <c r="M514" s="16">
        <v>508</v>
      </c>
      <c r="N514" s="16">
        <f t="shared" si="38"/>
        <v>0.18203012912482067</v>
      </c>
      <c r="O514" s="16"/>
      <c r="P514" s="16"/>
      <c r="Q514" s="16">
        <f t="shared" si="39"/>
        <v>-0.90765550667823802</v>
      </c>
    </row>
    <row r="515" spans="4:17" ht="15" thickBot="1" x14ac:dyDescent="0.35">
      <c r="D515" s="20">
        <f t="shared" si="35"/>
        <v>509</v>
      </c>
      <c r="E515" s="20">
        <f t="shared" si="36"/>
        <v>3150</v>
      </c>
      <c r="F515" s="20">
        <f t="shared" si="37"/>
        <v>950</v>
      </c>
      <c r="G515" s="20">
        <v>0.2797010889841392</v>
      </c>
      <c r="H515" s="50"/>
      <c r="I515" s="16"/>
      <c r="J515" s="16"/>
      <c r="K515" s="16"/>
      <c r="L515" s="16"/>
      <c r="M515" s="16">
        <v>509</v>
      </c>
      <c r="N515" s="16">
        <f t="shared" si="38"/>
        <v>0.18238880918220948</v>
      </c>
      <c r="O515" s="16"/>
      <c r="P515" s="16"/>
      <c r="Q515" s="16">
        <f t="shared" si="39"/>
        <v>-0.90629899302273975</v>
      </c>
    </row>
    <row r="516" spans="4:17" ht="15" thickBot="1" x14ac:dyDescent="0.35">
      <c r="D516" s="20">
        <f t="shared" si="35"/>
        <v>510</v>
      </c>
      <c r="E516" s="20">
        <f t="shared" si="36"/>
        <v>3250</v>
      </c>
      <c r="F516" s="20">
        <f t="shared" si="37"/>
        <v>950</v>
      </c>
      <c r="G516" s="20">
        <v>0.27981404249335384</v>
      </c>
      <c r="H516" s="50"/>
      <c r="I516" s="16"/>
      <c r="J516" s="16"/>
      <c r="K516" s="16"/>
      <c r="L516" s="16"/>
      <c r="M516" s="16">
        <v>510</v>
      </c>
      <c r="N516" s="16">
        <f t="shared" si="38"/>
        <v>0.18274748923959827</v>
      </c>
      <c r="O516" s="16"/>
      <c r="P516" s="16"/>
      <c r="Q516" s="16">
        <f t="shared" si="39"/>
        <v>-0.90494414502777054</v>
      </c>
    </row>
    <row r="517" spans="4:17" ht="15" thickBot="1" x14ac:dyDescent="0.35">
      <c r="D517" s="20">
        <f t="shared" si="35"/>
        <v>511</v>
      </c>
      <c r="E517" s="20">
        <f t="shared" si="36"/>
        <v>3350</v>
      </c>
      <c r="F517" s="20">
        <f t="shared" si="37"/>
        <v>950</v>
      </c>
      <c r="G517" s="20">
        <v>0.2798330416764947</v>
      </c>
      <c r="H517" s="50"/>
      <c r="I517" s="16"/>
      <c r="J517" s="16"/>
      <c r="K517" s="16"/>
      <c r="L517" s="16"/>
      <c r="M517" s="16">
        <v>511</v>
      </c>
      <c r="N517" s="16">
        <f t="shared" si="38"/>
        <v>0.18310616929698709</v>
      </c>
      <c r="O517" s="16"/>
      <c r="P517" s="16"/>
      <c r="Q517" s="16">
        <f t="shared" si="39"/>
        <v>-0.90359095612693663</v>
      </c>
    </row>
    <row r="518" spans="4:17" ht="15" thickBot="1" x14ac:dyDescent="0.35">
      <c r="D518" s="20">
        <f t="shared" si="35"/>
        <v>512</v>
      </c>
      <c r="E518" s="20">
        <f t="shared" si="36"/>
        <v>3450</v>
      </c>
      <c r="F518" s="20">
        <f t="shared" si="37"/>
        <v>950</v>
      </c>
      <c r="G518" s="20">
        <v>0.27984252807154908</v>
      </c>
      <c r="H518" s="50"/>
      <c r="I518" s="16"/>
      <c r="J518" s="16"/>
      <c r="K518" s="16"/>
      <c r="L518" s="16"/>
      <c r="M518" s="16">
        <v>512</v>
      </c>
      <c r="N518" s="16">
        <f t="shared" si="38"/>
        <v>0.1834648493543759</v>
      </c>
      <c r="O518" s="16"/>
      <c r="P518" s="16"/>
      <c r="Q518" s="16">
        <f t="shared" si="39"/>
        <v>-0.90223941979007871</v>
      </c>
    </row>
    <row r="519" spans="4:17" ht="15" thickBot="1" x14ac:dyDescent="0.35">
      <c r="D519" s="20">
        <f t="shared" ref="D519:D582" si="40">ROW()-6</f>
        <v>513</v>
      </c>
      <c r="E519" s="20">
        <f t="shared" ref="E519:E582" si="41">(MOD(D519-1,53)*100)+50</f>
        <v>3550</v>
      </c>
      <c r="F519" s="20">
        <f t="shared" ref="F519:F582" si="42">FLOOR((D519-1)/53,1)*100+50</f>
        <v>950</v>
      </c>
      <c r="G519" s="20">
        <v>0.27987237089063288</v>
      </c>
      <c r="H519" s="50"/>
      <c r="I519" s="16"/>
      <c r="J519" s="16"/>
      <c r="K519" s="16"/>
      <c r="L519" s="16"/>
      <c r="M519" s="16">
        <v>513</v>
      </c>
      <c r="N519" s="16">
        <f t="shared" si="38"/>
        <v>0.18382352941176472</v>
      </c>
      <c r="O519" s="16"/>
      <c r="P519" s="16"/>
      <c r="Q519" s="16">
        <f t="shared" si="39"/>
        <v>-0.90088952952300361</v>
      </c>
    </row>
    <row r="520" spans="4:17" ht="15" thickBot="1" x14ac:dyDescent="0.35">
      <c r="D520" s="20">
        <f t="shared" si="40"/>
        <v>514</v>
      </c>
      <c r="E520" s="20">
        <f t="shared" si="41"/>
        <v>3650</v>
      </c>
      <c r="F520" s="20">
        <f t="shared" si="42"/>
        <v>950</v>
      </c>
      <c r="G520" s="20">
        <v>0.27991398159393061</v>
      </c>
      <c r="H520" s="50"/>
      <c r="I520" s="16"/>
      <c r="J520" s="16"/>
      <c r="K520" s="16"/>
      <c r="L520" s="16"/>
      <c r="M520" s="16">
        <v>514</v>
      </c>
      <c r="N520" s="16">
        <f t="shared" ref="N520:N583" si="43">(M520-0.5)/$L$7</f>
        <v>0.18418220946915351</v>
      </c>
      <c r="O520" s="16"/>
      <c r="P520" s="16"/>
      <c r="Q520" s="16">
        <f t="shared" ref="Q520:Q583" si="44">_xlfn.NORM.S.INV(N520)</f>
        <v>-0.89954127886720314</v>
      </c>
    </row>
    <row r="521" spans="4:17" ht="15" thickBot="1" x14ac:dyDescent="0.35">
      <c r="D521" s="20">
        <f t="shared" si="40"/>
        <v>515</v>
      </c>
      <c r="E521" s="20">
        <f t="shared" si="41"/>
        <v>3750</v>
      </c>
      <c r="F521" s="20">
        <f t="shared" si="42"/>
        <v>950</v>
      </c>
      <c r="G521" s="20">
        <v>0.28021442437657884</v>
      </c>
      <c r="H521" s="50"/>
      <c r="I521" s="16"/>
      <c r="J521" s="16"/>
      <c r="K521" s="16"/>
      <c r="L521" s="16"/>
      <c r="M521" s="16">
        <v>515</v>
      </c>
      <c r="N521" s="16">
        <f t="shared" si="43"/>
        <v>0.18454088952654232</v>
      </c>
      <c r="O521" s="16"/>
      <c r="P521" s="16"/>
      <c r="Q521" s="16">
        <f t="shared" si="44"/>
        <v>-0.89819466139959669</v>
      </c>
    </row>
    <row r="522" spans="4:17" ht="15" thickBot="1" x14ac:dyDescent="0.35">
      <c r="D522" s="20">
        <f t="shared" si="40"/>
        <v>516</v>
      </c>
      <c r="E522" s="20">
        <f t="shared" si="41"/>
        <v>3850</v>
      </c>
      <c r="F522" s="20">
        <f t="shared" si="42"/>
        <v>950</v>
      </c>
      <c r="G522" s="20">
        <v>0.28040746371977893</v>
      </c>
      <c r="H522" s="50"/>
      <c r="I522" s="16"/>
      <c r="J522" s="16"/>
      <c r="K522" s="16"/>
      <c r="L522" s="16"/>
      <c r="M522" s="16">
        <v>516</v>
      </c>
      <c r="N522" s="16">
        <f t="shared" si="43"/>
        <v>0.18489956958393114</v>
      </c>
      <c r="O522" s="16"/>
      <c r="P522" s="16"/>
      <c r="Q522" s="16">
        <f t="shared" si="44"/>
        <v>-0.89684967073224997</v>
      </c>
    </row>
    <row r="523" spans="4:17" ht="15" thickBot="1" x14ac:dyDescent="0.35">
      <c r="D523" s="20">
        <f t="shared" si="40"/>
        <v>517</v>
      </c>
      <c r="E523" s="20">
        <f t="shared" si="41"/>
        <v>3950</v>
      </c>
      <c r="F523" s="20">
        <f t="shared" si="42"/>
        <v>950</v>
      </c>
      <c r="G523" s="20">
        <v>0.28043413754630198</v>
      </c>
      <c r="H523" s="50"/>
      <c r="I523" s="16"/>
      <c r="J523" s="16"/>
      <c r="K523" s="16"/>
      <c r="L523" s="16"/>
      <c r="M523" s="16">
        <v>517</v>
      </c>
      <c r="N523" s="16">
        <f t="shared" si="43"/>
        <v>0.18525824964131996</v>
      </c>
      <c r="O523" s="16"/>
      <c r="P523" s="16"/>
      <c r="Q523" s="16">
        <f t="shared" si="44"/>
        <v>-0.89550630051212277</v>
      </c>
    </row>
    <row r="524" spans="4:17" ht="15" thickBot="1" x14ac:dyDescent="0.35">
      <c r="D524" s="20">
        <f t="shared" si="40"/>
        <v>518</v>
      </c>
      <c r="E524" s="20">
        <f t="shared" si="41"/>
        <v>4050</v>
      </c>
      <c r="F524" s="20">
        <f t="shared" si="42"/>
        <v>950</v>
      </c>
      <c r="G524" s="20">
        <v>0.28046376766836945</v>
      </c>
      <c r="H524" s="50"/>
      <c r="I524" s="16"/>
      <c r="J524" s="16"/>
      <c r="K524" s="16"/>
      <c r="L524" s="16"/>
      <c r="M524" s="16">
        <v>518</v>
      </c>
      <c r="N524" s="16">
        <f t="shared" si="43"/>
        <v>0.18561692969870874</v>
      </c>
      <c r="O524" s="16"/>
      <c r="P524" s="16"/>
      <c r="Q524" s="16">
        <f t="shared" si="44"/>
        <v>-0.89416454442079252</v>
      </c>
    </row>
    <row r="525" spans="4:17" ht="15" thickBot="1" x14ac:dyDescent="0.35">
      <c r="D525" s="20">
        <f t="shared" si="40"/>
        <v>519</v>
      </c>
      <c r="E525" s="20">
        <f t="shared" si="41"/>
        <v>4150</v>
      </c>
      <c r="F525" s="20">
        <f t="shared" si="42"/>
        <v>950</v>
      </c>
      <c r="G525" s="20">
        <v>0.2804872651438397</v>
      </c>
      <c r="H525" s="50"/>
      <c r="I525" s="16"/>
      <c r="J525" s="16"/>
      <c r="K525" s="16"/>
      <c r="L525" s="16"/>
      <c r="M525" s="16">
        <v>519</v>
      </c>
      <c r="N525" s="16">
        <f t="shared" si="43"/>
        <v>0.18597560975609756</v>
      </c>
      <c r="O525" s="16"/>
      <c r="P525" s="16"/>
      <c r="Q525" s="16">
        <f t="shared" si="44"/>
        <v>-0.89282439617420672</v>
      </c>
    </row>
    <row r="526" spans="4:17" ht="15" thickBot="1" x14ac:dyDescent="0.35">
      <c r="D526" s="20">
        <f t="shared" si="40"/>
        <v>520</v>
      </c>
      <c r="E526" s="44">
        <f t="shared" si="41"/>
        <v>4250</v>
      </c>
      <c r="F526" s="44">
        <f t="shared" si="42"/>
        <v>950</v>
      </c>
      <c r="G526" s="20">
        <v>0.28070973352686945</v>
      </c>
      <c r="H526" s="50"/>
      <c r="I526" s="16"/>
      <c r="J526" s="16"/>
      <c r="K526" s="16"/>
      <c r="L526" s="16"/>
      <c r="M526" s="16">
        <v>520</v>
      </c>
      <c r="N526" s="16">
        <f t="shared" si="43"/>
        <v>0.18633428981348638</v>
      </c>
      <c r="O526" s="16"/>
      <c r="P526" s="16"/>
      <c r="Q526" s="16">
        <f t="shared" si="44"/>
        <v>-0.89148584952241905</v>
      </c>
    </row>
    <row r="527" spans="4:17" ht="15" thickBot="1" x14ac:dyDescent="0.35">
      <c r="D527" s="20">
        <f t="shared" si="40"/>
        <v>521</v>
      </c>
      <c r="E527" s="43">
        <f t="shared" si="41"/>
        <v>4350</v>
      </c>
      <c r="F527" s="43">
        <f t="shared" si="42"/>
        <v>950</v>
      </c>
      <c r="G527" s="20">
        <v>0.28074288024376115</v>
      </c>
      <c r="H527" s="50"/>
      <c r="I527" s="16"/>
      <c r="J527" s="16"/>
      <c r="K527" s="16"/>
      <c r="L527" s="16"/>
      <c r="M527" s="16">
        <v>521</v>
      </c>
      <c r="N527" s="16">
        <f t="shared" si="43"/>
        <v>0.18669296987087519</v>
      </c>
      <c r="O527" s="16"/>
      <c r="P527" s="16"/>
      <c r="Q527" s="16">
        <f t="shared" si="44"/>
        <v>-0.89014889824933852</v>
      </c>
    </row>
    <row r="528" spans="4:17" ht="15" thickBot="1" x14ac:dyDescent="0.35">
      <c r="D528" s="20">
        <f t="shared" si="40"/>
        <v>522</v>
      </c>
      <c r="E528" s="20">
        <f t="shared" si="41"/>
        <v>4450</v>
      </c>
      <c r="F528" s="20">
        <f t="shared" si="42"/>
        <v>950</v>
      </c>
      <c r="G528" s="20">
        <v>0.28081256961358636</v>
      </c>
      <c r="H528" s="50"/>
      <c r="I528" s="16"/>
      <c r="J528" s="16"/>
      <c r="K528" s="16"/>
      <c r="L528" s="16"/>
      <c r="M528" s="16">
        <v>522</v>
      </c>
      <c r="N528" s="16">
        <f t="shared" si="43"/>
        <v>0.18705164992826398</v>
      </c>
      <c r="O528" s="16"/>
      <c r="P528" s="16"/>
      <c r="Q528" s="16">
        <f t="shared" si="44"/>
        <v>-0.88881353617246839</v>
      </c>
    </row>
    <row r="529" spans="4:17" ht="15" thickBot="1" x14ac:dyDescent="0.35">
      <c r="D529" s="20">
        <f t="shared" si="40"/>
        <v>523</v>
      </c>
      <c r="E529" s="20">
        <f t="shared" si="41"/>
        <v>4550</v>
      </c>
      <c r="F529" s="20">
        <f t="shared" si="42"/>
        <v>950</v>
      </c>
      <c r="G529" s="20">
        <v>0.28109360972345843</v>
      </c>
      <c r="H529" s="50"/>
      <c r="I529" s="16"/>
      <c r="J529" s="16"/>
      <c r="K529" s="16"/>
      <c r="L529" s="16"/>
      <c r="M529" s="16">
        <v>523</v>
      </c>
      <c r="N529" s="16">
        <f t="shared" si="43"/>
        <v>0.1874103299856528</v>
      </c>
      <c r="O529" s="16"/>
      <c r="P529" s="16"/>
      <c r="Q529" s="16">
        <f t="shared" si="44"/>
        <v>-0.88747975714266836</v>
      </c>
    </row>
    <row r="530" spans="4:17" ht="15" thickBot="1" x14ac:dyDescent="0.35">
      <c r="D530" s="20">
        <f t="shared" si="40"/>
        <v>524</v>
      </c>
      <c r="E530" s="20">
        <f t="shared" si="41"/>
        <v>4650</v>
      </c>
      <c r="F530" s="20">
        <f t="shared" si="42"/>
        <v>950</v>
      </c>
      <c r="G530" s="20">
        <v>0.28111035824489145</v>
      </c>
      <c r="H530" s="50"/>
      <c r="I530" s="16"/>
      <c r="J530" s="16"/>
      <c r="K530" s="16"/>
      <c r="L530" s="16"/>
      <c r="M530" s="16">
        <v>524</v>
      </c>
      <c r="N530" s="16">
        <f t="shared" si="43"/>
        <v>0.18776901004304161</v>
      </c>
      <c r="O530" s="16"/>
      <c r="P530" s="16"/>
      <c r="Q530" s="16">
        <f t="shared" si="44"/>
        <v>-0.88614755504389486</v>
      </c>
    </row>
    <row r="531" spans="4:17" ht="15" thickBot="1" x14ac:dyDescent="0.35">
      <c r="D531" s="20">
        <f t="shared" si="40"/>
        <v>525</v>
      </c>
      <c r="E531" s="20">
        <f t="shared" si="41"/>
        <v>4750</v>
      </c>
      <c r="F531" s="20">
        <f t="shared" si="42"/>
        <v>950</v>
      </c>
      <c r="G531" s="20">
        <v>0.28116213241895011</v>
      </c>
      <c r="H531" s="50"/>
      <c r="I531" s="16"/>
      <c r="J531" s="16"/>
      <c r="K531" s="16"/>
      <c r="L531" s="16"/>
      <c r="M531" s="16">
        <v>525</v>
      </c>
      <c r="N531" s="16">
        <f t="shared" si="43"/>
        <v>0.18812769010043043</v>
      </c>
      <c r="O531" s="16"/>
      <c r="P531" s="16"/>
      <c r="Q531" s="16">
        <f t="shared" si="44"/>
        <v>-0.8848169237929584</v>
      </c>
    </row>
    <row r="532" spans="4:17" ht="15" thickBot="1" x14ac:dyDescent="0.35">
      <c r="D532" s="20">
        <f t="shared" si="40"/>
        <v>526</v>
      </c>
      <c r="E532" s="20">
        <f t="shared" si="41"/>
        <v>4850</v>
      </c>
      <c r="F532" s="20">
        <f t="shared" si="42"/>
        <v>950</v>
      </c>
      <c r="G532" s="20">
        <v>0.28120906808046003</v>
      </c>
      <c r="H532" s="50"/>
      <c r="I532" s="16"/>
      <c r="J532" s="16"/>
      <c r="K532" s="16"/>
      <c r="L532" s="16"/>
      <c r="M532" s="16">
        <v>526</v>
      </c>
      <c r="N532" s="16">
        <f t="shared" si="43"/>
        <v>0.18848637015781922</v>
      </c>
      <c r="O532" s="16"/>
      <c r="P532" s="16"/>
      <c r="Q532" s="16">
        <f t="shared" si="44"/>
        <v>-0.88348785733928747</v>
      </c>
    </row>
    <row r="533" spans="4:17" ht="15" thickBot="1" x14ac:dyDescent="0.35">
      <c r="D533" s="20">
        <f t="shared" si="40"/>
        <v>527</v>
      </c>
      <c r="E533" s="45">
        <f t="shared" si="41"/>
        <v>4950</v>
      </c>
      <c r="F533" s="45">
        <f t="shared" si="42"/>
        <v>950</v>
      </c>
      <c r="G533" s="20">
        <v>0.28124715091729013</v>
      </c>
      <c r="H533" s="50"/>
      <c r="I533" s="16"/>
      <c r="J533" s="16"/>
      <c r="K533" s="16"/>
      <c r="L533" s="16"/>
      <c r="M533" s="16">
        <v>527</v>
      </c>
      <c r="N533" s="16">
        <f t="shared" si="43"/>
        <v>0.18884505021520803</v>
      </c>
      <c r="O533" s="16"/>
      <c r="P533" s="16"/>
      <c r="Q533" s="16">
        <f t="shared" si="44"/>
        <v>-0.88216034966467749</v>
      </c>
    </row>
    <row r="534" spans="4:17" ht="15" thickBot="1" x14ac:dyDescent="0.35">
      <c r="D534" s="20">
        <f t="shared" si="40"/>
        <v>528</v>
      </c>
      <c r="E534" s="20">
        <f t="shared" si="41"/>
        <v>5050</v>
      </c>
      <c r="F534" s="20">
        <f t="shared" si="42"/>
        <v>950</v>
      </c>
      <c r="G534" s="20">
        <v>0.28150412881338716</v>
      </c>
      <c r="H534" s="50"/>
      <c r="I534" s="16"/>
      <c r="J534" s="16"/>
      <c r="K534" s="16"/>
      <c r="L534" s="16"/>
      <c r="M534" s="16">
        <v>528</v>
      </c>
      <c r="N534" s="16">
        <f t="shared" si="43"/>
        <v>0.18920373027259685</v>
      </c>
      <c r="O534" s="16"/>
      <c r="P534" s="16"/>
      <c r="Q534" s="16">
        <f t="shared" si="44"/>
        <v>-0.8808343947830547</v>
      </c>
    </row>
    <row r="535" spans="4:17" ht="15" thickBot="1" x14ac:dyDescent="0.35">
      <c r="D535" s="20">
        <f t="shared" si="40"/>
        <v>529</v>
      </c>
      <c r="E535" s="20">
        <f t="shared" si="41"/>
        <v>5150</v>
      </c>
      <c r="F535" s="20">
        <f t="shared" si="42"/>
        <v>950</v>
      </c>
      <c r="G535" s="20">
        <v>0.28166564288090506</v>
      </c>
      <c r="H535" s="50"/>
      <c r="I535" s="16"/>
      <c r="J535" s="16"/>
      <c r="K535" s="16"/>
      <c r="L535" s="16"/>
      <c r="M535" s="16">
        <v>529</v>
      </c>
      <c r="N535" s="16">
        <f t="shared" si="43"/>
        <v>0.18956241032998566</v>
      </c>
      <c r="O535" s="16"/>
      <c r="P535" s="16"/>
      <c r="Q535" s="16">
        <f t="shared" si="44"/>
        <v>-0.87950998674024572</v>
      </c>
    </row>
    <row r="536" spans="4:17" ht="15" thickBot="1" x14ac:dyDescent="0.35">
      <c r="D536" s="20">
        <f t="shared" si="40"/>
        <v>530</v>
      </c>
      <c r="E536" s="20">
        <f t="shared" si="41"/>
        <v>5250</v>
      </c>
      <c r="F536" s="20">
        <f t="shared" si="42"/>
        <v>950</v>
      </c>
      <c r="G536" s="20">
        <v>0.28173136823279171</v>
      </c>
      <c r="H536" s="50"/>
      <c r="I536" s="16"/>
      <c r="J536" s="16"/>
      <c r="K536" s="16"/>
      <c r="L536" s="16"/>
      <c r="M536" s="16">
        <v>530</v>
      </c>
      <c r="N536" s="16">
        <f t="shared" si="43"/>
        <v>0.18992109038737445</v>
      </c>
      <c r="O536" s="16"/>
      <c r="P536" s="16"/>
      <c r="Q536" s="16">
        <f t="shared" si="44"/>
        <v>-0.8781871196137323</v>
      </c>
    </row>
    <row r="537" spans="4:17" ht="15" thickBot="1" x14ac:dyDescent="0.35">
      <c r="D537" s="20">
        <f t="shared" si="40"/>
        <v>531</v>
      </c>
      <c r="E537" s="20">
        <f t="shared" si="41"/>
        <v>50</v>
      </c>
      <c r="F537" s="20">
        <f t="shared" si="42"/>
        <v>1050</v>
      </c>
      <c r="G537" s="20">
        <v>0.28173398220593737</v>
      </c>
      <c r="H537" s="50"/>
      <c r="I537" s="16"/>
      <c r="J537" s="16"/>
      <c r="K537" s="16"/>
      <c r="L537" s="16"/>
      <c r="M537" s="16">
        <v>531</v>
      </c>
      <c r="N537" s="16">
        <f t="shared" si="43"/>
        <v>0.19027977044476327</v>
      </c>
      <c r="O537" s="16"/>
      <c r="P537" s="16"/>
      <c r="Q537" s="16">
        <f t="shared" si="44"/>
        <v>-0.8768657875124275</v>
      </c>
    </row>
    <row r="538" spans="4:17" ht="15" thickBot="1" x14ac:dyDescent="0.35">
      <c r="D538" s="20">
        <f t="shared" si="40"/>
        <v>532</v>
      </c>
      <c r="E538" s="20">
        <f t="shared" si="41"/>
        <v>150</v>
      </c>
      <c r="F538" s="20">
        <f t="shared" si="42"/>
        <v>1050</v>
      </c>
      <c r="G538" s="20">
        <v>0.28176999126824492</v>
      </c>
      <c r="H538" s="50"/>
      <c r="I538" s="16"/>
      <c r="J538" s="16"/>
      <c r="K538" s="16"/>
      <c r="L538" s="16"/>
      <c r="M538" s="16">
        <v>532</v>
      </c>
      <c r="N538" s="16">
        <f t="shared" si="43"/>
        <v>0.19063845050215208</v>
      </c>
      <c r="O538" s="16"/>
      <c r="P538" s="16"/>
      <c r="Q538" s="16">
        <f t="shared" si="44"/>
        <v>-0.87554598457644239</v>
      </c>
    </row>
    <row r="539" spans="4:17" ht="15" thickBot="1" x14ac:dyDescent="0.35">
      <c r="D539" s="20">
        <f t="shared" si="40"/>
        <v>533</v>
      </c>
      <c r="E539" s="20">
        <f t="shared" si="41"/>
        <v>250</v>
      </c>
      <c r="F539" s="20">
        <f t="shared" si="42"/>
        <v>1050</v>
      </c>
      <c r="G539" s="20">
        <v>0.28182249663805953</v>
      </c>
      <c r="H539" s="50"/>
      <c r="I539" s="16"/>
      <c r="J539" s="16"/>
      <c r="K539" s="16"/>
      <c r="L539" s="16"/>
      <c r="M539" s="16">
        <v>533</v>
      </c>
      <c r="N539" s="16">
        <f t="shared" si="43"/>
        <v>0.1909971305595409</v>
      </c>
      <c r="O539" s="16"/>
      <c r="P539" s="16"/>
      <c r="Q539" s="16">
        <f t="shared" si="44"/>
        <v>-0.87422770497685598</v>
      </c>
    </row>
    <row r="540" spans="4:17" ht="15" thickBot="1" x14ac:dyDescent="0.35">
      <c r="D540" s="20">
        <f t="shared" si="40"/>
        <v>534</v>
      </c>
      <c r="E540" s="20">
        <f t="shared" si="41"/>
        <v>350</v>
      </c>
      <c r="F540" s="20">
        <f t="shared" si="42"/>
        <v>1050</v>
      </c>
      <c r="G540" s="20">
        <v>0.28193927568798327</v>
      </c>
      <c r="H540" s="50"/>
      <c r="I540" s="16"/>
      <c r="J540" s="16"/>
      <c r="K540" s="16"/>
      <c r="L540" s="16"/>
      <c r="M540" s="16">
        <v>534</v>
      </c>
      <c r="N540" s="16">
        <f t="shared" si="43"/>
        <v>0.19135581061692969</v>
      </c>
      <c r="O540" s="16"/>
      <c r="P540" s="16"/>
      <c r="Q540" s="16">
        <f t="shared" si="44"/>
        <v>-0.87291094291549243</v>
      </c>
    </row>
    <row r="541" spans="4:17" ht="15" thickBot="1" x14ac:dyDescent="0.35">
      <c r="D541" s="20">
        <f t="shared" si="40"/>
        <v>535</v>
      </c>
      <c r="E541" s="20">
        <f t="shared" si="41"/>
        <v>450</v>
      </c>
      <c r="F541" s="20">
        <f t="shared" si="42"/>
        <v>1050</v>
      </c>
      <c r="G541" s="20">
        <v>0.28195381335119812</v>
      </c>
      <c r="H541" s="50"/>
      <c r="I541" s="16"/>
      <c r="J541" s="16"/>
      <c r="K541" s="16"/>
      <c r="L541" s="16"/>
      <c r="M541" s="16">
        <v>535</v>
      </c>
      <c r="N541" s="16">
        <f t="shared" si="43"/>
        <v>0.19171449067431851</v>
      </c>
      <c r="O541" s="16"/>
      <c r="P541" s="16"/>
      <c r="Q541" s="16">
        <f t="shared" si="44"/>
        <v>-0.87159569262469383</v>
      </c>
    </row>
    <row r="542" spans="4:17" ht="15" thickBot="1" x14ac:dyDescent="0.35">
      <c r="D542" s="20">
        <f t="shared" si="40"/>
        <v>536</v>
      </c>
      <c r="E542" s="20">
        <f t="shared" si="41"/>
        <v>550</v>
      </c>
      <c r="F542" s="20">
        <f t="shared" si="42"/>
        <v>1050</v>
      </c>
      <c r="G542" s="20">
        <v>0.2820004600177034</v>
      </c>
      <c r="H542" s="50"/>
      <c r="I542" s="16"/>
      <c r="J542" s="16"/>
      <c r="K542" s="16"/>
      <c r="L542" s="16"/>
      <c r="M542" s="16">
        <v>536</v>
      </c>
      <c r="N542" s="16">
        <f t="shared" si="43"/>
        <v>0.19207317073170732</v>
      </c>
      <c r="O542" s="16"/>
      <c r="P542" s="16"/>
      <c r="Q542" s="16">
        <f t="shared" si="44"/>
        <v>-0.87028194836710138</v>
      </c>
    </row>
    <row r="543" spans="4:17" ht="15" thickBot="1" x14ac:dyDescent="0.35">
      <c r="D543" s="20">
        <f t="shared" si="40"/>
        <v>537</v>
      </c>
      <c r="E543" s="20">
        <f t="shared" si="41"/>
        <v>650</v>
      </c>
      <c r="F543" s="20">
        <f t="shared" si="42"/>
        <v>1050</v>
      </c>
      <c r="G543" s="20">
        <v>0.28208800131905554</v>
      </c>
      <c r="H543" s="50"/>
      <c r="I543" s="16"/>
      <c r="J543" s="16"/>
      <c r="K543" s="16"/>
      <c r="L543" s="16"/>
      <c r="M543" s="16">
        <v>537</v>
      </c>
      <c r="N543" s="16">
        <f t="shared" si="43"/>
        <v>0.19243185078909614</v>
      </c>
      <c r="O543" s="16"/>
      <c r="P543" s="16"/>
      <c r="Q543" s="16">
        <f t="shared" si="44"/>
        <v>-0.86896970443543375</v>
      </c>
    </row>
    <row r="544" spans="4:17" ht="15" thickBot="1" x14ac:dyDescent="0.35">
      <c r="D544" s="20">
        <f t="shared" si="40"/>
        <v>538</v>
      </c>
      <c r="E544" s="20">
        <f t="shared" si="41"/>
        <v>750</v>
      </c>
      <c r="F544" s="20">
        <f t="shared" si="42"/>
        <v>1050</v>
      </c>
      <c r="G544" s="20">
        <v>0.28212038919024712</v>
      </c>
      <c r="H544" s="50"/>
      <c r="I544" s="16"/>
      <c r="J544" s="16"/>
      <c r="K544" s="16"/>
      <c r="L544" s="16"/>
      <c r="M544" s="16">
        <v>538</v>
      </c>
      <c r="N544" s="16">
        <f t="shared" si="43"/>
        <v>0.19279053084648493</v>
      </c>
      <c r="O544" s="16"/>
      <c r="P544" s="16"/>
      <c r="Q544" s="16">
        <f t="shared" si="44"/>
        <v>-0.86765895515226954</v>
      </c>
    </row>
    <row r="545" spans="4:17" ht="15" thickBot="1" x14ac:dyDescent="0.35">
      <c r="D545" s="20">
        <f t="shared" si="40"/>
        <v>539</v>
      </c>
      <c r="E545" s="20">
        <f t="shared" si="41"/>
        <v>850</v>
      </c>
      <c r="F545" s="20">
        <f t="shared" si="42"/>
        <v>1050</v>
      </c>
      <c r="G545" s="20">
        <v>0.28213271321944067</v>
      </c>
      <c r="H545" s="50"/>
      <c r="I545" s="16"/>
      <c r="J545" s="16"/>
      <c r="K545" s="16"/>
      <c r="L545" s="16"/>
      <c r="M545" s="16">
        <v>539</v>
      </c>
      <c r="N545" s="16">
        <f t="shared" si="43"/>
        <v>0.19314921090387374</v>
      </c>
      <c r="O545" s="16"/>
      <c r="P545" s="16"/>
      <c r="Q545" s="16">
        <f t="shared" si="44"/>
        <v>-0.86634969486982716</v>
      </c>
    </row>
    <row r="546" spans="4:17" ht="15" thickBot="1" x14ac:dyDescent="0.35">
      <c r="D546" s="20">
        <f t="shared" si="40"/>
        <v>540</v>
      </c>
      <c r="E546" s="20">
        <f t="shared" si="41"/>
        <v>950</v>
      </c>
      <c r="F546" s="20">
        <f t="shared" si="42"/>
        <v>1050</v>
      </c>
      <c r="G546" s="20">
        <v>0.28215049117533891</v>
      </c>
      <c r="H546" s="50"/>
      <c r="I546" s="16"/>
      <c r="J546" s="16"/>
      <c r="K546" s="16"/>
      <c r="L546" s="16"/>
      <c r="M546" s="16">
        <v>540</v>
      </c>
      <c r="N546" s="16">
        <f t="shared" si="43"/>
        <v>0.19350789096126256</v>
      </c>
      <c r="O546" s="16"/>
      <c r="P546" s="16"/>
      <c r="Q546" s="16">
        <f t="shared" si="44"/>
        <v>-0.86504191796976004</v>
      </c>
    </row>
    <row r="547" spans="4:17" ht="15" thickBot="1" x14ac:dyDescent="0.35">
      <c r="D547" s="20">
        <f t="shared" si="40"/>
        <v>541</v>
      </c>
      <c r="E547" s="20">
        <f t="shared" si="41"/>
        <v>1050</v>
      </c>
      <c r="F547" s="20">
        <f t="shared" si="42"/>
        <v>1050</v>
      </c>
      <c r="G547" s="20">
        <v>0.28226816323777981</v>
      </c>
      <c r="H547" s="50"/>
      <c r="I547" s="16"/>
      <c r="J547" s="16"/>
      <c r="K547" s="16"/>
      <c r="L547" s="16"/>
      <c r="M547" s="16">
        <v>541</v>
      </c>
      <c r="N547" s="16">
        <f t="shared" si="43"/>
        <v>0.19386657101865137</v>
      </c>
      <c r="O547" s="16"/>
      <c r="P547" s="16"/>
      <c r="Q547" s="16">
        <f t="shared" si="44"/>
        <v>-0.8637356188629367</v>
      </c>
    </row>
    <row r="548" spans="4:17" ht="15" thickBot="1" x14ac:dyDescent="0.35">
      <c r="D548" s="20">
        <f t="shared" si="40"/>
        <v>542</v>
      </c>
      <c r="E548" s="20">
        <f t="shared" si="41"/>
        <v>1150</v>
      </c>
      <c r="F548" s="20">
        <f t="shared" si="42"/>
        <v>1050</v>
      </c>
      <c r="G548" s="20">
        <v>0.28254202061471961</v>
      </c>
      <c r="H548" s="50"/>
      <c r="I548" s="16"/>
      <c r="J548" s="16"/>
      <c r="K548" s="16"/>
      <c r="L548" s="16"/>
      <c r="M548" s="16">
        <v>542</v>
      </c>
      <c r="N548" s="16">
        <f t="shared" si="43"/>
        <v>0.19422525107604016</v>
      </c>
      <c r="O548" s="16"/>
      <c r="P548" s="16"/>
      <c r="Q548" s="16">
        <f t="shared" si="44"/>
        <v>-0.86243079198923167</v>
      </c>
    </row>
    <row r="549" spans="4:17" ht="15" thickBot="1" x14ac:dyDescent="0.35">
      <c r="D549" s="20">
        <f t="shared" si="40"/>
        <v>543</v>
      </c>
      <c r="E549" s="20">
        <f t="shared" si="41"/>
        <v>1250</v>
      </c>
      <c r="F549" s="20">
        <f t="shared" si="42"/>
        <v>1050</v>
      </c>
      <c r="G549" s="20">
        <v>0.28260722083043061</v>
      </c>
      <c r="H549" s="50"/>
      <c r="I549" s="16"/>
      <c r="J549" s="16"/>
      <c r="K549" s="16"/>
      <c r="L549" s="16"/>
      <c r="M549" s="16">
        <v>543</v>
      </c>
      <c r="N549" s="16">
        <f t="shared" si="43"/>
        <v>0.19458393113342898</v>
      </c>
      <c r="O549" s="16"/>
      <c r="P549" s="16"/>
      <c r="Q549" s="16">
        <f t="shared" si="44"/>
        <v>-0.86112743181731921</v>
      </c>
    </row>
    <row r="550" spans="4:17" ht="15" thickBot="1" x14ac:dyDescent="0.35">
      <c r="D550" s="20">
        <f t="shared" si="40"/>
        <v>544</v>
      </c>
      <c r="E550" s="20">
        <f t="shared" si="41"/>
        <v>1350</v>
      </c>
      <c r="F550" s="20">
        <f t="shared" si="42"/>
        <v>1050</v>
      </c>
      <c r="G550" s="20">
        <v>0.28294923915977671</v>
      </c>
      <c r="H550" s="50"/>
      <c r="I550" s="16"/>
      <c r="J550" s="16"/>
      <c r="K550" s="16"/>
      <c r="L550" s="16"/>
      <c r="M550" s="16">
        <v>544</v>
      </c>
      <c r="N550" s="16">
        <f t="shared" si="43"/>
        <v>0.19494261119081779</v>
      </c>
      <c r="O550" s="16"/>
      <c r="P550" s="16"/>
      <c r="Q550" s="16">
        <f t="shared" si="44"/>
        <v>-0.85982553284446583</v>
      </c>
    </row>
    <row r="551" spans="4:17" ht="15" thickBot="1" x14ac:dyDescent="0.35">
      <c r="D551" s="20">
        <f t="shared" si="40"/>
        <v>545</v>
      </c>
      <c r="E551" s="20">
        <f t="shared" si="41"/>
        <v>1450</v>
      </c>
      <c r="F551" s="20">
        <f t="shared" si="42"/>
        <v>1050</v>
      </c>
      <c r="G551" s="20">
        <v>0.28295931249905693</v>
      </c>
      <c r="H551" s="50"/>
      <c r="I551" s="16"/>
      <c r="J551" s="16"/>
      <c r="K551" s="16"/>
      <c r="L551" s="16"/>
      <c r="M551" s="16">
        <v>545</v>
      </c>
      <c r="N551" s="16">
        <f t="shared" si="43"/>
        <v>0.19530129124820661</v>
      </c>
      <c r="O551" s="16"/>
      <c r="P551" s="16"/>
      <c r="Q551" s="16">
        <f t="shared" si="44"/>
        <v>-0.85852508959632723</v>
      </c>
    </row>
    <row r="552" spans="4:17" ht="15" thickBot="1" x14ac:dyDescent="0.35">
      <c r="D552" s="20">
        <f t="shared" si="40"/>
        <v>546</v>
      </c>
      <c r="E552" s="20">
        <f t="shared" si="41"/>
        <v>1550</v>
      </c>
      <c r="F552" s="20">
        <f t="shared" si="42"/>
        <v>1050</v>
      </c>
      <c r="G552" s="20">
        <v>0.28316127599286156</v>
      </c>
      <c r="H552" s="50"/>
      <c r="I552" s="16"/>
      <c r="J552" s="16"/>
      <c r="K552" s="16"/>
      <c r="L552" s="16"/>
      <c r="M552" s="16">
        <v>546</v>
      </c>
      <c r="N552" s="16">
        <f t="shared" si="43"/>
        <v>0.1956599713055954</v>
      </c>
      <c r="O552" s="16"/>
      <c r="P552" s="16"/>
      <c r="Q552" s="16">
        <f t="shared" si="44"/>
        <v>-0.85722609662674065</v>
      </c>
    </row>
    <row r="553" spans="4:17" ht="15" thickBot="1" x14ac:dyDescent="0.35">
      <c r="D553" s="20">
        <f t="shared" si="40"/>
        <v>547</v>
      </c>
      <c r="E553" s="20">
        <f t="shared" si="41"/>
        <v>1650</v>
      </c>
      <c r="F553" s="20">
        <f t="shared" si="42"/>
        <v>1050</v>
      </c>
      <c r="G553" s="20">
        <v>0.28330436733192721</v>
      </c>
      <c r="H553" s="50"/>
      <c r="I553" s="16"/>
      <c r="J553" s="16"/>
      <c r="K553" s="16"/>
      <c r="L553" s="16"/>
      <c r="M553" s="16">
        <v>547</v>
      </c>
      <c r="N553" s="16">
        <f t="shared" si="43"/>
        <v>0.19601865136298421</v>
      </c>
      <c r="O553" s="16"/>
      <c r="P553" s="16"/>
      <c r="Q553" s="16">
        <f t="shared" si="44"/>
        <v>-0.85592854851753331</v>
      </c>
    </row>
    <row r="554" spans="4:17" ht="15" thickBot="1" x14ac:dyDescent="0.35">
      <c r="D554" s="20">
        <f t="shared" si="40"/>
        <v>548</v>
      </c>
      <c r="E554" s="20">
        <f t="shared" si="41"/>
        <v>1750</v>
      </c>
      <c r="F554" s="20">
        <f t="shared" si="42"/>
        <v>1050</v>
      </c>
      <c r="G554" s="20">
        <v>0.28351796311368116</v>
      </c>
      <c r="H554" s="50"/>
      <c r="I554" s="16"/>
      <c r="J554" s="16"/>
      <c r="K554" s="16"/>
      <c r="L554" s="16"/>
      <c r="M554" s="16">
        <v>548</v>
      </c>
      <c r="N554" s="16">
        <f t="shared" si="43"/>
        <v>0.19637733142037303</v>
      </c>
      <c r="O554" s="16"/>
      <c r="P554" s="16"/>
      <c r="Q554" s="16">
        <f t="shared" si="44"/>
        <v>-0.8546324398783105</v>
      </c>
    </row>
    <row r="555" spans="4:17" ht="15" thickBot="1" x14ac:dyDescent="0.35">
      <c r="D555" s="20">
        <f t="shared" si="40"/>
        <v>549</v>
      </c>
      <c r="E555" s="20">
        <f t="shared" si="41"/>
        <v>1850</v>
      </c>
      <c r="F555" s="20">
        <f t="shared" si="42"/>
        <v>1050</v>
      </c>
      <c r="G555" s="20">
        <v>0.28378091120816906</v>
      </c>
      <c r="H555" s="50"/>
      <c r="I555" s="16"/>
      <c r="J555" s="16"/>
      <c r="K555" s="16"/>
      <c r="L555" s="16"/>
      <c r="M555" s="16">
        <v>549</v>
      </c>
      <c r="N555" s="16">
        <f t="shared" si="43"/>
        <v>0.19673601147776185</v>
      </c>
      <c r="O555" s="16"/>
      <c r="P555" s="16"/>
      <c r="Q555" s="16">
        <f t="shared" si="44"/>
        <v>-0.85333776534626893</v>
      </c>
    </row>
    <row r="556" spans="4:17" ht="15" thickBot="1" x14ac:dyDescent="0.35">
      <c r="D556" s="20">
        <f t="shared" si="40"/>
        <v>550</v>
      </c>
      <c r="E556" s="20">
        <f t="shared" si="41"/>
        <v>1950</v>
      </c>
      <c r="F556" s="20">
        <f t="shared" si="42"/>
        <v>1050</v>
      </c>
      <c r="G556" s="20">
        <v>0.28390587079135282</v>
      </c>
      <c r="H556" s="50"/>
      <c r="I556" s="16"/>
      <c r="J556" s="16"/>
      <c r="K556" s="16"/>
      <c r="L556" s="16"/>
      <c r="M556" s="16">
        <v>550</v>
      </c>
      <c r="N556" s="16">
        <f t="shared" si="43"/>
        <v>0.19709469153515063</v>
      </c>
      <c r="O556" s="16"/>
      <c r="P556" s="16"/>
      <c r="Q556" s="16">
        <f t="shared" si="44"/>
        <v>-0.85204451958599536</v>
      </c>
    </row>
    <row r="557" spans="4:17" ht="15" thickBot="1" x14ac:dyDescent="0.35">
      <c r="D557" s="20">
        <f t="shared" si="40"/>
        <v>551</v>
      </c>
      <c r="E557" s="20">
        <f t="shared" si="41"/>
        <v>2050</v>
      </c>
      <c r="F557" s="20">
        <f t="shared" si="42"/>
        <v>1050</v>
      </c>
      <c r="G557" s="20">
        <v>0.28393389842785477</v>
      </c>
      <c r="H557" s="50"/>
      <c r="I557" s="16"/>
      <c r="J557" s="16"/>
      <c r="K557" s="16"/>
      <c r="L557" s="16"/>
      <c r="M557" s="16">
        <v>551</v>
      </c>
      <c r="N557" s="16">
        <f t="shared" si="43"/>
        <v>0.19745337159253945</v>
      </c>
      <c r="O557" s="16"/>
      <c r="P557" s="16"/>
      <c r="Q557" s="16">
        <f t="shared" si="44"/>
        <v>-0.85075269728927749</v>
      </c>
    </row>
    <row r="558" spans="4:17" ht="15" thickBot="1" x14ac:dyDescent="0.35">
      <c r="D558" s="20">
        <f t="shared" si="40"/>
        <v>552</v>
      </c>
      <c r="E558" s="20">
        <f t="shared" si="41"/>
        <v>2150</v>
      </c>
      <c r="F558" s="20">
        <f t="shared" si="42"/>
        <v>1050</v>
      </c>
      <c r="G558" s="20">
        <v>0.28413227199863822</v>
      </c>
      <c r="H558" s="50"/>
      <c r="I558" s="16"/>
      <c r="J558" s="16"/>
      <c r="K558" s="16"/>
      <c r="L558" s="16"/>
      <c r="M558" s="16">
        <v>552</v>
      </c>
      <c r="N558" s="16">
        <f t="shared" si="43"/>
        <v>0.19781205164992827</v>
      </c>
      <c r="O558" s="16"/>
      <c r="P558" s="16"/>
      <c r="Q558" s="16">
        <f t="shared" si="44"/>
        <v>-0.84946229317490396</v>
      </c>
    </row>
    <row r="559" spans="4:17" ht="15" thickBot="1" x14ac:dyDescent="0.35">
      <c r="D559" s="20">
        <f t="shared" si="40"/>
        <v>553</v>
      </c>
      <c r="E559" s="20">
        <f t="shared" si="41"/>
        <v>2250</v>
      </c>
      <c r="F559" s="20">
        <f t="shared" si="42"/>
        <v>1050</v>
      </c>
      <c r="G559" s="20">
        <v>0.28418234276013676</v>
      </c>
      <c r="H559" s="50"/>
      <c r="I559" s="16"/>
      <c r="J559" s="16"/>
      <c r="K559" s="16"/>
      <c r="L559" s="16"/>
      <c r="M559" s="16">
        <v>553</v>
      </c>
      <c r="N559" s="16">
        <f t="shared" si="43"/>
        <v>0.19817073170731708</v>
      </c>
      <c r="O559" s="16"/>
      <c r="P559" s="16"/>
      <c r="Q559" s="16">
        <f t="shared" si="44"/>
        <v>-0.84817330198848184</v>
      </c>
    </row>
    <row r="560" spans="4:17" ht="15" thickBot="1" x14ac:dyDescent="0.35">
      <c r="D560" s="20">
        <f t="shared" si="40"/>
        <v>554</v>
      </c>
      <c r="E560" s="20">
        <f t="shared" si="41"/>
        <v>2350</v>
      </c>
      <c r="F560" s="20">
        <f t="shared" si="42"/>
        <v>1050</v>
      </c>
      <c r="G560" s="20">
        <v>0.28431685712213051</v>
      </c>
      <c r="H560" s="50"/>
      <c r="I560" s="16"/>
      <c r="J560" s="16"/>
      <c r="K560" s="16"/>
      <c r="L560" s="16"/>
      <c r="M560" s="16">
        <v>554</v>
      </c>
      <c r="N560" s="16">
        <f t="shared" si="43"/>
        <v>0.19852941176470587</v>
      </c>
      <c r="O560" s="16"/>
      <c r="P560" s="16"/>
      <c r="Q560" s="16">
        <f t="shared" si="44"/>
        <v>-0.84688571850224492</v>
      </c>
    </row>
    <row r="561" spans="4:17" ht="15" thickBot="1" x14ac:dyDescent="0.35">
      <c r="D561" s="20">
        <f t="shared" si="40"/>
        <v>555</v>
      </c>
      <c r="E561" s="20">
        <f t="shared" si="41"/>
        <v>2450</v>
      </c>
      <c r="F561" s="20">
        <f t="shared" si="42"/>
        <v>1050</v>
      </c>
      <c r="G561" s="20">
        <v>0.28431768974935123</v>
      </c>
      <c r="H561" s="50"/>
      <c r="I561" s="16"/>
      <c r="J561" s="16"/>
      <c r="K561" s="16"/>
      <c r="L561" s="16"/>
      <c r="M561" s="16">
        <v>555</v>
      </c>
      <c r="N561" s="16">
        <f t="shared" si="43"/>
        <v>0.19888809182209469</v>
      </c>
      <c r="O561" s="16"/>
      <c r="P561" s="16"/>
      <c r="Q561" s="16">
        <f t="shared" si="44"/>
        <v>-0.8455995375148615</v>
      </c>
    </row>
    <row r="562" spans="4:17" ht="15" thickBot="1" x14ac:dyDescent="0.35">
      <c r="D562" s="20">
        <f t="shared" si="40"/>
        <v>556</v>
      </c>
      <c r="E562" s="20">
        <f t="shared" si="41"/>
        <v>2550</v>
      </c>
      <c r="F562" s="20">
        <f t="shared" si="42"/>
        <v>1050</v>
      </c>
      <c r="G562" s="20">
        <v>0.28435222910566754</v>
      </c>
      <c r="H562" s="50"/>
      <c r="I562" s="16"/>
      <c r="J562" s="16"/>
      <c r="K562" s="16"/>
      <c r="L562" s="16"/>
      <c r="M562" s="16">
        <v>556</v>
      </c>
      <c r="N562" s="16">
        <f t="shared" si="43"/>
        <v>0.1992467718794835</v>
      </c>
      <c r="O562" s="16"/>
      <c r="P562" s="16"/>
      <c r="Q562" s="16">
        <f t="shared" si="44"/>
        <v>-0.84431475385125954</v>
      </c>
    </row>
    <row r="563" spans="4:17" ht="15" thickBot="1" x14ac:dyDescent="0.35">
      <c r="D563" s="20">
        <f t="shared" si="40"/>
        <v>557</v>
      </c>
      <c r="E563" s="20">
        <f t="shared" si="41"/>
        <v>2650</v>
      </c>
      <c r="F563" s="20">
        <f t="shared" si="42"/>
        <v>1050</v>
      </c>
      <c r="G563" s="20">
        <v>0.28450312038535241</v>
      </c>
      <c r="H563" s="50"/>
      <c r="I563" s="16"/>
      <c r="J563" s="16"/>
      <c r="K563" s="16"/>
      <c r="L563" s="16"/>
      <c r="M563" s="16">
        <v>557</v>
      </c>
      <c r="N563" s="16">
        <f t="shared" si="43"/>
        <v>0.19960545193687232</v>
      </c>
      <c r="O563" s="16"/>
      <c r="P563" s="16"/>
      <c r="Q563" s="16">
        <f t="shared" si="44"/>
        <v>-0.84303136236243192</v>
      </c>
    </row>
    <row r="564" spans="4:17" ht="15" thickBot="1" x14ac:dyDescent="0.35">
      <c r="D564" s="20">
        <f t="shared" si="40"/>
        <v>558</v>
      </c>
      <c r="E564" s="20">
        <f t="shared" si="41"/>
        <v>2750</v>
      </c>
      <c r="F564" s="20">
        <f t="shared" si="42"/>
        <v>1050</v>
      </c>
      <c r="G564" s="20">
        <v>0.28451848763144738</v>
      </c>
      <c r="H564" s="50"/>
      <c r="I564" s="16"/>
      <c r="J564" s="16"/>
      <c r="K564" s="16"/>
      <c r="L564" s="16"/>
      <c r="M564" s="16">
        <v>558</v>
      </c>
      <c r="N564" s="16">
        <f t="shared" si="43"/>
        <v>0.19996413199426111</v>
      </c>
      <c r="O564" s="16"/>
      <c r="P564" s="16"/>
      <c r="Q564" s="16">
        <f t="shared" si="44"/>
        <v>-0.8417493579252624</v>
      </c>
    </row>
    <row r="565" spans="4:17" ht="15" thickBot="1" x14ac:dyDescent="0.35">
      <c r="D565" s="20">
        <f t="shared" si="40"/>
        <v>559</v>
      </c>
      <c r="E565" s="20">
        <f t="shared" si="41"/>
        <v>2850</v>
      </c>
      <c r="F565" s="20">
        <f t="shared" si="42"/>
        <v>1050</v>
      </c>
      <c r="G565" s="20">
        <v>0.28453440741015601</v>
      </c>
      <c r="H565" s="50"/>
      <c r="I565" s="16"/>
      <c r="J565" s="16"/>
      <c r="K565" s="16"/>
      <c r="L565" s="16"/>
      <c r="M565" s="16">
        <v>559</v>
      </c>
      <c r="N565" s="16">
        <f t="shared" si="43"/>
        <v>0.20032281205164992</v>
      </c>
      <c r="O565" s="16"/>
      <c r="P565" s="16"/>
      <c r="Q565" s="16">
        <f t="shared" si="44"/>
        <v>-0.84046873544233791</v>
      </c>
    </row>
    <row r="566" spans="4:17" ht="15" thickBot="1" x14ac:dyDescent="0.35">
      <c r="D566" s="20">
        <f t="shared" si="40"/>
        <v>560</v>
      </c>
      <c r="E566" s="20">
        <f t="shared" si="41"/>
        <v>2950</v>
      </c>
      <c r="F566" s="20">
        <f t="shared" si="42"/>
        <v>1050</v>
      </c>
      <c r="G566" s="20">
        <v>0.28461212390414731</v>
      </c>
      <c r="H566" s="50"/>
      <c r="I566" s="16"/>
      <c r="J566" s="16"/>
      <c r="K566" s="16"/>
      <c r="L566" s="16"/>
      <c r="M566" s="16">
        <v>560</v>
      </c>
      <c r="N566" s="16">
        <f t="shared" si="43"/>
        <v>0.20068149210903874</v>
      </c>
      <c r="O566" s="16"/>
      <c r="P566" s="16"/>
      <c r="Q566" s="16">
        <f t="shared" si="44"/>
        <v>-0.83918948984177677</v>
      </c>
    </row>
    <row r="567" spans="4:17" ht="15" thickBot="1" x14ac:dyDescent="0.35">
      <c r="D567" s="20">
        <f t="shared" si="40"/>
        <v>561</v>
      </c>
      <c r="E567" s="20">
        <f t="shared" si="41"/>
        <v>3050</v>
      </c>
      <c r="F567" s="20">
        <f t="shared" si="42"/>
        <v>1050</v>
      </c>
      <c r="G567" s="20">
        <v>0.28475186217583714</v>
      </c>
      <c r="H567" s="50"/>
      <c r="I567" s="16"/>
      <c r="J567" s="16"/>
      <c r="K567" s="16"/>
      <c r="L567" s="16"/>
      <c r="M567" s="16">
        <v>561</v>
      </c>
      <c r="N567" s="16">
        <f t="shared" si="43"/>
        <v>0.20104017216642756</v>
      </c>
      <c r="O567" s="16"/>
      <c r="P567" s="16"/>
      <c r="Q567" s="16">
        <f t="shared" si="44"/>
        <v>-0.83791161607704512</v>
      </c>
    </row>
    <row r="568" spans="4:17" ht="15" thickBot="1" x14ac:dyDescent="0.35">
      <c r="D568" s="20">
        <f t="shared" si="40"/>
        <v>562</v>
      </c>
      <c r="E568" s="20">
        <f t="shared" si="41"/>
        <v>3150</v>
      </c>
      <c r="F568" s="20">
        <f t="shared" si="42"/>
        <v>1050</v>
      </c>
      <c r="G568" s="20">
        <v>0.28491629618148895</v>
      </c>
      <c r="H568" s="50"/>
      <c r="I568" s="16"/>
      <c r="J568" s="16"/>
      <c r="K568" s="16"/>
      <c r="L568" s="16"/>
      <c r="M568" s="16">
        <v>562</v>
      </c>
      <c r="N568" s="16">
        <f t="shared" si="43"/>
        <v>0.20139885222381634</v>
      </c>
      <c r="O568" s="16"/>
      <c r="P568" s="16"/>
      <c r="Q568" s="16">
        <f t="shared" si="44"/>
        <v>-0.8366351091267803</v>
      </c>
    </row>
    <row r="569" spans="4:17" ht="15" thickBot="1" x14ac:dyDescent="0.35">
      <c r="D569" s="20">
        <f t="shared" si="40"/>
        <v>563</v>
      </c>
      <c r="E569" s="20">
        <f t="shared" si="41"/>
        <v>3250</v>
      </c>
      <c r="F569" s="20">
        <f t="shared" si="42"/>
        <v>1050</v>
      </c>
      <c r="G569" s="20">
        <v>0.28493859609885475</v>
      </c>
      <c r="H569" s="50"/>
      <c r="I569" s="16"/>
      <c r="J569" s="16"/>
      <c r="K569" s="16"/>
      <c r="L569" s="16"/>
      <c r="M569" s="16">
        <v>563</v>
      </c>
      <c r="N569" s="16">
        <f t="shared" si="43"/>
        <v>0.20175753228120516</v>
      </c>
      <c r="O569" s="16"/>
      <c r="P569" s="16"/>
      <c r="Q569" s="16">
        <f t="shared" si="44"/>
        <v>-0.8353599639946242</v>
      </c>
    </row>
    <row r="570" spans="4:17" ht="15" thickBot="1" x14ac:dyDescent="0.35">
      <c r="D570" s="20">
        <f t="shared" si="40"/>
        <v>564</v>
      </c>
      <c r="E570" s="20">
        <f t="shared" si="41"/>
        <v>3350</v>
      </c>
      <c r="F570" s="20">
        <f t="shared" si="42"/>
        <v>1050</v>
      </c>
      <c r="G570" s="20">
        <v>0.2849839764400342</v>
      </c>
      <c r="H570" s="50"/>
      <c r="I570" s="16"/>
      <c r="J570" s="16"/>
      <c r="K570" s="16"/>
      <c r="L570" s="16"/>
      <c r="M570" s="16">
        <v>564</v>
      </c>
      <c r="N570" s="16">
        <f t="shared" si="43"/>
        <v>0.20211621233859398</v>
      </c>
      <c r="O570" s="16"/>
      <c r="P570" s="16"/>
      <c r="Q570" s="16">
        <f t="shared" si="44"/>
        <v>-0.8340861757090422</v>
      </c>
    </row>
    <row r="571" spans="4:17" ht="15" thickBot="1" x14ac:dyDescent="0.35">
      <c r="D571" s="20">
        <f t="shared" si="40"/>
        <v>565</v>
      </c>
      <c r="E571" s="20">
        <f t="shared" si="41"/>
        <v>3450</v>
      </c>
      <c r="F571" s="20">
        <f t="shared" si="42"/>
        <v>1050</v>
      </c>
      <c r="G571" s="20">
        <v>0.28525843280232649</v>
      </c>
      <c r="H571" s="50"/>
      <c r="I571" s="16"/>
      <c r="J571" s="16"/>
      <c r="K571" s="16"/>
      <c r="L571" s="16"/>
      <c r="M571" s="16">
        <v>565</v>
      </c>
      <c r="N571" s="16">
        <f t="shared" si="43"/>
        <v>0.20247489239598279</v>
      </c>
      <c r="O571" s="16"/>
      <c r="P571" s="16"/>
      <c r="Q571" s="16">
        <f t="shared" si="44"/>
        <v>-0.8328137393231565</v>
      </c>
    </row>
    <row r="572" spans="4:17" ht="15" thickBot="1" x14ac:dyDescent="0.35">
      <c r="D572" s="20">
        <f t="shared" si="40"/>
        <v>566</v>
      </c>
      <c r="E572" s="20">
        <f t="shared" si="41"/>
        <v>3550</v>
      </c>
      <c r="F572" s="20">
        <f t="shared" si="42"/>
        <v>1050</v>
      </c>
      <c r="G572" s="20">
        <v>0.28560835896395864</v>
      </c>
      <c r="H572" s="50"/>
      <c r="I572" s="16"/>
      <c r="J572" s="16"/>
      <c r="K572" s="16"/>
      <c r="L572" s="16"/>
      <c r="M572" s="16">
        <v>566</v>
      </c>
      <c r="N572" s="16">
        <f t="shared" si="43"/>
        <v>0.20283357245337158</v>
      </c>
      <c r="O572" s="16"/>
      <c r="P572" s="16"/>
      <c r="Q572" s="16">
        <f t="shared" si="44"/>
        <v>-0.83154264991456917</v>
      </c>
    </row>
    <row r="573" spans="4:17" ht="15" thickBot="1" x14ac:dyDescent="0.35">
      <c r="D573" s="20">
        <f t="shared" si="40"/>
        <v>567</v>
      </c>
      <c r="E573" s="20">
        <f t="shared" si="41"/>
        <v>3650</v>
      </c>
      <c r="F573" s="20">
        <f t="shared" si="42"/>
        <v>1050</v>
      </c>
      <c r="G573" s="20">
        <v>0.28588382104421284</v>
      </c>
      <c r="H573" s="50"/>
      <c r="I573" s="16"/>
      <c r="J573" s="16"/>
      <c r="K573" s="16"/>
      <c r="L573" s="16"/>
      <c r="M573" s="16">
        <v>567</v>
      </c>
      <c r="N573" s="16">
        <f t="shared" si="43"/>
        <v>0.2031922525107604</v>
      </c>
      <c r="O573" s="16"/>
      <c r="P573" s="16"/>
      <c r="Q573" s="16">
        <f t="shared" si="44"/>
        <v>-0.83027290258520536</v>
      </c>
    </row>
    <row r="574" spans="4:17" ht="15" thickBot="1" x14ac:dyDescent="0.35">
      <c r="D574" s="20">
        <f t="shared" si="40"/>
        <v>568</v>
      </c>
      <c r="E574" s="20">
        <f t="shared" si="41"/>
        <v>3750</v>
      </c>
      <c r="F574" s="20">
        <f t="shared" si="42"/>
        <v>1050</v>
      </c>
      <c r="G574" s="20">
        <v>0.28590708599510067</v>
      </c>
      <c r="H574" s="50"/>
      <c r="I574" s="16"/>
      <c r="J574" s="16"/>
      <c r="K574" s="16"/>
      <c r="L574" s="16"/>
      <c r="M574" s="16">
        <v>568</v>
      </c>
      <c r="N574" s="16">
        <f t="shared" si="43"/>
        <v>0.20355093256814921</v>
      </c>
      <c r="O574" s="16"/>
      <c r="P574" s="16"/>
      <c r="Q574" s="16">
        <f t="shared" si="44"/>
        <v>-0.82900449246113384</v>
      </c>
    </row>
    <row r="575" spans="4:17" ht="15" thickBot="1" x14ac:dyDescent="0.35">
      <c r="D575" s="20">
        <f t="shared" si="40"/>
        <v>569</v>
      </c>
      <c r="E575" s="20">
        <f t="shared" si="41"/>
        <v>3850</v>
      </c>
      <c r="F575" s="20">
        <f t="shared" si="42"/>
        <v>1050</v>
      </c>
      <c r="G575" s="20">
        <v>0.28599166254357933</v>
      </c>
      <c r="H575" s="50"/>
      <c r="I575" s="16"/>
      <c r="J575" s="16"/>
      <c r="K575" s="16"/>
      <c r="L575" s="16"/>
      <c r="M575" s="16">
        <v>569</v>
      </c>
      <c r="N575" s="16">
        <f t="shared" si="43"/>
        <v>0.20390961262553803</v>
      </c>
      <c r="O575" s="16"/>
      <c r="P575" s="16"/>
      <c r="Q575" s="16">
        <f t="shared" si="44"/>
        <v>-0.82773741469241069</v>
      </c>
    </row>
    <row r="576" spans="4:17" ht="15" thickBot="1" x14ac:dyDescent="0.35">
      <c r="D576" s="20">
        <f t="shared" si="40"/>
        <v>570</v>
      </c>
      <c r="E576" s="20">
        <f t="shared" si="41"/>
        <v>3950</v>
      </c>
      <c r="F576" s="20">
        <f t="shared" si="42"/>
        <v>1050</v>
      </c>
      <c r="G576" s="20">
        <v>0.28606286169569217</v>
      </c>
      <c r="H576" s="50"/>
      <c r="I576" s="16"/>
      <c r="J576" s="16"/>
      <c r="K576" s="16"/>
      <c r="L576" s="16"/>
      <c r="M576" s="16">
        <v>570</v>
      </c>
      <c r="N576" s="16">
        <f t="shared" si="43"/>
        <v>0.20426829268292682</v>
      </c>
      <c r="O576" s="16"/>
      <c r="P576" s="16"/>
      <c r="Q576" s="16">
        <f t="shared" si="44"/>
        <v>-0.82647166445290965</v>
      </c>
    </row>
    <row r="577" spans="4:17" ht="15" thickBot="1" x14ac:dyDescent="0.35">
      <c r="D577" s="20">
        <f t="shared" si="40"/>
        <v>571</v>
      </c>
      <c r="E577" s="20">
        <f t="shared" si="41"/>
        <v>4050</v>
      </c>
      <c r="F577" s="20">
        <f t="shared" si="42"/>
        <v>1050</v>
      </c>
      <c r="G577" s="20">
        <v>0.28610799074183146</v>
      </c>
      <c r="H577" s="50"/>
      <c r="I577" s="16"/>
      <c r="J577" s="16"/>
      <c r="K577" s="16"/>
      <c r="L577" s="16"/>
      <c r="M577" s="16">
        <v>571</v>
      </c>
      <c r="N577" s="16">
        <f t="shared" si="43"/>
        <v>0.20462697274031563</v>
      </c>
      <c r="O577" s="16"/>
      <c r="P577" s="16"/>
      <c r="Q577" s="16">
        <f t="shared" si="44"/>
        <v>-0.8252072369401583</v>
      </c>
    </row>
    <row r="578" spans="4:17" ht="15" thickBot="1" x14ac:dyDescent="0.35">
      <c r="D578" s="20">
        <f t="shared" si="40"/>
        <v>572</v>
      </c>
      <c r="E578" s="20">
        <f t="shared" si="41"/>
        <v>4150</v>
      </c>
      <c r="F578" s="20">
        <f t="shared" si="42"/>
        <v>1050</v>
      </c>
      <c r="G578" s="20">
        <v>0.28612918844498519</v>
      </c>
      <c r="H578" s="50"/>
      <c r="I578" s="16"/>
      <c r="J578" s="16"/>
      <c r="K578" s="16"/>
      <c r="L578" s="16"/>
      <c r="M578" s="16">
        <v>572</v>
      </c>
      <c r="N578" s="16">
        <f t="shared" si="43"/>
        <v>0.20498565279770445</v>
      </c>
      <c r="O578" s="16"/>
      <c r="P578" s="16"/>
      <c r="Q578" s="16">
        <f t="shared" si="44"/>
        <v>-0.82394412737518585</v>
      </c>
    </row>
    <row r="579" spans="4:17" ht="15" thickBot="1" x14ac:dyDescent="0.35">
      <c r="D579" s="20">
        <f t="shared" si="40"/>
        <v>573</v>
      </c>
      <c r="E579" s="20">
        <f t="shared" si="41"/>
        <v>4250</v>
      </c>
      <c r="F579" s="20">
        <f t="shared" si="42"/>
        <v>1050</v>
      </c>
      <c r="G579" s="20">
        <v>0.28623358899020501</v>
      </c>
      <c r="H579" s="50"/>
      <c r="I579" s="16"/>
      <c r="J579" s="16"/>
      <c r="K579" s="16"/>
      <c r="L579" s="16"/>
      <c r="M579" s="16">
        <v>573</v>
      </c>
      <c r="N579" s="16">
        <f t="shared" si="43"/>
        <v>0.20534433285509326</v>
      </c>
      <c r="O579" s="16"/>
      <c r="P579" s="16"/>
      <c r="Q579" s="16">
        <f t="shared" si="44"/>
        <v>-0.82268233100234811</v>
      </c>
    </row>
    <row r="580" spans="4:17" ht="15" thickBot="1" x14ac:dyDescent="0.35">
      <c r="D580" s="20">
        <f t="shared" si="40"/>
        <v>574</v>
      </c>
      <c r="E580" s="20">
        <f t="shared" si="41"/>
        <v>4350</v>
      </c>
      <c r="F580" s="20">
        <f t="shared" si="42"/>
        <v>1050</v>
      </c>
      <c r="G580" s="20">
        <v>0.28631501726954756</v>
      </c>
      <c r="H580" s="50"/>
      <c r="I580" s="16"/>
      <c r="J580" s="16"/>
      <c r="K580" s="16"/>
      <c r="L580" s="16"/>
      <c r="M580" s="16">
        <v>574</v>
      </c>
      <c r="N580" s="16">
        <f t="shared" si="43"/>
        <v>0.20570301291248205</v>
      </c>
      <c r="O580" s="16"/>
      <c r="P580" s="16"/>
      <c r="Q580" s="16">
        <f t="shared" si="44"/>
        <v>-0.82142184308918198</v>
      </c>
    </row>
    <row r="581" spans="4:17" ht="15" thickBot="1" x14ac:dyDescent="0.35">
      <c r="D581" s="20">
        <f t="shared" si="40"/>
        <v>575</v>
      </c>
      <c r="E581" s="20">
        <f t="shared" si="41"/>
        <v>4450</v>
      </c>
      <c r="F581" s="20">
        <f t="shared" si="42"/>
        <v>1050</v>
      </c>
      <c r="G581" s="20">
        <v>0.28645337776124763</v>
      </c>
      <c r="H581" s="50"/>
      <c r="I581" s="16"/>
      <c r="J581" s="16"/>
      <c r="K581" s="16"/>
      <c r="L581" s="16"/>
      <c r="M581" s="16">
        <v>575</v>
      </c>
      <c r="N581" s="16">
        <f t="shared" si="43"/>
        <v>0.20606169296987087</v>
      </c>
      <c r="O581" s="16"/>
      <c r="P581" s="16"/>
      <c r="Q581" s="16">
        <f t="shared" si="44"/>
        <v>-0.82016265892624407</v>
      </c>
    </row>
    <row r="582" spans="4:17" ht="15" thickBot="1" x14ac:dyDescent="0.35">
      <c r="D582" s="20">
        <f t="shared" si="40"/>
        <v>576</v>
      </c>
      <c r="E582" s="20">
        <f t="shared" si="41"/>
        <v>4550</v>
      </c>
      <c r="F582" s="20">
        <f t="shared" si="42"/>
        <v>1050</v>
      </c>
      <c r="G582" s="20">
        <v>0.28646712445499384</v>
      </c>
      <c r="H582" s="50"/>
      <c r="I582" s="16"/>
      <c r="J582" s="16"/>
      <c r="K582" s="16"/>
      <c r="L582" s="16"/>
      <c r="M582" s="16">
        <v>576</v>
      </c>
      <c r="N582" s="16">
        <f t="shared" si="43"/>
        <v>0.20642037302725968</v>
      </c>
      <c r="O582" s="16"/>
      <c r="P582" s="16"/>
      <c r="Q582" s="16">
        <f t="shared" si="44"/>
        <v>-0.81890477382694737</v>
      </c>
    </row>
    <row r="583" spans="4:17" ht="15" thickBot="1" x14ac:dyDescent="0.35">
      <c r="D583" s="20">
        <f t="shared" ref="D583:D646" si="45">ROW()-6</f>
        <v>577</v>
      </c>
      <c r="E583" s="20">
        <f t="shared" ref="E583:E646" si="46">(MOD(D583-1,53)*100)+50</f>
        <v>4650</v>
      </c>
      <c r="F583" s="20">
        <f t="shared" ref="F583:F646" si="47">FLOOR((D583-1)/53,1)*100+50</f>
        <v>1050</v>
      </c>
      <c r="G583" s="20">
        <v>0.28652549843438624</v>
      </c>
      <c r="H583" s="50"/>
      <c r="I583" s="16"/>
      <c r="J583" s="16"/>
      <c r="K583" s="16"/>
      <c r="L583" s="16"/>
      <c r="M583" s="16">
        <v>577</v>
      </c>
      <c r="N583" s="16">
        <f t="shared" si="43"/>
        <v>0.2067790530846485</v>
      </c>
      <c r="O583" s="16"/>
      <c r="P583" s="16"/>
      <c r="Q583" s="16">
        <f t="shared" si="44"/>
        <v>-0.81764818312742049</v>
      </c>
    </row>
    <row r="584" spans="4:17" ht="15" thickBot="1" x14ac:dyDescent="0.35">
      <c r="D584" s="20">
        <f t="shared" si="45"/>
        <v>578</v>
      </c>
      <c r="E584" s="20">
        <f t="shared" si="46"/>
        <v>4750</v>
      </c>
      <c r="F584" s="20">
        <f t="shared" si="47"/>
        <v>1050</v>
      </c>
      <c r="G584" s="20">
        <v>0.28653060337831243</v>
      </c>
      <c r="H584" s="50"/>
      <c r="I584" s="16"/>
      <c r="J584" s="16"/>
      <c r="K584" s="16"/>
      <c r="L584" s="16"/>
      <c r="M584" s="16">
        <v>578</v>
      </c>
      <c r="N584" s="16">
        <f t="shared" ref="N584:N647" si="48">(M584-0.5)/$L$7</f>
        <v>0.20713773314203729</v>
      </c>
      <c r="O584" s="16"/>
      <c r="P584" s="16"/>
      <c r="Q584" s="16">
        <f t="shared" ref="Q584:Q647" si="49">_xlfn.NORM.S.INV(N584)</f>
        <v>-0.81639288218633976</v>
      </c>
    </row>
    <row r="585" spans="4:17" ht="15" thickBot="1" x14ac:dyDescent="0.35">
      <c r="D585" s="20">
        <f t="shared" si="45"/>
        <v>579</v>
      </c>
      <c r="E585" s="20">
        <f t="shared" si="46"/>
        <v>4850</v>
      </c>
      <c r="F585" s="20">
        <f t="shared" si="47"/>
        <v>1050</v>
      </c>
      <c r="G585" s="20">
        <v>0.28662335823739593</v>
      </c>
      <c r="H585" s="50"/>
      <c r="I585" s="16"/>
      <c r="J585" s="16"/>
      <c r="K585" s="16"/>
      <c r="L585" s="16"/>
      <c r="M585" s="16">
        <v>579</v>
      </c>
      <c r="N585" s="16">
        <f t="shared" si="48"/>
        <v>0.20749641319942611</v>
      </c>
      <c r="O585" s="16"/>
      <c r="P585" s="16"/>
      <c r="Q585" s="16">
        <f t="shared" si="49"/>
        <v>-0.81513886638478783</v>
      </c>
    </row>
    <row r="586" spans="4:17" ht="15" thickBot="1" x14ac:dyDescent="0.35">
      <c r="D586" s="20">
        <f t="shared" si="45"/>
        <v>580</v>
      </c>
      <c r="E586" s="20">
        <f t="shared" si="46"/>
        <v>4950</v>
      </c>
      <c r="F586" s="20">
        <f t="shared" si="47"/>
        <v>1050</v>
      </c>
      <c r="G586" s="20">
        <v>0.28667714945175438</v>
      </c>
      <c r="H586" s="50"/>
      <c r="I586" s="16"/>
      <c r="J586" s="16"/>
      <c r="K586" s="16"/>
      <c r="L586" s="16"/>
      <c r="M586" s="16">
        <v>580</v>
      </c>
      <c r="N586" s="16">
        <f t="shared" si="48"/>
        <v>0.20785509325681492</v>
      </c>
      <c r="O586" s="16"/>
      <c r="P586" s="16"/>
      <c r="Q586" s="16">
        <f t="shared" si="49"/>
        <v>-0.81388613112609642</v>
      </c>
    </row>
    <row r="587" spans="4:17" ht="15" thickBot="1" x14ac:dyDescent="0.35">
      <c r="D587" s="20">
        <f t="shared" si="45"/>
        <v>581</v>
      </c>
      <c r="E587" s="20">
        <f t="shared" si="46"/>
        <v>5050</v>
      </c>
      <c r="F587" s="20">
        <f t="shared" si="47"/>
        <v>1050</v>
      </c>
      <c r="G587" s="20">
        <v>0.28686943285803923</v>
      </c>
      <c r="H587" s="50"/>
      <c r="I587" s="16"/>
      <c r="J587" s="16"/>
      <c r="K587" s="16"/>
      <c r="L587" s="16"/>
      <c r="M587" s="16">
        <v>581</v>
      </c>
      <c r="N587" s="16">
        <f t="shared" si="48"/>
        <v>0.20821377331420374</v>
      </c>
      <c r="O587" s="16"/>
      <c r="P587" s="16"/>
      <c r="Q587" s="16">
        <f t="shared" si="49"/>
        <v>-0.81263467183570204</v>
      </c>
    </row>
    <row r="588" spans="4:17" ht="15" thickBot="1" x14ac:dyDescent="0.35">
      <c r="D588" s="20">
        <f t="shared" si="45"/>
        <v>582</v>
      </c>
      <c r="E588" s="20">
        <f t="shared" si="46"/>
        <v>5150</v>
      </c>
      <c r="F588" s="20">
        <f t="shared" si="47"/>
        <v>1050</v>
      </c>
      <c r="G588" s="20">
        <v>0.28721033745666247</v>
      </c>
      <c r="H588" s="50"/>
      <c r="I588" s="16"/>
      <c r="J588" s="16"/>
      <c r="K588" s="16"/>
      <c r="L588" s="16"/>
      <c r="M588" s="16">
        <v>582</v>
      </c>
      <c r="N588" s="16">
        <f t="shared" si="48"/>
        <v>0.20857245337159255</v>
      </c>
      <c r="O588" s="16"/>
      <c r="P588" s="16"/>
      <c r="Q588" s="16">
        <f t="shared" si="49"/>
        <v>-0.81138448396098972</v>
      </c>
    </row>
    <row r="589" spans="4:17" ht="15" thickBot="1" x14ac:dyDescent="0.35">
      <c r="D589" s="20">
        <f t="shared" si="45"/>
        <v>583</v>
      </c>
      <c r="E589" s="20">
        <f t="shared" si="46"/>
        <v>5250</v>
      </c>
      <c r="F589" s="20">
        <f t="shared" si="47"/>
        <v>1050</v>
      </c>
      <c r="G589" s="20">
        <v>0.28729071170852433</v>
      </c>
      <c r="H589" s="50"/>
      <c r="I589" s="16"/>
      <c r="J589" s="16"/>
      <c r="K589" s="16"/>
      <c r="L589" s="16"/>
      <c r="M589" s="16">
        <v>583</v>
      </c>
      <c r="N589" s="16">
        <f t="shared" si="48"/>
        <v>0.20893113342898134</v>
      </c>
      <c r="O589" s="16"/>
      <c r="P589" s="16"/>
      <c r="Q589" s="16">
        <f t="shared" si="49"/>
        <v>-0.81013556297115752</v>
      </c>
    </row>
    <row r="590" spans="4:17" ht="15" thickBot="1" x14ac:dyDescent="0.35">
      <c r="D590" s="20">
        <f t="shared" si="45"/>
        <v>584</v>
      </c>
      <c r="E590" s="20">
        <f t="shared" si="46"/>
        <v>50</v>
      </c>
      <c r="F590" s="20">
        <f t="shared" si="47"/>
        <v>1150</v>
      </c>
      <c r="G590" s="20">
        <v>0.28747223654514559</v>
      </c>
      <c r="H590" s="50"/>
      <c r="I590" s="16"/>
      <c r="J590" s="16"/>
      <c r="K590" s="16"/>
      <c r="L590" s="16"/>
      <c r="M590" s="16">
        <v>584</v>
      </c>
      <c r="N590" s="16">
        <f t="shared" si="48"/>
        <v>0.20928981348637016</v>
      </c>
      <c r="O590" s="16"/>
      <c r="P590" s="16"/>
      <c r="Q590" s="16">
        <f t="shared" si="49"/>
        <v>-0.80888790435705593</v>
      </c>
    </row>
    <row r="591" spans="4:17" ht="15" thickBot="1" x14ac:dyDescent="0.35">
      <c r="D591" s="20">
        <f t="shared" si="45"/>
        <v>585</v>
      </c>
      <c r="E591" s="20">
        <f t="shared" si="46"/>
        <v>150</v>
      </c>
      <c r="F591" s="20">
        <f t="shared" si="47"/>
        <v>1150</v>
      </c>
      <c r="G591" s="20">
        <v>0.28753820456513773</v>
      </c>
      <c r="H591" s="50"/>
      <c r="I591" s="16"/>
      <c r="J591" s="16"/>
      <c r="K591" s="16"/>
      <c r="L591" s="16"/>
      <c r="M591" s="16">
        <v>585</v>
      </c>
      <c r="N591" s="16">
        <f t="shared" si="48"/>
        <v>0.20964849354375897</v>
      </c>
      <c r="O591" s="16"/>
      <c r="P591" s="16"/>
      <c r="Q591" s="16">
        <f t="shared" si="49"/>
        <v>-0.80764150363105824</v>
      </c>
    </row>
    <row r="592" spans="4:17" ht="15" thickBot="1" x14ac:dyDescent="0.35">
      <c r="D592" s="20">
        <f t="shared" si="45"/>
        <v>586</v>
      </c>
      <c r="E592" s="44">
        <f t="shared" si="46"/>
        <v>250</v>
      </c>
      <c r="F592" s="44">
        <f t="shared" si="47"/>
        <v>1150</v>
      </c>
      <c r="G592" s="20">
        <v>0.28763195394306479</v>
      </c>
      <c r="H592" s="50"/>
      <c r="I592" s="16"/>
      <c r="J592" s="16"/>
      <c r="K592" s="16"/>
      <c r="L592" s="16"/>
      <c r="M592" s="16">
        <v>586</v>
      </c>
      <c r="N592" s="16">
        <f t="shared" si="48"/>
        <v>0.21000717360114779</v>
      </c>
      <c r="O592" s="16"/>
      <c r="P592" s="16"/>
      <c r="Q592" s="16">
        <f t="shared" si="49"/>
        <v>-0.80639635632690598</v>
      </c>
    </row>
    <row r="593" spans="4:17" ht="15" thickBot="1" x14ac:dyDescent="0.35">
      <c r="D593" s="20">
        <f t="shared" si="45"/>
        <v>587</v>
      </c>
      <c r="E593" s="45">
        <f t="shared" si="46"/>
        <v>350</v>
      </c>
      <c r="F593" s="45">
        <f t="shared" si="47"/>
        <v>1150</v>
      </c>
      <c r="G593" s="20">
        <v>0.28791801833057018</v>
      </c>
      <c r="H593" s="50"/>
      <c r="I593" s="16"/>
      <c r="J593" s="16"/>
      <c r="K593" s="16"/>
      <c r="L593" s="16"/>
      <c r="M593" s="16">
        <v>587</v>
      </c>
      <c r="N593" s="16">
        <f t="shared" si="48"/>
        <v>0.21036585365853658</v>
      </c>
      <c r="O593" s="16"/>
      <c r="P593" s="16"/>
      <c r="Q593" s="16">
        <f t="shared" si="49"/>
        <v>-0.8051524579995728</v>
      </c>
    </row>
    <row r="594" spans="4:17" ht="15" thickBot="1" x14ac:dyDescent="0.35">
      <c r="D594" s="20">
        <f t="shared" si="45"/>
        <v>588</v>
      </c>
      <c r="E594" s="20">
        <f t="shared" si="46"/>
        <v>450</v>
      </c>
      <c r="F594" s="20">
        <f t="shared" si="47"/>
        <v>1150</v>
      </c>
      <c r="G594" s="20">
        <v>0.28792286277766271</v>
      </c>
      <c r="H594" s="50"/>
      <c r="I594" s="16"/>
      <c r="J594" s="16"/>
      <c r="K594" s="16"/>
      <c r="L594" s="16"/>
      <c r="M594" s="16">
        <v>588</v>
      </c>
      <c r="N594" s="16">
        <f t="shared" si="48"/>
        <v>0.21072453371592539</v>
      </c>
      <c r="O594" s="16"/>
      <c r="P594" s="16"/>
      <c r="Q594" s="16">
        <f t="shared" si="49"/>
        <v>-0.80390980422511926</v>
      </c>
    </row>
    <row r="595" spans="4:17" ht="15" thickBot="1" x14ac:dyDescent="0.35">
      <c r="D595" s="20">
        <f t="shared" si="45"/>
        <v>589</v>
      </c>
      <c r="E595" s="20">
        <f t="shared" si="46"/>
        <v>550</v>
      </c>
      <c r="F595" s="20">
        <f t="shared" si="47"/>
        <v>1150</v>
      </c>
      <c r="G595" s="20">
        <v>0.28800939334879411</v>
      </c>
      <c r="H595" s="50"/>
      <c r="I595" s="16"/>
      <c r="J595" s="16"/>
      <c r="K595" s="16"/>
      <c r="L595" s="16"/>
      <c r="M595" s="16">
        <v>589</v>
      </c>
      <c r="N595" s="16">
        <f t="shared" si="48"/>
        <v>0.21108321377331421</v>
      </c>
      <c r="O595" s="16"/>
      <c r="P595" s="16"/>
      <c r="Q595" s="16">
        <f t="shared" si="49"/>
        <v>-0.80266839060055795</v>
      </c>
    </row>
    <row r="596" spans="4:17" ht="15" thickBot="1" x14ac:dyDescent="0.35">
      <c r="D596" s="20">
        <f t="shared" si="45"/>
        <v>590</v>
      </c>
      <c r="E596" s="20">
        <f t="shared" si="46"/>
        <v>650</v>
      </c>
      <c r="F596" s="20">
        <f t="shared" si="47"/>
        <v>1150</v>
      </c>
      <c r="G596" s="20">
        <v>0.28801747436261027</v>
      </c>
      <c r="H596" s="50"/>
      <c r="I596" s="16"/>
      <c r="J596" s="16"/>
      <c r="K596" s="16"/>
      <c r="L596" s="16"/>
      <c r="M596" s="16">
        <v>590</v>
      </c>
      <c r="N596" s="16">
        <f t="shared" si="48"/>
        <v>0.21144189383070303</v>
      </c>
      <c r="O596" s="16"/>
      <c r="P596" s="16"/>
      <c r="Q596" s="16">
        <f t="shared" si="49"/>
        <v>-0.80142821274370946</v>
      </c>
    </row>
    <row r="597" spans="4:17" ht="15" thickBot="1" x14ac:dyDescent="0.35">
      <c r="D597" s="20">
        <f t="shared" si="45"/>
        <v>591</v>
      </c>
      <c r="E597" s="20">
        <f t="shared" si="46"/>
        <v>750</v>
      </c>
      <c r="F597" s="20">
        <f t="shared" si="47"/>
        <v>1150</v>
      </c>
      <c r="G597" s="20">
        <v>0.28803368551127928</v>
      </c>
      <c r="H597" s="50"/>
      <c r="I597" s="16"/>
      <c r="J597" s="16"/>
      <c r="K597" s="16"/>
      <c r="L597" s="16"/>
      <c r="M597" s="16">
        <v>591</v>
      </c>
      <c r="N597" s="16">
        <f t="shared" si="48"/>
        <v>0.21180057388809181</v>
      </c>
      <c r="O597" s="16"/>
      <c r="P597" s="16"/>
      <c r="Q597" s="16">
        <f t="shared" si="49"/>
        <v>-0.80018926629306653</v>
      </c>
    </row>
    <row r="598" spans="4:17" ht="15" thickBot="1" x14ac:dyDescent="0.35">
      <c r="D598" s="20">
        <f t="shared" si="45"/>
        <v>592</v>
      </c>
      <c r="E598" s="20">
        <f t="shared" si="46"/>
        <v>850</v>
      </c>
      <c r="F598" s="20">
        <f t="shared" si="47"/>
        <v>1150</v>
      </c>
      <c r="G598" s="20">
        <v>0.28803570610658302</v>
      </c>
      <c r="H598" s="50"/>
      <c r="I598" s="16"/>
      <c r="J598" s="16"/>
      <c r="K598" s="16"/>
      <c r="L598" s="16"/>
      <c r="M598" s="16">
        <v>592</v>
      </c>
      <c r="N598" s="16">
        <f t="shared" si="48"/>
        <v>0.21215925394548063</v>
      </c>
      <c r="O598" s="16"/>
      <c r="P598" s="16"/>
      <c r="Q598" s="16">
        <f t="shared" si="49"/>
        <v>-0.79895154690765968</v>
      </c>
    </row>
    <row r="599" spans="4:17" ht="15" thickBot="1" x14ac:dyDescent="0.35">
      <c r="D599" s="20">
        <f t="shared" si="45"/>
        <v>593</v>
      </c>
      <c r="E599" s="20">
        <f t="shared" si="46"/>
        <v>950</v>
      </c>
      <c r="F599" s="20">
        <f t="shared" si="47"/>
        <v>1150</v>
      </c>
      <c r="G599" s="20">
        <v>0.28813141669880082</v>
      </c>
      <c r="H599" s="50"/>
      <c r="I599" s="16"/>
      <c r="J599" s="16"/>
      <c r="K599" s="16"/>
      <c r="L599" s="16"/>
      <c r="M599" s="16">
        <v>593</v>
      </c>
      <c r="N599" s="16">
        <f t="shared" si="48"/>
        <v>0.21251793400286945</v>
      </c>
      <c r="O599" s="16"/>
      <c r="P599" s="16"/>
      <c r="Q599" s="16">
        <f t="shared" si="49"/>
        <v>-0.7977150502669198</v>
      </c>
    </row>
    <row r="600" spans="4:17" ht="15" thickBot="1" x14ac:dyDescent="0.35">
      <c r="D600" s="20">
        <f t="shared" si="45"/>
        <v>594</v>
      </c>
      <c r="E600" s="44">
        <f t="shared" si="46"/>
        <v>1050</v>
      </c>
      <c r="F600" s="44">
        <f t="shared" si="47"/>
        <v>1150</v>
      </c>
      <c r="G600" s="20">
        <v>0.28840743884457282</v>
      </c>
      <c r="H600" s="50"/>
      <c r="I600" s="16"/>
      <c r="J600" s="16"/>
      <c r="K600" s="16"/>
      <c r="L600" s="16"/>
      <c r="M600" s="16">
        <v>594</v>
      </c>
      <c r="N600" s="16">
        <f t="shared" si="48"/>
        <v>0.21287661406025826</v>
      </c>
      <c r="O600" s="16"/>
      <c r="P600" s="16"/>
      <c r="Q600" s="16">
        <f t="shared" si="49"/>
        <v>-0.79647977207054432</v>
      </c>
    </row>
    <row r="601" spans="4:17" ht="15" thickBot="1" x14ac:dyDescent="0.35">
      <c r="D601" s="20">
        <f t="shared" si="45"/>
        <v>595</v>
      </c>
      <c r="E601" s="20">
        <f t="shared" si="46"/>
        <v>1150</v>
      </c>
      <c r="F601" s="20">
        <f t="shared" si="47"/>
        <v>1150</v>
      </c>
      <c r="G601" s="20">
        <v>0.28859574461968784</v>
      </c>
      <c r="H601" s="50"/>
      <c r="I601" s="16"/>
      <c r="J601" s="16"/>
      <c r="K601" s="16"/>
      <c r="L601" s="16"/>
      <c r="M601" s="16">
        <v>595</v>
      </c>
      <c r="N601" s="16">
        <f t="shared" si="48"/>
        <v>0.21323529411764705</v>
      </c>
      <c r="O601" s="16"/>
      <c r="P601" s="16"/>
      <c r="Q601" s="16">
        <f t="shared" si="49"/>
        <v>-0.79524570803836336</v>
      </c>
    </row>
    <row r="602" spans="4:17" ht="15" thickBot="1" x14ac:dyDescent="0.35">
      <c r="D602" s="20">
        <f t="shared" si="45"/>
        <v>596</v>
      </c>
      <c r="E602" s="20">
        <f t="shared" si="46"/>
        <v>1250</v>
      </c>
      <c r="F602" s="20">
        <f t="shared" si="47"/>
        <v>1150</v>
      </c>
      <c r="G602" s="20">
        <v>0.2886746259242553</v>
      </c>
      <c r="H602" s="50"/>
      <c r="I602" s="16"/>
      <c r="J602" s="16"/>
      <c r="K602" s="16"/>
      <c r="L602" s="16"/>
      <c r="M602" s="16">
        <v>596</v>
      </c>
      <c r="N602" s="16">
        <f t="shared" si="48"/>
        <v>0.21359397417503587</v>
      </c>
      <c r="O602" s="16"/>
      <c r="P602" s="16"/>
      <c r="Q602" s="16">
        <f t="shared" si="49"/>
        <v>-0.79401285391020959</v>
      </c>
    </row>
    <row r="603" spans="4:17" ht="15" thickBot="1" x14ac:dyDescent="0.35">
      <c r="D603" s="20">
        <f t="shared" si="45"/>
        <v>597</v>
      </c>
      <c r="E603" s="20">
        <f t="shared" si="46"/>
        <v>1350</v>
      </c>
      <c r="F603" s="20">
        <f t="shared" si="47"/>
        <v>1150</v>
      </c>
      <c r="G603" s="20">
        <v>0.28877185218671225</v>
      </c>
      <c r="H603" s="50"/>
      <c r="I603" s="16"/>
      <c r="J603" s="16"/>
      <c r="K603" s="16"/>
      <c r="L603" s="16"/>
      <c r="M603" s="16">
        <v>597</v>
      </c>
      <c r="N603" s="16">
        <f t="shared" si="48"/>
        <v>0.21395265423242468</v>
      </c>
      <c r="O603" s="16"/>
      <c r="P603" s="16"/>
      <c r="Q603" s="16">
        <f t="shared" si="49"/>
        <v>-0.79278120544578601</v>
      </c>
    </row>
    <row r="604" spans="4:17" ht="15" thickBot="1" x14ac:dyDescent="0.35">
      <c r="D604" s="20">
        <f t="shared" si="45"/>
        <v>598</v>
      </c>
      <c r="E604" s="20">
        <f t="shared" si="46"/>
        <v>1450</v>
      </c>
      <c r="F604" s="20">
        <f t="shared" si="47"/>
        <v>1150</v>
      </c>
      <c r="G604" s="20">
        <v>0.28890868317505347</v>
      </c>
      <c r="H604" s="50"/>
      <c r="I604" s="16"/>
      <c r="J604" s="16"/>
      <c r="K604" s="16"/>
      <c r="L604" s="16"/>
      <c r="M604" s="16">
        <v>598</v>
      </c>
      <c r="N604" s="16">
        <f t="shared" si="48"/>
        <v>0.2143113342898135</v>
      </c>
      <c r="O604" s="16"/>
      <c r="P604" s="16"/>
      <c r="Q604" s="16">
        <f t="shared" si="49"/>
        <v>-0.79155075842453404</v>
      </c>
    </row>
    <row r="605" spans="4:17" ht="15" thickBot="1" x14ac:dyDescent="0.35">
      <c r="D605" s="20">
        <f t="shared" si="45"/>
        <v>599</v>
      </c>
      <c r="E605" s="20">
        <f t="shared" si="46"/>
        <v>1550</v>
      </c>
      <c r="F605" s="20">
        <f t="shared" si="47"/>
        <v>1150</v>
      </c>
      <c r="G605" s="20">
        <v>0.28895169377246888</v>
      </c>
      <c r="H605" s="50"/>
      <c r="I605" s="16"/>
      <c r="J605" s="16"/>
      <c r="K605" s="16"/>
      <c r="L605" s="16"/>
      <c r="M605" s="16">
        <v>599</v>
      </c>
      <c r="N605" s="16">
        <f t="shared" si="48"/>
        <v>0.21467001434720229</v>
      </c>
      <c r="O605" s="16"/>
      <c r="P605" s="16"/>
      <c r="Q605" s="16">
        <f t="shared" si="49"/>
        <v>-0.79032150864550987</v>
      </c>
    </row>
    <row r="606" spans="4:17" ht="15" thickBot="1" x14ac:dyDescent="0.35">
      <c r="D606" s="20">
        <f t="shared" si="45"/>
        <v>600</v>
      </c>
      <c r="E606" s="20">
        <f t="shared" si="46"/>
        <v>1650</v>
      </c>
      <c r="F606" s="20">
        <f t="shared" si="47"/>
        <v>1150</v>
      </c>
      <c r="G606" s="20">
        <v>0.28903635141679823</v>
      </c>
      <c r="H606" s="50"/>
      <c r="I606" s="16"/>
      <c r="J606" s="16"/>
      <c r="K606" s="16"/>
      <c r="L606" s="16"/>
      <c r="M606" s="16">
        <v>600</v>
      </c>
      <c r="N606" s="16">
        <f t="shared" si="48"/>
        <v>0.2150286944045911</v>
      </c>
      <c r="O606" s="16"/>
      <c r="P606" s="16"/>
      <c r="Q606" s="16">
        <f t="shared" si="49"/>
        <v>-0.78909345192724933</v>
      </c>
    </row>
    <row r="607" spans="4:17" ht="15" thickBot="1" x14ac:dyDescent="0.35">
      <c r="D607" s="20">
        <f t="shared" si="45"/>
        <v>601</v>
      </c>
      <c r="E607" s="20">
        <f t="shared" si="46"/>
        <v>1750</v>
      </c>
      <c r="F607" s="20">
        <f t="shared" si="47"/>
        <v>1150</v>
      </c>
      <c r="G607" s="20">
        <v>0.2890687617817404</v>
      </c>
      <c r="H607" s="50"/>
      <c r="I607" s="16"/>
      <c r="J607" s="16"/>
      <c r="K607" s="16"/>
      <c r="L607" s="16"/>
      <c r="M607" s="16">
        <v>601</v>
      </c>
      <c r="N607" s="16">
        <f t="shared" si="48"/>
        <v>0.21538737446197992</v>
      </c>
      <c r="O607" s="16"/>
      <c r="P607" s="16"/>
      <c r="Q607" s="16">
        <f t="shared" si="49"/>
        <v>-0.7878665841076492</v>
      </c>
    </row>
    <row r="608" spans="4:17" ht="15" thickBot="1" x14ac:dyDescent="0.35">
      <c r="D608" s="20">
        <f t="shared" si="45"/>
        <v>602</v>
      </c>
      <c r="E608" s="20">
        <f t="shared" si="46"/>
        <v>1850</v>
      </c>
      <c r="F608" s="20">
        <f t="shared" si="47"/>
        <v>1150</v>
      </c>
      <c r="G608" s="20">
        <v>0.28921763131817196</v>
      </c>
      <c r="H608" s="50"/>
      <c r="I608" s="16"/>
      <c r="J608" s="16"/>
      <c r="K608" s="16"/>
      <c r="L608" s="16"/>
      <c r="M608" s="16">
        <v>602</v>
      </c>
      <c r="N608" s="16">
        <f t="shared" si="48"/>
        <v>0.21574605451936874</v>
      </c>
      <c r="O608" s="16"/>
      <c r="P608" s="16"/>
      <c r="Q608" s="16">
        <f t="shared" si="49"/>
        <v>-0.7866409010438361</v>
      </c>
    </row>
    <row r="609" spans="4:17" ht="15" thickBot="1" x14ac:dyDescent="0.35">
      <c r="D609" s="20">
        <f t="shared" si="45"/>
        <v>603</v>
      </c>
      <c r="E609" s="20">
        <f t="shared" si="46"/>
        <v>1950</v>
      </c>
      <c r="F609" s="20">
        <f t="shared" si="47"/>
        <v>1150</v>
      </c>
      <c r="G609" s="20">
        <v>0.28921798856325981</v>
      </c>
      <c r="H609" s="50"/>
      <c r="I609" s="16"/>
      <c r="J609" s="16"/>
      <c r="K609" s="16"/>
      <c r="L609" s="16"/>
      <c r="M609" s="16">
        <v>603</v>
      </c>
      <c r="N609" s="16">
        <f t="shared" si="48"/>
        <v>0.21610473457675752</v>
      </c>
      <c r="O609" s="16"/>
      <c r="P609" s="16"/>
      <c r="Q609" s="16">
        <f t="shared" si="49"/>
        <v>-0.7854163986120406</v>
      </c>
    </row>
    <row r="610" spans="4:17" ht="15" thickBot="1" x14ac:dyDescent="0.35">
      <c r="D610" s="20">
        <f t="shared" si="45"/>
        <v>604</v>
      </c>
      <c r="E610" s="20">
        <f t="shared" si="46"/>
        <v>2050</v>
      </c>
      <c r="F610" s="20">
        <f t="shared" si="47"/>
        <v>1150</v>
      </c>
      <c r="G610" s="20">
        <v>0.28924070525800694</v>
      </c>
      <c r="H610" s="50"/>
      <c r="I610" s="16"/>
      <c r="J610" s="16"/>
      <c r="K610" s="16"/>
      <c r="L610" s="16"/>
      <c r="M610" s="16">
        <v>604</v>
      </c>
      <c r="N610" s="16">
        <f t="shared" si="48"/>
        <v>0.21646341463414634</v>
      </c>
      <c r="O610" s="16"/>
      <c r="P610" s="16"/>
      <c r="Q610" s="16">
        <f t="shared" si="49"/>
        <v>-0.78419307270748184</v>
      </c>
    </row>
    <row r="611" spans="4:17" ht="15" thickBot="1" x14ac:dyDescent="0.35">
      <c r="D611" s="20">
        <f t="shared" si="45"/>
        <v>605</v>
      </c>
      <c r="E611" s="20">
        <f t="shared" si="46"/>
        <v>2150</v>
      </c>
      <c r="F611" s="20">
        <f t="shared" si="47"/>
        <v>1150</v>
      </c>
      <c r="G611" s="20">
        <v>0.28924486701010677</v>
      </c>
      <c r="H611" s="50"/>
      <c r="I611" s="16"/>
      <c r="J611" s="16"/>
      <c r="K611" s="16"/>
      <c r="L611" s="16"/>
      <c r="M611" s="16">
        <v>605</v>
      </c>
      <c r="N611" s="16">
        <f t="shared" si="48"/>
        <v>0.21682209469153516</v>
      </c>
      <c r="O611" s="16"/>
      <c r="P611" s="16"/>
      <c r="Q611" s="16">
        <f t="shared" si="49"/>
        <v>-0.78297091924423179</v>
      </c>
    </row>
    <row r="612" spans="4:17" ht="15" thickBot="1" x14ac:dyDescent="0.35">
      <c r="D612" s="20">
        <f t="shared" si="45"/>
        <v>606</v>
      </c>
      <c r="E612" s="20">
        <f t="shared" si="46"/>
        <v>2250</v>
      </c>
      <c r="F612" s="20">
        <f t="shared" si="47"/>
        <v>1150</v>
      </c>
      <c r="G612" s="20">
        <v>0.28933367494418544</v>
      </c>
      <c r="H612" s="50"/>
      <c r="I612" s="16"/>
      <c r="J612" s="16"/>
      <c r="K612" s="16"/>
      <c r="L612" s="16"/>
      <c r="M612" s="16">
        <v>606</v>
      </c>
      <c r="N612" s="16">
        <f t="shared" si="48"/>
        <v>0.21718077474892397</v>
      </c>
      <c r="O612" s="16"/>
      <c r="P612" s="16"/>
      <c r="Q612" s="16">
        <f t="shared" si="49"/>
        <v>-0.78174993415510774</v>
      </c>
    </row>
    <row r="613" spans="4:17" ht="15" thickBot="1" x14ac:dyDescent="0.35">
      <c r="D613" s="20">
        <f t="shared" si="45"/>
        <v>607</v>
      </c>
      <c r="E613" s="43">
        <f t="shared" si="46"/>
        <v>2350</v>
      </c>
      <c r="F613" s="43">
        <f t="shared" si="47"/>
        <v>1150</v>
      </c>
      <c r="G613" s="20">
        <v>0.28941367014259306</v>
      </c>
      <c r="H613" s="50"/>
      <c r="I613" s="16"/>
      <c r="J613" s="16"/>
      <c r="K613" s="16"/>
      <c r="L613" s="16"/>
      <c r="M613" s="16">
        <v>607</v>
      </c>
      <c r="N613" s="16">
        <f t="shared" si="48"/>
        <v>0.21753945480631276</v>
      </c>
      <c r="O613" s="16"/>
      <c r="P613" s="16"/>
      <c r="Q613" s="16">
        <f t="shared" si="49"/>
        <v>-0.78053011339153777</v>
      </c>
    </row>
    <row r="614" spans="4:17" ht="15" thickBot="1" x14ac:dyDescent="0.35">
      <c r="D614" s="20">
        <f t="shared" si="45"/>
        <v>608</v>
      </c>
      <c r="E614" s="20">
        <f t="shared" si="46"/>
        <v>2450</v>
      </c>
      <c r="F614" s="20">
        <f t="shared" si="47"/>
        <v>1150</v>
      </c>
      <c r="G614" s="20">
        <v>0.28945288263269869</v>
      </c>
      <c r="H614" s="50"/>
      <c r="I614" s="16"/>
      <c r="J614" s="16"/>
      <c r="K614" s="16"/>
      <c r="L614" s="16"/>
      <c r="M614" s="16">
        <v>608</v>
      </c>
      <c r="N614" s="16">
        <f t="shared" si="48"/>
        <v>0.21789813486370158</v>
      </c>
      <c r="O614" s="16"/>
      <c r="P614" s="16"/>
      <c r="Q614" s="16">
        <f t="shared" si="49"/>
        <v>-0.7793114529234535</v>
      </c>
    </row>
    <row r="615" spans="4:17" ht="15" thickBot="1" x14ac:dyDescent="0.35">
      <c r="D615" s="20">
        <f t="shared" si="45"/>
        <v>609</v>
      </c>
      <c r="E615" s="20">
        <f t="shared" si="46"/>
        <v>2550</v>
      </c>
      <c r="F615" s="20">
        <f t="shared" si="47"/>
        <v>1150</v>
      </c>
      <c r="G615" s="20">
        <v>0.28949785331094618</v>
      </c>
      <c r="H615" s="50"/>
      <c r="I615" s="16"/>
      <c r="J615" s="16"/>
      <c r="K615" s="16"/>
      <c r="L615" s="16"/>
      <c r="M615" s="16">
        <v>609</v>
      </c>
      <c r="N615" s="16">
        <f t="shared" si="48"/>
        <v>0.21825681492109039</v>
      </c>
      <c r="O615" s="16"/>
      <c r="P615" s="16"/>
      <c r="Q615" s="16">
        <f t="shared" si="49"/>
        <v>-0.77809394873916149</v>
      </c>
    </row>
    <row r="616" spans="4:17" ht="15" thickBot="1" x14ac:dyDescent="0.35">
      <c r="D616" s="20">
        <f t="shared" si="45"/>
        <v>610</v>
      </c>
      <c r="E616" s="20">
        <f t="shared" si="46"/>
        <v>2650</v>
      </c>
      <c r="F616" s="20">
        <f t="shared" si="47"/>
        <v>1150</v>
      </c>
      <c r="G616" s="20">
        <v>0.28950707458030334</v>
      </c>
      <c r="H616" s="50"/>
      <c r="I616" s="16"/>
      <c r="J616" s="16"/>
      <c r="K616" s="16"/>
      <c r="L616" s="16"/>
      <c r="M616" s="16">
        <v>610</v>
      </c>
      <c r="N616" s="16">
        <f t="shared" si="48"/>
        <v>0.21861549497847921</v>
      </c>
      <c r="O616" s="16"/>
      <c r="P616" s="16"/>
      <c r="Q616" s="16">
        <f t="shared" si="49"/>
        <v>-0.7768775968452305</v>
      </c>
    </row>
    <row r="617" spans="4:17" ht="15" thickBot="1" x14ac:dyDescent="0.35">
      <c r="D617" s="20">
        <f t="shared" si="45"/>
        <v>611</v>
      </c>
      <c r="E617" s="20">
        <f t="shared" si="46"/>
        <v>2750</v>
      </c>
      <c r="F617" s="20">
        <f t="shared" si="47"/>
        <v>1150</v>
      </c>
      <c r="G617" s="20">
        <v>0.28958442902209436</v>
      </c>
      <c r="H617" s="50"/>
      <c r="I617" s="16"/>
      <c r="J617" s="16"/>
      <c r="K617" s="16"/>
      <c r="L617" s="16"/>
      <c r="M617" s="16">
        <v>611</v>
      </c>
      <c r="N617" s="16">
        <f t="shared" si="48"/>
        <v>0.218974175035868</v>
      </c>
      <c r="O617" s="16"/>
      <c r="P617" s="16"/>
      <c r="Q617" s="16">
        <f t="shared" si="49"/>
        <v>-0.77566239326637487</v>
      </c>
    </row>
    <row r="618" spans="4:17" ht="15" thickBot="1" x14ac:dyDescent="0.35">
      <c r="D618" s="20">
        <f t="shared" si="45"/>
        <v>612</v>
      </c>
      <c r="E618" s="20">
        <f t="shared" si="46"/>
        <v>2850</v>
      </c>
      <c r="F618" s="20">
        <f t="shared" si="47"/>
        <v>1150</v>
      </c>
      <c r="G618" s="20">
        <v>0.2896227542840038</v>
      </c>
      <c r="H618" s="50"/>
      <c r="I618" s="16"/>
      <c r="J618" s="16"/>
      <c r="K618" s="16"/>
      <c r="L618" s="16"/>
      <c r="M618" s="16">
        <v>612</v>
      </c>
      <c r="N618" s="16">
        <f t="shared" si="48"/>
        <v>0.21933285509325681</v>
      </c>
      <c r="O618" s="16"/>
      <c r="P618" s="16"/>
      <c r="Q618" s="16">
        <f t="shared" si="49"/>
        <v>-0.77444833404533442</v>
      </c>
    </row>
    <row r="619" spans="4:17" ht="15" thickBot="1" x14ac:dyDescent="0.35">
      <c r="D619" s="20">
        <f t="shared" si="45"/>
        <v>613</v>
      </c>
      <c r="E619" s="20">
        <f t="shared" si="46"/>
        <v>2950</v>
      </c>
      <c r="F619" s="20">
        <f t="shared" si="47"/>
        <v>1150</v>
      </c>
      <c r="G619" s="20">
        <v>0.28974673219606994</v>
      </c>
      <c r="H619" s="50"/>
      <c r="I619" s="16"/>
      <c r="J619" s="16"/>
      <c r="K619" s="16"/>
      <c r="L619" s="16"/>
      <c r="M619" s="16">
        <v>613</v>
      </c>
      <c r="N619" s="16">
        <f t="shared" si="48"/>
        <v>0.21969153515064563</v>
      </c>
      <c r="O619" s="16"/>
      <c r="P619" s="16"/>
      <c r="Q619" s="16">
        <f t="shared" si="49"/>
        <v>-0.77323541524276318</v>
      </c>
    </row>
    <row r="620" spans="4:17" ht="15" thickBot="1" x14ac:dyDescent="0.35">
      <c r="D620" s="20">
        <f t="shared" si="45"/>
        <v>614</v>
      </c>
      <c r="E620" s="20">
        <f t="shared" si="46"/>
        <v>3050</v>
      </c>
      <c r="F620" s="20">
        <f t="shared" si="47"/>
        <v>1150</v>
      </c>
      <c r="G620" s="20">
        <v>0.28976219449629115</v>
      </c>
      <c r="H620" s="50"/>
      <c r="I620" s="16"/>
      <c r="J620" s="16"/>
      <c r="K620" s="16"/>
      <c r="L620" s="16"/>
      <c r="M620" s="16">
        <v>614</v>
      </c>
      <c r="N620" s="16">
        <f t="shared" si="48"/>
        <v>0.22005021520803444</v>
      </c>
      <c r="O620" s="16"/>
      <c r="P620" s="16"/>
      <c r="Q620" s="16">
        <f t="shared" si="49"/>
        <v>-0.77202363293711296</v>
      </c>
    </row>
    <row r="621" spans="4:17" ht="15" thickBot="1" x14ac:dyDescent="0.35">
      <c r="D621" s="20">
        <f t="shared" si="45"/>
        <v>615</v>
      </c>
      <c r="E621" s="20">
        <f t="shared" si="46"/>
        <v>3150</v>
      </c>
      <c r="F621" s="20">
        <f t="shared" si="47"/>
        <v>1150</v>
      </c>
      <c r="G621" s="20">
        <v>0.28994214226898274</v>
      </c>
      <c r="H621" s="50"/>
      <c r="I621" s="16"/>
      <c r="J621" s="16"/>
      <c r="K621" s="16"/>
      <c r="L621" s="16"/>
      <c r="M621" s="16">
        <v>615</v>
      </c>
      <c r="N621" s="16">
        <f t="shared" si="48"/>
        <v>0.22040889526542323</v>
      </c>
      <c r="O621" s="16"/>
      <c r="P621" s="16"/>
      <c r="Q621" s="16">
        <f t="shared" si="49"/>
        <v>-0.77081298322452296</v>
      </c>
    </row>
    <row r="622" spans="4:17" ht="15" thickBot="1" x14ac:dyDescent="0.35">
      <c r="D622" s="20">
        <f t="shared" si="45"/>
        <v>616</v>
      </c>
      <c r="E622" s="20">
        <f t="shared" si="46"/>
        <v>3250</v>
      </c>
      <c r="F622" s="20">
        <f t="shared" si="47"/>
        <v>1150</v>
      </c>
      <c r="G622" s="20">
        <v>0.2900993785603298</v>
      </c>
      <c r="H622" s="50"/>
      <c r="I622" s="16"/>
      <c r="J622" s="16"/>
      <c r="K622" s="16"/>
      <c r="L622" s="16"/>
      <c r="M622" s="16">
        <v>616</v>
      </c>
      <c r="N622" s="16">
        <f t="shared" si="48"/>
        <v>0.22076757532281205</v>
      </c>
      <c r="O622" s="16"/>
      <c r="P622" s="16"/>
      <c r="Q622" s="16">
        <f t="shared" si="49"/>
        <v>-0.76960346221870191</v>
      </c>
    </row>
    <row r="623" spans="4:17" ht="15" thickBot="1" x14ac:dyDescent="0.35">
      <c r="D623" s="20">
        <f t="shared" si="45"/>
        <v>617</v>
      </c>
      <c r="E623" s="20">
        <f t="shared" si="46"/>
        <v>3350</v>
      </c>
      <c r="F623" s="20">
        <f t="shared" si="47"/>
        <v>1150</v>
      </c>
      <c r="G623" s="20">
        <v>0.29016530819571695</v>
      </c>
      <c r="H623" s="50"/>
      <c r="I623" s="16"/>
      <c r="J623" s="16"/>
      <c r="K623" s="16"/>
      <c r="L623" s="16"/>
      <c r="M623" s="16">
        <v>617</v>
      </c>
      <c r="N623" s="16">
        <f t="shared" si="48"/>
        <v>0.22112625538020086</v>
      </c>
      <c r="O623" s="16"/>
      <c r="P623" s="16"/>
      <c r="Q623" s="16">
        <f t="shared" si="49"/>
        <v>-0.76839506605082453</v>
      </c>
    </row>
    <row r="624" spans="4:17" ht="15" thickBot="1" x14ac:dyDescent="0.35">
      <c r="D624" s="20">
        <f t="shared" si="45"/>
        <v>618</v>
      </c>
      <c r="E624" s="44">
        <f t="shared" si="46"/>
        <v>3450</v>
      </c>
      <c r="F624" s="44">
        <f t="shared" si="47"/>
        <v>1150</v>
      </c>
      <c r="G624" s="20">
        <v>0.29028840178866488</v>
      </c>
      <c r="H624" s="50"/>
      <c r="I624" s="16"/>
      <c r="J624" s="16"/>
      <c r="K624" s="16"/>
      <c r="L624" s="16"/>
      <c r="M624" s="16">
        <v>618</v>
      </c>
      <c r="N624" s="16">
        <f t="shared" si="48"/>
        <v>0.22148493543758968</v>
      </c>
      <c r="O624" s="16"/>
      <c r="P624" s="16"/>
      <c r="Q624" s="16">
        <f t="shared" si="49"/>
        <v>-0.76718779086941125</v>
      </c>
    </row>
    <row r="625" spans="4:17" ht="15" thickBot="1" x14ac:dyDescent="0.35">
      <c r="D625" s="20">
        <f t="shared" si="45"/>
        <v>619</v>
      </c>
      <c r="E625" s="20">
        <f t="shared" si="46"/>
        <v>3550</v>
      </c>
      <c r="F625" s="20">
        <f t="shared" si="47"/>
        <v>1150</v>
      </c>
      <c r="G625" s="20">
        <v>0.29031210740897634</v>
      </c>
      <c r="H625" s="50"/>
      <c r="I625" s="16"/>
      <c r="J625" s="16"/>
      <c r="K625" s="16"/>
      <c r="L625" s="16"/>
      <c r="M625" s="16">
        <v>619</v>
      </c>
      <c r="N625" s="16">
        <f t="shared" si="48"/>
        <v>0.22184361549497847</v>
      </c>
      <c r="O625" s="16"/>
      <c r="P625" s="16"/>
      <c r="Q625" s="16">
        <f t="shared" si="49"/>
        <v>-0.76598163284023002</v>
      </c>
    </row>
    <row r="626" spans="4:17" ht="15" thickBot="1" x14ac:dyDescent="0.35">
      <c r="D626" s="20">
        <f t="shared" si="45"/>
        <v>620</v>
      </c>
      <c r="E626" s="20">
        <f t="shared" si="46"/>
        <v>3650</v>
      </c>
      <c r="F626" s="20">
        <f t="shared" si="47"/>
        <v>1150</v>
      </c>
      <c r="G626" s="20">
        <v>0.290387367717172</v>
      </c>
      <c r="H626" s="50"/>
      <c r="I626" s="16"/>
      <c r="J626" s="16"/>
      <c r="K626" s="16"/>
      <c r="L626" s="16"/>
      <c r="M626" s="16">
        <v>620</v>
      </c>
      <c r="N626" s="16">
        <f t="shared" si="48"/>
        <v>0.22220229555236728</v>
      </c>
      <c r="O626" s="16"/>
      <c r="P626" s="16"/>
      <c r="Q626" s="16">
        <f t="shared" si="49"/>
        <v>-0.76477658814617433</v>
      </c>
    </row>
    <row r="627" spans="4:17" ht="15" thickBot="1" x14ac:dyDescent="0.35">
      <c r="D627" s="20">
        <f t="shared" si="45"/>
        <v>621</v>
      </c>
      <c r="E627" s="20">
        <f t="shared" si="46"/>
        <v>3750</v>
      </c>
      <c r="F627" s="20">
        <f t="shared" si="47"/>
        <v>1150</v>
      </c>
      <c r="G627" s="20">
        <v>0.29056396794196881</v>
      </c>
      <c r="H627" s="50"/>
      <c r="I627" s="16"/>
      <c r="J627" s="16"/>
      <c r="K627" s="16"/>
      <c r="L627" s="16"/>
      <c r="M627" s="16">
        <v>621</v>
      </c>
      <c r="N627" s="16">
        <f t="shared" si="48"/>
        <v>0.2225609756097561</v>
      </c>
      <c r="O627" s="16"/>
      <c r="P627" s="16"/>
      <c r="Q627" s="16">
        <f t="shared" si="49"/>
        <v>-0.76357265298716637</v>
      </c>
    </row>
    <row r="628" spans="4:17" ht="15" thickBot="1" x14ac:dyDescent="0.35">
      <c r="D628" s="20">
        <f t="shared" si="45"/>
        <v>622</v>
      </c>
      <c r="E628" s="20">
        <f t="shared" si="46"/>
        <v>3850</v>
      </c>
      <c r="F628" s="20">
        <f t="shared" si="47"/>
        <v>1150</v>
      </c>
      <c r="G628" s="20">
        <v>0.29066687131277014</v>
      </c>
      <c r="H628" s="50"/>
      <c r="I628" s="16"/>
      <c r="J628" s="16"/>
      <c r="K628" s="16"/>
      <c r="L628" s="16"/>
      <c r="M628" s="16">
        <v>622</v>
      </c>
      <c r="N628" s="16">
        <f t="shared" si="48"/>
        <v>0.22291965566714492</v>
      </c>
      <c r="O628" s="16"/>
      <c r="P628" s="16"/>
      <c r="Q628" s="16">
        <f t="shared" si="49"/>
        <v>-0.76236982358004401</v>
      </c>
    </row>
    <row r="629" spans="4:17" ht="15" thickBot="1" x14ac:dyDescent="0.35">
      <c r="D629" s="20">
        <f t="shared" si="45"/>
        <v>623</v>
      </c>
      <c r="E629" s="20">
        <f t="shared" si="46"/>
        <v>3950</v>
      </c>
      <c r="F629" s="20">
        <f t="shared" si="47"/>
        <v>1150</v>
      </c>
      <c r="G629" s="20">
        <v>0.29075896876765006</v>
      </c>
      <c r="H629" s="50"/>
      <c r="I629" s="16"/>
      <c r="J629" s="16"/>
      <c r="K629" s="16"/>
      <c r="L629" s="16"/>
      <c r="M629" s="16">
        <v>623</v>
      </c>
      <c r="N629" s="16">
        <f t="shared" si="48"/>
        <v>0.22327833572453371</v>
      </c>
      <c r="O629" s="16"/>
      <c r="P629" s="16"/>
      <c r="Q629" s="16">
        <f t="shared" si="49"/>
        <v>-0.76116809615845538</v>
      </c>
    </row>
    <row r="630" spans="4:17" ht="15" thickBot="1" x14ac:dyDescent="0.35">
      <c r="D630" s="20">
        <f t="shared" si="45"/>
        <v>624</v>
      </c>
      <c r="E630" s="20">
        <f t="shared" si="46"/>
        <v>4050</v>
      </c>
      <c r="F630" s="20">
        <f t="shared" si="47"/>
        <v>1150</v>
      </c>
      <c r="G630" s="20">
        <v>0.29092145397479907</v>
      </c>
      <c r="H630" s="50"/>
      <c r="I630" s="16"/>
      <c r="J630" s="16"/>
      <c r="K630" s="16"/>
      <c r="L630" s="16"/>
      <c r="M630" s="16">
        <v>624</v>
      </c>
      <c r="N630" s="16">
        <f t="shared" si="48"/>
        <v>0.22363701578192252</v>
      </c>
      <c r="O630" s="16"/>
      <c r="P630" s="16"/>
      <c r="Q630" s="16">
        <f t="shared" si="49"/>
        <v>-0.75996746697275508</v>
      </c>
    </row>
    <row r="631" spans="4:17" ht="15" thickBot="1" x14ac:dyDescent="0.35">
      <c r="D631" s="20">
        <f t="shared" si="45"/>
        <v>625</v>
      </c>
      <c r="E631" s="20">
        <f t="shared" si="46"/>
        <v>4150</v>
      </c>
      <c r="F631" s="20">
        <f t="shared" si="47"/>
        <v>1150</v>
      </c>
      <c r="G631" s="20">
        <v>0.29092343459047337</v>
      </c>
      <c r="H631" s="50"/>
      <c r="I631" s="16"/>
      <c r="J631" s="16"/>
      <c r="K631" s="16"/>
      <c r="L631" s="16"/>
      <c r="M631" s="16">
        <v>625</v>
      </c>
      <c r="N631" s="16">
        <f t="shared" si="48"/>
        <v>0.22399569583931134</v>
      </c>
      <c r="O631" s="16"/>
      <c r="P631" s="16"/>
      <c r="Q631" s="16">
        <f t="shared" si="49"/>
        <v>-0.75876793228989581</v>
      </c>
    </row>
    <row r="632" spans="4:17" ht="15" thickBot="1" x14ac:dyDescent="0.35">
      <c r="D632" s="20">
        <f t="shared" si="45"/>
        <v>626</v>
      </c>
      <c r="E632" s="20">
        <f t="shared" si="46"/>
        <v>4250</v>
      </c>
      <c r="F632" s="20">
        <f t="shared" si="47"/>
        <v>1150</v>
      </c>
      <c r="G632" s="20">
        <v>0.29114894158119897</v>
      </c>
      <c r="H632" s="50"/>
      <c r="I632" s="16"/>
      <c r="J632" s="16"/>
      <c r="K632" s="16"/>
      <c r="L632" s="16"/>
      <c r="M632" s="16">
        <v>626</v>
      </c>
      <c r="N632" s="16">
        <f t="shared" si="48"/>
        <v>0.22435437589670015</v>
      </c>
      <c r="O632" s="16"/>
      <c r="P632" s="16"/>
      <c r="Q632" s="16">
        <f t="shared" si="49"/>
        <v>-0.75756948839332861</v>
      </c>
    </row>
    <row r="633" spans="4:17" ht="15" thickBot="1" x14ac:dyDescent="0.35">
      <c r="D633" s="20">
        <f t="shared" si="45"/>
        <v>627</v>
      </c>
      <c r="E633" s="20">
        <f t="shared" si="46"/>
        <v>4350</v>
      </c>
      <c r="F633" s="20">
        <f t="shared" si="47"/>
        <v>1150</v>
      </c>
      <c r="G633" s="20">
        <v>0.29125159163163128</v>
      </c>
      <c r="H633" s="50"/>
      <c r="I633" s="16"/>
      <c r="J633" s="16"/>
      <c r="K633" s="16"/>
      <c r="L633" s="16"/>
      <c r="M633" s="16">
        <v>627</v>
      </c>
      <c r="N633" s="16">
        <f t="shared" si="48"/>
        <v>0.22471305595408894</v>
      </c>
      <c r="O633" s="16"/>
      <c r="P633" s="16"/>
      <c r="Q633" s="16">
        <f t="shared" si="49"/>
        <v>-0.75637213158289784</v>
      </c>
    </row>
    <row r="634" spans="4:17" ht="15" thickBot="1" x14ac:dyDescent="0.35">
      <c r="D634" s="20">
        <f t="shared" si="45"/>
        <v>628</v>
      </c>
      <c r="E634" s="20">
        <f t="shared" si="46"/>
        <v>4450</v>
      </c>
      <c r="F634" s="20">
        <f t="shared" si="47"/>
        <v>1150</v>
      </c>
      <c r="G634" s="20">
        <v>0.29131730905011965</v>
      </c>
      <c r="H634" s="50"/>
      <c r="I634" s="16"/>
      <c r="J634" s="16"/>
      <c r="K634" s="16"/>
      <c r="L634" s="16"/>
      <c r="M634" s="16">
        <v>628</v>
      </c>
      <c r="N634" s="16">
        <f t="shared" si="48"/>
        <v>0.22507173601147776</v>
      </c>
      <c r="O634" s="16"/>
      <c r="P634" s="16"/>
      <c r="Q634" s="16">
        <f t="shared" si="49"/>
        <v>-0.75517585817473776</v>
      </c>
    </row>
    <row r="635" spans="4:17" ht="15" thickBot="1" x14ac:dyDescent="0.35">
      <c r="D635" s="20">
        <f t="shared" si="45"/>
        <v>629</v>
      </c>
      <c r="E635" s="20">
        <f t="shared" si="46"/>
        <v>4550</v>
      </c>
      <c r="F635" s="20">
        <f t="shared" si="47"/>
        <v>1150</v>
      </c>
      <c r="G635" s="20">
        <v>0.29144358974538093</v>
      </c>
      <c r="H635" s="50"/>
      <c r="I635" s="16"/>
      <c r="J635" s="16"/>
      <c r="K635" s="16"/>
      <c r="L635" s="16"/>
      <c r="M635" s="16">
        <v>629</v>
      </c>
      <c r="N635" s="16">
        <f t="shared" si="48"/>
        <v>0.22543041606886657</v>
      </c>
      <c r="O635" s="16"/>
      <c r="P635" s="16"/>
      <c r="Q635" s="16">
        <f t="shared" si="49"/>
        <v>-0.75398066450117585</v>
      </c>
    </row>
    <row r="636" spans="4:17" ht="15" thickBot="1" x14ac:dyDescent="0.35">
      <c r="D636" s="20">
        <f t="shared" si="45"/>
        <v>630</v>
      </c>
      <c r="E636" s="20">
        <f t="shared" si="46"/>
        <v>4650</v>
      </c>
      <c r="F636" s="20">
        <f t="shared" si="47"/>
        <v>1150</v>
      </c>
      <c r="G636" s="20">
        <v>0.29146088153076438</v>
      </c>
      <c r="H636" s="50"/>
      <c r="I636" s="16"/>
      <c r="J636" s="16"/>
      <c r="K636" s="16"/>
      <c r="L636" s="16"/>
      <c r="M636" s="16">
        <v>630</v>
      </c>
      <c r="N636" s="16">
        <f t="shared" si="48"/>
        <v>0.22578909612625539</v>
      </c>
      <c r="O636" s="16"/>
      <c r="P636" s="16"/>
      <c r="Q636" s="16">
        <f t="shared" si="49"/>
        <v>-0.7527865469106233</v>
      </c>
    </row>
    <row r="637" spans="4:17" ht="15" thickBot="1" x14ac:dyDescent="0.35">
      <c r="D637" s="20">
        <f t="shared" si="45"/>
        <v>631</v>
      </c>
      <c r="E637" s="20">
        <f t="shared" si="46"/>
        <v>4750</v>
      </c>
      <c r="F637" s="20">
        <f t="shared" si="47"/>
        <v>1150</v>
      </c>
      <c r="G637" s="20">
        <v>0.29158822040919347</v>
      </c>
      <c r="H637" s="50"/>
      <c r="I637" s="16"/>
      <c r="J637" s="16"/>
      <c r="K637" s="16"/>
      <c r="L637" s="16"/>
      <c r="M637" s="16">
        <v>631</v>
      </c>
      <c r="N637" s="16">
        <f t="shared" si="48"/>
        <v>0.22614777618364418</v>
      </c>
      <c r="O637" s="16"/>
      <c r="P637" s="16"/>
      <c r="Q637" s="16">
        <f t="shared" si="49"/>
        <v>-0.75159350176748529</v>
      </c>
    </row>
    <row r="638" spans="4:17" ht="15" thickBot="1" x14ac:dyDescent="0.35">
      <c r="D638" s="20">
        <f t="shared" si="45"/>
        <v>632</v>
      </c>
      <c r="E638" s="20">
        <f t="shared" si="46"/>
        <v>4850</v>
      </c>
      <c r="F638" s="20">
        <f t="shared" si="47"/>
        <v>1150</v>
      </c>
      <c r="G638" s="20">
        <v>0.2916445721242743</v>
      </c>
      <c r="H638" s="50"/>
      <c r="I638" s="16"/>
      <c r="J638" s="16"/>
      <c r="K638" s="16"/>
      <c r="L638" s="16"/>
      <c r="M638" s="16">
        <v>632</v>
      </c>
      <c r="N638" s="16">
        <f t="shared" si="48"/>
        <v>0.22650645624103299</v>
      </c>
      <c r="O638" s="16"/>
      <c r="P638" s="16"/>
      <c r="Q638" s="16">
        <f t="shared" si="49"/>
        <v>-0.75040152545205285</v>
      </c>
    </row>
    <row r="639" spans="4:17" ht="15" thickBot="1" x14ac:dyDescent="0.35">
      <c r="D639" s="20">
        <f t="shared" si="45"/>
        <v>633</v>
      </c>
      <c r="E639" s="44">
        <f t="shared" si="46"/>
        <v>4950</v>
      </c>
      <c r="F639" s="44">
        <f t="shared" si="47"/>
        <v>1150</v>
      </c>
      <c r="G639" s="20">
        <v>0.29167338838880402</v>
      </c>
      <c r="H639" s="50"/>
      <c r="I639" s="16"/>
      <c r="J639" s="16"/>
      <c r="K639" s="16"/>
      <c r="L639" s="16"/>
      <c r="M639" s="16">
        <v>633</v>
      </c>
      <c r="N639" s="16">
        <f t="shared" si="48"/>
        <v>0.22686513629842181</v>
      </c>
      <c r="O639" s="16"/>
      <c r="P639" s="16"/>
      <c r="Q639" s="16">
        <f t="shared" si="49"/>
        <v>-0.74921061436041148</v>
      </c>
    </row>
    <row r="640" spans="4:17" ht="15" thickBot="1" x14ac:dyDescent="0.35">
      <c r="D640" s="20">
        <f t="shared" si="45"/>
        <v>634</v>
      </c>
      <c r="E640" s="20">
        <f t="shared" si="46"/>
        <v>5050</v>
      </c>
      <c r="F640" s="20">
        <f t="shared" si="47"/>
        <v>1150</v>
      </c>
      <c r="G640" s="20">
        <v>0.29175387276617548</v>
      </c>
      <c r="H640" s="50"/>
      <c r="I640" s="16"/>
      <c r="J640" s="16"/>
      <c r="K640" s="16"/>
      <c r="L640" s="16"/>
      <c r="M640" s="16">
        <v>634</v>
      </c>
      <c r="N640" s="16">
        <f t="shared" si="48"/>
        <v>0.22722381635581063</v>
      </c>
      <c r="O640" s="16"/>
      <c r="P640" s="16"/>
      <c r="Q640" s="16">
        <f t="shared" si="49"/>
        <v>-0.748020764904339</v>
      </c>
    </row>
    <row r="641" spans="4:17" ht="15" thickBot="1" x14ac:dyDescent="0.35">
      <c r="D641" s="20">
        <f t="shared" si="45"/>
        <v>635</v>
      </c>
      <c r="E641" s="20">
        <f t="shared" si="46"/>
        <v>5150</v>
      </c>
      <c r="F641" s="20">
        <f t="shared" si="47"/>
        <v>1150</v>
      </c>
      <c r="G641" s="20">
        <v>0.29179664480472162</v>
      </c>
      <c r="H641" s="50"/>
      <c r="I641" s="16"/>
      <c r="J641" s="16"/>
      <c r="K641" s="16"/>
      <c r="L641" s="16"/>
      <c r="M641" s="16">
        <v>635</v>
      </c>
      <c r="N641" s="16">
        <f t="shared" si="48"/>
        <v>0.22758249641319941</v>
      </c>
      <c r="O641" s="16"/>
      <c r="P641" s="16"/>
      <c r="Q641" s="16">
        <f t="shared" si="49"/>
        <v>-0.74683197351121133</v>
      </c>
    </row>
    <row r="642" spans="4:17" ht="15" thickBot="1" x14ac:dyDescent="0.35">
      <c r="D642" s="20">
        <f t="shared" si="45"/>
        <v>636</v>
      </c>
      <c r="E642" s="20">
        <f t="shared" si="46"/>
        <v>5250</v>
      </c>
      <c r="F642" s="20">
        <f t="shared" si="47"/>
        <v>1150</v>
      </c>
      <c r="G642" s="20">
        <v>0.29214226242312219</v>
      </c>
      <c r="H642" s="50"/>
      <c r="I642" s="16"/>
      <c r="J642" s="16"/>
      <c r="K642" s="16"/>
      <c r="L642" s="16"/>
      <c r="M642" s="16">
        <v>636</v>
      </c>
      <c r="N642" s="16">
        <f t="shared" si="48"/>
        <v>0.22794117647058823</v>
      </c>
      <c r="O642" s="16"/>
      <c r="P642" s="16"/>
      <c r="Q642" s="16">
        <f t="shared" si="49"/>
        <v>-0.74564423662390367</v>
      </c>
    </row>
    <row r="643" spans="4:17" ht="15" thickBot="1" x14ac:dyDescent="0.35">
      <c r="D643" s="20">
        <f t="shared" si="45"/>
        <v>637</v>
      </c>
      <c r="E643" s="20">
        <f t="shared" si="46"/>
        <v>50</v>
      </c>
      <c r="F643" s="20">
        <f t="shared" si="47"/>
        <v>1250</v>
      </c>
      <c r="G643" s="20">
        <v>0.2921864682256422</v>
      </c>
      <c r="H643" s="50"/>
      <c r="I643" s="16"/>
      <c r="J643" s="16"/>
      <c r="K643" s="16"/>
      <c r="L643" s="16"/>
      <c r="M643" s="16">
        <v>637</v>
      </c>
      <c r="N643" s="16">
        <f t="shared" si="48"/>
        <v>0.22829985652797705</v>
      </c>
      <c r="O643" s="16"/>
      <c r="P643" s="16"/>
      <c r="Q643" s="16">
        <f t="shared" si="49"/>
        <v>-0.74445755070069775</v>
      </c>
    </row>
    <row r="644" spans="4:17" ht="15" thickBot="1" x14ac:dyDescent="0.35">
      <c r="D644" s="20">
        <f t="shared" si="45"/>
        <v>638</v>
      </c>
      <c r="E644" s="20">
        <f t="shared" si="46"/>
        <v>150</v>
      </c>
      <c r="F644" s="20">
        <f t="shared" si="47"/>
        <v>1250</v>
      </c>
      <c r="G644" s="20">
        <v>0.2922446224066696</v>
      </c>
      <c r="H644" s="50"/>
      <c r="I644" s="16"/>
      <c r="J644" s="16"/>
      <c r="K644" s="16"/>
      <c r="L644" s="16"/>
      <c r="M644" s="16">
        <v>638</v>
      </c>
      <c r="N644" s="16">
        <f t="shared" si="48"/>
        <v>0.22865853658536586</v>
      </c>
      <c r="O644" s="16"/>
      <c r="P644" s="16"/>
      <c r="Q644" s="16">
        <f t="shared" si="49"/>
        <v>-0.74327191221518607</v>
      </c>
    </row>
    <row r="645" spans="4:17" ht="15" thickBot="1" x14ac:dyDescent="0.35">
      <c r="D645" s="20">
        <f t="shared" si="45"/>
        <v>639</v>
      </c>
      <c r="E645" s="20">
        <f t="shared" si="46"/>
        <v>250</v>
      </c>
      <c r="F645" s="20">
        <f t="shared" si="47"/>
        <v>1250</v>
      </c>
      <c r="G645" s="20">
        <v>0.29228868117248019</v>
      </c>
      <c r="H645" s="50"/>
      <c r="I645" s="16"/>
      <c r="J645" s="16"/>
      <c r="K645" s="16"/>
      <c r="L645" s="16"/>
      <c r="M645" s="16">
        <v>639</v>
      </c>
      <c r="N645" s="16">
        <f t="shared" si="48"/>
        <v>0.22901721664275465</v>
      </c>
      <c r="O645" s="16"/>
      <c r="P645" s="16"/>
      <c r="Q645" s="16">
        <f t="shared" si="49"/>
        <v>-0.74208731765617653</v>
      </c>
    </row>
    <row r="646" spans="4:17" ht="15" thickBot="1" x14ac:dyDescent="0.35">
      <c r="D646" s="20">
        <f t="shared" si="45"/>
        <v>640</v>
      </c>
      <c r="E646" s="20">
        <f t="shared" si="46"/>
        <v>350</v>
      </c>
      <c r="F646" s="20">
        <f t="shared" si="47"/>
        <v>1250</v>
      </c>
      <c r="G646" s="20">
        <v>0.29265707414687214</v>
      </c>
      <c r="H646" s="50"/>
      <c r="I646" s="16"/>
      <c r="J646" s="16"/>
      <c r="K646" s="16"/>
      <c r="L646" s="16"/>
      <c r="M646" s="16">
        <v>640</v>
      </c>
      <c r="N646" s="16">
        <f t="shared" si="48"/>
        <v>0.22937589670014347</v>
      </c>
      <c r="O646" s="16"/>
      <c r="P646" s="16"/>
      <c r="Q646" s="16">
        <f t="shared" si="49"/>
        <v>-0.74090376352760345</v>
      </c>
    </row>
    <row r="647" spans="4:17" ht="15" thickBot="1" x14ac:dyDescent="0.35">
      <c r="D647" s="20">
        <f t="shared" ref="D647:D710" si="50">ROW()-6</f>
        <v>641</v>
      </c>
      <c r="E647" s="20">
        <f t="shared" ref="E647:E710" si="51">(MOD(D647-1,53)*100)+50</f>
        <v>450</v>
      </c>
      <c r="F647" s="20">
        <f t="shared" ref="F647:F710" si="52">FLOOR((D647-1)/53,1)*100+50</f>
        <v>1250</v>
      </c>
      <c r="G647" s="20">
        <v>0.29266487280466469</v>
      </c>
      <c r="H647" s="50"/>
      <c r="I647" s="16"/>
      <c r="J647" s="16"/>
      <c r="K647" s="16"/>
      <c r="L647" s="16"/>
      <c r="M647" s="16">
        <v>641</v>
      </c>
      <c r="N647" s="16">
        <f t="shared" si="48"/>
        <v>0.22973457675753228</v>
      </c>
      <c r="O647" s="16"/>
      <c r="P647" s="16"/>
      <c r="Q647" s="16">
        <f t="shared" si="49"/>
        <v>-0.73972124634842751</v>
      </c>
    </row>
    <row r="648" spans="4:17" ht="15" thickBot="1" x14ac:dyDescent="0.35">
      <c r="D648" s="20">
        <f t="shared" si="50"/>
        <v>642</v>
      </c>
      <c r="E648" s="20">
        <f t="shared" si="51"/>
        <v>550</v>
      </c>
      <c r="F648" s="20">
        <f t="shared" si="52"/>
        <v>1250</v>
      </c>
      <c r="G648" s="20">
        <v>0.29270789678560838</v>
      </c>
      <c r="H648" s="50"/>
      <c r="I648" s="16"/>
      <c r="J648" s="16"/>
      <c r="K648" s="16"/>
      <c r="L648" s="16"/>
      <c r="M648" s="16">
        <v>642</v>
      </c>
      <c r="N648" s="16">
        <f t="shared" ref="N648:N711" si="53">(M648-0.5)/$L$7</f>
        <v>0.2300932568149211</v>
      </c>
      <c r="O648" s="16"/>
      <c r="P648" s="16"/>
      <c r="Q648" s="16">
        <f t="shared" ref="Q648:Q711" si="54">_xlfn.NORM.S.INV(N648)</f>
        <v>-0.73853976265255361</v>
      </c>
    </row>
    <row r="649" spans="4:17" ht="15" thickBot="1" x14ac:dyDescent="0.35">
      <c r="D649" s="20">
        <f t="shared" si="50"/>
        <v>643</v>
      </c>
      <c r="E649" s="20">
        <f t="shared" si="51"/>
        <v>650</v>
      </c>
      <c r="F649" s="20">
        <f t="shared" si="52"/>
        <v>1250</v>
      </c>
      <c r="G649" s="20">
        <v>0.29284923028188004</v>
      </c>
      <c r="H649" s="50"/>
      <c r="I649" s="16"/>
      <c r="J649" s="16"/>
      <c r="K649" s="16"/>
      <c r="L649" s="16"/>
      <c r="M649" s="16">
        <v>643</v>
      </c>
      <c r="N649" s="16">
        <f t="shared" si="53"/>
        <v>0.23045193687230989</v>
      </c>
      <c r="O649" s="16"/>
      <c r="P649" s="16"/>
      <c r="Q649" s="16">
        <f t="shared" si="54"/>
        <v>-0.73735930898873114</v>
      </c>
    </row>
    <row r="650" spans="4:17" ht="15" thickBot="1" x14ac:dyDescent="0.35">
      <c r="D650" s="20">
        <f t="shared" si="50"/>
        <v>644</v>
      </c>
      <c r="E650" s="20">
        <f t="shared" si="51"/>
        <v>750</v>
      </c>
      <c r="F650" s="20">
        <f t="shared" si="52"/>
        <v>1250</v>
      </c>
      <c r="G650" s="20">
        <v>0.29300046657386386</v>
      </c>
      <c r="H650" s="50"/>
      <c r="I650" s="16"/>
      <c r="J650" s="16"/>
      <c r="K650" s="16"/>
      <c r="L650" s="16"/>
      <c r="M650" s="16">
        <v>644</v>
      </c>
      <c r="N650" s="16">
        <f t="shared" si="53"/>
        <v>0.2308106169296987</v>
      </c>
      <c r="O650" s="16"/>
      <c r="P650" s="16"/>
      <c r="Q650" s="16">
        <f t="shared" si="54"/>
        <v>-0.73617988192046735</v>
      </c>
    </row>
    <row r="651" spans="4:17" ht="15" thickBot="1" x14ac:dyDescent="0.35">
      <c r="D651" s="20">
        <f t="shared" si="50"/>
        <v>645</v>
      </c>
      <c r="E651" s="20">
        <f t="shared" si="51"/>
        <v>850</v>
      </c>
      <c r="F651" s="20">
        <f t="shared" si="52"/>
        <v>1250</v>
      </c>
      <c r="G651" s="20">
        <v>0.2930849578070307</v>
      </c>
      <c r="H651" s="50"/>
      <c r="I651" s="16"/>
      <c r="J651" s="16"/>
      <c r="K651" s="16"/>
      <c r="L651" s="16"/>
      <c r="M651" s="16">
        <v>645</v>
      </c>
      <c r="N651" s="16">
        <f t="shared" si="53"/>
        <v>0.23116929698708752</v>
      </c>
      <c r="O651" s="16"/>
      <c r="P651" s="16"/>
      <c r="Q651" s="16">
        <f t="shared" si="54"/>
        <v>-0.73500147802593829</v>
      </c>
    </row>
    <row r="652" spans="4:17" ht="15" thickBot="1" x14ac:dyDescent="0.35">
      <c r="D652" s="20">
        <f t="shared" si="50"/>
        <v>646</v>
      </c>
      <c r="E652" s="20">
        <f t="shared" si="51"/>
        <v>950</v>
      </c>
      <c r="F652" s="20">
        <f t="shared" si="52"/>
        <v>1250</v>
      </c>
      <c r="G652" s="20">
        <v>0.29309927945794434</v>
      </c>
      <c r="H652" s="50"/>
      <c r="I652" s="16"/>
      <c r="J652" s="16"/>
      <c r="K652" s="16"/>
      <c r="L652" s="16"/>
      <c r="M652" s="16">
        <v>646</v>
      </c>
      <c r="N652" s="16">
        <f t="shared" si="53"/>
        <v>0.23152797704447634</v>
      </c>
      <c r="O652" s="16"/>
      <c r="P652" s="16"/>
      <c r="Q652" s="16">
        <f t="shared" si="54"/>
        <v>-0.73382409389789827</v>
      </c>
    </row>
    <row r="653" spans="4:17" ht="15" thickBot="1" x14ac:dyDescent="0.35">
      <c r="D653" s="20">
        <f t="shared" si="50"/>
        <v>647</v>
      </c>
      <c r="E653" s="20">
        <f t="shared" si="51"/>
        <v>1050</v>
      </c>
      <c r="F653" s="20">
        <f t="shared" si="52"/>
        <v>1250</v>
      </c>
      <c r="G653" s="20">
        <v>0.29323172505733242</v>
      </c>
      <c r="H653" s="50"/>
      <c r="I653" s="16"/>
      <c r="J653" s="16"/>
      <c r="K653" s="16"/>
      <c r="L653" s="16"/>
      <c r="M653" s="16">
        <v>647</v>
      </c>
      <c r="N653" s="16">
        <f t="shared" si="53"/>
        <v>0.23188665710186512</v>
      </c>
      <c r="O653" s="16"/>
      <c r="P653" s="16"/>
      <c r="Q653" s="16">
        <f t="shared" si="54"/>
        <v>-0.73264772614359108</v>
      </c>
    </row>
    <row r="654" spans="4:17" ht="15" thickBot="1" x14ac:dyDescent="0.35">
      <c r="D654" s="20">
        <f t="shared" si="50"/>
        <v>648</v>
      </c>
      <c r="E654" s="20">
        <f t="shared" si="51"/>
        <v>1150</v>
      </c>
      <c r="F654" s="20">
        <f t="shared" si="52"/>
        <v>1250</v>
      </c>
      <c r="G654" s="20">
        <v>0.29330558421265612</v>
      </c>
      <c r="H654" s="50"/>
      <c r="I654" s="16"/>
      <c r="J654" s="16"/>
      <c r="K654" s="16"/>
      <c r="L654" s="16"/>
      <c r="M654" s="16">
        <v>648</v>
      </c>
      <c r="N654" s="16">
        <f t="shared" si="53"/>
        <v>0.23224533715925394</v>
      </c>
      <c r="O654" s="16"/>
      <c r="P654" s="16"/>
      <c r="Q654" s="16">
        <f t="shared" si="54"/>
        <v>-0.73147237138466403</v>
      </c>
    </row>
    <row r="655" spans="4:17" ht="15" thickBot="1" x14ac:dyDescent="0.35">
      <c r="D655" s="20">
        <f t="shared" si="50"/>
        <v>649</v>
      </c>
      <c r="E655" s="20">
        <f t="shared" si="51"/>
        <v>1250</v>
      </c>
      <c r="F655" s="20">
        <f t="shared" si="52"/>
        <v>1250</v>
      </c>
      <c r="G655" s="20">
        <v>0.29337590934214935</v>
      </c>
      <c r="H655" s="50"/>
      <c r="I655" s="16"/>
      <c r="J655" s="16"/>
      <c r="K655" s="16"/>
      <c r="L655" s="16"/>
      <c r="M655" s="16">
        <v>649</v>
      </c>
      <c r="N655" s="16">
        <f t="shared" si="53"/>
        <v>0.23260401721664276</v>
      </c>
      <c r="O655" s="16"/>
      <c r="P655" s="16"/>
      <c r="Q655" s="16">
        <f t="shared" si="54"/>
        <v>-0.73029802625707829</v>
      </c>
    </row>
    <row r="656" spans="4:17" ht="15" thickBot="1" x14ac:dyDescent="0.35">
      <c r="D656" s="20">
        <f t="shared" si="50"/>
        <v>650</v>
      </c>
      <c r="E656" s="20">
        <f t="shared" si="51"/>
        <v>1350</v>
      </c>
      <c r="F656" s="20">
        <f t="shared" si="52"/>
        <v>1250</v>
      </c>
      <c r="G656" s="20">
        <v>0.29355663929622927</v>
      </c>
      <c r="H656" s="50"/>
      <c r="I656" s="16"/>
      <c r="J656" s="16"/>
      <c r="K656" s="16"/>
      <c r="L656" s="16"/>
      <c r="M656" s="16">
        <v>650</v>
      </c>
      <c r="N656" s="16">
        <f t="shared" si="53"/>
        <v>0.23296269727403157</v>
      </c>
      <c r="O656" s="16"/>
      <c r="P656" s="16"/>
      <c r="Q656" s="16">
        <f t="shared" si="54"/>
        <v>-0.72912468741102621</v>
      </c>
    </row>
    <row r="657" spans="4:17" ht="15" thickBot="1" x14ac:dyDescent="0.35">
      <c r="D657" s="20">
        <f t="shared" si="50"/>
        <v>651</v>
      </c>
      <c r="E657" s="20">
        <f t="shared" si="51"/>
        <v>1450</v>
      </c>
      <c r="F657" s="20">
        <f t="shared" si="52"/>
        <v>1250</v>
      </c>
      <c r="G657" s="20">
        <v>0.29379110786821599</v>
      </c>
      <c r="H657" s="50"/>
      <c r="I657" s="16"/>
      <c r="J657" s="16"/>
      <c r="K657" s="16"/>
      <c r="L657" s="16"/>
      <c r="M657" s="16">
        <v>651</v>
      </c>
      <c r="N657" s="16">
        <f t="shared" si="53"/>
        <v>0.23332137733142036</v>
      </c>
      <c r="O657" s="16"/>
      <c r="P657" s="16"/>
      <c r="Q657" s="16">
        <f t="shared" si="54"/>
        <v>-0.72795235151083948</v>
      </c>
    </row>
    <row r="658" spans="4:17" ht="15" thickBot="1" x14ac:dyDescent="0.35">
      <c r="D658" s="20">
        <f t="shared" si="50"/>
        <v>652</v>
      </c>
      <c r="E658" s="20">
        <f t="shared" si="51"/>
        <v>1550</v>
      </c>
      <c r="F658" s="20">
        <f t="shared" si="52"/>
        <v>1250</v>
      </c>
      <c r="G658" s="20">
        <v>0.29388038117330728</v>
      </c>
      <c r="H658" s="50"/>
      <c r="I658" s="16"/>
      <c r="J658" s="16"/>
      <c r="K658" s="16"/>
      <c r="L658" s="16"/>
      <c r="M658" s="16">
        <v>652</v>
      </c>
      <c r="N658" s="16">
        <f t="shared" si="53"/>
        <v>0.23368005738880918</v>
      </c>
      <c r="O658" s="16"/>
      <c r="P658" s="16"/>
      <c r="Q658" s="16">
        <f t="shared" si="54"/>
        <v>-0.7267810152349109</v>
      </c>
    </row>
    <row r="659" spans="4:17" ht="15" thickBot="1" x14ac:dyDescent="0.35">
      <c r="D659" s="20">
        <f t="shared" si="50"/>
        <v>653</v>
      </c>
      <c r="E659" s="20">
        <f t="shared" si="51"/>
        <v>1650</v>
      </c>
      <c r="F659" s="20">
        <f t="shared" si="52"/>
        <v>1250</v>
      </c>
      <c r="G659" s="20">
        <v>0.29422031868972121</v>
      </c>
      <c r="H659" s="50"/>
      <c r="I659" s="16"/>
      <c r="J659" s="16"/>
      <c r="K659" s="16"/>
      <c r="L659" s="16"/>
      <c r="M659" s="16">
        <v>653</v>
      </c>
      <c r="N659" s="16">
        <f t="shared" si="53"/>
        <v>0.23403873744619799</v>
      </c>
      <c r="O659" s="16"/>
      <c r="P659" s="16"/>
      <c r="Q659" s="16">
        <f t="shared" si="54"/>
        <v>-0.72561067527560552</v>
      </c>
    </row>
    <row r="660" spans="4:17" ht="15" thickBot="1" x14ac:dyDescent="0.35">
      <c r="D660" s="20">
        <f t="shared" si="50"/>
        <v>654</v>
      </c>
      <c r="E660" s="20">
        <f t="shared" si="51"/>
        <v>1750</v>
      </c>
      <c r="F660" s="20">
        <f t="shared" si="52"/>
        <v>1250</v>
      </c>
      <c r="G660" s="20">
        <v>0.2943359117931269</v>
      </c>
      <c r="H660" s="50"/>
      <c r="I660" s="16"/>
      <c r="J660" s="16"/>
      <c r="K660" s="16"/>
      <c r="L660" s="16"/>
      <c r="M660" s="16">
        <v>654</v>
      </c>
      <c r="N660" s="16">
        <f t="shared" si="53"/>
        <v>0.23439741750358681</v>
      </c>
      <c r="O660" s="16"/>
      <c r="P660" s="16"/>
      <c r="Q660" s="16">
        <f t="shared" si="54"/>
        <v>-0.72444132833917729</v>
      </c>
    </row>
    <row r="661" spans="4:17" ht="15" thickBot="1" x14ac:dyDescent="0.35">
      <c r="D661" s="20">
        <f t="shared" si="50"/>
        <v>655</v>
      </c>
      <c r="E661" s="20">
        <f t="shared" si="51"/>
        <v>1850</v>
      </c>
      <c r="F661" s="20">
        <f t="shared" si="52"/>
        <v>1250</v>
      </c>
      <c r="G661" s="20">
        <v>0.29440967823421221</v>
      </c>
      <c r="H661" s="50"/>
      <c r="I661" s="16"/>
      <c r="J661" s="16"/>
      <c r="K661" s="16"/>
      <c r="L661" s="16"/>
      <c r="M661" s="16">
        <v>655</v>
      </c>
      <c r="N661" s="16">
        <f t="shared" si="53"/>
        <v>0.2347560975609756</v>
      </c>
      <c r="O661" s="16"/>
      <c r="P661" s="16"/>
      <c r="Q661" s="16">
        <f t="shared" si="54"/>
        <v>-0.72327297114568678</v>
      </c>
    </row>
    <row r="662" spans="4:17" ht="15" thickBot="1" x14ac:dyDescent="0.35">
      <c r="D662" s="20">
        <f t="shared" si="50"/>
        <v>656</v>
      </c>
      <c r="E662" s="20">
        <f t="shared" si="51"/>
        <v>1950</v>
      </c>
      <c r="F662" s="20">
        <f t="shared" si="52"/>
        <v>1250</v>
      </c>
      <c r="G662" s="20">
        <v>0.29458821497007087</v>
      </c>
      <c r="H662" s="50"/>
      <c r="I662" s="16"/>
      <c r="J662" s="16"/>
      <c r="K662" s="16"/>
      <c r="L662" s="16"/>
      <c r="M662" s="16">
        <v>656</v>
      </c>
      <c r="N662" s="16">
        <f t="shared" si="53"/>
        <v>0.23511477761836441</v>
      </c>
      <c r="O662" s="16"/>
      <c r="P662" s="16"/>
      <c r="Q662" s="16">
        <f t="shared" si="54"/>
        <v>-0.72210560042891747</v>
      </c>
    </row>
    <row r="663" spans="4:17" ht="15" thickBot="1" x14ac:dyDescent="0.35">
      <c r="D663" s="20">
        <f t="shared" si="50"/>
        <v>657</v>
      </c>
      <c r="E663" s="20">
        <f t="shared" si="51"/>
        <v>2050</v>
      </c>
      <c r="F663" s="20">
        <f t="shared" si="52"/>
        <v>1250</v>
      </c>
      <c r="G663" s="20">
        <v>0.29486496777793503</v>
      </c>
      <c r="H663" s="50"/>
      <c r="I663" s="16"/>
      <c r="J663" s="16"/>
      <c r="K663" s="16"/>
      <c r="L663" s="16"/>
      <c r="M663" s="16">
        <v>657</v>
      </c>
      <c r="N663" s="16">
        <f t="shared" si="53"/>
        <v>0.23547345767575323</v>
      </c>
      <c r="O663" s="16"/>
      <c r="P663" s="16"/>
      <c r="Q663" s="16">
        <f t="shared" si="54"/>
        <v>-0.72093921293629504</v>
      </c>
    </row>
    <row r="664" spans="4:17" ht="15" thickBot="1" x14ac:dyDescent="0.35">
      <c r="D664" s="20">
        <f t="shared" si="50"/>
        <v>658</v>
      </c>
      <c r="E664" s="20">
        <f t="shared" si="51"/>
        <v>2150</v>
      </c>
      <c r="F664" s="20">
        <f t="shared" si="52"/>
        <v>1250</v>
      </c>
      <c r="G664" s="20">
        <v>0.29493535304038615</v>
      </c>
      <c r="H664" s="50"/>
      <c r="I664" s="16"/>
      <c r="J664" s="16"/>
      <c r="K664" s="16"/>
      <c r="L664" s="16"/>
      <c r="M664" s="16">
        <v>658</v>
      </c>
      <c r="N664" s="16">
        <f t="shared" si="53"/>
        <v>0.23583213773314204</v>
      </c>
      <c r="O664" s="16"/>
      <c r="P664" s="16"/>
      <c r="Q664" s="16">
        <f t="shared" si="54"/>
        <v>-0.71977380542880454</v>
      </c>
    </row>
    <row r="665" spans="4:17" ht="15" thickBot="1" x14ac:dyDescent="0.35">
      <c r="D665" s="20">
        <f t="shared" si="50"/>
        <v>659</v>
      </c>
      <c r="E665" s="20">
        <f t="shared" si="51"/>
        <v>2250</v>
      </c>
      <c r="F665" s="20">
        <f t="shared" si="52"/>
        <v>1250</v>
      </c>
      <c r="G665" s="20">
        <v>0.29509653820758808</v>
      </c>
      <c r="H665" s="50"/>
      <c r="I665" s="16"/>
      <c r="J665" s="16"/>
      <c r="K665" s="16"/>
      <c r="L665" s="16"/>
      <c r="M665" s="16">
        <v>659</v>
      </c>
      <c r="N665" s="16">
        <f t="shared" si="53"/>
        <v>0.23619081779053086</v>
      </c>
      <c r="O665" s="16"/>
      <c r="P665" s="16"/>
      <c r="Q665" s="16">
        <f t="shared" si="54"/>
        <v>-0.71860937468090946</v>
      </c>
    </row>
    <row r="666" spans="4:17" ht="15" thickBot="1" x14ac:dyDescent="0.35">
      <c r="D666" s="20">
        <f t="shared" si="50"/>
        <v>660</v>
      </c>
      <c r="E666" s="20">
        <f t="shared" si="51"/>
        <v>2350</v>
      </c>
      <c r="F666" s="20">
        <f t="shared" si="52"/>
        <v>1250</v>
      </c>
      <c r="G666" s="20">
        <v>0.29518787276222469</v>
      </c>
      <c r="H666" s="50"/>
      <c r="I666" s="16"/>
      <c r="J666" s="16"/>
      <c r="K666" s="16"/>
      <c r="L666" s="16"/>
      <c r="M666" s="16">
        <v>660</v>
      </c>
      <c r="N666" s="16">
        <f t="shared" si="53"/>
        <v>0.23654949784791965</v>
      </c>
      <c r="O666" s="16"/>
      <c r="P666" s="16"/>
      <c r="Q666" s="16">
        <f t="shared" si="54"/>
        <v>-0.71744591748047404</v>
      </c>
    </row>
    <row r="667" spans="4:17" ht="15" thickBot="1" x14ac:dyDescent="0.35">
      <c r="D667" s="20">
        <f t="shared" si="50"/>
        <v>661</v>
      </c>
      <c r="E667" s="45">
        <f t="shared" si="51"/>
        <v>2450</v>
      </c>
      <c r="F667" s="45">
        <f t="shared" si="52"/>
        <v>1250</v>
      </c>
      <c r="G667" s="20">
        <v>0.295382274987669</v>
      </c>
      <c r="H667" s="50"/>
      <c r="I667" s="16"/>
      <c r="J667" s="16"/>
      <c r="K667" s="16"/>
      <c r="L667" s="16"/>
      <c r="M667" s="16">
        <v>661</v>
      </c>
      <c r="N667" s="16">
        <f t="shared" si="53"/>
        <v>0.23690817790530846</v>
      </c>
      <c r="O667" s="16"/>
      <c r="P667" s="16"/>
      <c r="Q667" s="16">
        <f t="shared" si="54"/>
        <v>-0.71628343062867905</v>
      </c>
    </row>
    <row r="668" spans="4:17" ht="15" thickBot="1" x14ac:dyDescent="0.35">
      <c r="D668" s="20">
        <f t="shared" si="50"/>
        <v>662</v>
      </c>
      <c r="E668" s="20">
        <f t="shared" si="51"/>
        <v>2550</v>
      </c>
      <c r="F668" s="20">
        <f t="shared" si="52"/>
        <v>1250</v>
      </c>
      <c r="G668" s="20">
        <v>0.29543597316033859</v>
      </c>
      <c r="H668" s="50"/>
      <c r="I668" s="16"/>
      <c r="J668" s="16"/>
      <c r="K668" s="16"/>
      <c r="L668" s="16"/>
      <c r="M668" s="16">
        <v>662</v>
      </c>
      <c r="N668" s="16">
        <f t="shared" si="53"/>
        <v>0.23726685796269728</v>
      </c>
      <c r="O668" s="16"/>
      <c r="P668" s="16"/>
      <c r="Q668" s="16">
        <f t="shared" si="54"/>
        <v>-0.71512191093994781</v>
      </c>
    </row>
    <row r="669" spans="4:17" ht="15" thickBot="1" x14ac:dyDescent="0.35">
      <c r="D669" s="20">
        <f t="shared" si="50"/>
        <v>663</v>
      </c>
      <c r="E669" s="48">
        <f t="shared" si="51"/>
        <v>2650</v>
      </c>
      <c r="F669" s="48">
        <f t="shared" si="52"/>
        <v>1250</v>
      </c>
      <c r="G669" s="20">
        <v>0.29552071980718697</v>
      </c>
      <c r="H669" s="50"/>
      <c r="I669" s="16"/>
      <c r="J669" s="16"/>
      <c r="K669" s="16"/>
      <c r="L669" s="16"/>
      <c r="M669" s="16">
        <v>663</v>
      </c>
      <c r="N669" s="16">
        <f t="shared" si="53"/>
        <v>0.2376255380200861</v>
      </c>
      <c r="O669" s="16"/>
      <c r="P669" s="16"/>
      <c r="Q669" s="16">
        <f t="shared" si="54"/>
        <v>-0.71396135524186277</v>
      </c>
    </row>
    <row r="670" spans="4:17" ht="15" thickBot="1" x14ac:dyDescent="0.35">
      <c r="D670" s="20">
        <f t="shared" si="50"/>
        <v>664</v>
      </c>
      <c r="E670" s="20">
        <f t="shared" si="51"/>
        <v>2750</v>
      </c>
      <c r="F670" s="20">
        <f t="shared" si="52"/>
        <v>1250</v>
      </c>
      <c r="G670" s="20">
        <v>0.29562180169640967</v>
      </c>
      <c r="H670" s="50"/>
      <c r="I670" s="16"/>
      <c r="J670" s="16"/>
      <c r="K670" s="16"/>
      <c r="L670" s="16"/>
      <c r="M670" s="16">
        <v>664</v>
      </c>
      <c r="N670" s="16">
        <f t="shared" si="53"/>
        <v>0.23798421807747488</v>
      </c>
      <c r="O670" s="16"/>
      <c r="P670" s="16"/>
      <c r="Q670" s="16">
        <f t="shared" si="54"/>
        <v>-0.71280176037509213</v>
      </c>
    </row>
    <row r="671" spans="4:17" ht="15" thickBot="1" x14ac:dyDescent="0.35">
      <c r="D671" s="20">
        <f t="shared" si="50"/>
        <v>665</v>
      </c>
      <c r="E671" s="20">
        <f t="shared" si="51"/>
        <v>2850</v>
      </c>
      <c r="F671" s="20">
        <f t="shared" si="52"/>
        <v>1250</v>
      </c>
      <c r="G671" s="20">
        <v>0.29571290173603276</v>
      </c>
      <c r="H671" s="50"/>
      <c r="I671" s="16"/>
      <c r="J671" s="16"/>
      <c r="K671" s="16"/>
      <c r="L671" s="16"/>
      <c r="M671" s="16">
        <v>665</v>
      </c>
      <c r="N671" s="16">
        <f t="shared" si="53"/>
        <v>0.2383428981348637</v>
      </c>
      <c r="O671" s="16"/>
      <c r="P671" s="16"/>
      <c r="Q671" s="16">
        <f t="shared" si="54"/>
        <v>-0.71164312319330936</v>
      </c>
    </row>
    <row r="672" spans="4:17" ht="15" thickBot="1" x14ac:dyDescent="0.35">
      <c r="D672" s="20">
        <f t="shared" si="50"/>
        <v>666</v>
      </c>
      <c r="E672" s="20">
        <f t="shared" si="51"/>
        <v>2950</v>
      </c>
      <c r="F672" s="20">
        <f t="shared" si="52"/>
        <v>1250</v>
      </c>
      <c r="G672" s="20">
        <v>0.29579758058638966</v>
      </c>
      <c r="H672" s="50"/>
      <c r="I672" s="16"/>
      <c r="J672" s="16"/>
      <c r="K672" s="16"/>
      <c r="L672" s="16"/>
      <c r="M672" s="16">
        <v>666</v>
      </c>
      <c r="N672" s="16">
        <f t="shared" si="53"/>
        <v>0.23870157819225252</v>
      </c>
      <c r="O672" s="16"/>
      <c r="P672" s="16"/>
      <c r="Q672" s="16">
        <f t="shared" si="54"/>
        <v>-0.71048544056311724</v>
      </c>
    </row>
    <row r="673" spans="4:17" ht="15" thickBot="1" x14ac:dyDescent="0.35">
      <c r="D673" s="20">
        <f t="shared" si="50"/>
        <v>667</v>
      </c>
      <c r="E673" s="20">
        <f t="shared" si="51"/>
        <v>3050</v>
      </c>
      <c r="F673" s="20">
        <f t="shared" si="52"/>
        <v>1250</v>
      </c>
      <c r="G673" s="20">
        <v>0.29581109237716019</v>
      </c>
      <c r="H673" s="50"/>
      <c r="I673" s="16"/>
      <c r="J673" s="16"/>
      <c r="K673" s="16"/>
      <c r="L673" s="16"/>
      <c r="M673" s="16">
        <v>667</v>
      </c>
      <c r="N673" s="16">
        <f t="shared" si="53"/>
        <v>0.23906025824964133</v>
      </c>
      <c r="O673" s="16"/>
      <c r="P673" s="16"/>
      <c r="Q673" s="16">
        <f t="shared" si="54"/>
        <v>-0.70932870936397185</v>
      </c>
    </row>
    <row r="674" spans="4:17" ht="15" thickBot="1" x14ac:dyDescent="0.35">
      <c r="D674" s="20">
        <f t="shared" si="50"/>
        <v>668</v>
      </c>
      <c r="E674" s="20">
        <f t="shared" si="51"/>
        <v>3150</v>
      </c>
      <c r="F674" s="20">
        <f t="shared" si="52"/>
        <v>1250</v>
      </c>
      <c r="G674" s="20">
        <v>0.29583349923161384</v>
      </c>
      <c r="H674" s="50"/>
      <c r="I674" s="16"/>
      <c r="J674" s="16"/>
      <c r="K674" s="16"/>
      <c r="L674" s="16"/>
      <c r="M674" s="16">
        <v>668</v>
      </c>
      <c r="N674" s="16">
        <f t="shared" si="53"/>
        <v>0.23941893830703012</v>
      </c>
      <c r="O674" s="16"/>
      <c r="P674" s="16"/>
      <c r="Q674" s="16">
        <f t="shared" si="54"/>
        <v>-0.70817292648810803</v>
      </c>
    </row>
    <row r="675" spans="4:17" ht="15" thickBot="1" x14ac:dyDescent="0.35">
      <c r="D675" s="20">
        <f t="shared" si="50"/>
        <v>669</v>
      </c>
      <c r="E675" s="43">
        <f t="shared" si="51"/>
        <v>3250</v>
      </c>
      <c r="F675" s="43">
        <f t="shared" si="52"/>
        <v>1250</v>
      </c>
      <c r="G675" s="20">
        <v>0.2958485525918641</v>
      </c>
      <c r="H675" s="50"/>
      <c r="I675" s="16"/>
      <c r="J675" s="16"/>
      <c r="K675" s="16"/>
      <c r="L675" s="16"/>
      <c r="M675" s="16">
        <v>669</v>
      </c>
      <c r="N675" s="16">
        <f t="shared" si="53"/>
        <v>0.23977761836441894</v>
      </c>
      <c r="O675" s="16"/>
      <c r="P675" s="16"/>
      <c r="Q675" s="16">
        <f t="shared" si="54"/>
        <v>-0.70701808884046136</v>
      </c>
    </row>
    <row r="676" spans="4:17" ht="15" thickBot="1" x14ac:dyDescent="0.35">
      <c r="D676" s="20">
        <f t="shared" si="50"/>
        <v>670</v>
      </c>
      <c r="E676" s="20">
        <f t="shared" si="51"/>
        <v>3350</v>
      </c>
      <c r="F676" s="20">
        <f t="shared" si="52"/>
        <v>1250</v>
      </c>
      <c r="G676" s="20">
        <v>0.29591677298203278</v>
      </c>
      <c r="H676" s="50"/>
      <c r="I676" s="16"/>
      <c r="J676" s="16"/>
      <c r="K676" s="16"/>
      <c r="L676" s="16"/>
      <c r="M676" s="16">
        <v>670</v>
      </c>
      <c r="N676" s="16">
        <f t="shared" si="53"/>
        <v>0.24013629842180775</v>
      </c>
      <c r="O676" s="16"/>
      <c r="P676" s="16"/>
      <c r="Q676" s="16">
        <f t="shared" si="54"/>
        <v>-0.70586419333859551</v>
      </c>
    </row>
    <row r="677" spans="4:17" ht="15" thickBot="1" x14ac:dyDescent="0.35">
      <c r="D677" s="20">
        <f t="shared" si="50"/>
        <v>671</v>
      </c>
      <c r="E677" s="20">
        <f t="shared" si="51"/>
        <v>3450</v>
      </c>
      <c r="F677" s="20">
        <f t="shared" si="52"/>
        <v>1250</v>
      </c>
      <c r="G677" s="20">
        <v>0.29595774921353768</v>
      </c>
      <c r="H677" s="50"/>
      <c r="I677" s="16"/>
      <c r="J677" s="16"/>
      <c r="K677" s="16"/>
      <c r="L677" s="16"/>
      <c r="M677" s="16">
        <v>671</v>
      </c>
      <c r="N677" s="16">
        <f t="shared" si="53"/>
        <v>0.24049497847919657</v>
      </c>
      <c r="O677" s="16"/>
      <c r="P677" s="16"/>
      <c r="Q677" s="16">
        <f t="shared" si="54"/>
        <v>-0.70471123691262905</v>
      </c>
    </row>
    <row r="678" spans="4:17" ht="15" thickBot="1" x14ac:dyDescent="0.35">
      <c r="D678" s="20">
        <f t="shared" si="50"/>
        <v>672</v>
      </c>
      <c r="E678" s="20">
        <f t="shared" si="51"/>
        <v>3550</v>
      </c>
      <c r="F678" s="20">
        <f t="shared" si="52"/>
        <v>1250</v>
      </c>
      <c r="G678" s="20">
        <v>0.29597010806137897</v>
      </c>
      <c r="H678" s="50"/>
      <c r="I678" s="16"/>
      <c r="J678" s="16"/>
      <c r="K678" s="16"/>
      <c r="L678" s="16"/>
      <c r="M678" s="16">
        <v>672</v>
      </c>
      <c r="N678" s="16">
        <f t="shared" si="53"/>
        <v>0.24085365853658536</v>
      </c>
      <c r="O678" s="16"/>
      <c r="P678" s="16"/>
      <c r="Q678" s="16">
        <f t="shared" si="54"/>
        <v>-0.70355921650516096</v>
      </c>
    </row>
    <row r="679" spans="4:17" ht="15" thickBot="1" x14ac:dyDescent="0.35">
      <c r="D679" s="20">
        <f t="shared" si="50"/>
        <v>673</v>
      </c>
      <c r="E679" s="20">
        <f t="shared" si="51"/>
        <v>3650</v>
      </c>
      <c r="F679" s="20">
        <f t="shared" si="52"/>
        <v>1250</v>
      </c>
      <c r="G679" s="20">
        <v>0.2960658287915926</v>
      </c>
      <c r="H679" s="50"/>
      <c r="I679" s="16"/>
      <c r="J679" s="16"/>
      <c r="K679" s="16"/>
      <c r="L679" s="16"/>
      <c r="M679" s="16">
        <v>673</v>
      </c>
      <c r="N679" s="16">
        <f t="shared" si="53"/>
        <v>0.24121233859397417</v>
      </c>
      <c r="O679" s="16"/>
      <c r="P679" s="16"/>
      <c r="Q679" s="16">
        <f t="shared" si="54"/>
        <v>-0.70240812907119476</v>
      </c>
    </row>
    <row r="680" spans="4:17" ht="15" thickBot="1" x14ac:dyDescent="0.35">
      <c r="D680" s="20">
        <f t="shared" si="50"/>
        <v>674</v>
      </c>
      <c r="E680" s="20">
        <f t="shared" si="51"/>
        <v>3750</v>
      </c>
      <c r="F680" s="20">
        <f t="shared" si="52"/>
        <v>1250</v>
      </c>
      <c r="G680" s="20">
        <v>0.2960930022192968</v>
      </c>
      <c r="H680" s="50"/>
      <c r="I680" s="16"/>
      <c r="J680" s="16"/>
      <c r="K680" s="16"/>
      <c r="L680" s="16"/>
      <c r="M680" s="16">
        <v>674</v>
      </c>
      <c r="N680" s="16">
        <f t="shared" si="53"/>
        <v>0.24157101865136299</v>
      </c>
      <c r="O680" s="16"/>
      <c r="P680" s="16"/>
      <c r="Q680" s="16">
        <f t="shared" si="54"/>
        <v>-0.70125797157807224</v>
      </c>
    </row>
    <row r="681" spans="4:17" ht="15" thickBot="1" x14ac:dyDescent="0.35">
      <c r="D681" s="20">
        <f t="shared" si="50"/>
        <v>675</v>
      </c>
      <c r="E681" s="20">
        <f t="shared" si="51"/>
        <v>3850</v>
      </c>
      <c r="F681" s="20">
        <f t="shared" si="52"/>
        <v>1250</v>
      </c>
      <c r="G681" s="20">
        <v>0.29613741151979556</v>
      </c>
      <c r="H681" s="50"/>
      <c r="I681" s="16"/>
      <c r="J681" s="16"/>
      <c r="K681" s="16"/>
      <c r="L681" s="16"/>
      <c r="M681" s="16">
        <v>675</v>
      </c>
      <c r="N681" s="16">
        <f t="shared" si="53"/>
        <v>0.24192969870875181</v>
      </c>
      <c r="O681" s="16"/>
      <c r="P681" s="16"/>
      <c r="Q681" s="16">
        <f t="shared" si="54"/>
        <v>-0.70010874100539633</v>
      </c>
    </row>
    <row r="682" spans="4:17" ht="15" thickBot="1" x14ac:dyDescent="0.35">
      <c r="D682" s="20">
        <f t="shared" si="50"/>
        <v>676</v>
      </c>
      <c r="E682" s="20">
        <f t="shared" si="51"/>
        <v>3950</v>
      </c>
      <c r="F682" s="20">
        <f t="shared" si="52"/>
        <v>1250</v>
      </c>
      <c r="G682" s="20">
        <v>0.29614714398826331</v>
      </c>
      <c r="H682" s="50"/>
      <c r="I682" s="16"/>
      <c r="J682" s="16"/>
      <c r="K682" s="16"/>
      <c r="L682" s="16"/>
      <c r="M682" s="16">
        <v>676</v>
      </c>
      <c r="N682" s="16">
        <f t="shared" si="53"/>
        <v>0.24228837876614059</v>
      </c>
      <c r="O682" s="16"/>
      <c r="P682" s="16"/>
      <c r="Q682" s="16">
        <f t="shared" si="54"/>
        <v>-0.69896043434496191</v>
      </c>
    </row>
    <row r="683" spans="4:17" ht="15" thickBot="1" x14ac:dyDescent="0.35">
      <c r="D683" s="20">
        <f t="shared" si="50"/>
        <v>677</v>
      </c>
      <c r="E683" s="20">
        <f t="shared" si="51"/>
        <v>4050</v>
      </c>
      <c r="F683" s="20">
        <f t="shared" si="52"/>
        <v>1250</v>
      </c>
      <c r="G683" s="20">
        <v>0.29627869253015665</v>
      </c>
      <c r="H683" s="50"/>
      <c r="I683" s="16"/>
      <c r="J683" s="16"/>
      <c r="K683" s="16"/>
      <c r="L683" s="16"/>
      <c r="M683" s="16">
        <v>677</v>
      </c>
      <c r="N683" s="16">
        <f t="shared" si="53"/>
        <v>0.24264705882352941</v>
      </c>
      <c r="O683" s="16"/>
      <c r="P683" s="16"/>
      <c r="Q683" s="16">
        <f t="shared" si="54"/>
        <v>-0.6978130486006846</v>
      </c>
    </row>
    <row r="684" spans="4:17" ht="15" thickBot="1" x14ac:dyDescent="0.35">
      <c r="D684" s="20">
        <f t="shared" si="50"/>
        <v>678</v>
      </c>
      <c r="E684" s="20">
        <f t="shared" si="51"/>
        <v>4150</v>
      </c>
      <c r="F684" s="20">
        <f t="shared" si="52"/>
        <v>1250</v>
      </c>
      <c r="G684" s="20">
        <v>0.29636426398577226</v>
      </c>
      <c r="H684" s="50"/>
      <c r="I684" s="16"/>
      <c r="J684" s="16"/>
      <c r="K684" s="16"/>
      <c r="L684" s="16"/>
      <c r="M684" s="16">
        <v>678</v>
      </c>
      <c r="N684" s="16">
        <f t="shared" si="53"/>
        <v>0.24300573888091823</v>
      </c>
      <c r="O684" s="16"/>
      <c r="P684" s="16"/>
      <c r="Q684" s="16">
        <f t="shared" si="54"/>
        <v>-0.69666658078852928</v>
      </c>
    </row>
    <row r="685" spans="4:17" ht="15" thickBot="1" x14ac:dyDescent="0.35">
      <c r="D685" s="20">
        <f t="shared" si="50"/>
        <v>679</v>
      </c>
      <c r="E685" s="20">
        <f t="shared" si="51"/>
        <v>4250</v>
      </c>
      <c r="F685" s="20">
        <f t="shared" si="52"/>
        <v>1250</v>
      </c>
      <c r="G685" s="20">
        <v>0.29637095375072353</v>
      </c>
      <c r="H685" s="50"/>
      <c r="I685" s="16"/>
      <c r="J685" s="16"/>
      <c r="K685" s="16"/>
      <c r="L685" s="16"/>
      <c r="M685" s="16">
        <v>679</v>
      </c>
      <c r="N685" s="16">
        <f t="shared" si="53"/>
        <v>0.24336441893830704</v>
      </c>
      <c r="O685" s="16"/>
      <c r="P685" s="16"/>
      <c r="Q685" s="16">
        <f t="shared" si="54"/>
        <v>-0.69552102793644344</v>
      </c>
    </row>
    <row r="686" spans="4:17" ht="15" thickBot="1" x14ac:dyDescent="0.35">
      <c r="D686" s="20">
        <f t="shared" si="50"/>
        <v>680</v>
      </c>
      <c r="E686" s="20">
        <f t="shared" si="51"/>
        <v>4350</v>
      </c>
      <c r="F686" s="20">
        <f t="shared" si="52"/>
        <v>1250</v>
      </c>
      <c r="G686" s="20">
        <v>0.29655111361564013</v>
      </c>
      <c r="H686" s="50"/>
      <c r="I686" s="16"/>
      <c r="J686" s="16"/>
      <c r="K686" s="16"/>
      <c r="L686" s="16"/>
      <c r="M686" s="16">
        <v>680</v>
      </c>
      <c r="N686" s="16">
        <f t="shared" si="53"/>
        <v>0.24372309899569583</v>
      </c>
      <c r="O686" s="16"/>
      <c r="P686" s="16"/>
      <c r="Q686" s="16">
        <f t="shared" si="54"/>
        <v>-0.69437638708428129</v>
      </c>
    </row>
    <row r="687" spans="4:17" ht="15" thickBot="1" x14ac:dyDescent="0.35">
      <c r="D687" s="20">
        <f t="shared" si="50"/>
        <v>681</v>
      </c>
      <c r="E687" s="20">
        <f t="shared" si="51"/>
        <v>4450</v>
      </c>
      <c r="F687" s="20">
        <f t="shared" si="52"/>
        <v>1250</v>
      </c>
      <c r="G687" s="20">
        <v>0.2965688646698888</v>
      </c>
      <c r="H687" s="50"/>
      <c r="I687" s="16"/>
      <c r="J687" s="16"/>
      <c r="K687" s="16"/>
      <c r="L687" s="16"/>
      <c r="M687" s="16">
        <v>681</v>
      </c>
      <c r="N687" s="16">
        <f t="shared" si="53"/>
        <v>0.24408177905308465</v>
      </c>
      <c r="O687" s="16"/>
      <c r="P687" s="16"/>
      <c r="Q687" s="16">
        <f t="shared" si="54"/>
        <v>-0.69323265528374423</v>
      </c>
    </row>
    <row r="688" spans="4:17" ht="15" thickBot="1" x14ac:dyDescent="0.35">
      <c r="D688" s="20">
        <f t="shared" si="50"/>
        <v>682</v>
      </c>
      <c r="E688" s="20">
        <f t="shared" si="51"/>
        <v>4550</v>
      </c>
      <c r="F688" s="20">
        <f t="shared" si="52"/>
        <v>1250</v>
      </c>
      <c r="G688" s="20">
        <v>0.29658890614838551</v>
      </c>
      <c r="H688" s="50"/>
      <c r="I688" s="16"/>
      <c r="J688" s="16"/>
      <c r="K688" s="16"/>
      <c r="L688" s="16"/>
      <c r="M688" s="16">
        <v>682</v>
      </c>
      <c r="N688" s="16">
        <f t="shared" si="53"/>
        <v>0.24444045911047346</v>
      </c>
      <c r="O688" s="16"/>
      <c r="P688" s="16"/>
      <c r="Q688" s="16">
        <f t="shared" si="54"/>
        <v>-0.69208982959830356</v>
      </c>
    </row>
    <row r="689" spans="4:17" ht="15" thickBot="1" x14ac:dyDescent="0.35">
      <c r="D689" s="20">
        <f t="shared" si="50"/>
        <v>683</v>
      </c>
      <c r="E689" s="20">
        <f t="shared" si="51"/>
        <v>4650</v>
      </c>
      <c r="F689" s="20">
        <f t="shared" si="52"/>
        <v>1250</v>
      </c>
      <c r="G689" s="20">
        <v>0.29661475744192456</v>
      </c>
      <c r="H689" s="50"/>
      <c r="I689" s="16"/>
      <c r="J689" s="16"/>
      <c r="K689" s="16"/>
      <c r="L689" s="16"/>
      <c r="M689" s="16">
        <v>683</v>
      </c>
      <c r="N689" s="16">
        <f t="shared" si="53"/>
        <v>0.24479913916786228</v>
      </c>
      <c r="O689" s="16"/>
      <c r="P689" s="16"/>
      <c r="Q689" s="16">
        <f t="shared" si="54"/>
        <v>-0.69094790710313814</v>
      </c>
    </row>
    <row r="690" spans="4:17" ht="15" thickBot="1" x14ac:dyDescent="0.35">
      <c r="D690" s="20">
        <f t="shared" si="50"/>
        <v>684</v>
      </c>
      <c r="E690" s="20">
        <f t="shared" si="51"/>
        <v>4750</v>
      </c>
      <c r="F690" s="20">
        <f t="shared" si="52"/>
        <v>1250</v>
      </c>
      <c r="G690" s="20">
        <v>0.29663463906914578</v>
      </c>
      <c r="H690" s="50"/>
      <c r="I690" s="16"/>
      <c r="J690" s="16"/>
      <c r="K690" s="16"/>
      <c r="L690" s="16"/>
      <c r="M690" s="16">
        <v>684</v>
      </c>
      <c r="N690" s="16">
        <f t="shared" si="53"/>
        <v>0.24515781922525107</v>
      </c>
      <c r="O690" s="16"/>
      <c r="P690" s="16"/>
      <c r="Q690" s="16">
        <f t="shared" si="54"/>
        <v>-0.68980688488506425</v>
      </c>
    </row>
    <row r="691" spans="4:17" ht="15" thickBot="1" x14ac:dyDescent="0.35">
      <c r="D691" s="20">
        <f t="shared" si="50"/>
        <v>685</v>
      </c>
      <c r="E691" s="20">
        <f t="shared" si="51"/>
        <v>4850</v>
      </c>
      <c r="F691" s="20">
        <f t="shared" si="52"/>
        <v>1250</v>
      </c>
      <c r="G691" s="20">
        <v>0.29671314738607235</v>
      </c>
      <c r="H691" s="50"/>
      <c r="I691" s="16"/>
      <c r="J691" s="16"/>
      <c r="K691" s="16"/>
      <c r="L691" s="16"/>
      <c r="M691" s="16">
        <v>685</v>
      </c>
      <c r="N691" s="16">
        <f t="shared" si="53"/>
        <v>0.24551649928263988</v>
      </c>
      <c r="O691" s="16"/>
      <c r="P691" s="16"/>
      <c r="Q691" s="16">
        <f t="shared" si="54"/>
        <v>-0.68866676004246885</v>
      </c>
    </row>
    <row r="692" spans="4:17" ht="15" thickBot="1" x14ac:dyDescent="0.35">
      <c r="D692" s="20">
        <f t="shared" si="50"/>
        <v>686</v>
      </c>
      <c r="E692" s="20">
        <f t="shared" si="51"/>
        <v>4950</v>
      </c>
      <c r="F692" s="20">
        <f t="shared" si="52"/>
        <v>1250</v>
      </c>
      <c r="G692" s="20">
        <v>0.29673142311635181</v>
      </c>
      <c r="H692" s="50"/>
      <c r="I692" s="16"/>
      <c r="J692" s="16"/>
      <c r="K692" s="16"/>
      <c r="L692" s="16"/>
      <c r="M692" s="16">
        <v>686</v>
      </c>
      <c r="N692" s="16">
        <f t="shared" si="53"/>
        <v>0.2458751793400287</v>
      </c>
      <c r="O692" s="16"/>
      <c r="P692" s="16"/>
      <c r="Q692" s="16">
        <f t="shared" si="54"/>
        <v>-0.68752752968524566</v>
      </c>
    </row>
    <row r="693" spans="4:17" ht="15" thickBot="1" x14ac:dyDescent="0.35">
      <c r="D693" s="20">
        <f t="shared" si="50"/>
        <v>687</v>
      </c>
      <c r="E693" s="20">
        <f t="shared" si="51"/>
        <v>5050</v>
      </c>
      <c r="F693" s="20">
        <f t="shared" si="52"/>
        <v>1250</v>
      </c>
      <c r="G693" s="20">
        <v>0.29686023734140143</v>
      </c>
      <c r="H693" s="50"/>
      <c r="I693" s="16"/>
      <c r="J693" s="16"/>
      <c r="K693" s="16"/>
      <c r="L693" s="16"/>
      <c r="M693" s="16">
        <v>687</v>
      </c>
      <c r="N693" s="16">
        <f t="shared" si="53"/>
        <v>0.24623385939741751</v>
      </c>
      <c r="O693" s="16"/>
      <c r="P693" s="16"/>
      <c r="Q693" s="16">
        <f t="shared" si="54"/>
        <v>-0.68638919093472583</v>
      </c>
    </row>
    <row r="694" spans="4:17" ht="15" thickBot="1" x14ac:dyDescent="0.35">
      <c r="D694" s="20">
        <f t="shared" si="50"/>
        <v>688</v>
      </c>
      <c r="E694" s="43">
        <f t="shared" si="51"/>
        <v>5150</v>
      </c>
      <c r="F694" s="43">
        <f t="shared" si="52"/>
        <v>1250</v>
      </c>
      <c r="G694" s="20">
        <v>0.29716551405927549</v>
      </c>
      <c r="H694" s="50"/>
      <c r="I694" s="16"/>
      <c r="J694" s="16"/>
      <c r="K694" s="16"/>
      <c r="L694" s="16"/>
      <c r="M694" s="16">
        <v>688</v>
      </c>
      <c r="N694" s="16">
        <f t="shared" si="53"/>
        <v>0.2465925394548063</v>
      </c>
      <c r="O694" s="16"/>
      <c r="P694" s="16"/>
      <c r="Q694" s="16">
        <f t="shared" si="54"/>
        <v>-0.68525174092361352</v>
      </c>
    </row>
    <row r="695" spans="4:17" ht="15" thickBot="1" x14ac:dyDescent="0.35">
      <c r="D695" s="20">
        <f t="shared" si="50"/>
        <v>689</v>
      </c>
      <c r="E695" s="20">
        <f t="shared" si="51"/>
        <v>5250</v>
      </c>
      <c r="F695" s="20">
        <f t="shared" si="52"/>
        <v>1250</v>
      </c>
      <c r="G695" s="20">
        <v>0.29724290554894295</v>
      </c>
      <c r="H695" s="50"/>
      <c r="I695" s="16"/>
      <c r="J695" s="16"/>
      <c r="K695" s="16"/>
      <c r="L695" s="16"/>
      <c r="M695" s="16">
        <v>689</v>
      </c>
      <c r="N695" s="16">
        <f t="shared" si="53"/>
        <v>0.24695121951219512</v>
      </c>
      <c r="O695" s="16"/>
      <c r="P695" s="16"/>
      <c r="Q695" s="16">
        <f t="shared" si="54"/>
        <v>-0.68411517679592171</v>
      </c>
    </row>
    <row r="696" spans="4:17" ht="15" thickBot="1" x14ac:dyDescent="0.35">
      <c r="D696" s="20">
        <f t="shared" si="50"/>
        <v>690</v>
      </c>
      <c r="E696" s="20">
        <f t="shared" si="51"/>
        <v>50</v>
      </c>
      <c r="F696" s="20">
        <f t="shared" si="52"/>
        <v>1350</v>
      </c>
      <c r="G696" s="20">
        <v>0.2975205679519311</v>
      </c>
      <c r="H696" s="50"/>
      <c r="I696" s="16"/>
      <c r="J696" s="16"/>
      <c r="K696" s="16"/>
      <c r="L696" s="16"/>
      <c r="M696" s="16">
        <v>690</v>
      </c>
      <c r="N696" s="16">
        <f t="shared" si="53"/>
        <v>0.24730989956958394</v>
      </c>
      <c r="O696" s="16"/>
      <c r="P696" s="16"/>
      <c r="Q696" s="16">
        <f t="shared" si="54"/>
        <v>-0.68297949570690686</v>
      </c>
    </row>
    <row r="697" spans="4:17" ht="15" thickBot="1" x14ac:dyDescent="0.35">
      <c r="D697" s="20">
        <f t="shared" si="50"/>
        <v>691</v>
      </c>
      <c r="E697" s="47">
        <f t="shared" si="51"/>
        <v>150</v>
      </c>
      <c r="F697" s="47">
        <f t="shared" si="52"/>
        <v>1350</v>
      </c>
      <c r="G697" s="20">
        <v>0.29762774530833891</v>
      </c>
      <c r="H697" s="50"/>
      <c r="I697" s="16"/>
      <c r="J697" s="16"/>
      <c r="K697" s="16"/>
      <c r="L697" s="16"/>
      <c r="M697" s="16">
        <v>691</v>
      </c>
      <c r="N697" s="16">
        <f t="shared" si="53"/>
        <v>0.24766857962697275</v>
      </c>
      <c r="O697" s="16"/>
      <c r="P697" s="16"/>
      <c r="Q697" s="16">
        <f t="shared" si="54"/>
        <v>-0.68184469482300414</v>
      </c>
    </row>
    <row r="698" spans="4:17" ht="15" thickBot="1" x14ac:dyDescent="0.35">
      <c r="D698" s="20">
        <f t="shared" si="50"/>
        <v>692</v>
      </c>
      <c r="E698" s="20">
        <f t="shared" si="51"/>
        <v>250</v>
      </c>
      <c r="F698" s="20">
        <f t="shared" si="52"/>
        <v>1350</v>
      </c>
      <c r="G698" s="20">
        <v>0.2977367365698198</v>
      </c>
      <c r="H698" s="50"/>
      <c r="I698" s="16"/>
      <c r="J698" s="16"/>
      <c r="K698" s="16"/>
      <c r="L698" s="16"/>
      <c r="M698" s="16">
        <v>692</v>
      </c>
      <c r="N698" s="16">
        <f t="shared" si="53"/>
        <v>0.24802725968436154</v>
      </c>
      <c r="O698" s="16"/>
      <c r="P698" s="16"/>
      <c r="Q698" s="16">
        <f t="shared" si="54"/>
        <v>-0.68071077132176561</v>
      </c>
    </row>
    <row r="699" spans="4:17" ht="15" thickBot="1" x14ac:dyDescent="0.35">
      <c r="D699" s="20">
        <f t="shared" si="50"/>
        <v>693</v>
      </c>
      <c r="E699" s="20">
        <f t="shared" si="51"/>
        <v>350</v>
      </c>
      <c r="F699" s="20">
        <f t="shared" si="52"/>
        <v>1350</v>
      </c>
      <c r="G699" s="20">
        <v>0.29777511846608051</v>
      </c>
      <c r="H699" s="50"/>
      <c r="I699" s="16"/>
      <c r="J699" s="16"/>
      <c r="K699" s="16"/>
      <c r="L699" s="16"/>
      <c r="M699" s="16">
        <v>693</v>
      </c>
      <c r="N699" s="16">
        <f t="shared" si="53"/>
        <v>0.24838593974175036</v>
      </c>
      <c r="O699" s="16"/>
      <c r="P699" s="16"/>
      <c r="Q699" s="16">
        <f t="shared" si="54"/>
        <v>-0.67957772239179393</v>
      </c>
    </row>
    <row r="700" spans="4:17" ht="15" thickBot="1" x14ac:dyDescent="0.35">
      <c r="D700" s="20">
        <f t="shared" si="50"/>
        <v>694</v>
      </c>
      <c r="E700" s="20">
        <f t="shared" si="51"/>
        <v>450</v>
      </c>
      <c r="F700" s="20">
        <f t="shared" si="52"/>
        <v>1350</v>
      </c>
      <c r="G700" s="20">
        <v>0.29792551674996592</v>
      </c>
      <c r="H700" s="50"/>
      <c r="I700" s="16"/>
      <c r="J700" s="16"/>
      <c r="K700" s="16"/>
      <c r="L700" s="16"/>
      <c r="M700" s="16">
        <v>694</v>
      </c>
      <c r="N700" s="16">
        <f t="shared" si="53"/>
        <v>0.24874461979913917</v>
      </c>
      <c r="O700" s="16"/>
      <c r="P700" s="16"/>
      <c r="Q700" s="16">
        <f t="shared" si="54"/>
        <v>-0.67844554523268352</v>
      </c>
    </row>
    <row r="701" spans="4:17" ht="15" thickBot="1" x14ac:dyDescent="0.35">
      <c r="D701" s="20">
        <f t="shared" si="50"/>
        <v>695</v>
      </c>
      <c r="E701" s="20">
        <f t="shared" si="51"/>
        <v>550</v>
      </c>
      <c r="F701" s="20">
        <f t="shared" si="52"/>
        <v>1350</v>
      </c>
      <c r="G701" s="20">
        <v>0.29811298937232211</v>
      </c>
      <c r="H701" s="50"/>
      <c r="I701" s="16"/>
      <c r="J701" s="16"/>
      <c r="K701" s="16"/>
      <c r="L701" s="16"/>
      <c r="M701" s="16">
        <v>695</v>
      </c>
      <c r="N701" s="16">
        <f t="shared" si="53"/>
        <v>0.24910329985652799</v>
      </c>
      <c r="O701" s="16"/>
      <c r="P701" s="16"/>
      <c r="Q701" s="16">
        <f t="shared" si="54"/>
        <v>-0.67731423705495308</v>
      </c>
    </row>
    <row r="702" spans="4:17" ht="15" thickBot="1" x14ac:dyDescent="0.35">
      <c r="D702" s="20">
        <f t="shared" si="50"/>
        <v>696</v>
      </c>
      <c r="E702" s="20">
        <f t="shared" si="51"/>
        <v>650</v>
      </c>
      <c r="F702" s="20">
        <f t="shared" si="52"/>
        <v>1350</v>
      </c>
      <c r="G702" s="20">
        <v>0.29820123768875473</v>
      </c>
      <c r="H702" s="50"/>
      <c r="I702" s="16"/>
      <c r="J702" s="16"/>
      <c r="K702" s="16"/>
      <c r="L702" s="16"/>
      <c r="M702" s="16">
        <v>696</v>
      </c>
      <c r="N702" s="16">
        <f t="shared" si="53"/>
        <v>0.24946197991391678</v>
      </c>
      <c r="O702" s="16"/>
      <c r="P702" s="16"/>
      <c r="Q702" s="16">
        <f t="shared" si="54"/>
        <v>-0.67618379507998971</v>
      </c>
    </row>
    <row r="703" spans="4:17" ht="15" thickBot="1" x14ac:dyDescent="0.35">
      <c r="D703" s="20">
        <f t="shared" si="50"/>
        <v>697</v>
      </c>
      <c r="E703" s="20">
        <f t="shared" si="51"/>
        <v>750</v>
      </c>
      <c r="F703" s="20">
        <f t="shared" si="52"/>
        <v>1350</v>
      </c>
      <c r="G703" s="20">
        <v>0.29829288147676014</v>
      </c>
      <c r="H703" s="50"/>
      <c r="I703" s="16"/>
      <c r="J703" s="16"/>
      <c r="K703" s="16"/>
      <c r="L703" s="16"/>
      <c r="M703" s="16">
        <v>697</v>
      </c>
      <c r="N703" s="16">
        <f t="shared" si="53"/>
        <v>0.24982065997130559</v>
      </c>
      <c r="O703" s="16"/>
      <c r="P703" s="16"/>
      <c r="Q703" s="16">
        <f t="shared" si="54"/>
        <v>-0.67505421653997999</v>
      </c>
    </row>
    <row r="704" spans="4:17" ht="15" thickBot="1" x14ac:dyDescent="0.35">
      <c r="D704" s="20">
        <f t="shared" si="50"/>
        <v>698</v>
      </c>
      <c r="E704" s="20">
        <f t="shared" si="51"/>
        <v>850</v>
      </c>
      <c r="F704" s="20">
        <f t="shared" si="52"/>
        <v>1350</v>
      </c>
      <c r="G704" s="20">
        <v>0.29836328191855283</v>
      </c>
      <c r="H704" s="50"/>
      <c r="I704" s="16"/>
      <c r="J704" s="16"/>
      <c r="K704" s="16"/>
      <c r="L704" s="16"/>
      <c r="M704" s="16">
        <v>698</v>
      </c>
      <c r="N704" s="16">
        <f t="shared" si="53"/>
        <v>0.25017934002869441</v>
      </c>
      <c r="O704" s="16"/>
      <c r="P704" s="16"/>
      <c r="Q704" s="16">
        <f t="shared" si="54"/>
        <v>-0.67392549867785734</v>
      </c>
    </row>
    <row r="705" spans="4:17" ht="15" thickBot="1" x14ac:dyDescent="0.35">
      <c r="D705" s="20">
        <f t="shared" si="50"/>
        <v>699</v>
      </c>
      <c r="E705" s="20">
        <f t="shared" si="51"/>
        <v>950</v>
      </c>
      <c r="F705" s="20">
        <f t="shared" si="52"/>
        <v>1350</v>
      </c>
      <c r="G705" s="20">
        <v>0.29853134143955973</v>
      </c>
      <c r="H705" s="50"/>
      <c r="I705" s="16"/>
      <c r="J705" s="16"/>
      <c r="K705" s="16"/>
      <c r="L705" s="16"/>
      <c r="M705" s="16">
        <v>699</v>
      </c>
      <c r="N705" s="16">
        <f t="shared" si="53"/>
        <v>0.25053802008608322</v>
      </c>
      <c r="O705" s="16"/>
      <c r="P705" s="16"/>
      <c r="Q705" s="16">
        <f t="shared" si="54"/>
        <v>-0.67279763874723386</v>
      </c>
    </row>
    <row r="706" spans="4:17" ht="15" thickBot="1" x14ac:dyDescent="0.35">
      <c r="D706" s="20">
        <f t="shared" si="50"/>
        <v>700</v>
      </c>
      <c r="E706" s="45">
        <f t="shared" si="51"/>
        <v>1050</v>
      </c>
      <c r="F706" s="45">
        <f t="shared" si="52"/>
        <v>1350</v>
      </c>
      <c r="G706" s="20">
        <v>0.29854553977596537</v>
      </c>
      <c r="H706" s="50"/>
      <c r="I706" s="16"/>
      <c r="J706" s="16"/>
      <c r="K706" s="16"/>
      <c r="L706" s="16"/>
      <c r="M706" s="16">
        <v>700</v>
      </c>
      <c r="N706" s="16">
        <f t="shared" si="53"/>
        <v>0.25089670014347204</v>
      </c>
      <c r="O706" s="16"/>
      <c r="P706" s="16"/>
      <c r="Q706" s="16">
        <f t="shared" si="54"/>
        <v>-0.67167063401234417</v>
      </c>
    </row>
    <row r="707" spans="4:17" ht="15" thickBot="1" x14ac:dyDescent="0.35">
      <c r="D707" s="20">
        <f t="shared" si="50"/>
        <v>701</v>
      </c>
      <c r="E707" s="20">
        <f t="shared" si="51"/>
        <v>1150</v>
      </c>
      <c r="F707" s="20">
        <f t="shared" si="52"/>
        <v>1350</v>
      </c>
      <c r="G707" s="20">
        <v>0.29855161874799135</v>
      </c>
      <c r="H707" s="50"/>
      <c r="I707" s="16"/>
      <c r="J707" s="16"/>
      <c r="K707" s="16"/>
      <c r="L707" s="16"/>
      <c r="M707" s="16">
        <v>701</v>
      </c>
      <c r="N707" s="16">
        <f t="shared" si="53"/>
        <v>0.25125538020086086</v>
      </c>
      <c r="O707" s="16"/>
      <c r="P707" s="16"/>
      <c r="Q707" s="16">
        <f t="shared" si="54"/>
        <v>-0.67054448174798542</v>
      </c>
    </row>
    <row r="708" spans="4:17" ht="15" thickBot="1" x14ac:dyDescent="0.35">
      <c r="D708" s="20">
        <f t="shared" si="50"/>
        <v>702</v>
      </c>
      <c r="E708" s="20">
        <f t="shared" si="51"/>
        <v>1250</v>
      </c>
      <c r="F708" s="20">
        <f t="shared" si="52"/>
        <v>1350</v>
      </c>
      <c r="G708" s="20">
        <v>0.29867304502008851</v>
      </c>
      <c r="H708" s="50"/>
      <c r="I708" s="16"/>
      <c r="J708" s="16"/>
      <c r="K708" s="16"/>
      <c r="L708" s="16"/>
      <c r="M708" s="16">
        <v>702</v>
      </c>
      <c r="N708" s="16">
        <f t="shared" si="53"/>
        <v>0.25161406025824962</v>
      </c>
      <c r="O708" s="16"/>
      <c r="P708" s="16"/>
      <c r="Q708" s="16">
        <f t="shared" si="54"/>
        <v>-0.66941917923945549</v>
      </c>
    </row>
    <row r="709" spans="4:17" ht="15" thickBot="1" x14ac:dyDescent="0.35">
      <c r="D709" s="20">
        <f t="shared" si="50"/>
        <v>703</v>
      </c>
      <c r="E709" s="20">
        <f t="shared" si="51"/>
        <v>1350</v>
      </c>
      <c r="F709" s="20">
        <f t="shared" si="52"/>
        <v>1350</v>
      </c>
      <c r="G709" s="20">
        <v>0.29871062880205762</v>
      </c>
      <c r="H709" s="50"/>
      <c r="I709" s="16"/>
      <c r="J709" s="16"/>
      <c r="K709" s="16"/>
      <c r="L709" s="16"/>
      <c r="M709" s="16">
        <v>703</v>
      </c>
      <c r="N709" s="16">
        <f t="shared" si="53"/>
        <v>0.25197274031563843</v>
      </c>
      <c r="O709" s="16"/>
      <c r="P709" s="16"/>
      <c r="Q709" s="16">
        <f t="shared" si="54"/>
        <v>-0.66829472378249688</v>
      </c>
    </row>
    <row r="710" spans="4:17" ht="15" thickBot="1" x14ac:dyDescent="0.35">
      <c r="D710" s="20">
        <f t="shared" si="50"/>
        <v>704</v>
      </c>
      <c r="E710" s="20">
        <f t="shared" si="51"/>
        <v>1450</v>
      </c>
      <c r="F710" s="20">
        <f t="shared" si="52"/>
        <v>1350</v>
      </c>
      <c r="G710" s="20">
        <v>0.29877391633884709</v>
      </c>
      <c r="H710" s="50"/>
      <c r="I710" s="16"/>
      <c r="J710" s="16"/>
      <c r="K710" s="16"/>
      <c r="L710" s="16"/>
      <c r="M710" s="16">
        <v>704</v>
      </c>
      <c r="N710" s="16">
        <f t="shared" si="53"/>
        <v>0.25233142037302725</v>
      </c>
      <c r="O710" s="16"/>
      <c r="P710" s="16"/>
      <c r="Q710" s="16">
        <f t="shared" si="54"/>
        <v>-0.66717111268323592</v>
      </c>
    </row>
    <row r="711" spans="4:17" ht="15" thickBot="1" x14ac:dyDescent="0.35">
      <c r="D711" s="20">
        <f t="shared" ref="D711:D774" si="55">ROW()-6</f>
        <v>705</v>
      </c>
      <c r="E711" s="20">
        <f t="shared" ref="E711:E774" si="56">(MOD(D711-1,53)*100)+50</f>
        <v>1550</v>
      </c>
      <c r="F711" s="20">
        <f t="shared" ref="F711:F774" si="57">FLOOR((D711-1)/53,1)*100+50</f>
        <v>1350</v>
      </c>
      <c r="G711" s="20">
        <v>0.29882021090128202</v>
      </c>
      <c r="H711" s="50"/>
      <c r="I711" s="16"/>
      <c r="J711" s="16"/>
      <c r="K711" s="16"/>
      <c r="L711" s="16"/>
      <c r="M711" s="16">
        <v>705</v>
      </c>
      <c r="N711" s="16">
        <f t="shared" si="53"/>
        <v>0.25269010043041606</v>
      </c>
      <c r="O711" s="16"/>
      <c r="P711" s="16"/>
      <c r="Q711" s="16">
        <f t="shared" si="54"/>
        <v>-0.66604834325812534</v>
      </c>
    </row>
    <row r="712" spans="4:17" ht="15" thickBot="1" x14ac:dyDescent="0.35">
      <c r="D712" s="20">
        <f t="shared" si="55"/>
        <v>706</v>
      </c>
      <c r="E712" s="20">
        <f t="shared" si="56"/>
        <v>1650</v>
      </c>
      <c r="F712" s="20">
        <f t="shared" si="57"/>
        <v>1350</v>
      </c>
      <c r="G712" s="20">
        <v>0.2988386517468774</v>
      </c>
      <c r="H712" s="50"/>
      <c r="I712" s="16"/>
      <c r="J712" s="16"/>
      <c r="K712" s="16"/>
      <c r="L712" s="16"/>
      <c r="M712" s="16">
        <v>706</v>
      </c>
      <c r="N712" s="16">
        <f t="shared" ref="N712:N775" si="58">(M712-0.5)/$L$7</f>
        <v>0.25304878048780488</v>
      </c>
      <c r="O712" s="16"/>
      <c r="P712" s="16"/>
      <c r="Q712" s="16">
        <f t="shared" ref="Q712:Q775" si="59">_xlfn.NORM.S.INV(N712)</f>
        <v>-0.66492641283388665</v>
      </c>
    </row>
    <row r="713" spans="4:17" ht="15" thickBot="1" x14ac:dyDescent="0.35">
      <c r="D713" s="20">
        <f t="shared" si="55"/>
        <v>707</v>
      </c>
      <c r="E713" s="20">
        <f t="shared" si="56"/>
        <v>1750</v>
      </c>
      <c r="F713" s="20">
        <f t="shared" si="57"/>
        <v>1350</v>
      </c>
      <c r="G713" s="20">
        <v>0.29900469328965584</v>
      </c>
      <c r="H713" s="50"/>
      <c r="I713" s="16"/>
      <c r="J713" s="16"/>
      <c r="K713" s="16"/>
      <c r="L713" s="16"/>
      <c r="M713" s="16">
        <v>707</v>
      </c>
      <c r="N713" s="16">
        <f t="shared" si="58"/>
        <v>0.2534074605451937</v>
      </c>
      <c r="O713" s="16"/>
      <c r="P713" s="16"/>
      <c r="Q713" s="16">
        <f t="shared" si="59"/>
        <v>-0.66380531874745252</v>
      </c>
    </row>
    <row r="714" spans="4:17" ht="15" thickBot="1" x14ac:dyDescent="0.35">
      <c r="D714" s="20">
        <f t="shared" si="55"/>
        <v>708</v>
      </c>
      <c r="E714" s="20">
        <f t="shared" si="56"/>
        <v>1850</v>
      </c>
      <c r="F714" s="20">
        <f t="shared" si="57"/>
        <v>1350</v>
      </c>
      <c r="G714" s="20">
        <v>0.29905880958506414</v>
      </c>
      <c r="H714" s="50"/>
      <c r="I714" s="16"/>
      <c r="J714" s="16"/>
      <c r="K714" s="16"/>
      <c r="L714" s="16"/>
      <c r="M714" s="16">
        <v>708</v>
      </c>
      <c r="N714" s="16">
        <f t="shared" si="58"/>
        <v>0.25376614060258251</v>
      </c>
      <c r="O714" s="16"/>
      <c r="P714" s="16"/>
      <c r="Q714" s="16">
        <f t="shared" si="59"/>
        <v>-0.66268505834591007</v>
      </c>
    </row>
    <row r="715" spans="4:17" ht="15" thickBot="1" x14ac:dyDescent="0.35">
      <c r="D715" s="20">
        <f t="shared" si="55"/>
        <v>709</v>
      </c>
      <c r="E715" s="20">
        <f t="shared" si="56"/>
        <v>1950</v>
      </c>
      <c r="F715" s="20">
        <f t="shared" si="57"/>
        <v>1350</v>
      </c>
      <c r="G715" s="20">
        <v>0.29909055706688731</v>
      </c>
      <c r="H715" s="50"/>
      <c r="I715" s="16"/>
      <c r="J715" s="16"/>
      <c r="K715" s="16"/>
      <c r="L715" s="16"/>
      <c r="M715" s="16">
        <v>709</v>
      </c>
      <c r="N715" s="16">
        <f t="shared" si="58"/>
        <v>0.25412482065997133</v>
      </c>
      <c r="O715" s="16"/>
      <c r="P715" s="16"/>
      <c r="Q715" s="16">
        <f t="shared" si="59"/>
        <v>-0.661565628986443</v>
      </c>
    </row>
    <row r="716" spans="4:17" ht="15" thickBot="1" x14ac:dyDescent="0.35">
      <c r="D716" s="20">
        <f t="shared" si="55"/>
        <v>710</v>
      </c>
      <c r="E716" s="20">
        <f t="shared" si="56"/>
        <v>2050</v>
      </c>
      <c r="F716" s="20">
        <f t="shared" si="57"/>
        <v>1350</v>
      </c>
      <c r="G716" s="20">
        <v>0.29909764937460298</v>
      </c>
      <c r="H716" s="50"/>
      <c r="I716" s="16"/>
      <c r="J716" s="16"/>
      <c r="K716" s="16"/>
      <c r="L716" s="16"/>
      <c r="M716" s="16">
        <v>710</v>
      </c>
      <c r="N716" s="16">
        <f t="shared" si="58"/>
        <v>0.25448350071736009</v>
      </c>
      <c r="O716" s="16"/>
      <c r="P716" s="16"/>
      <c r="Q716" s="16">
        <f t="shared" si="59"/>
        <v>-0.66044702803627786</v>
      </c>
    </row>
    <row r="717" spans="4:17" ht="15" thickBot="1" x14ac:dyDescent="0.35">
      <c r="D717" s="20">
        <f t="shared" si="55"/>
        <v>711</v>
      </c>
      <c r="E717" s="20">
        <f t="shared" si="56"/>
        <v>2150</v>
      </c>
      <c r="F717" s="20">
        <f t="shared" si="57"/>
        <v>1350</v>
      </c>
      <c r="G717" s="20">
        <v>0.29915376331032928</v>
      </c>
      <c r="H717" s="50"/>
      <c r="I717" s="16"/>
      <c r="J717" s="16"/>
      <c r="K717" s="16"/>
      <c r="L717" s="16"/>
      <c r="M717" s="16">
        <v>711</v>
      </c>
      <c r="N717" s="16">
        <f t="shared" si="58"/>
        <v>0.25484218077474891</v>
      </c>
      <c r="O717" s="16"/>
      <c r="P717" s="16"/>
      <c r="Q717" s="16">
        <f t="shared" si="59"/>
        <v>-0.65932925287262445</v>
      </c>
    </row>
    <row r="718" spans="4:17" ht="15" thickBot="1" x14ac:dyDescent="0.35">
      <c r="D718" s="20">
        <f t="shared" si="55"/>
        <v>712</v>
      </c>
      <c r="E718" s="20">
        <f t="shared" si="56"/>
        <v>2250</v>
      </c>
      <c r="F718" s="20">
        <f t="shared" si="57"/>
        <v>1350</v>
      </c>
      <c r="G718" s="20">
        <v>0.29917441615142204</v>
      </c>
      <c r="H718" s="50"/>
      <c r="I718" s="16"/>
      <c r="J718" s="16"/>
      <c r="K718" s="16"/>
      <c r="L718" s="16"/>
      <c r="M718" s="16">
        <v>712</v>
      </c>
      <c r="N718" s="16">
        <f t="shared" si="58"/>
        <v>0.25520086083213772</v>
      </c>
      <c r="O718" s="16"/>
      <c r="P718" s="16"/>
      <c r="Q718" s="16">
        <f t="shared" si="59"/>
        <v>-0.65821230088262495</v>
      </c>
    </row>
    <row r="719" spans="4:17" ht="15" thickBot="1" x14ac:dyDescent="0.35">
      <c r="D719" s="20">
        <f t="shared" si="55"/>
        <v>713</v>
      </c>
      <c r="E719" s="20">
        <f t="shared" si="56"/>
        <v>2350</v>
      </c>
      <c r="F719" s="20">
        <f t="shared" si="57"/>
        <v>1350</v>
      </c>
      <c r="G719" s="20">
        <v>0.29922530055906643</v>
      </c>
      <c r="H719" s="50"/>
      <c r="I719" s="16"/>
      <c r="J719" s="16"/>
      <c r="K719" s="16"/>
      <c r="L719" s="16"/>
      <c r="M719" s="16">
        <v>713</v>
      </c>
      <c r="N719" s="16">
        <f t="shared" si="58"/>
        <v>0.25555954088952654</v>
      </c>
      <c r="O719" s="16"/>
      <c r="P719" s="16"/>
      <c r="Q719" s="16">
        <f t="shared" si="59"/>
        <v>-0.65709616946329374</v>
      </c>
    </row>
    <row r="720" spans="4:17" ht="15" thickBot="1" x14ac:dyDescent="0.35">
      <c r="D720" s="20">
        <f t="shared" si="55"/>
        <v>714</v>
      </c>
      <c r="E720" s="20">
        <f t="shared" si="56"/>
        <v>2450</v>
      </c>
      <c r="F720" s="20">
        <f t="shared" si="57"/>
        <v>1350</v>
      </c>
      <c r="G720" s="20">
        <v>0.29926321627777519</v>
      </c>
      <c r="H720" s="50"/>
      <c r="I720" s="16"/>
      <c r="J720" s="16"/>
      <c r="K720" s="16"/>
      <c r="L720" s="16"/>
      <c r="M720" s="16">
        <v>714</v>
      </c>
      <c r="N720" s="16">
        <f t="shared" si="58"/>
        <v>0.25591822094691535</v>
      </c>
      <c r="O720" s="16"/>
      <c r="P720" s="16"/>
      <c r="Q720" s="16">
        <f t="shared" si="59"/>
        <v>-0.65598085602146772</v>
      </c>
    </row>
    <row r="721" spans="4:17" ht="15" thickBot="1" x14ac:dyDescent="0.35">
      <c r="D721" s="20">
        <f t="shared" si="55"/>
        <v>715</v>
      </c>
      <c r="E721" s="20">
        <f t="shared" si="56"/>
        <v>2550</v>
      </c>
      <c r="F721" s="20">
        <f t="shared" si="57"/>
        <v>1350</v>
      </c>
      <c r="G721" s="20">
        <v>0.29933729600008374</v>
      </c>
      <c r="H721" s="50"/>
      <c r="I721" s="16"/>
      <c r="J721" s="16"/>
      <c r="K721" s="16"/>
      <c r="L721" s="16"/>
      <c r="M721" s="16">
        <v>715</v>
      </c>
      <c r="N721" s="16">
        <f t="shared" si="58"/>
        <v>0.25627690100430417</v>
      </c>
      <c r="O721" s="16"/>
      <c r="P721" s="16"/>
      <c r="Q721" s="16">
        <f t="shared" si="59"/>
        <v>-0.65486635797374737</v>
      </c>
    </row>
    <row r="722" spans="4:17" ht="15" thickBot="1" x14ac:dyDescent="0.35">
      <c r="D722" s="20">
        <f t="shared" si="55"/>
        <v>716</v>
      </c>
      <c r="E722" s="45">
        <f t="shared" si="56"/>
        <v>2650</v>
      </c>
      <c r="F722" s="45">
        <f t="shared" si="57"/>
        <v>1350</v>
      </c>
      <c r="G722" s="20">
        <v>0.29948743038640629</v>
      </c>
      <c r="H722" s="50"/>
      <c r="I722" s="16"/>
      <c r="J722" s="16"/>
      <c r="K722" s="16"/>
      <c r="L722" s="16"/>
      <c r="M722" s="16">
        <v>716</v>
      </c>
      <c r="N722" s="16">
        <f t="shared" si="58"/>
        <v>0.25663558106169299</v>
      </c>
      <c r="O722" s="16"/>
      <c r="P722" s="16"/>
      <c r="Q722" s="16">
        <f t="shared" si="59"/>
        <v>-0.65375267274644666</v>
      </c>
    </row>
    <row r="723" spans="4:17" ht="15" thickBot="1" x14ac:dyDescent="0.35">
      <c r="D723" s="20">
        <f t="shared" si="55"/>
        <v>717</v>
      </c>
      <c r="E723" s="20">
        <f t="shared" si="56"/>
        <v>2750</v>
      </c>
      <c r="F723" s="20">
        <f t="shared" si="57"/>
        <v>1350</v>
      </c>
      <c r="G723" s="20">
        <v>0.29950641576191372</v>
      </c>
      <c r="H723" s="50"/>
      <c r="I723" s="16"/>
      <c r="J723" s="16"/>
      <c r="K723" s="16"/>
      <c r="L723" s="16"/>
      <c r="M723" s="16">
        <v>717</v>
      </c>
      <c r="N723" s="16">
        <f t="shared" si="58"/>
        <v>0.2569942611190818</v>
      </c>
      <c r="O723" s="16"/>
      <c r="P723" s="16"/>
      <c r="Q723" s="16">
        <f t="shared" si="59"/>
        <v>-0.65263979777553671</v>
      </c>
    </row>
    <row r="724" spans="4:17" ht="15" thickBot="1" x14ac:dyDescent="0.35">
      <c r="D724" s="20">
        <f t="shared" si="55"/>
        <v>718</v>
      </c>
      <c r="E724" s="20">
        <f t="shared" si="56"/>
        <v>2850</v>
      </c>
      <c r="F724" s="20">
        <f t="shared" si="57"/>
        <v>1350</v>
      </c>
      <c r="G724" s="20">
        <v>0.29952023701498443</v>
      </c>
      <c r="H724" s="50"/>
      <c r="I724" s="16"/>
      <c r="J724" s="16"/>
      <c r="K724" s="16"/>
      <c r="L724" s="16"/>
      <c r="M724" s="16">
        <v>718</v>
      </c>
      <c r="N724" s="16">
        <f t="shared" si="58"/>
        <v>0.25735294117647056</v>
      </c>
      <c r="O724" s="16"/>
      <c r="P724" s="16"/>
      <c r="Q724" s="16">
        <f t="shared" si="59"/>
        <v>-0.65152773050659363</v>
      </c>
    </row>
    <row r="725" spans="4:17" ht="15" thickBot="1" x14ac:dyDescent="0.35">
      <c r="D725" s="20">
        <f t="shared" si="55"/>
        <v>719</v>
      </c>
      <c r="E725" s="20">
        <f t="shared" si="56"/>
        <v>2950</v>
      </c>
      <c r="F725" s="20">
        <f t="shared" si="57"/>
        <v>1350</v>
      </c>
      <c r="G725" s="20">
        <v>0.29955273203355992</v>
      </c>
      <c r="H725" s="50"/>
      <c r="I725" s="16"/>
      <c r="J725" s="16"/>
      <c r="K725" s="16"/>
      <c r="L725" s="16"/>
      <c r="M725" s="16">
        <v>719</v>
      </c>
      <c r="N725" s="16">
        <f t="shared" si="58"/>
        <v>0.25771162123385938</v>
      </c>
      <c r="O725" s="16"/>
      <c r="P725" s="16"/>
      <c r="Q725" s="16">
        <f t="shared" si="59"/>
        <v>-0.6504164683947451</v>
      </c>
    </row>
    <row r="726" spans="4:17" ht="15" thickBot="1" x14ac:dyDescent="0.35">
      <c r="D726" s="20">
        <f t="shared" si="55"/>
        <v>720</v>
      </c>
      <c r="E726" s="20">
        <f t="shared" si="56"/>
        <v>3050</v>
      </c>
      <c r="F726" s="20">
        <f t="shared" si="57"/>
        <v>1350</v>
      </c>
      <c r="G726" s="20">
        <v>0.29964599211241427</v>
      </c>
      <c r="H726" s="50"/>
      <c r="I726" s="16"/>
      <c r="J726" s="16"/>
      <c r="K726" s="16"/>
      <c r="L726" s="16"/>
      <c r="M726" s="16">
        <v>720</v>
      </c>
      <c r="N726" s="16">
        <f t="shared" si="58"/>
        <v>0.25807030129124819</v>
      </c>
      <c r="O726" s="16"/>
      <c r="P726" s="16"/>
      <c r="Q726" s="16">
        <f t="shared" si="59"/>
        <v>-0.64930600890461865</v>
      </c>
    </row>
    <row r="727" spans="4:17" ht="15" thickBot="1" x14ac:dyDescent="0.35">
      <c r="D727" s="20">
        <f t="shared" si="55"/>
        <v>721</v>
      </c>
      <c r="E727" s="20">
        <f t="shared" si="56"/>
        <v>3150</v>
      </c>
      <c r="F727" s="20">
        <f t="shared" si="57"/>
        <v>1350</v>
      </c>
      <c r="G727" s="20">
        <v>0.29967729557695844</v>
      </c>
      <c r="H727" s="50"/>
      <c r="I727" s="16"/>
      <c r="J727" s="16"/>
      <c r="K727" s="16"/>
      <c r="L727" s="16"/>
      <c r="M727" s="16">
        <v>721</v>
      </c>
      <c r="N727" s="16">
        <f t="shared" si="58"/>
        <v>0.25842898134863701</v>
      </c>
      <c r="O727" s="16"/>
      <c r="P727" s="16"/>
      <c r="Q727" s="16">
        <f t="shared" si="59"/>
        <v>-0.64819634951028904</v>
      </c>
    </row>
    <row r="728" spans="4:17" ht="15" thickBot="1" x14ac:dyDescent="0.35">
      <c r="D728" s="20">
        <f t="shared" si="55"/>
        <v>722</v>
      </c>
      <c r="E728" s="20">
        <f t="shared" si="56"/>
        <v>3250</v>
      </c>
      <c r="F728" s="20">
        <f t="shared" si="57"/>
        <v>1350</v>
      </c>
      <c r="G728" s="20">
        <v>0.29976823651848328</v>
      </c>
      <c r="H728" s="50"/>
      <c r="I728" s="16"/>
      <c r="J728" s="16"/>
      <c r="K728" s="16"/>
      <c r="L728" s="16"/>
      <c r="M728" s="16">
        <v>722</v>
      </c>
      <c r="N728" s="16">
        <f t="shared" si="58"/>
        <v>0.25878766140602583</v>
      </c>
      <c r="O728" s="16"/>
      <c r="P728" s="16"/>
      <c r="Q728" s="16">
        <f t="shared" si="59"/>
        <v>-0.64708748769522595</v>
      </c>
    </row>
    <row r="729" spans="4:17" ht="15" thickBot="1" x14ac:dyDescent="0.35">
      <c r="D729" s="20">
        <f t="shared" si="55"/>
        <v>723</v>
      </c>
      <c r="E729" s="20">
        <f t="shared" si="56"/>
        <v>3350</v>
      </c>
      <c r="F729" s="20">
        <f t="shared" si="57"/>
        <v>1350</v>
      </c>
      <c r="G729" s="20">
        <v>0.29981334938405868</v>
      </c>
      <c r="H729" s="50"/>
      <c r="I729" s="16"/>
      <c r="J729" s="16"/>
      <c r="K729" s="16"/>
      <c r="L729" s="16"/>
      <c r="M729" s="16">
        <v>723</v>
      </c>
      <c r="N729" s="16">
        <f t="shared" si="58"/>
        <v>0.25914634146341464</v>
      </c>
      <c r="O729" s="16"/>
      <c r="P729" s="16"/>
      <c r="Q729" s="16">
        <f t="shared" si="59"/>
        <v>-0.64597942095224226</v>
      </c>
    </row>
    <row r="730" spans="4:17" ht="15" thickBot="1" x14ac:dyDescent="0.35">
      <c r="D730" s="20">
        <f t="shared" si="55"/>
        <v>724</v>
      </c>
      <c r="E730" s="20">
        <f t="shared" si="56"/>
        <v>3450</v>
      </c>
      <c r="F730" s="20">
        <f t="shared" si="57"/>
        <v>1350</v>
      </c>
      <c r="G730" s="20">
        <v>0.29987241589472785</v>
      </c>
      <c r="H730" s="50"/>
      <c r="I730" s="16"/>
      <c r="J730" s="16"/>
      <c r="K730" s="16"/>
      <c r="L730" s="16"/>
      <c r="M730" s="16">
        <v>724</v>
      </c>
      <c r="N730" s="16">
        <f t="shared" si="58"/>
        <v>0.25950502152080346</v>
      </c>
      <c r="O730" s="16"/>
      <c r="P730" s="16"/>
      <c r="Q730" s="16">
        <f t="shared" si="59"/>
        <v>-0.64487214678344551</v>
      </c>
    </row>
    <row r="731" spans="4:17" ht="15" thickBot="1" x14ac:dyDescent="0.35">
      <c r="D731" s="20">
        <f t="shared" si="55"/>
        <v>725</v>
      </c>
      <c r="E731" s="20">
        <f t="shared" si="56"/>
        <v>3550</v>
      </c>
      <c r="F731" s="20">
        <f t="shared" si="57"/>
        <v>1350</v>
      </c>
      <c r="G731" s="20">
        <v>0.29990949817280638</v>
      </c>
      <c r="H731" s="50"/>
      <c r="I731" s="16"/>
      <c r="J731" s="16"/>
      <c r="K731" s="16"/>
      <c r="L731" s="16"/>
      <c r="M731" s="16">
        <v>725</v>
      </c>
      <c r="N731" s="16">
        <f t="shared" si="58"/>
        <v>0.25986370157819227</v>
      </c>
      <c r="O731" s="16"/>
      <c r="P731" s="16"/>
      <c r="Q731" s="16">
        <f t="shared" si="59"/>
        <v>-0.64376566270018276</v>
      </c>
    </row>
    <row r="732" spans="4:17" ht="15" thickBot="1" x14ac:dyDescent="0.35">
      <c r="D732" s="20">
        <f t="shared" si="55"/>
        <v>726</v>
      </c>
      <c r="E732" s="20">
        <f t="shared" si="56"/>
        <v>3650</v>
      </c>
      <c r="F732" s="20">
        <f t="shared" si="57"/>
        <v>1350</v>
      </c>
      <c r="G732" s="20">
        <v>0.30005008205582057</v>
      </c>
      <c r="H732" s="50"/>
      <c r="I732" s="16"/>
      <c r="J732" s="16"/>
      <c r="K732" s="16"/>
      <c r="L732" s="16"/>
      <c r="M732" s="16">
        <v>726</v>
      </c>
      <c r="N732" s="16">
        <f t="shared" si="58"/>
        <v>0.26022238163558103</v>
      </c>
      <c r="O732" s="16"/>
      <c r="P732" s="16"/>
      <c r="Q732" s="16">
        <f t="shared" si="59"/>
        <v>-0.64265996622299348</v>
      </c>
    </row>
    <row r="733" spans="4:17" ht="15" thickBot="1" x14ac:dyDescent="0.35">
      <c r="D733" s="20">
        <f t="shared" si="55"/>
        <v>727</v>
      </c>
      <c r="E733" s="20">
        <f t="shared" si="56"/>
        <v>3750</v>
      </c>
      <c r="F733" s="20">
        <f t="shared" si="57"/>
        <v>1350</v>
      </c>
      <c r="G733" s="20">
        <v>0.30021322421734364</v>
      </c>
      <c r="H733" s="50"/>
      <c r="I733" s="16"/>
      <c r="J733" s="16"/>
      <c r="K733" s="16"/>
      <c r="L733" s="16"/>
      <c r="M733" s="16">
        <v>727</v>
      </c>
      <c r="N733" s="16">
        <f t="shared" si="58"/>
        <v>0.26058106169296985</v>
      </c>
      <c r="O733" s="16"/>
      <c r="P733" s="16"/>
      <c r="Q733" s="16">
        <f t="shared" si="59"/>
        <v>-0.64155505488155884</v>
      </c>
    </row>
    <row r="734" spans="4:17" ht="15" thickBot="1" x14ac:dyDescent="0.35">
      <c r="D734" s="20">
        <f t="shared" si="55"/>
        <v>728</v>
      </c>
      <c r="E734" s="20">
        <f t="shared" si="56"/>
        <v>3850</v>
      </c>
      <c r="F734" s="20">
        <f t="shared" si="57"/>
        <v>1350</v>
      </c>
      <c r="G734" s="20">
        <v>0.30021915440929153</v>
      </c>
      <c r="H734" s="50"/>
      <c r="I734" s="16"/>
      <c r="J734" s="16"/>
      <c r="K734" s="16"/>
      <c r="L734" s="16"/>
      <c r="M734" s="16">
        <v>728</v>
      </c>
      <c r="N734" s="16">
        <f t="shared" si="58"/>
        <v>0.26093974175035867</v>
      </c>
      <c r="O734" s="16"/>
      <c r="P734" s="16"/>
      <c r="Q734" s="16">
        <f t="shared" si="59"/>
        <v>-0.64045092621465016</v>
      </c>
    </row>
    <row r="735" spans="4:17" ht="15" thickBot="1" x14ac:dyDescent="0.35">
      <c r="D735" s="20">
        <f t="shared" si="55"/>
        <v>729</v>
      </c>
      <c r="E735" s="20">
        <f t="shared" si="56"/>
        <v>3950</v>
      </c>
      <c r="F735" s="20">
        <f t="shared" si="57"/>
        <v>1350</v>
      </c>
      <c r="G735" s="20">
        <v>0.30022177285606921</v>
      </c>
      <c r="H735" s="50"/>
      <c r="I735" s="16"/>
      <c r="J735" s="16"/>
      <c r="K735" s="16"/>
      <c r="L735" s="16"/>
      <c r="M735" s="16">
        <v>729</v>
      </c>
      <c r="N735" s="16">
        <f t="shared" si="58"/>
        <v>0.26129842180774748</v>
      </c>
      <c r="O735" s="16"/>
      <c r="P735" s="16"/>
      <c r="Q735" s="16">
        <f t="shared" si="59"/>
        <v>-0.63934757777008178</v>
      </c>
    </row>
    <row r="736" spans="4:17" ht="15" thickBot="1" x14ac:dyDescent="0.35">
      <c r="D736" s="20">
        <f t="shared" si="55"/>
        <v>730</v>
      </c>
      <c r="E736" s="20">
        <f t="shared" si="56"/>
        <v>4050</v>
      </c>
      <c r="F736" s="20">
        <f t="shared" si="57"/>
        <v>1350</v>
      </c>
      <c r="G736" s="20">
        <v>0.30033958107328018</v>
      </c>
      <c r="H736" s="50"/>
      <c r="I736" s="16"/>
      <c r="J736" s="16"/>
      <c r="K736" s="16"/>
      <c r="L736" s="16"/>
      <c r="M736" s="16">
        <v>730</v>
      </c>
      <c r="N736" s="16">
        <f t="shared" si="58"/>
        <v>0.2616571018651363</v>
      </c>
      <c r="O736" s="16"/>
      <c r="P736" s="16"/>
      <c r="Q736" s="16">
        <f t="shared" si="59"/>
        <v>-0.63824500710465992</v>
      </c>
    </row>
    <row r="737" spans="4:17" ht="15" thickBot="1" x14ac:dyDescent="0.35">
      <c r="D737" s="20">
        <f t="shared" si="55"/>
        <v>731</v>
      </c>
      <c r="E737" s="44">
        <f t="shared" si="56"/>
        <v>4150</v>
      </c>
      <c r="F737" s="44">
        <f t="shared" si="57"/>
        <v>1350</v>
      </c>
      <c r="G737" s="20">
        <v>0.30036525947362946</v>
      </c>
      <c r="H737" s="50"/>
      <c r="I737" s="16"/>
      <c r="J737" s="16"/>
      <c r="K737" s="16"/>
      <c r="L737" s="16"/>
      <c r="M737" s="16">
        <v>731</v>
      </c>
      <c r="N737" s="16">
        <f t="shared" si="58"/>
        <v>0.26201578192252512</v>
      </c>
      <c r="O737" s="16"/>
      <c r="P737" s="16"/>
      <c r="Q737" s="16">
        <f t="shared" si="59"/>
        <v>-0.63714321178413524</v>
      </c>
    </row>
    <row r="738" spans="4:17" ht="15" thickBot="1" x14ac:dyDescent="0.35">
      <c r="D738" s="20">
        <f t="shared" si="55"/>
        <v>732</v>
      </c>
      <c r="E738" s="20">
        <f t="shared" si="56"/>
        <v>4250</v>
      </c>
      <c r="F738" s="20">
        <f t="shared" si="57"/>
        <v>1350</v>
      </c>
      <c r="G738" s="20">
        <v>0.30043196932803318</v>
      </c>
      <c r="H738" s="50"/>
      <c r="I738" s="16"/>
      <c r="J738" s="16"/>
      <c r="K738" s="16"/>
      <c r="L738" s="16"/>
      <c r="M738" s="16">
        <v>732</v>
      </c>
      <c r="N738" s="16">
        <f t="shared" si="58"/>
        <v>0.26237446197991393</v>
      </c>
      <c r="O738" s="16"/>
      <c r="P738" s="16"/>
      <c r="Q738" s="16">
        <f t="shared" si="59"/>
        <v>-0.6360421893831536</v>
      </c>
    </row>
    <row r="739" spans="4:17" ht="15" thickBot="1" x14ac:dyDescent="0.35">
      <c r="D739" s="20">
        <f t="shared" si="55"/>
        <v>733</v>
      </c>
      <c r="E739" s="20">
        <f t="shared" si="56"/>
        <v>4350</v>
      </c>
      <c r="F739" s="20">
        <f t="shared" si="57"/>
        <v>1350</v>
      </c>
      <c r="G739" s="20">
        <v>0.3006916296027492</v>
      </c>
      <c r="H739" s="50"/>
      <c r="I739" s="16"/>
      <c r="J739" s="16"/>
      <c r="K739" s="16"/>
      <c r="L739" s="16"/>
      <c r="M739" s="16">
        <v>733</v>
      </c>
      <c r="N739" s="16">
        <f t="shared" si="58"/>
        <v>0.26273314203730275</v>
      </c>
      <c r="O739" s="16"/>
      <c r="P739" s="16"/>
      <c r="Q739" s="16">
        <f t="shared" si="59"/>
        <v>-0.634941937485209</v>
      </c>
    </row>
    <row r="740" spans="4:17" ht="15" thickBot="1" x14ac:dyDescent="0.35">
      <c r="D740" s="20">
        <f t="shared" si="55"/>
        <v>734</v>
      </c>
      <c r="E740" s="20">
        <f t="shared" si="56"/>
        <v>4450</v>
      </c>
      <c r="F740" s="20">
        <f t="shared" si="57"/>
        <v>1350</v>
      </c>
      <c r="G740" s="20">
        <v>0.30088663779719804</v>
      </c>
      <c r="H740" s="50"/>
      <c r="I740" s="16"/>
      <c r="J740" s="16"/>
      <c r="K740" s="16"/>
      <c r="L740" s="16"/>
      <c r="M740" s="16">
        <v>734</v>
      </c>
      <c r="N740" s="16">
        <f t="shared" si="58"/>
        <v>0.26309182209469151</v>
      </c>
      <c r="O740" s="16"/>
      <c r="P740" s="16"/>
      <c r="Q740" s="16">
        <f t="shared" si="59"/>
        <v>-0.63384245368259318</v>
      </c>
    </row>
    <row r="741" spans="4:17" ht="15" thickBot="1" x14ac:dyDescent="0.35">
      <c r="D741" s="20">
        <f t="shared" si="55"/>
        <v>735</v>
      </c>
      <c r="E741" s="20">
        <f t="shared" si="56"/>
        <v>4550</v>
      </c>
      <c r="F741" s="20">
        <f t="shared" si="57"/>
        <v>1350</v>
      </c>
      <c r="G741" s="20">
        <v>0.30089451235363801</v>
      </c>
      <c r="H741" s="50"/>
      <c r="I741" s="16"/>
      <c r="J741" s="16"/>
      <c r="K741" s="16"/>
      <c r="L741" s="16"/>
      <c r="M741" s="16">
        <v>735</v>
      </c>
      <c r="N741" s="16">
        <f t="shared" si="58"/>
        <v>0.26345050215208032</v>
      </c>
      <c r="O741" s="16"/>
      <c r="P741" s="16"/>
      <c r="Q741" s="16">
        <f t="shared" si="59"/>
        <v>-0.63274373557635089</v>
      </c>
    </row>
    <row r="742" spans="4:17" ht="15" thickBot="1" x14ac:dyDescent="0.35">
      <c r="D742" s="20">
        <f t="shared" si="55"/>
        <v>736</v>
      </c>
      <c r="E742" s="20">
        <f t="shared" si="56"/>
        <v>4650</v>
      </c>
      <c r="F742" s="20">
        <f t="shared" si="57"/>
        <v>1350</v>
      </c>
      <c r="G742" s="20">
        <v>0.30107327423056374</v>
      </c>
      <c r="H742" s="50"/>
      <c r="I742" s="16"/>
      <c r="J742" s="16"/>
      <c r="K742" s="16"/>
      <c r="L742" s="16"/>
      <c r="M742" s="16">
        <v>736</v>
      </c>
      <c r="N742" s="16">
        <f t="shared" si="58"/>
        <v>0.26380918220946914</v>
      </c>
      <c r="O742" s="16"/>
      <c r="P742" s="16"/>
      <c r="Q742" s="16">
        <f t="shared" si="59"/>
        <v>-0.63164578077623101</v>
      </c>
    </row>
    <row r="743" spans="4:17" ht="15" thickBot="1" x14ac:dyDescent="0.35">
      <c r="D743" s="20">
        <f t="shared" si="55"/>
        <v>737</v>
      </c>
      <c r="E743" s="20">
        <f t="shared" si="56"/>
        <v>4750</v>
      </c>
      <c r="F743" s="20">
        <f t="shared" si="57"/>
        <v>1350</v>
      </c>
      <c r="G743" s="20">
        <v>0.30118795837966261</v>
      </c>
      <c r="H743" s="50"/>
      <c r="I743" s="16"/>
      <c r="J743" s="16"/>
      <c r="K743" s="16"/>
      <c r="L743" s="16"/>
      <c r="M743" s="16">
        <v>737</v>
      </c>
      <c r="N743" s="16">
        <f t="shared" si="58"/>
        <v>0.26416786226685796</v>
      </c>
      <c r="O743" s="16"/>
      <c r="P743" s="16"/>
      <c r="Q743" s="16">
        <f t="shared" si="59"/>
        <v>-0.63054858690063964</v>
      </c>
    </row>
    <row r="744" spans="4:17" ht="15" thickBot="1" x14ac:dyDescent="0.35">
      <c r="D744" s="20">
        <f t="shared" si="55"/>
        <v>738</v>
      </c>
      <c r="E744" s="20">
        <f t="shared" si="56"/>
        <v>4850</v>
      </c>
      <c r="F744" s="20">
        <f t="shared" si="57"/>
        <v>1350</v>
      </c>
      <c r="G744" s="20">
        <v>0.30121612022891142</v>
      </c>
      <c r="H744" s="50"/>
      <c r="I744" s="16"/>
      <c r="J744" s="16"/>
      <c r="K744" s="16"/>
      <c r="L744" s="16"/>
      <c r="M744" s="16">
        <v>738</v>
      </c>
      <c r="N744" s="16">
        <f t="shared" si="58"/>
        <v>0.26452654232424677</v>
      </c>
      <c r="O744" s="16"/>
      <c r="P744" s="16"/>
      <c r="Q744" s="16">
        <f t="shared" si="59"/>
        <v>-0.62945215157659573</v>
      </c>
    </row>
    <row r="745" spans="4:17" ht="15" thickBot="1" x14ac:dyDescent="0.35">
      <c r="D745" s="20">
        <f t="shared" si="55"/>
        <v>739</v>
      </c>
      <c r="E745" s="20">
        <f t="shared" si="56"/>
        <v>4950</v>
      </c>
      <c r="F745" s="20">
        <f t="shared" si="57"/>
        <v>1350</v>
      </c>
      <c r="G745" s="20">
        <v>0.30124602511069692</v>
      </c>
      <c r="H745" s="50"/>
      <c r="I745" s="16"/>
      <c r="J745" s="16"/>
      <c r="K745" s="16"/>
      <c r="L745" s="16"/>
      <c r="M745" s="16">
        <v>739</v>
      </c>
      <c r="N745" s="16">
        <f t="shared" si="58"/>
        <v>0.26488522238163559</v>
      </c>
      <c r="O745" s="16"/>
      <c r="P745" s="16"/>
      <c r="Q745" s="16">
        <f t="shared" si="59"/>
        <v>-0.62835647243968062</v>
      </c>
    </row>
    <row r="746" spans="4:17" ht="15" thickBot="1" x14ac:dyDescent="0.35">
      <c r="D746" s="20">
        <f t="shared" si="55"/>
        <v>740</v>
      </c>
      <c r="E746" s="20">
        <f t="shared" si="56"/>
        <v>5050</v>
      </c>
      <c r="F746" s="20">
        <f t="shared" si="57"/>
        <v>1350</v>
      </c>
      <c r="G746" s="20">
        <v>0.30128498588539626</v>
      </c>
      <c r="H746" s="50"/>
      <c r="I746" s="16"/>
      <c r="J746" s="16"/>
      <c r="K746" s="16"/>
      <c r="L746" s="16"/>
      <c r="M746" s="16">
        <v>740</v>
      </c>
      <c r="N746" s="16">
        <f t="shared" si="58"/>
        <v>0.2652439024390244</v>
      </c>
      <c r="O746" s="16"/>
      <c r="P746" s="16"/>
      <c r="Q746" s="16">
        <f t="shared" si="59"/>
        <v>-0.62726154713399584</v>
      </c>
    </row>
    <row r="747" spans="4:17" ht="15" thickBot="1" x14ac:dyDescent="0.35">
      <c r="D747" s="20">
        <f t="shared" si="55"/>
        <v>741</v>
      </c>
      <c r="E747" s="20">
        <f t="shared" si="56"/>
        <v>5150</v>
      </c>
      <c r="F747" s="20">
        <f t="shared" si="57"/>
        <v>1350</v>
      </c>
      <c r="G747" s="20">
        <v>0.3013903080044445</v>
      </c>
      <c r="H747" s="50"/>
      <c r="I747" s="16"/>
      <c r="J747" s="16"/>
      <c r="K747" s="16"/>
      <c r="L747" s="16"/>
      <c r="M747" s="16">
        <v>741</v>
      </c>
      <c r="N747" s="16">
        <f t="shared" si="58"/>
        <v>0.26560258249641322</v>
      </c>
      <c r="O747" s="16"/>
      <c r="P747" s="16"/>
      <c r="Q747" s="16">
        <f t="shared" si="59"/>
        <v>-0.62616737331211547</v>
      </c>
    </row>
    <row r="748" spans="4:17" ht="15" thickBot="1" x14ac:dyDescent="0.35">
      <c r="D748" s="20">
        <f t="shared" si="55"/>
        <v>742</v>
      </c>
      <c r="E748" s="20">
        <f t="shared" si="56"/>
        <v>5250</v>
      </c>
      <c r="F748" s="20">
        <f t="shared" si="57"/>
        <v>1350</v>
      </c>
      <c r="G748" s="20">
        <v>0.30146389183738187</v>
      </c>
      <c r="H748" s="50"/>
      <c r="I748" s="16"/>
      <c r="J748" s="16"/>
      <c r="K748" s="16"/>
      <c r="L748" s="16"/>
      <c r="M748" s="16">
        <v>742</v>
      </c>
      <c r="N748" s="16">
        <f t="shared" si="58"/>
        <v>0.26596126255380204</v>
      </c>
      <c r="O748" s="16"/>
      <c r="P748" s="16"/>
      <c r="Q748" s="16">
        <f t="shared" si="59"/>
        <v>-0.62507394863504151</v>
      </c>
    </row>
    <row r="749" spans="4:17" ht="15" thickBot="1" x14ac:dyDescent="0.35">
      <c r="D749" s="20">
        <f t="shared" si="55"/>
        <v>743</v>
      </c>
      <c r="E749" s="20">
        <f t="shared" si="56"/>
        <v>50</v>
      </c>
      <c r="F749" s="20">
        <f t="shared" si="57"/>
        <v>1450</v>
      </c>
      <c r="G749" s="20">
        <v>0.30147976600302306</v>
      </c>
      <c r="H749" s="50"/>
      <c r="I749" s="16"/>
      <c r="J749" s="16"/>
      <c r="K749" s="16"/>
      <c r="L749" s="16"/>
      <c r="M749" s="16">
        <v>743</v>
      </c>
      <c r="N749" s="16">
        <f t="shared" si="58"/>
        <v>0.2663199426111908</v>
      </c>
      <c r="O749" s="16"/>
      <c r="P749" s="16"/>
      <c r="Q749" s="16">
        <f t="shared" si="59"/>
        <v>-0.62398127077215726</v>
      </c>
    </row>
    <row r="750" spans="4:17" ht="15" thickBot="1" x14ac:dyDescent="0.35">
      <c r="D750" s="20">
        <f t="shared" si="55"/>
        <v>744</v>
      </c>
      <c r="E750" s="20">
        <f t="shared" si="56"/>
        <v>150</v>
      </c>
      <c r="F750" s="20">
        <f t="shared" si="57"/>
        <v>1450</v>
      </c>
      <c r="G750" s="20">
        <v>0.30155170862409336</v>
      </c>
      <c r="H750" s="50"/>
      <c r="I750" s="16"/>
      <c r="J750" s="16"/>
      <c r="K750" s="16"/>
      <c r="L750" s="16"/>
      <c r="M750" s="16">
        <v>744</v>
      </c>
      <c r="N750" s="16">
        <f t="shared" si="58"/>
        <v>0.26667862266857961</v>
      </c>
      <c r="O750" s="16"/>
      <c r="P750" s="16"/>
      <c r="Q750" s="16">
        <f t="shared" si="59"/>
        <v>-0.62288933740118524</v>
      </c>
    </row>
    <row r="751" spans="4:17" ht="15" thickBot="1" x14ac:dyDescent="0.35">
      <c r="D751" s="20">
        <f t="shared" si="55"/>
        <v>745</v>
      </c>
      <c r="E751" s="20">
        <f t="shared" si="56"/>
        <v>250</v>
      </c>
      <c r="F751" s="20">
        <f t="shared" si="57"/>
        <v>1450</v>
      </c>
      <c r="G751" s="20">
        <v>0.30156602110456121</v>
      </c>
      <c r="H751" s="50"/>
      <c r="I751" s="16"/>
      <c r="J751" s="16"/>
      <c r="K751" s="16"/>
      <c r="L751" s="16"/>
      <c r="M751" s="16">
        <v>745</v>
      </c>
      <c r="N751" s="16">
        <f t="shared" si="58"/>
        <v>0.26703730272596843</v>
      </c>
      <c r="O751" s="16"/>
      <c r="P751" s="16"/>
      <c r="Q751" s="16">
        <f t="shared" si="59"/>
        <v>-0.62179814620813956</v>
      </c>
    </row>
    <row r="752" spans="4:17" ht="15" thickBot="1" x14ac:dyDescent="0.35">
      <c r="D752" s="20">
        <f t="shared" si="55"/>
        <v>746</v>
      </c>
      <c r="E752" s="20">
        <f t="shared" si="56"/>
        <v>350</v>
      </c>
      <c r="F752" s="20">
        <f t="shared" si="57"/>
        <v>1450</v>
      </c>
      <c r="G752" s="20">
        <v>0.30170423066469249</v>
      </c>
      <c r="H752" s="50"/>
      <c r="I752" s="16"/>
      <c r="J752" s="16"/>
      <c r="K752" s="16"/>
      <c r="L752" s="16"/>
      <c r="M752" s="16">
        <v>746</v>
      </c>
      <c r="N752" s="16">
        <f t="shared" si="58"/>
        <v>0.26739598278335724</v>
      </c>
      <c r="O752" s="16"/>
      <c r="P752" s="16"/>
      <c r="Q752" s="16">
        <f t="shared" si="59"/>
        <v>-0.62070769488728461</v>
      </c>
    </row>
    <row r="753" spans="4:17" ht="15" thickBot="1" x14ac:dyDescent="0.35">
      <c r="D753" s="20">
        <f t="shared" si="55"/>
        <v>747</v>
      </c>
      <c r="E753" s="20">
        <f t="shared" si="56"/>
        <v>450</v>
      </c>
      <c r="F753" s="20">
        <f t="shared" si="57"/>
        <v>1450</v>
      </c>
      <c r="G753" s="20">
        <v>0.30176559897583144</v>
      </c>
      <c r="H753" s="50"/>
      <c r="I753" s="16"/>
      <c r="J753" s="16"/>
      <c r="K753" s="16"/>
      <c r="L753" s="16"/>
      <c r="M753" s="16">
        <v>747</v>
      </c>
      <c r="N753" s="16">
        <f t="shared" si="58"/>
        <v>0.26775466284074606</v>
      </c>
      <c r="O753" s="16"/>
      <c r="P753" s="16"/>
      <c r="Q753" s="16">
        <f t="shared" si="59"/>
        <v>-0.61961798114108868</v>
      </c>
    </row>
    <row r="754" spans="4:17" ht="15" thickBot="1" x14ac:dyDescent="0.35">
      <c r="D754" s="20">
        <f t="shared" si="55"/>
        <v>748</v>
      </c>
      <c r="E754" s="20">
        <f t="shared" si="56"/>
        <v>550</v>
      </c>
      <c r="F754" s="20">
        <f t="shared" si="57"/>
        <v>1450</v>
      </c>
      <c r="G754" s="20">
        <v>0.30179598859797246</v>
      </c>
      <c r="H754" s="50"/>
      <c r="I754" s="16"/>
      <c r="J754" s="16"/>
      <c r="K754" s="16"/>
      <c r="L754" s="16"/>
      <c r="M754" s="16">
        <v>748</v>
      </c>
      <c r="N754" s="16">
        <f t="shared" si="58"/>
        <v>0.26811334289813488</v>
      </c>
      <c r="O754" s="16"/>
      <c r="P754" s="16"/>
      <c r="Q754" s="16">
        <f t="shared" si="59"/>
        <v>-0.61852900268018141</v>
      </c>
    </row>
    <row r="755" spans="4:17" ht="15" thickBot="1" x14ac:dyDescent="0.35">
      <c r="D755" s="20">
        <f t="shared" si="55"/>
        <v>749</v>
      </c>
      <c r="E755" s="20">
        <f t="shared" si="56"/>
        <v>650</v>
      </c>
      <c r="F755" s="20">
        <f t="shared" si="57"/>
        <v>1450</v>
      </c>
      <c r="G755" s="20">
        <v>0.30184223293726609</v>
      </c>
      <c r="H755" s="50"/>
      <c r="I755" s="16"/>
      <c r="J755" s="16"/>
      <c r="K755" s="16"/>
      <c r="L755" s="16"/>
      <c r="M755" s="16">
        <v>749</v>
      </c>
      <c r="N755" s="16">
        <f t="shared" si="58"/>
        <v>0.26847202295552369</v>
      </c>
      <c r="O755" s="16"/>
      <c r="P755" s="16"/>
      <c r="Q755" s="16">
        <f t="shared" si="59"/>
        <v>-0.61744075722331038</v>
      </c>
    </row>
    <row r="756" spans="4:17" ht="15" thickBot="1" x14ac:dyDescent="0.35">
      <c r="D756" s="20">
        <f t="shared" si="55"/>
        <v>750</v>
      </c>
      <c r="E756" s="20">
        <f t="shared" si="56"/>
        <v>750</v>
      </c>
      <c r="F756" s="20">
        <f t="shared" si="57"/>
        <v>1450</v>
      </c>
      <c r="G756" s="20">
        <v>0.30204515344000327</v>
      </c>
      <c r="H756" s="50"/>
      <c r="I756" s="16"/>
      <c r="J756" s="16"/>
      <c r="K756" s="16"/>
      <c r="L756" s="16"/>
      <c r="M756" s="16">
        <v>750</v>
      </c>
      <c r="N756" s="16">
        <f t="shared" si="58"/>
        <v>0.26883070301291251</v>
      </c>
      <c r="O756" s="16"/>
      <c r="P756" s="16"/>
      <c r="Q756" s="16">
        <f t="shared" si="59"/>
        <v>-0.61635324249729795</v>
      </c>
    </row>
    <row r="757" spans="4:17" ht="15" thickBot="1" x14ac:dyDescent="0.35">
      <c r="D757" s="20">
        <f t="shared" si="55"/>
        <v>751</v>
      </c>
      <c r="E757" s="20">
        <f t="shared" si="56"/>
        <v>850</v>
      </c>
      <c r="F757" s="20">
        <f t="shared" si="57"/>
        <v>1450</v>
      </c>
      <c r="G757" s="20">
        <v>0.30211340062273229</v>
      </c>
      <c r="H757" s="50"/>
      <c r="I757" s="16"/>
      <c r="J757" s="16"/>
      <c r="K757" s="16"/>
      <c r="L757" s="16"/>
      <c r="M757" s="16">
        <v>751</v>
      </c>
      <c r="N757" s="16">
        <f t="shared" si="58"/>
        <v>0.26918938307030127</v>
      </c>
      <c r="O757" s="16"/>
      <c r="P757" s="16"/>
      <c r="Q757" s="16">
        <f t="shared" si="59"/>
        <v>-0.61526645623699827</v>
      </c>
    </row>
    <row r="758" spans="4:17" ht="15" thickBot="1" x14ac:dyDescent="0.35">
      <c r="D758" s="20">
        <f t="shared" si="55"/>
        <v>752</v>
      </c>
      <c r="E758" s="20">
        <f t="shared" si="56"/>
        <v>950</v>
      </c>
      <c r="F758" s="20">
        <f t="shared" si="57"/>
        <v>1450</v>
      </c>
      <c r="G758" s="20">
        <v>0.3021614157216031</v>
      </c>
      <c r="H758" s="50"/>
      <c r="I758" s="16"/>
      <c r="J758" s="16"/>
      <c r="K758" s="16"/>
      <c r="L758" s="16"/>
      <c r="M758" s="16">
        <v>752</v>
      </c>
      <c r="N758" s="16">
        <f t="shared" si="58"/>
        <v>0.26954806312769009</v>
      </c>
      <c r="O758" s="16"/>
      <c r="P758" s="16"/>
      <c r="Q758" s="16">
        <f t="shared" si="59"/>
        <v>-0.614180396185255</v>
      </c>
    </row>
    <row r="759" spans="4:17" ht="15" thickBot="1" x14ac:dyDescent="0.35">
      <c r="D759" s="20">
        <f t="shared" si="55"/>
        <v>753</v>
      </c>
      <c r="E759" s="20">
        <f t="shared" si="56"/>
        <v>1050</v>
      </c>
      <c r="F759" s="20">
        <f t="shared" si="57"/>
        <v>1450</v>
      </c>
      <c r="G759" s="20">
        <v>0.30216499303984579</v>
      </c>
      <c r="H759" s="50"/>
      <c r="I759" s="16"/>
      <c r="J759" s="16"/>
      <c r="K759" s="16"/>
      <c r="L759" s="16"/>
      <c r="M759" s="16">
        <v>753</v>
      </c>
      <c r="N759" s="16">
        <f t="shared" si="58"/>
        <v>0.2699067431850789</v>
      </c>
      <c r="O759" s="16"/>
      <c r="P759" s="16"/>
      <c r="Q759" s="16">
        <f t="shared" si="59"/>
        <v>-0.61309506009285741</v>
      </c>
    </row>
    <row r="760" spans="4:17" ht="15" thickBot="1" x14ac:dyDescent="0.35">
      <c r="D760" s="20">
        <f t="shared" si="55"/>
        <v>754</v>
      </c>
      <c r="E760" s="20">
        <f t="shared" si="56"/>
        <v>1150</v>
      </c>
      <c r="F760" s="20">
        <f t="shared" si="57"/>
        <v>1450</v>
      </c>
      <c r="G760" s="20">
        <v>0.30232609953502637</v>
      </c>
      <c r="H760" s="50"/>
      <c r="I760" s="16"/>
      <c r="J760" s="16"/>
      <c r="K760" s="16"/>
      <c r="L760" s="16"/>
      <c r="M760" s="16">
        <v>754</v>
      </c>
      <c r="N760" s="16">
        <f t="shared" si="58"/>
        <v>0.27026542324246772</v>
      </c>
      <c r="O760" s="16"/>
      <c r="P760" s="16"/>
      <c r="Q760" s="16">
        <f t="shared" si="59"/>
        <v>-0.61201044571850205</v>
      </c>
    </row>
    <row r="761" spans="4:17" ht="15" thickBot="1" x14ac:dyDescent="0.35">
      <c r="D761" s="20">
        <f t="shared" si="55"/>
        <v>755</v>
      </c>
      <c r="E761" s="20">
        <f t="shared" si="56"/>
        <v>1250</v>
      </c>
      <c r="F761" s="20">
        <f t="shared" si="57"/>
        <v>1450</v>
      </c>
      <c r="G761" s="20">
        <v>0.30245743539950676</v>
      </c>
      <c r="H761" s="50"/>
      <c r="I761" s="16"/>
      <c r="J761" s="16"/>
      <c r="K761" s="16"/>
      <c r="L761" s="16"/>
      <c r="M761" s="16">
        <v>755</v>
      </c>
      <c r="N761" s="16">
        <f t="shared" si="58"/>
        <v>0.27062410329985653</v>
      </c>
      <c r="O761" s="16"/>
      <c r="P761" s="16"/>
      <c r="Q761" s="16">
        <f t="shared" si="59"/>
        <v>-0.61092655082874692</v>
      </c>
    </row>
    <row r="762" spans="4:17" ht="15" thickBot="1" x14ac:dyDescent="0.35">
      <c r="D762" s="20">
        <f t="shared" si="55"/>
        <v>756</v>
      </c>
      <c r="E762" s="20">
        <f t="shared" si="56"/>
        <v>1350</v>
      </c>
      <c r="F762" s="20">
        <f t="shared" si="57"/>
        <v>1450</v>
      </c>
      <c r="G762" s="20">
        <v>0.30255805681271469</v>
      </c>
      <c r="H762" s="50"/>
      <c r="I762" s="16"/>
      <c r="J762" s="16"/>
      <c r="K762" s="16"/>
      <c r="L762" s="16"/>
      <c r="M762" s="16">
        <v>756</v>
      </c>
      <c r="N762" s="16">
        <f t="shared" si="58"/>
        <v>0.27098278335724535</v>
      </c>
      <c r="O762" s="16"/>
      <c r="P762" s="16"/>
      <c r="Q762" s="16">
        <f t="shared" si="59"/>
        <v>-0.60984337319797222</v>
      </c>
    </row>
    <row r="763" spans="4:17" ht="15" thickBot="1" x14ac:dyDescent="0.35">
      <c r="D763" s="20">
        <f t="shared" si="55"/>
        <v>757</v>
      </c>
      <c r="E763" s="20">
        <f t="shared" si="56"/>
        <v>1450</v>
      </c>
      <c r="F763" s="20">
        <f t="shared" si="57"/>
        <v>1450</v>
      </c>
      <c r="G763" s="20">
        <v>0.30257605899076523</v>
      </c>
      <c r="H763" s="50"/>
      <c r="I763" s="16"/>
      <c r="J763" s="16"/>
      <c r="K763" s="16"/>
      <c r="L763" s="16"/>
      <c r="M763" s="16">
        <v>757</v>
      </c>
      <c r="N763" s="16">
        <f t="shared" si="58"/>
        <v>0.27134146341463417</v>
      </c>
      <c r="O763" s="16"/>
      <c r="P763" s="16"/>
      <c r="Q763" s="16">
        <f t="shared" si="59"/>
        <v>-0.60876091060833881</v>
      </c>
    </row>
    <row r="764" spans="4:17" ht="15" thickBot="1" x14ac:dyDescent="0.35">
      <c r="D764" s="20">
        <f t="shared" si="55"/>
        <v>758</v>
      </c>
      <c r="E764" s="20">
        <f t="shared" si="56"/>
        <v>1550</v>
      </c>
      <c r="F764" s="20">
        <f t="shared" si="57"/>
        <v>1450</v>
      </c>
      <c r="G764" s="20">
        <v>0.30264162057595689</v>
      </c>
      <c r="H764" s="50"/>
      <c r="I764" s="16"/>
      <c r="J764" s="16"/>
      <c r="K764" s="16"/>
      <c r="L764" s="16"/>
      <c r="M764" s="16">
        <v>758</v>
      </c>
      <c r="N764" s="16">
        <f t="shared" si="58"/>
        <v>0.27170014347202298</v>
      </c>
      <c r="O764" s="16"/>
      <c r="P764" s="16"/>
      <c r="Q764" s="16">
        <f t="shared" si="59"/>
        <v>-0.60767916084974716</v>
      </c>
    </row>
    <row r="765" spans="4:17" ht="15" thickBot="1" x14ac:dyDescent="0.35">
      <c r="D765" s="20">
        <f t="shared" si="55"/>
        <v>759</v>
      </c>
      <c r="E765" s="20">
        <f t="shared" si="56"/>
        <v>1650</v>
      </c>
      <c r="F765" s="20">
        <f t="shared" si="57"/>
        <v>1450</v>
      </c>
      <c r="G765" s="20">
        <v>0.30266137864111931</v>
      </c>
      <c r="H765" s="50"/>
      <c r="I765" s="16"/>
      <c r="J765" s="16"/>
      <c r="K765" s="16"/>
      <c r="L765" s="16"/>
      <c r="M765" s="16">
        <v>759</v>
      </c>
      <c r="N765" s="16">
        <f t="shared" si="58"/>
        <v>0.27205882352941174</v>
      </c>
      <c r="O765" s="16"/>
      <c r="P765" s="16"/>
      <c r="Q765" s="16">
        <f t="shared" si="59"/>
        <v>-0.60659812171979677</v>
      </c>
    </row>
    <row r="766" spans="4:17" ht="15" thickBot="1" x14ac:dyDescent="0.35">
      <c r="D766" s="20">
        <f t="shared" si="55"/>
        <v>760</v>
      </c>
      <c r="E766" s="20">
        <f t="shared" si="56"/>
        <v>1750</v>
      </c>
      <c r="F766" s="20">
        <f t="shared" si="57"/>
        <v>1450</v>
      </c>
      <c r="G766" s="20">
        <v>0.30292763032081055</v>
      </c>
      <c r="H766" s="50"/>
      <c r="I766" s="16"/>
      <c r="J766" s="16"/>
      <c r="K766" s="16"/>
      <c r="L766" s="16"/>
      <c r="M766" s="16">
        <v>760</v>
      </c>
      <c r="N766" s="16">
        <f t="shared" si="58"/>
        <v>0.27241750358680056</v>
      </c>
      <c r="O766" s="16"/>
      <c r="P766" s="16"/>
      <c r="Q766" s="16">
        <f t="shared" si="59"/>
        <v>-0.60551779102374426</v>
      </c>
    </row>
    <row r="767" spans="4:17" ht="15" thickBot="1" x14ac:dyDescent="0.35">
      <c r="D767" s="20">
        <f t="shared" si="55"/>
        <v>761</v>
      </c>
      <c r="E767" s="20">
        <f t="shared" si="56"/>
        <v>1850</v>
      </c>
      <c r="F767" s="20">
        <f t="shared" si="57"/>
        <v>1450</v>
      </c>
      <c r="G767" s="20">
        <v>0.30292892320651565</v>
      </c>
      <c r="H767" s="50"/>
      <c r="I767" s="16"/>
      <c r="J767" s="16"/>
      <c r="K767" s="16"/>
      <c r="L767" s="16"/>
      <c r="M767" s="16">
        <v>761</v>
      </c>
      <c r="N767" s="16">
        <f t="shared" si="58"/>
        <v>0.27277618364418937</v>
      </c>
      <c r="O767" s="16"/>
      <c r="P767" s="16"/>
      <c r="Q767" s="16">
        <f t="shared" si="59"/>
        <v>-0.60443816657446614</v>
      </c>
    </row>
    <row r="768" spans="4:17" ht="15" thickBot="1" x14ac:dyDescent="0.35">
      <c r="D768" s="20">
        <f t="shared" si="55"/>
        <v>762</v>
      </c>
      <c r="E768" s="20">
        <f t="shared" si="56"/>
        <v>1950</v>
      </c>
      <c r="F768" s="20">
        <f t="shared" si="57"/>
        <v>1450</v>
      </c>
      <c r="G768" s="20">
        <v>0.30296235210407446</v>
      </c>
      <c r="H768" s="50"/>
      <c r="I768" s="16"/>
      <c r="J768" s="16"/>
      <c r="K768" s="16"/>
      <c r="L768" s="16"/>
      <c r="M768" s="16">
        <v>762</v>
      </c>
      <c r="N768" s="16">
        <f t="shared" si="58"/>
        <v>0.27313486370157819</v>
      </c>
      <c r="O768" s="16"/>
      <c r="P768" s="16"/>
      <c r="Q768" s="16">
        <f t="shared" si="59"/>
        <v>-0.60335924619241643</v>
      </c>
    </row>
    <row r="769" spans="4:17" ht="15" thickBot="1" x14ac:dyDescent="0.35">
      <c r="D769" s="20">
        <f t="shared" si="55"/>
        <v>763</v>
      </c>
      <c r="E769" s="20">
        <f t="shared" si="56"/>
        <v>2050</v>
      </c>
      <c r="F769" s="20">
        <f t="shared" si="57"/>
        <v>1450</v>
      </c>
      <c r="G769" s="20">
        <v>0.30305320518450696</v>
      </c>
      <c r="H769" s="50"/>
      <c r="I769" s="16"/>
      <c r="J769" s="16"/>
      <c r="K769" s="16"/>
      <c r="L769" s="16"/>
      <c r="M769" s="16">
        <v>763</v>
      </c>
      <c r="N769" s="16">
        <f t="shared" si="58"/>
        <v>0.27349354375896701</v>
      </c>
      <c r="O769" s="16"/>
      <c r="P769" s="16"/>
      <c r="Q769" s="16">
        <f t="shared" si="59"/>
        <v>-0.60228102770558778</v>
      </c>
    </row>
    <row r="770" spans="4:17" ht="15" thickBot="1" x14ac:dyDescent="0.35">
      <c r="D770" s="20">
        <f t="shared" si="55"/>
        <v>764</v>
      </c>
      <c r="E770" s="20">
        <f t="shared" si="56"/>
        <v>2150</v>
      </c>
      <c r="F770" s="20">
        <f t="shared" si="57"/>
        <v>1450</v>
      </c>
      <c r="G770" s="20">
        <v>0.30325554743273453</v>
      </c>
      <c r="H770" s="50"/>
      <c r="I770" s="16"/>
      <c r="J770" s="16"/>
      <c r="K770" s="16"/>
      <c r="L770" s="16"/>
      <c r="M770" s="16">
        <v>764</v>
      </c>
      <c r="N770" s="16">
        <f t="shared" si="58"/>
        <v>0.27385222381635582</v>
      </c>
      <c r="O770" s="16"/>
      <c r="P770" s="16"/>
      <c r="Q770" s="16">
        <f t="shared" si="59"/>
        <v>-0.60120350894947194</v>
      </c>
    </row>
    <row r="771" spans="4:17" ht="15" thickBot="1" x14ac:dyDescent="0.35">
      <c r="D771" s="20">
        <f t="shared" si="55"/>
        <v>765</v>
      </c>
      <c r="E771" s="20">
        <f t="shared" si="56"/>
        <v>2250</v>
      </c>
      <c r="F771" s="20">
        <f t="shared" si="57"/>
        <v>1450</v>
      </c>
      <c r="G771" s="20">
        <v>0.30326773595647677</v>
      </c>
      <c r="H771" s="50"/>
      <c r="I771" s="16"/>
      <c r="J771" s="16"/>
      <c r="K771" s="16"/>
      <c r="L771" s="16"/>
      <c r="M771" s="16">
        <v>765</v>
      </c>
      <c r="N771" s="16">
        <f t="shared" si="58"/>
        <v>0.27421090387374464</v>
      </c>
      <c r="O771" s="16"/>
      <c r="P771" s="16"/>
      <c r="Q771" s="16">
        <f t="shared" si="59"/>
        <v>-0.60012668776702083</v>
      </c>
    </row>
    <row r="772" spans="4:17" ht="15" thickBot="1" x14ac:dyDescent="0.35">
      <c r="D772" s="20">
        <f t="shared" si="55"/>
        <v>766</v>
      </c>
      <c r="E772" s="44">
        <f t="shared" si="56"/>
        <v>2350</v>
      </c>
      <c r="F772" s="44">
        <f t="shared" si="57"/>
        <v>1450</v>
      </c>
      <c r="G772" s="20">
        <v>0.30326823182264068</v>
      </c>
      <c r="H772" s="50"/>
      <c r="I772" s="16"/>
      <c r="J772" s="16"/>
      <c r="K772" s="16"/>
      <c r="L772" s="16"/>
      <c r="M772" s="16">
        <v>766</v>
      </c>
      <c r="N772" s="16">
        <f t="shared" si="58"/>
        <v>0.27456958393113345</v>
      </c>
      <c r="O772" s="16"/>
      <c r="P772" s="16"/>
      <c r="Q772" s="16">
        <f t="shared" si="59"/>
        <v>-0.59905056200860762</v>
      </c>
    </row>
    <row r="773" spans="4:17" ht="15" thickBot="1" x14ac:dyDescent="0.35">
      <c r="D773" s="20">
        <f t="shared" si="55"/>
        <v>767</v>
      </c>
      <c r="E773" s="20">
        <f t="shared" si="56"/>
        <v>2450</v>
      </c>
      <c r="F773" s="20">
        <f t="shared" si="57"/>
        <v>1450</v>
      </c>
      <c r="G773" s="20">
        <v>0.30351167976261467</v>
      </c>
      <c r="H773" s="50"/>
      <c r="I773" s="16"/>
      <c r="J773" s="16"/>
      <c r="K773" s="16"/>
      <c r="L773" s="16"/>
      <c r="M773" s="16">
        <v>767</v>
      </c>
      <c r="N773" s="16">
        <f t="shared" si="58"/>
        <v>0.27492826398852221</v>
      </c>
      <c r="O773" s="16"/>
      <c r="P773" s="16"/>
      <c r="Q773" s="16">
        <f t="shared" si="59"/>
        <v>-0.59797512953198761</v>
      </c>
    </row>
    <row r="774" spans="4:17" ht="15" thickBot="1" x14ac:dyDescent="0.35">
      <c r="D774" s="20">
        <f t="shared" si="55"/>
        <v>768</v>
      </c>
      <c r="E774" s="20">
        <f t="shared" si="56"/>
        <v>2550</v>
      </c>
      <c r="F774" s="20">
        <f t="shared" si="57"/>
        <v>1450</v>
      </c>
      <c r="G774" s="20">
        <v>0.30356754379152645</v>
      </c>
      <c r="H774" s="50"/>
      <c r="I774" s="16"/>
      <c r="J774" s="16"/>
      <c r="K774" s="16"/>
      <c r="L774" s="16"/>
      <c r="M774" s="16">
        <v>768</v>
      </c>
      <c r="N774" s="16">
        <f t="shared" si="58"/>
        <v>0.27528694404591103</v>
      </c>
      <c r="O774" s="16"/>
      <c r="P774" s="16"/>
      <c r="Q774" s="16">
        <f t="shared" si="59"/>
        <v>-0.59690038820225988</v>
      </c>
    </row>
    <row r="775" spans="4:17" ht="15" thickBot="1" x14ac:dyDescent="0.35">
      <c r="D775" s="20">
        <f t="shared" ref="D775:D838" si="60">ROW()-6</f>
        <v>769</v>
      </c>
      <c r="E775" s="20">
        <f t="shared" ref="E775:E838" si="61">(MOD(D775-1,53)*100)+50</f>
        <v>2650</v>
      </c>
      <c r="F775" s="20">
        <f t="shared" ref="F775:F838" si="62">FLOOR((D775-1)/53,1)*100+50</f>
        <v>1450</v>
      </c>
      <c r="G775" s="20">
        <v>0.30367320864477831</v>
      </c>
      <c r="H775" s="50"/>
      <c r="I775" s="16"/>
      <c r="J775" s="16"/>
      <c r="K775" s="16"/>
      <c r="L775" s="16"/>
      <c r="M775" s="16">
        <v>769</v>
      </c>
      <c r="N775" s="16">
        <f t="shared" si="58"/>
        <v>0.27564562410329985</v>
      </c>
      <c r="O775" s="16"/>
      <c r="P775" s="16"/>
      <c r="Q775" s="16">
        <f t="shared" si="59"/>
        <v>-0.59582633589182954</v>
      </c>
    </row>
    <row r="776" spans="4:17" ht="15" thickBot="1" x14ac:dyDescent="0.35">
      <c r="D776" s="20">
        <f t="shared" si="60"/>
        <v>770</v>
      </c>
      <c r="E776" s="20">
        <f t="shared" si="61"/>
        <v>2750</v>
      </c>
      <c r="F776" s="20">
        <f t="shared" si="62"/>
        <v>1450</v>
      </c>
      <c r="G776" s="20">
        <v>0.30385402568123698</v>
      </c>
      <c r="H776" s="50"/>
      <c r="I776" s="16"/>
      <c r="J776" s="16"/>
      <c r="K776" s="16"/>
      <c r="L776" s="16"/>
      <c r="M776" s="16">
        <v>770</v>
      </c>
      <c r="N776" s="16">
        <f t="shared" ref="N776:N839" si="63">(M776-0.5)/$L$7</f>
        <v>0.27600430416068866</v>
      </c>
      <c r="O776" s="16"/>
      <c r="P776" s="16"/>
      <c r="Q776" s="16">
        <f t="shared" ref="Q776:Q839" si="64">_xlfn.NORM.S.INV(N776)</f>
        <v>-0.59475297048036979</v>
      </c>
    </row>
    <row r="777" spans="4:17" ht="15" thickBot="1" x14ac:dyDescent="0.35">
      <c r="D777" s="20">
        <f t="shared" si="60"/>
        <v>771</v>
      </c>
      <c r="E777" s="20">
        <f t="shared" si="61"/>
        <v>2850</v>
      </c>
      <c r="F777" s="20">
        <f t="shared" si="62"/>
        <v>1450</v>
      </c>
      <c r="G777" s="20">
        <v>0.30404816366457882</v>
      </c>
      <c r="H777" s="50"/>
      <c r="I777" s="16"/>
      <c r="J777" s="16"/>
      <c r="K777" s="16"/>
      <c r="L777" s="16"/>
      <c r="M777" s="16">
        <v>771</v>
      </c>
      <c r="N777" s="16">
        <f t="shared" si="63"/>
        <v>0.27636298421807748</v>
      </c>
      <c r="O777" s="16"/>
      <c r="P777" s="16"/>
      <c r="Q777" s="16">
        <f t="shared" si="64"/>
        <v>-0.59368028985478305</v>
      </c>
    </row>
    <row r="778" spans="4:17" ht="15" thickBot="1" x14ac:dyDescent="0.35">
      <c r="D778" s="20">
        <f t="shared" si="60"/>
        <v>772</v>
      </c>
      <c r="E778" s="20">
        <f t="shared" si="61"/>
        <v>2950</v>
      </c>
      <c r="F778" s="20">
        <f t="shared" si="62"/>
        <v>1450</v>
      </c>
      <c r="G778" s="20">
        <v>0.30406107284511941</v>
      </c>
      <c r="H778" s="50"/>
      <c r="I778" s="16"/>
      <c r="J778" s="16"/>
      <c r="K778" s="16"/>
      <c r="L778" s="16"/>
      <c r="M778" s="16">
        <v>772</v>
      </c>
      <c r="N778" s="16">
        <f t="shared" si="63"/>
        <v>0.27672166427546629</v>
      </c>
      <c r="O778" s="16"/>
      <c r="P778" s="16"/>
      <c r="Q778" s="16">
        <f t="shared" si="64"/>
        <v>-0.59260829190916486</v>
      </c>
    </row>
    <row r="779" spans="4:17" ht="15" thickBot="1" x14ac:dyDescent="0.35">
      <c r="D779" s="20">
        <f t="shared" si="60"/>
        <v>773</v>
      </c>
      <c r="E779" s="20">
        <f t="shared" si="61"/>
        <v>3050</v>
      </c>
      <c r="F779" s="20">
        <f t="shared" si="62"/>
        <v>1450</v>
      </c>
      <c r="G779" s="20">
        <v>0.30425666595683093</v>
      </c>
      <c r="H779" s="50"/>
      <c r="I779" s="16"/>
      <c r="J779" s="16"/>
      <c r="K779" s="16"/>
      <c r="L779" s="16"/>
      <c r="M779" s="16">
        <v>773</v>
      </c>
      <c r="N779" s="16">
        <f t="shared" si="63"/>
        <v>0.27708034433285511</v>
      </c>
      <c r="O779" s="16"/>
      <c r="P779" s="16"/>
      <c r="Q779" s="16">
        <f t="shared" si="64"/>
        <v>-0.59153697454476595</v>
      </c>
    </row>
    <row r="780" spans="4:17" ht="15" thickBot="1" x14ac:dyDescent="0.35">
      <c r="D780" s="20">
        <f t="shared" si="60"/>
        <v>774</v>
      </c>
      <c r="E780" s="20">
        <f t="shared" si="61"/>
        <v>3150</v>
      </c>
      <c r="F780" s="20">
        <f t="shared" si="62"/>
        <v>1450</v>
      </c>
      <c r="G780" s="20">
        <v>0.30431237803379518</v>
      </c>
      <c r="H780" s="50"/>
      <c r="I780" s="16"/>
      <c r="J780" s="16"/>
      <c r="K780" s="16"/>
      <c r="L780" s="16"/>
      <c r="M780" s="16">
        <v>774</v>
      </c>
      <c r="N780" s="16">
        <f t="shared" si="63"/>
        <v>0.27743902439024393</v>
      </c>
      <c r="O780" s="16"/>
      <c r="P780" s="16"/>
      <c r="Q780" s="16">
        <f t="shared" si="64"/>
        <v>-0.59046633566995521</v>
      </c>
    </row>
    <row r="781" spans="4:17" ht="15" thickBot="1" x14ac:dyDescent="0.35">
      <c r="D781" s="20">
        <f t="shared" si="60"/>
        <v>775</v>
      </c>
      <c r="E781" s="20">
        <f t="shared" si="61"/>
        <v>3250</v>
      </c>
      <c r="F781" s="20">
        <f t="shared" si="62"/>
        <v>1450</v>
      </c>
      <c r="G781" s="20">
        <v>0.30432209318417486</v>
      </c>
      <c r="H781" s="50"/>
      <c r="I781" s="16"/>
      <c r="J781" s="16"/>
      <c r="K781" s="16"/>
      <c r="L781" s="16"/>
      <c r="M781" s="16">
        <v>775</v>
      </c>
      <c r="N781" s="16">
        <f t="shared" si="63"/>
        <v>0.27779770444763269</v>
      </c>
      <c r="O781" s="16"/>
      <c r="P781" s="16"/>
      <c r="Q781" s="16">
        <f t="shared" si="64"/>
        <v>-0.58939637320018334</v>
      </c>
    </row>
    <row r="782" spans="4:17" ht="15" thickBot="1" x14ac:dyDescent="0.35">
      <c r="D782" s="20">
        <f t="shared" si="60"/>
        <v>776</v>
      </c>
      <c r="E782" s="20">
        <f t="shared" si="61"/>
        <v>3350</v>
      </c>
      <c r="F782" s="20">
        <f t="shared" si="62"/>
        <v>1450</v>
      </c>
      <c r="G782" s="20">
        <v>0.30445641195041873</v>
      </c>
      <c r="H782" s="50"/>
      <c r="I782" s="16"/>
      <c r="J782" s="16"/>
      <c r="K782" s="16"/>
      <c r="L782" s="16"/>
      <c r="M782" s="16">
        <v>776</v>
      </c>
      <c r="N782" s="16">
        <f t="shared" si="63"/>
        <v>0.2781563845050215</v>
      </c>
      <c r="O782" s="16"/>
      <c r="P782" s="16"/>
      <c r="Q782" s="16">
        <f t="shared" si="64"/>
        <v>-0.58832708505794551</v>
      </c>
    </row>
    <row r="783" spans="4:17" ht="15" thickBot="1" x14ac:dyDescent="0.35">
      <c r="D783" s="20">
        <f t="shared" si="60"/>
        <v>777</v>
      </c>
      <c r="E783" s="20">
        <f t="shared" si="61"/>
        <v>3450</v>
      </c>
      <c r="F783" s="20">
        <f t="shared" si="62"/>
        <v>1450</v>
      </c>
      <c r="G783" s="20">
        <v>0.30446850089725702</v>
      </c>
      <c r="H783" s="50"/>
      <c r="I783" s="16"/>
      <c r="J783" s="16"/>
      <c r="K783" s="16"/>
      <c r="L783" s="16"/>
      <c r="M783" s="16">
        <v>777</v>
      </c>
      <c r="N783" s="16">
        <f t="shared" si="63"/>
        <v>0.27851506456241032</v>
      </c>
      <c r="O783" s="16"/>
      <c r="P783" s="16"/>
      <c r="Q783" s="16">
        <f t="shared" si="64"/>
        <v>-0.58725846917274527</v>
      </c>
    </row>
    <row r="784" spans="4:17" ht="15" thickBot="1" x14ac:dyDescent="0.35">
      <c r="D784" s="20">
        <f t="shared" si="60"/>
        <v>778</v>
      </c>
      <c r="E784" s="20">
        <f t="shared" si="61"/>
        <v>3550</v>
      </c>
      <c r="F784" s="20">
        <f t="shared" si="62"/>
        <v>1450</v>
      </c>
      <c r="G784" s="20">
        <v>0.30467881598697893</v>
      </c>
      <c r="H784" s="50"/>
      <c r="I784" s="16"/>
      <c r="J784" s="16"/>
      <c r="K784" s="16"/>
      <c r="L784" s="16"/>
      <c r="M784" s="16">
        <v>778</v>
      </c>
      <c r="N784" s="16">
        <f t="shared" si="63"/>
        <v>0.27887374461979914</v>
      </c>
      <c r="O784" s="16"/>
      <c r="P784" s="16"/>
      <c r="Q784" s="16">
        <f t="shared" si="64"/>
        <v>-0.58619052348105949</v>
      </c>
    </row>
    <row r="785" spans="4:17" ht="15" thickBot="1" x14ac:dyDescent="0.35">
      <c r="D785" s="20">
        <f t="shared" si="60"/>
        <v>779</v>
      </c>
      <c r="E785" s="43">
        <f t="shared" si="61"/>
        <v>3650</v>
      </c>
      <c r="F785" s="43">
        <f t="shared" si="62"/>
        <v>1450</v>
      </c>
      <c r="G785" s="20">
        <v>0.30478267196674552</v>
      </c>
      <c r="H785" s="50"/>
      <c r="I785" s="16"/>
      <c r="J785" s="16"/>
      <c r="K785" s="16"/>
      <c r="L785" s="16"/>
      <c r="M785" s="16">
        <v>779</v>
      </c>
      <c r="N785" s="16">
        <f t="shared" si="63"/>
        <v>0.27923242467718795</v>
      </c>
      <c r="O785" s="16"/>
      <c r="P785" s="16"/>
      <c r="Q785" s="16">
        <f t="shared" si="64"/>
        <v>-0.58512324592630072</v>
      </c>
    </row>
    <row r="786" spans="4:17" ht="15" thickBot="1" x14ac:dyDescent="0.35">
      <c r="D786" s="20">
        <f t="shared" si="60"/>
        <v>780</v>
      </c>
      <c r="E786" s="20">
        <f t="shared" si="61"/>
        <v>3750</v>
      </c>
      <c r="F786" s="20">
        <f t="shared" si="62"/>
        <v>1450</v>
      </c>
      <c r="G786" s="20">
        <v>0.30489160004615223</v>
      </c>
      <c r="H786" s="50"/>
      <c r="I786" s="16"/>
      <c r="J786" s="16"/>
      <c r="K786" s="16"/>
      <c r="L786" s="16"/>
      <c r="M786" s="16">
        <v>780</v>
      </c>
      <c r="N786" s="16">
        <f t="shared" si="63"/>
        <v>0.27959110473457677</v>
      </c>
      <c r="O786" s="16"/>
      <c r="P786" s="16"/>
      <c r="Q786" s="16">
        <f t="shared" si="64"/>
        <v>-0.5840566344587832</v>
      </c>
    </row>
    <row r="787" spans="4:17" ht="15" thickBot="1" x14ac:dyDescent="0.35">
      <c r="D787" s="20">
        <f t="shared" si="60"/>
        <v>781</v>
      </c>
      <c r="E787" s="20">
        <f t="shared" si="61"/>
        <v>3850</v>
      </c>
      <c r="F787" s="20">
        <f t="shared" si="62"/>
        <v>1450</v>
      </c>
      <c r="G787" s="20">
        <v>0.30504776805954253</v>
      </c>
      <c r="H787" s="50"/>
      <c r="I787" s="16"/>
      <c r="J787" s="16"/>
      <c r="K787" s="16"/>
      <c r="L787" s="16"/>
      <c r="M787" s="16">
        <v>781</v>
      </c>
      <c r="N787" s="16">
        <f t="shared" si="63"/>
        <v>0.27994978479196558</v>
      </c>
      <c r="O787" s="16"/>
      <c r="P787" s="16"/>
      <c r="Q787" s="16">
        <f t="shared" si="64"/>
        <v>-0.58299068703568524</v>
      </c>
    </row>
    <row r="788" spans="4:17" ht="15" thickBot="1" x14ac:dyDescent="0.35">
      <c r="D788" s="20">
        <f t="shared" si="60"/>
        <v>782</v>
      </c>
      <c r="E788" s="20">
        <f t="shared" si="61"/>
        <v>3950</v>
      </c>
      <c r="F788" s="20">
        <f t="shared" si="62"/>
        <v>1450</v>
      </c>
      <c r="G788" s="20">
        <v>0.30519701659003556</v>
      </c>
      <c r="H788" s="50"/>
      <c r="I788" s="16"/>
      <c r="J788" s="16"/>
      <c r="K788" s="16"/>
      <c r="L788" s="16"/>
      <c r="M788" s="16">
        <v>782</v>
      </c>
      <c r="N788" s="16">
        <f t="shared" si="63"/>
        <v>0.2803084648493544</v>
      </c>
      <c r="O788" s="16"/>
      <c r="P788" s="16"/>
      <c r="Q788" s="16">
        <f t="shared" si="64"/>
        <v>-0.5819254016210168</v>
      </c>
    </row>
    <row r="789" spans="4:17" ht="15" thickBot="1" x14ac:dyDescent="0.35">
      <c r="D789" s="20">
        <f t="shared" si="60"/>
        <v>783</v>
      </c>
      <c r="E789" s="20">
        <f t="shared" si="61"/>
        <v>4050</v>
      </c>
      <c r="F789" s="20">
        <f t="shared" si="62"/>
        <v>1450</v>
      </c>
      <c r="G789" s="20">
        <v>0.30529318603190364</v>
      </c>
      <c r="H789" s="50"/>
      <c r="I789" s="16"/>
      <c r="J789" s="16"/>
      <c r="K789" s="16"/>
      <c r="L789" s="16"/>
      <c r="M789" s="16">
        <v>783</v>
      </c>
      <c r="N789" s="16">
        <f t="shared" si="63"/>
        <v>0.28066714490674316</v>
      </c>
      <c r="O789" s="16"/>
      <c r="P789" s="16"/>
      <c r="Q789" s="16">
        <f t="shared" si="64"/>
        <v>-0.58086077618558296</v>
      </c>
    </row>
    <row r="790" spans="4:17" ht="15" thickBot="1" x14ac:dyDescent="0.35">
      <c r="D790" s="20">
        <f t="shared" si="60"/>
        <v>784</v>
      </c>
      <c r="E790" s="20">
        <f t="shared" si="61"/>
        <v>4150</v>
      </c>
      <c r="F790" s="20">
        <f t="shared" si="62"/>
        <v>1450</v>
      </c>
      <c r="G790" s="20">
        <v>0.30545239682292508</v>
      </c>
      <c r="H790" s="50"/>
      <c r="I790" s="16"/>
      <c r="J790" s="16"/>
      <c r="K790" s="16"/>
      <c r="L790" s="16"/>
      <c r="M790" s="16">
        <v>784</v>
      </c>
      <c r="N790" s="16">
        <f t="shared" si="63"/>
        <v>0.28102582496413198</v>
      </c>
      <c r="O790" s="16"/>
      <c r="P790" s="16"/>
      <c r="Q790" s="16">
        <f t="shared" si="64"/>
        <v>-0.57979680870694739</v>
      </c>
    </row>
    <row r="791" spans="4:17" ht="15" thickBot="1" x14ac:dyDescent="0.35">
      <c r="D791" s="20">
        <f t="shared" si="60"/>
        <v>785</v>
      </c>
      <c r="E791" s="20">
        <f t="shared" si="61"/>
        <v>4250</v>
      </c>
      <c r="F791" s="20">
        <f t="shared" si="62"/>
        <v>1450</v>
      </c>
      <c r="G791" s="20">
        <v>0.30545433119956866</v>
      </c>
      <c r="H791" s="50"/>
      <c r="I791" s="16"/>
      <c r="J791" s="16"/>
      <c r="K791" s="16"/>
      <c r="L791" s="16"/>
      <c r="M791" s="16">
        <v>785</v>
      </c>
      <c r="N791" s="16">
        <f t="shared" si="63"/>
        <v>0.28138450502152079</v>
      </c>
      <c r="O791" s="16"/>
      <c r="P791" s="16"/>
      <c r="Q791" s="16">
        <f t="shared" si="64"/>
        <v>-0.57873349716940148</v>
      </c>
    </row>
    <row r="792" spans="4:17" ht="15" thickBot="1" x14ac:dyDescent="0.35">
      <c r="D792" s="20">
        <f t="shared" si="60"/>
        <v>786</v>
      </c>
      <c r="E792" s="20">
        <f t="shared" si="61"/>
        <v>4350</v>
      </c>
      <c r="F792" s="20">
        <f t="shared" si="62"/>
        <v>1450</v>
      </c>
      <c r="G792" s="20">
        <v>0.30552931142599621</v>
      </c>
      <c r="H792" s="50"/>
      <c r="I792" s="16"/>
      <c r="J792" s="16"/>
      <c r="K792" s="16"/>
      <c r="L792" s="16"/>
      <c r="M792" s="16">
        <v>786</v>
      </c>
      <c r="N792" s="16">
        <f t="shared" si="63"/>
        <v>0.28174318507890961</v>
      </c>
      <c r="O792" s="16"/>
      <c r="P792" s="16"/>
      <c r="Q792" s="16">
        <f t="shared" si="64"/>
        <v>-0.5776708395639274</v>
      </c>
    </row>
    <row r="793" spans="4:17" ht="15" thickBot="1" x14ac:dyDescent="0.35">
      <c r="D793" s="20">
        <f t="shared" si="60"/>
        <v>787</v>
      </c>
      <c r="E793" s="20">
        <f t="shared" si="61"/>
        <v>4450</v>
      </c>
      <c r="F793" s="20">
        <f t="shared" si="62"/>
        <v>1450</v>
      </c>
      <c r="G793" s="20">
        <v>0.30560827926170592</v>
      </c>
      <c r="H793" s="50"/>
      <c r="I793" s="16"/>
      <c r="J793" s="16"/>
      <c r="K793" s="16"/>
      <c r="L793" s="16"/>
      <c r="M793" s="16">
        <v>787</v>
      </c>
      <c r="N793" s="16">
        <f t="shared" si="63"/>
        <v>0.28210186513629842</v>
      </c>
      <c r="O793" s="16"/>
      <c r="P793" s="16"/>
      <c r="Q793" s="16">
        <f t="shared" si="64"/>
        <v>-0.5766088338881642</v>
      </c>
    </row>
    <row r="794" spans="4:17" ht="15" thickBot="1" x14ac:dyDescent="0.35">
      <c r="D794" s="20">
        <f t="shared" si="60"/>
        <v>788</v>
      </c>
      <c r="E794" s="48">
        <f t="shared" si="61"/>
        <v>4550</v>
      </c>
      <c r="F794" s="48">
        <f t="shared" si="62"/>
        <v>1450</v>
      </c>
      <c r="G794" s="20">
        <v>0.30572320804613745</v>
      </c>
      <c r="H794" s="50"/>
      <c r="I794" s="16"/>
      <c r="J794" s="16"/>
      <c r="K794" s="16"/>
      <c r="L794" s="16"/>
      <c r="M794" s="16">
        <v>788</v>
      </c>
      <c r="N794" s="16">
        <f t="shared" si="63"/>
        <v>0.28246054519368724</v>
      </c>
      <c r="O794" s="16"/>
      <c r="P794" s="16"/>
      <c r="Q794" s="16">
        <f t="shared" si="64"/>
        <v>-0.57554747814637464</v>
      </c>
    </row>
    <row r="795" spans="4:17" ht="15" thickBot="1" x14ac:dyDescent="0.35">
      <c r="D795" s="20">
        <f t="shared" si="60"/>
        <v>789</v>
      </c>
      <c r="E795" s="20">
        <f t="shared" si="61"/>
        <v>4650</v>
      </c>
      <c r="F795" s="20">
        <f t="shared" si="62"/>
        <v>1450</v>
      </c>
      <c r="G795" s="20">
        <v>0.30572794199446235</v>
      </c>
      <c r="H795" s="50"/>
      <c r="I795" s="16"/>
      <c r="J795" s="16"/>
      <c r="K795" s="16"/>
      <c r="L795" s="16"/>
      <c r="M795" s="16">
        <v>789</v>
      </c>
      <c r="N795" s="16">
        <f t="shared" si="63"/>
        <v>0.28281922525107606</v>
      </c>
      <c r="O795" s="16"/>
      <c r="P795" s="16"/>
      <c r="Q795" s="16">
        <f t="shared" si="64"/>
        <v>-0.57448677034941065</v>
      </c>
    </row>
    <row r="796" spans="4:17" ht="15" thickBot="1" x14ac:dyDescent="0.35">
      <c r="D796" s="20">
        <f t="shared" si="60"/>
        <v>790</v>
      </c>
      <c r="E796" s="20">
        <f t="shared" si="61"/>
        <v>4750</v>
      </c>
      <c r="F796" s="20">
        <f t="shared" si="62"/>
        <v>1450</v>
      </c>
      <c r="G796" s="20">
        <v>0.30592971594837665</v>
      </c>
      <c r="H796" s="50"/>
      <c r="I796" s="16"/>
      <c r="J796" s="16"/>
      <c r="K796" s="16"/>
      <c r="L796" s="16"/>
      <c r="M796" s="16">
        <v>790</v>
      </c>
      <c r="N796" s="16">
        <f t="shared" si="63"/>
        <v>0.28317790530846487</v>
      </c>
      <c r="O796" s="16"/>
      <c r="P796" s="16"/>
      <c r="Q796" s="16">
        <f t="shared" si="64"/>
        <v>-0.57342670851468025</v>
      </c>
    </row>
    <row r="797" spans="4:17" ht="15" thickBot="1" x14ac:dyDescent="0.35">
      <c r="D797" s="20">
        <f t="shared" si="60"/>
        <v>791</v>
      </c>
      <c r="E797" s="20">
        <f t="shared" si="61"/>
        <v>4850</v>
      </c>
      <c r="F797" s="20">
        <f t="shared" si="62"/>
        <v>1450</v>
      </c>
      <c r="G797" s="20">
        <v>0.30594210952528905</v>
      </c>
      <c r="H797" s="50"/>
      <c r="I797" s="16"/>
      <c r="J797" s="16"/>
      <c r="K797" s="16"/>
      <c r="L797" s="16"/>
      <c r="M797" s="16">
        <v>791</v>
      </c>
      <c r="N797" s="16">
        <f t="shared" si="63"/>
        <v>0.28353658536585363</v>
      </c>
      <c r="O797" s="16"/>
      <c r="P797" s="16"/>
      <c r="Q797" s="16">
        <f t="shared" si="64"/>
        <v>-0.57236729066611447</v>
      </c>
    </row>
    <row r="798" spans="4:17" ht="15" thickBot="1" x14ac:dyDescent="0.35">
      <c r="D798" s="20">
        <f t="shared" si="60"/>
        <v>792</v>
      </c>
      <c r="E798" s="20">
        <f t="shared" si="61"/>
        <v>4950</v>
      </c>
      <c r="F798" s="20">
        <f t="shared" si="62"/>
        <v>1450</v>
      </c>
      <c r="G798" s="20">
        <v>0.30596119666275012</v>
      </c>
      <c r="H798" s="50"/>
      <c r="I798" s="16"/>
      <c r="J798" s="16"/>
      <c r="K798" s="16"/>
      <c r="L798" s="16"/>
      <c r="M798" s="16">
        <v>792</v>
      </c>
      <c r="N798" s="16">
        <f t="shared" si="63"/>
        <v>0.28389526542324245</v>
      </c>
      <c r="O798" s="16"/>
      <c r="P798" s="16"/>
      <c r="Q798" s="16">
        <f t="shared" si="64"/>
        <v>-0.57130851483413292</v>
      </c>
    </row>
    <row r="799" spans="4:17" ht="15" thickBot="1" x14ac:dyDescent="0.35">
      <c r="D799" s="20">
        <f t="shared" si="60"/>
        <v>793</v>
      </c>
      <c r="E799" s="20">
        <f t="shared" si="61"/>
        <v>5050</v>
      </c>
      <c r="F799" s="20">
        <f t="shared" si="62"/>
        <v>1450</v>
      </c>
      <c r="G799" s="20">
        <v>0.30610191284804211</v>
      </c>
      <c r="H799" s="50"/>
      <c r="I799" s="16"/>
      <c r="J799" s="16"/>
      <c r="K799" s="16"/>
      <c r="L799" s="16"/>
      <c r="M799" s="16">
        <v>793</v>
      </c>
      <c r="N799" s="16">
        <f t="shared" si="63"/>
        <v>0.28425394548063126</v>
      </c>
      <c r="O799" s="16"/>
      <c r="P799" s="16"/>
      <c r="Q799" s="16">
        <f t="shared" si="64"/>
        <v>-0.57025037905561271</v>
      </c>
    </row>
    <row r="800" spans="4:17" ht="15" thickBot="1" x14ac:dyDescent="0.35">
      <c r="D800" s="20">
        <f t="shared" si="60"/>
        <v>794</v>
      </c>
      <c r="E800" s="20">
        <f t="shared" si="61"/>
        <v>5150</v>
      </c>
      <c r="F800" s="20">
        <f t="shared" si="62"/>
        <v>1450</v>
      </c>
      <c r="G800" s="20">
        <v>0.30614178032635164</v>
      </c>
      <c r="H800" s="50"/>
      <c r="I800" s="16"/>
      <c r="J800" s="16"/>
      <c r="K800" s="16"/>
      <c r="L800" s="16"/>
      <c r="M800" s="16">
        <v>794</v>
      </c>
      <c r="N800" s="16">
        <f t="shared" si="63"/>
        <v>0.28461262553802008</v>
      </c>
      <c r="O800" s="16"/>
      <c r="P800" s="16"/>
      <c r="Q800" s="16">
        <f t="shared" si="64"/>
        <v>-0.56919288137385426</v>
      </c>
    </row>
    <row r="801" spans="4:17" ht="15" thickBot="1" x14ac:dyDescent="0.35">
      <c r="D801" s="20">
        <f t="shared" si="60"/>
        <v>795</v>
      </c>
      <c r="E801" s="20">
        <f t="shared" si="61"/>
        <v>5250</v>
      </c>
      <c r="F801" s="20">
        <f t="shared" si="62"/>
        <v>1450</v>
      </c>
      <c r="G801" s="20">
        <v>0.30623966327416319</v>
      </c>
      <c r="H801" s="50"/>
      <c r="I801" s="16"/>
      <c r="J801" s="16"/>
      <c r="K801" s="16"/>
      <c r="L801" s="16"/>
      <c r="M801" s="16">
        <v>795</v>
      </c>
      <c r="N801" s="16">
        <f t="shared" si="63"/>
        <v>0.2849713055954089</v>
      </c>
      <c r="O801" s="16"/>
      <c r="P801" s="16"/>
      <c r="Q801" s="16">
        <f t="shared" si="64"/>
        <v>-0.56813601983854922</v>
      </c>
    </row>
    <row r="802" spans="4:17" ht="15" thickBot="1" x14ac:dyDescent="0.35">
      <c r="D802" s="20">
        <f t="shared" si="60"/>
        <v>796</v>
      </c>
      <c r="E802" s="20">
        <f t="shared" si="61"/>
        <v>50</v>
      </c>
      <c r="F802" s="20">
        <f t="shared" si="62"/>
        <v>1550</v>
      </c>
      <c r="G802" s="20">
        <v>0.30627211737736071</v>
      </c>
      <c r="H802" s="50"/>
      <c r="I802" s="16"/>
      <c r="J802" s="16"/>
      <c r="K802" s="16"/>
      <c r="L802" s="16"/>
      <c r="M802" s="16">
        <v>796</v>
      </c>
      <c r="N802" s="16">
        <f t="shared" si="63"/>
        <v>0.28532998565279771</v>
      </c>
      <c r="O802" s="16"/>
      <c r="P802" s="16"/>
      <c r="Q802" s="16">
        <f t="shared" si="64"/>
        <v>-0.56707979250574847</v>
      </c>
    </row>
    <row r="803" spans="4:17" ht="15" thickBot="1" x14ac:dyDescent="0.35">
      <c r="D803" s="20">
        <f t="shared" si="60"/>
        <v>797</v>
      </c>
      <c r="E803" s="44">
        <f t="shared" si="61"/>
        <v>150</v>
      </c>
      <c r="F803" s="44">
        <f t="shared" si="62"/>
        <v>1550</v>
      </c>
      <c r="G803" s="20">
        <v>0.30627914647285026</v>
      </c>
      <c r="H803" s="50"/>
      <c r="I803" s="16"/>
      <c r="J803" s="16"/>
      <c r="K803" s="16"/>
      <c r="L803" s="16"/>
      <c r="M803" s="16">
        <v>797</v>
      </c>
      <c r="N803" s="16">
        <f t="shared" si="63"/>
        <v>0.28568866571018653</v>
      </c>
      <c r="O803" s="16"/>
      <c r="P803" s="16"/>
      <c r="Q803" s="16">
        <f t="shared" si="64"/>
        <v>-0.56602419743782895</v>
      </c>
    </row>
    <row r="804" spans="4:17" ht="15" thickBot="1" x14ac:dyDescent="0.35">
      <c r="D804" s="20">
        <f t="shared" si="60"/>
        <v>798</v>
      </c>
      <c r="E804" s="20">
        <f t="shared" si="61"/>
        <v>250</v>
      </c>
      <c r="F804" s="20">
        <f t="shared" si="62"/>
        <v>1550</v>
      </c>
      <c r="G804" s="20">
        <v>0.30638192893268501</v>
      </c>
      <c r="H804" s="50"/>
      <c r="I804" s="16"/>
      <c r="J804" s="16"/>
      <c r="K804" s="16"/>
      <c r="L804" s="16"/>
      <c r="M804" s="16">
        <v>798</v>
      </c>
      <c r="N804" s="16">
        <f t="shared" si="63"/>
        <v>0.28604734576757535</v>
      </c>
      <c r="O804" s="16"/>
      <c r="P804" s="16"/>
      <c r="Q804" s="16">
        <f t="shared" si="64"/>
        <v>-0.56496923270346333</v>
      </c>
    </row>
    <row r="805" spans="4:17" ht="15" thickBot="1" x14ac:dyDescent="0.35">
      <c r="D805" s="20">
        <f t="shared" si="60"/>
        <v>799</v>
      </c>
      <c r="E805" s="20">
        <f t="shared" si="61"/>
        <v>350</v>
      </c>
      <c r="F805" s="20">
        <f t="shared" si="62"/>
        <v>1550</v>
      </c>
      <c r="G805" s="20">
        <v>0.30647617396264693</v>
      </c>
      <c r="H805" s="50"/>
      <c r="I805" s="16"/>
      <c r="J805" s="16"/>
      <c r="K805" s="16"/>
      <c r="L805" s="16"/>
      <c r="M805" s="16">
        <v>799</v>
      </c>
      <c r="N805" s="16">
        <f t="shared" si="63"/>
        <v>0.28640602582496411</v>
      </c>
      <c r="O805" s="16"/>
      <c r="P805" s="16"/>
      <c r="Q805" s="16">
        <f t="shared" si="64"/>
        <v>-0.56391489637758696</v>
      </c>
    </row>
    <row r="806" spans="4:17" ht="15" thickBot="1" x14ac:dyDescent="0.35">
      <c r="D806" s="20">
        <f t="shared" si="60"/>
        <v>800</v>
      </c>
      <c r="E806" s="20">
        <f t="shared" si="61"/>
        <v>450</v>
      </c>
      <c r="F806" s="20">
        <f t="shared" si="62"/>
        <v>1550</v>
      </c>
      <c r="G806" s="20">
        <v>0.3065741483431092</v>
      </c>
      <c r="H806" s="50"/>
      <c r="I806" s="16"/>
      <c r="J806" s="16"/>
      <c r="K806" s="16"/>
      <c r="L806" s="16"/>
      <c r="M806" s="16">
        <v>800</v>
      </c>
      <c r="N806" s="16">
        <f t="shared" si="63"/>
        <v>0.28676470588235292</v>
      </c>
      <c r="O806" s="16"/>
      <c r="P806" s="16"/>
      <c r="Q806" s="16">
        <f t="shared" si="64"/>
        <v>-0.56286118654136574</v>
      </c>
    </row>
    <row r="807" spans="4:17" ht="15" thickBot="1" x14ac:dyDescent="0.35">
      <c r="D807" s="20">
        <f t="shared" si="60"/>
        <v>801</v>
      </c>
      <c r="E807" s="20">
        <f t="shared" si="61"/>
        <v>550</v>
      </c>
      <c r="F807" s="20">
        <f t="shared" si="62"/>
        <v>1550</v>
      </c>
      <c r="G807" s="20">
        <v>0.30666065776668444</v>
      </c>
      <c r="H807" s="50"/>
      <c r="I807" s="16"/>
      <c r="J807" s="16"/>
      <c r="K807" s="16"/>
      <c r="L807" s="16"/>
      <c r="M807" s="16">
        <v>801</v>
      </c>
      <c r="N807" s="16">
        <f t="shared" si="63"/>
        <v>0.28712338593974174</v>
      </c>
      <c r="O807" s="16"/>
      <c r="P807" s="16"/>
      <c r="Q807" s="16">
        <f t="shared" si="64"/>
        <v>-0.56180810128216707</v>
      </c>
    </row>
    <row r="808" spans="4:17" ht="15" thickBot="1" x14ac:dyDescent="0.35">
      <c r="D808" s="20">
        <f t="shared" si="60"/>
        <v>802</v>
      </c>
      <c r="E808" s="20">
        <f t="shared" si="61"/>
        <v>650</v>
      </c>
      <c r="F808" s="20">
        <f t="shared" si="62"/>
        <v>1550</v>
      </c>
      <c r="G808" s="20">
        <v>0.30683257610840697</v>
      </c>
      <c r="H808" s="50"/>
      <c r="I808" s="16"/>
      <c r="J808" s="16"/>
      <c r="K808" s="16"/>
      <c r="L808" s="16"/>
      <c r="M808" s="16">
        <v>802</v>
      </c>
      <c r="N808" s="16">
        <f t="shared" si="63"/>
        <v>0.28748206599713055</v>
      </c>
      <c r="O808" s="16"/>
      <c r="P808" s="16"/>
      <c r="Q808" s="16">
        <f t="shared" si="64"/>
        <v>-0.56075563869352629</v>
      </c>
    </row>
    <row r="809" spans="4:17" ht="15" thickBot="1" x14ac:dyDescent="0.35">
      <c r="D809" s="20">
        <f t="shared" si="60"/>
        <v>803</v>
      </c>
      <c r="E809" s="20">
        <f t="shared" si="61"/>
        <v>750</v>
      </c>
      <c r="F809" s="20">
        <f t="shared" si="62"/>
        <v>1550</v>
      </c>
      <c r="G809" s="20">
        <v>0.30685750734178535</v>
      </c>
      <c r="H809" s="50"/>
      <c r="I809" s="16"/>
      <c r="J809" s="16"/>
      <c r="K809" s="16"/>
      <c r="L809" s="16"/>
      <c r="M809" s="16">
        <v>803</v>
      </c>
      <c r="N809" s="16">
        <f t="shared" si="63"/>
        <v>0.28784074605451937</v>
      </c>
      <c r="O809" s="16"/>
      <c r="P809" s="16"/>
      <c r="Q809" s="16">
        <f t="shared" si="64"/>
        <v>-0.55970379687511707</v>
      </c>
    </row>
    <row r="810" spans="4:17" ht="15" thickBot="1" x14ac:dyDescent="0.35">
      <c r="D810" s="20">
        <f t="shared" si="60"/>
        <v>804</v>
      </c>
      <c r="E810" s="20">
        <f t="shared" si="61"/>
        <v>850</v>
      </c>
      <c r="F810" s="20">
        <f t="shared" si="62"/>
        <v>1550</v>
      </c>
      <c r="G810" s="20">
        <v>0.30687668852353528</v>
      </c>
      <c r="H810" s="50"/>
      <c r="I810" s="16"/>
      <c r="J810" s="16"/>
      <c r="K810" s="16"/>
      <c r="L810" s="16"/>
      <c r="M810" s="16">
        <v>804</v>
      </c>
      <c r="N810" s="16">
        <f t="shared" si="63"/>
        <v>0.28819942611190819</v>
      </c>
      <c r="O810" s="16"/>
      <c r="P810" s="16"/>
      <c r="Q810" s="16">
        <f t="shared" si="64"/>
        <v>-0.55865257393271961</v>
      </c>
    </row>
    <row r="811" spans="4:17" ht="15" thickBot="1" x14ac:dyDescent="0.35">
      <c r="D811" s="20">
        <f t="shared" si="60"/>
        <v>805</v>
      </c>
      <c r="E811" s="44">
        <f t="shared" si="61"/>
        <v>950</v>
      </c>
      <c r="F811" s="44">
        <f t="shared" si="62"/>
        <v>1550</v>
      </c>
      <c r="G811" s="20">
        <v>0.306886708018897</v>
      </c>
      <c r="H811" s="50"/>
      <c r="I811" s="16"/>
      <c r="J811" s="16"/>
      <c r="K811" s="16"/>
      <c r="L811" s="16"/>
      <c r="M811" s="16">
        <v>805</v>
      </c>
      <c r="N811" s="16">
        <f t="shared" si="63"/>
        <v>0.288558106169297</v>
      </c>
      <c r="O811" s="16"/>
      <c r="P811" s="16"/>
      <c r="Q811" s="16">
        <f t="shared" si="64"/>
        <v>-0.55760196797819095</v>
      </c>
    </row>
    <row r="812" spans="4:17" ht="15" thickBot="1" x14ac:dyDescent="0.35">
      <c r="D812" s="20">
        <f t="shared" si="60"/>
        <v>806</v>
      </c>
      <c r="E812" s="20">
        <f t="shared" si="61"/>
        <v>1050</v>
      </c>
      <c r="F812" s="20">
        <f t="shared" si="62"/>
        <v>1550</v>
      </c>
      <c r="G812" s="20">
        <v>0.30699326009650463</v>
      </c>
      <c r="H812" s="50"/>
      <c r="I812" s="16"/>
      <c r="J812" s="16"/>
      <c r="K812" s="16"/>
      <c r="L812" s="16"/>
      <c r="M812" s="16">
        <v>806</v>
      </c>
      <c r="N812" s="16">
        <f t="shared" si="63"/>
        <v>0.28891678622668582</v>
      </c>
      <c r="O812" s="16"/>
      <c r="P812" s="16"/>
      <c r="Q812" s="16">
        <f t="shared" si="64"/>
        <v>-0.55655197712943349</v>
      </c>
    </row>
    <row r="813" spans="4:17" ht="15" thickBot="1" x14ac:dyDescent="0.35">
      <c r="D813" s="20">
        <f t="shared" si="60"/>
        <v>807</v>
      </c>
      <c r="E813" s="20">
        <f t="shared" si="61"/>
        <v>1150</v>
      </c>
      <c r="F813" s="20">
        <f t="shared" si="62"/>
        <v>1550</v>
      </c>
      <c r="G813" s="20">
        <v>0.30716063926182269</v>
      </c>
      <c r="H813" s="50"/>
      <c r="I813" s="16"/>
      <c r="J813" s="16"/>
      <c r="K813" s="16"/>
      <c r="L813" s="16"/>
      <c r="M813" s="16">
        <v>807</v>
      </c>
      <c r="N813" s="16">
        <f t="shared" si="63"/>
        <v>0.28927546628407458</v>
      </c>
      <c r="O813" s="16"/>
      <c r="P813" s="16"/>
      <c r="Q813" s="16">
        <f t="shared" si="64"/>
        <v>-0.5555025995103664</v>
      </c>
    </row>
    <row r="814" spans="4:17" ht="15" thickBot="1" x14ac:dyDescent="0.35">
      <c r="D814" s="20">
        <f t="shared" si="60"/>
        <v>808</v>
      </c>
      <c r="E814" s="47">
        <f t="shared" si="61"/>
        <v>1250</v>
      </c>
      <c r="F814" s="47">
        <f t="shared" si="62"/>
        <v>1550</v>
      </c>
      <c r="G814" s="20">
        <v>0.30722499116601343</v>
      </c>
      <c r="H814" s="50"/>
      <c r="I814" s="16"/>
      <c r="J814" s="16"/>
      <c r="K814" s="16"/>
      <c r="L814" s="16"/>
      <c r="M814" s="16">
        <v>808</v>
      </c>
      <c r="N814" s="16">
        <f t="shared" si="63"/>
        <v>0.28963414634146339</v>
      </c>
      <c r="O814" s="16"/>
      <c r="P814" s="16"/>
      <c r="Q814" s="16">
        <f t="shared" si="64"/>
        <v>-0.55445383325089248</v>
      </c>
    </row>
    <row r="815" spans="4:17" ht="15" thickBot="1" x14ac:dyDescent="0.35">
      <c r="D815" s="20">
        <f t="shared" si="60"/>
        <v>809</v>
      </c>
      <c r="E815" s="20">
        <f t="shared" si="61"/>
        <v>1350</v>
      </c>
      <c r="F815" s="20">
        <f t="shared" si="62"/>
        <v>1550</v>
      </c>
      <c r="G815" s="20">
        <v>0.3072772175808004</v>
      </c>
      <c r="H815" s="50"/>
      <c r="I815" s="16"/>
      <c r="J815" s="16"/>
      <c r="K815" s="16"/>
      <c r="L815" s="16"/>
      <c r="M815" s="16">
        <v>809</v>
      </c>
      <c r="N815" s="16">
        <f t="shared" si="63"/>
        <v>0.28999282639885221</v>
      </c>
      <c r="O815" s="16"/>
      <c r="P815" s="16"/>
      <c r="Q815" s="16">
        <f t="shared" si="64"/>
        <v>-0.55340567648687189</v>
      </c>
    </row>
    <row r="816" spans="4:17" ht="15" thickBot="1" x14ac:dyDescent="0.35">
      <c r="D816" s="20">
        <f t="shared" si="60"/>
        <v>810</v>
      </c>
      <c r="E816" s="20">
        <f t="shared" si="61"/>
        <v>1450</v>
      </c>
      <c r="F816" s="20">
        <f t="shared" si="62"/>
        <v>1550</v>
      </c>
      <c r="G816" s="20">
        <v>0.3074389573393792</v>
      </c>
      <c r="H816" s="50"/>
      <c r="I816" s="16"/>
      <c r="J816" s="16"/>
      <c r="K816" s="16"/>
      <c r="L816" s="16"/>
      <c r="M816" s="16">
        <v>810</v>
      </c>
      <c r="N816" s="16">
        <f t="shared" si="63"/>
        <v>0.29035150645624103</v>
      </c>
      <c r="O816" s="16"/>
      <c r="P816" s="16"/>
      <c r="Q816" s="16">
        <f t="shared" si="64"/>
        <v>-0.55235812736008971</v>
      </c>
    </row>
    <row r="817" spans="4:17" ht="15" thickBot="1" x14ac:dyDescent="0.35">
      <c r="D817" s="20">
        <f t="shared" si="60"/>
        <v>811</v>
      </c>
      <c r="E817" s="20">
        <f t="shared" si="61"/>
        <v>1550</v>
      </c>
      <c r="F817" s="20">
        <f t="shared" si="62"/>
        <v>1550</v>
      </c>
      <c r="G817" s="20">
        <v>0.30745106968236546</v>
      </c>
      <c r="H817" s="50"/>
      <c r="I817" s="16"/>
      <c r="J817" s="16"/>
      <c r="K817" s="16"/>
      <c r="L817" s="16"/>
      <c r="M817" s="16">
        <v>811</v>
      </c>
      <c r="N817" s="16">
        <f t="shared" si="63"/>
        <v>0.29071018651362984</v>
      </c>
      <c r="O817" s="16"/>
      <c r="P817" s="16"/>
      <c r="Q817" s="16">
        <f t="shared" si="64"/>
        <v>-0.55131118401822798</v>
      </c>
    </row>
    <row r="818" spans="4:17" ht="15" thickBot="1" x14ac:dyDescent="0.35">
      <c r="D818" s="20">
        <f t="shared" si="60"/>
        <v>812</v>
      </c>
      <c r="E818" s="43">
        <f t="shared" si="61"/>
        <v>1650</v>
      </c>
      <c r="F818" s="43">
        <f t="shared" si="62"/>
        <v>1550</v>
      </c>
      <c r="G818" s="20">
        <v>0.30763578964422028</v>
      </c>
      <c r="H818" s="50"/>
      <c r="I818" s="16"/>
      <c r="J818" s="16"/>
      <c r="K818" s="16"/>
      <c r="L818" s="16"/>
      <c r="M818" s="16">
        <v>812</v>
      </c>
      <c r="N818" s="16">
        <f t="shared" si="63"/>
        <v>0.29106886657101866</v>
      </c>
      <c r="O818" s="16"/>
      <c r="P818" s="16"/>
      <c r="Q818" s="16">
        <f t="shared" si="64"/>
        <v>-0.55026484461483471</v>
      </c>
    </row>
    <row r="819" spans="4:17" ht="15" thickBot="1" x14ac:dyDescent="0.35">
      <c r="D819" s="20">
        <f t="shared" si="60"/>
        <v>813</v>
      </c>
      <c r="E819" s="20">
        <f t="shared" si="61"/>
        <v>1750</v>
      </c>
      <c r="F819" s="20">
        <f t="shared" si="62"/>
        <v>1550</v>
      </c>
      <c r="G819" s="20">
        <v>0.30768080460027597</v>
      </c>
      <c r="H819" s="50"/>
      <c r="I819" s="16"/>
      <c r="J819" s="16"/>
      <c r="K819" s="16"/>
      <c r="L819" s="16"/>
      <c r="M819" s="16">
        <v>813</v>
      </c>
      <c r="N819" s="16">
        <f t="shared" si="63"/>
        <v>0.29142754662840747</v>
      </c>
      <c r="O819" s="16"/>
      <c r="P819" s="16"/>
      <c r="Q819" s="16">
        <f t="shared" si="64"/>
        <v>-0.54921910730929668</v>
      </c>
    </row>
    <row r="820" spans="4:17" ht="15" thickBot="1" x14ac:dyDescent="0.35">
      <c r="D820" s="20">
        <f t="shared" si="60"/>
        <v>814</v>
      </c>
      <c r="E820" s="20">
        <f t="shared" si="61"/>
        <v>1850</v>
      </c>
      <c r="F820" s="20">
        <f t="shared" si="62"/>
        <v>1550</v>
      </c>
      <c r="G820" s="20">
        <v>0.30771287531645763</v>
      </c>
      <c r="H820" s="50"/>
      <c r="I820" s="16"/>
      <c r="J820" s="16"/>
      <c r="K820" s="16"/>
      <c r="L820" s="16"/>
      <c r="M820" s="16">
        <v>814</v>
      </c>
      <c r="N820" s="16">
        <f t="shared" si="63"/>
        <v>0.29178622668579629</v>
      </c>
      <c r="O820" s="16"/>
      <c r="P820" s="16"/>
      <c r="Q820" s="16">
        <f t="shared" si="64"/>
        <v>-0.54817397026680803</v>
      </c>
    </row>
    <row r="821" spans="4:17" ht="15" thickBot="1" x14ac:dyDescent="0.35">
      <c r="D821" s="20">
        <f t="shared" si="60"/>
        <v>815</v>
      </c>
      <c r="E821" s="20">
        <f t="shared" si="61"/>
        <v>1950</v>
      </c>
      <c r="F821" s="20">
        <f t="shared" si="62"/>
        <v>1550</v>
      </c>
      <c r="G821" s="20">
        <v>0.30794716881986284</v>
      </c>
      <c r="H821" s="50"/>
      <c r="I821" s="16"/>
      <c r="J821" s="16"/>
      <c r="K821" s="16"/>
      <c r="L821" s="16"/>
      <c r="M821" s="16">
        <v>815</v>
      </c>
      <c r="N821" s="16">
        <f t="shared" si="63"/>
        <v>0.29214490674318511</v>
      </c>
      <c r="O821" s="16"/>
      <c r="P821" s="16"/>
      <c r="Q821" s="16">
        <f t="shared" si="64"/>
        <v>-0.54712943165834393</v>
      </c>
    </row>
    <row r="822" spans="4:17" ht="15" thickBot="1" x14ac:dyDescent="0.35">
      <c r="D822" s="20">
        <f t="shared" si="60"/>
        <v>816</v>
      </c>
      <c r="E822" s="20">
        <f t="shared" si="61"/>
        <v>2050</v>
      </c>
      <c r="F822" s="20">
        <f t="shared" si="62"/>
        <v>1550</v>
      </c>
      <c r="G822" s="20">
        <v>0.30795729655848098</v>
      </c>
      <c r="H822" s="50"/>
      <c r="I822" s="16"/>
      <c r="J822" s="16"/>
      <c r="K822" s="16"/>
      <c r="L822" s="16"/>
      <c r="M822" s="16">
        <v>816</v>
      </c>
      <c r="N822" s="16">
        <f t="shared" si="63"/>
        <v>0.29250358680057387</v>
      </c>
      <c r="O822" s="16"/>
      <c r="P822" s="16"/>
      <c r="Q822" s="16">
        <f t="shared" si="64"/>
        <v>-0.54608548966062942</v>
      </c>
    </row>
    <row r="823" spans="4:17" ht="15" thickBot="1" x14ac:dyDescent="0.35">
      <c r="D823" s="20">
        <f t="shared" si="60"/>
        <v>817</v>
      </c>
      <c r="E823" s="20">
        <f t="shared" si="61"/>
        <v>2150</v>
      </c>
      <c r="F823" s="20">
        <f t="shared" si="62"/>
        <v>1550</v>
      </c>
      <c r="G823" s="20">
        <v>0.3079888724614106</v>
      </c>
      <c r="H823" s="50"/>
      <c r="I823" s="16"/>
      <c r="J823" s="16"/>
      <c r="K823" s="16"/>
      <c r="L823" s="16"/>
      <c r="M823" s="16">
        <v>817</v>
      </c>
      <c r="N823" s="16">
        <f t="shared" si="63"/>
        <v>0.29286226685796268</v>
      </c>
      <c r="O823" s="16"/>
      <c r="P823" s="16"/>
      <c r="Q823" s="16">
        <f t="shared" si="64"/>
        <v>-0.54504214245611271</v>
      </c>
    </row>
    <row r="824" spans="4:17" ht="15" thickBot="1" x14ac:dyDescent="0.35">
      <c r="D824" s="20">
        <f t="shared" si="60"/>
        <v>818</v>
      </c>
      <c r="E824" s="20">
        <f t="shared" si="61"/>
        <v>2250</v>
      </c>
      <c r="F824" s="20">
        <f t="shared" si="62"/>
        <v>1550</v>
      </c>
      <c r="G824" s="20">
        <v>0.30801125518235239</v>
      </c>
      <c r="H824" s="50"/>
      <c r="I824" s="16"/>
      <c r="J824" s="16"/>
      <c r="K824" s="16"/>
      <c r="L824" s="16"/>
      <c r="M824" s="16">
        <v>818</v>
      </c>
      <c r="N824" s="16">
        <f t="shared" si="63"/>
        <v>0.2932209469153515</v>
      </c>
      <c r="O824" s="16"/>
      <c r="P824" s="16"/>
      <c r="Q824" s="16">
        <f t="shared" si="64"/>
        <v>-0.54399938823293559</v>
      </c>
    </row>
    <row r="825" spans="4:17" ht="15" thickBot="1" x14ac:dyDescent="0.35">
      <c r="D825" s="20">
        <f t="shared" si="60"/>
        <v>819</v>
      </c>
      <c r="E825" s="43">
        <f t="shared" si="61"/>
        <v>2350</v>
      </c>
      <c r="F825" s="43">
        <f t="shared" si="62"/>
        <v>1550</v>
      </c>
      <c r="G825" s="20">
        <v>0.30802941334020778</v>
      </c>
      <c r="H825" s="50"/>
      <c r="I825" s="16"/>
      <c r="J825" s="16"/>
      <c r="K825" s="16"/>
      <c r="L825" s="16"/>
      <c r="M825" s="16">
        <v>819</v>
      </c>
      <c r="N825" s="16">
        <f t="shared" si="63"/>
        <v>0.29357962697274032</v>
      </c>
      <c r="O825" s="16"/>
      <c r="P825" s="16"/>
      <c r="Q825" s="16">
        <f t="shared" si="64"/>
        <v>-0.54295722518490674</v>
      </c>
    </row>
    <row r="826" spans="4:17" ht="15" thickBot="1" x14ac:dyDescent="0.35">
      <c r="D826" s="20">
        <f t="shared" si="60"/>
        <v>820</v>
      </c>
      <c r="E826" s="47">
        <f t="shared" si="61"/>
        <v>2450</v>
      </c>
      <c r="F826" s="47">
        <f t="shared" si="62"/>
        <v>1550</v>
      </c>
      <c r="G826" s="20">
        <v>0.30813542180075182</v>
      </c>
      <c r="H826" s="50"/>
      <c r="I826" s="16"/>
      <c r="J826" s="16"/>
      <c r="K826" s="16"/>
      <c r="L826" s="16"/>
      <c r="M826" s="16">
        <v>820</v>
      </c>
      <c r="N826" s="16">
        <f t="shared" si="63"/>
        <v>0.29393830703012913</v>
      </c>
      <c r="O826" s="16"/>
      <c r="P826" s="16"/>
      <c r="Q826" s="16">
        <f t="shared" si="64"/>
        <v>-0.54191565151147125</v>
      </c>
    </row>
    <row r="827" spans="4:17" ht="15" thickBot="1" x14ac:dyDescent="0.35">
      <c r="D827" s="20">
        <f t="shared" si="60"/>
        <v>821</v>
      </c>
      <c r="E827" s="20">
        <f t="shared" si="61"/>
        <v>2550</v>
      </c>
      <c r="F827" s="20">
        <f t="shared" si="62"/>
        <v>1550</v>
      </c>
      <c r="G827" s="20">
        <v>0.30823174844433576</v>
      </c>
      <c r="H827" s="50"/>
      <c r="I827" s="16"/>
      <c r="J827" s="16"/>
      <c r="K827" s="16"/>
      <c r="L827" s="16"/>
      <c r="M827" s="16">
        <v>821</v>
      </c>
      <c r="N827" s="16">
        <f t="shared" si="63"/>
        <v>0.29429698708751795</v>
      </c>
      <c r="O827" s="16"/>
      <c r="P827" s="16"/>
      <c r="Q827" s="16">
        <f t="shared" si="64"/>
        <v>-0.54087466541768547</v>
      </c>
    </row>
    <row r="828" spans="4:17" ht="15" thickBot="1" x14ac:dyDescent="0.35">
      <c r="D828" s="20">
        <f t="shared" si="60"/>
        <v>822</v>
      </c>
      <c r="E828" s="20">
        <f t="shared" si="61"/>
        <v>2650</v>
      </c>
      <c r="F828" s="20">
        <f t="shared" si="62"/>
        <v>1550</v>
      </c>
      <c r="G828" s="20">
        <v>0.30826601211033039</v>
      </c>
      <c r="H828" s="50"/>
      <c r="I828" s="16"/>
      <c r="J828" s="16"/>
      <c r="K828" s="16"/>
      <c r="L828" s="16"/>
      <c r="M828" s="16">
        <v>822</v>
      </c>
      <c r="N828" s="16">
        <f t="shared" si="63"/>
        <v>0.29465566714490676</v>
      </c>
      <c r="O828" s="16"/>
      <c r="P828" s="16"/>
      <c r="Q828" s="16">
        <f t="shared" si="64"/>
        <v>-0.53983426511418708</v>
      </c>
    </row>
    <row r="829" spans="4:17" ht="15" thickBot="1" x14ac:dyDescent="0.35">
      <c r="D829" s="20">
        <f t="shared" si="60"/>
        <v>823</v>
      </c>
      <c r="E829" s="44">
        <f t="shared" si="61"/>
        <v>2750</v>
      </c>
      <c r="F829" s="44">
        <f t="shared" si="62"/>
        <v>1550</v>
      </c>
      <c r="G829" s="20">
        <v>0.30827500614689279</v>
      </c>
      <c r="H829" s="50"/>
      <c r="I829" s="16"/>
      <c r="J829" s="16"/>
      <c r="K829" s="16"/>
      <c r="L829" s="16"/>
      <c r="M829" s="16">
        <v>823</v>
      </c>
      <c r="N829" s="16">
        <f t="shared" si="63"/>
        <v>0.29501434720229558</v>
      </c>
      <c r="O829" s="16"/>
      <c r="P829" s="16"/>
      <c r="Q829" s="16">
        <f t="shared" si="64"/>
        <v>-0.5387944488171692</v>
      </c>
    </row>
    <row r="830" spans="4:17" ht="15" thickBot="1" x14ac:dyDescent="0.35">
      <c r="D830" s="20">
        <f t="shared" si="60"/>
        <v>824</v>
      </c>
      <c r="E830" s="20">
        <f t="shared" si="61"/>
        <v>2850</v>
      </c>
      <c r="F830" s="20">
        <f t="shared" si="62"/>
        <v>1550</v>
      </c>
      <c r="G830" s="20">
        <v>0.30841931957911312</v>
      </c>
      <c r="H830" s="50"/>
      <c r="I830" s="16"/>
      <c r="J830" s="16"/>
      <c r="K830" s="16"/>
      <c r="L830" s="16"/>
      <c r="M830" s="16">
        <v>824</v>
      </c>
      <c r="N830" s="16">
        <f t="shared" si="63"/>
        <v>0.29537302725968434</v>
      </c>
      <c r="O830" s="16"/>
      <c r="P830" s="16"/>
      <c r="Q830" s="16">
        <f t="shared" si="64"/>
        <v>-0.53775521474835164</v>
      </c>
    </row>
    <row r="831" spans="4:17" ht="15" thickBot="1" x14ac:dyDescent="0.35">
      <c r="D831" s="20">
        <f t="shared" si="60"/>
        <v>825</v>
      </c>
      <c r="E831" s="20">
        <f t="shared" si="61"/>
        <v>2950</v>
      </c>
      <c r="F831" s="20">
        <f t="shared" si="62"/>
        <v>1550</v>
      </c>
      <c r="G831" s="20">
        <v>0.30846353066801663</v>
      </c>
      <c r="H831" s="50"/>
      <c r="I831" s="16"/>
      <c r="J831" s="16"/>
      <c r="K831" s="16"/>
      <c r="L831" s="16"/>
      <c r="M831" s="16">
        <v>825</v>
      </c>
      <c r="N831" s="16">
        <f t="shared" si="63"/>
        <v>0.29573170731707316</v>
      </c>
      <c r="O831" s="16"/>
      <c r="P831" s="16"/>
      <c r="Q831" s="16">
        <f t="shared" si="64"/>
        <v>-0.53671656113495403</v>
      </c>
    </row>
    <row r="832" spans="4:17" ht="15" thickBot="1" x14ac:dyDescent="0.35">
      <c r="D832" s="20">
        <f t="shared" si="60"/>
        <v>826</v>
      </c>
      <c r="E832" s="20">
        <f t="shared" si="61"/>
        <v>3050</v>
      </c>
      <c r="F832" s="20">
        <f t="shared" si="62"/>
        <v>1550</v>
      </c>
      <c r="G832" s="20">
        <v>0.30850483388868644</v>
      </c>
      <c r="H832" s="50"/>
      <c r="I832" s="16"/>
      <c r="J832" s="16"/>
      <c r="K832" s="16"/>
      <c r="L832" s="16"/>
      <c r="M832" s="16">
        <v>826</v>
      </c>
      <c r="N832" s="16">
        <f t="shared" si="63"/>
        <v>0.29609038737446197</v>
      </c>
      <c r="O832" s="16"/>
      <c r="P832" s="16"/>
      <c r="Q832" s="16">
        <f t="shared" si="64"/>
        <v>-0.53567848620966996</v>
      </c>
    </row>
    <row r="833" spans="4:17" ht="15" thickBot="1" x14ac:dyDescent="0.35">
      <c r="D833" s="20">
        <f t="shared" si="60"/>
        <v>827</v>
      </c>
      <c r="E833" s="20">
        <f t="shared" si="61"/>
        <v>3150</v>
      </c>
      <c r="F833" s="20">
        <f t="shared" si="62"/>
        <v>1550</v>
      </c>
      <c r="G833" s="20">
        <v>0.30852924454327407</v>
      </c>
      <c r="H833" s="50"/>
      <c r="I833" s="16"/>
      <c r="J833" s="16"/>
      <c r="K833" s="16"/>
      <c r="L833" s="16"/>
      <c r="M833" s="16">
        <v>827</v>
      </c>
      <c r="N833" s="16">
        <f t="shared" si="63"/>
        <v>0.29644906743185079</v>
      </c>
      <c r="O833" s="16"/>
      <c r="P833" s="16"/>
      <c r="Q833" s="16">
        <f t="shared" si="64"/>
        <v>-0.53464098821063788</v>
      </c>
    </row>
    <row r="834" spans="4:17" ht="15" thickBot="1" x14ac:dyDescent="0.35">
      <c r="D834" s="20">
        <f t="shared" si="60"/>
        <v>828</v>
      </c>
      <c r="E834" s="45">
        <f t="shared" si="61"/>
        <v>3250</v>
      </c>
      <c r="F834" s="45">
        <f t="shared" si="62"/>
        <v>1550</v>
      </c>
      <c r="G834" s="20">
        <v>0.30863888459395705</v>
      </c>
      <c r="H834" s="50"/>
      <c r="I834" s="16"/>
      <c r="J834" s="16"/>
      <c r="K834" s="16"/>
      <c r="L834" s="16"/>
      <c r="M834" s="16">
        <v>828</v>
      </c>
      <c r="N834" s="16">
        <f t="shared" si="63"/>
        <v>0.2968077474892396</v>
      </c>
      <c r="O834" s="16"/>
      <c r="P834" s="16"/>
      <c r="Q834" s="16">
        <f t="shared" si="64"/>
        <v>-0.53360406538141625</v>
      </c>
    </row>
    <row r="835" spans="4:17" ht="15" thickBot="1" x14ac:dyDescent="0.35">
      <c r="D835" s="20">
        <f t="shared" si="60"/>
        <v>829</v>
      </c>
      <c r="E835" s="20">
        <f t="shared" si="61"/>
        <v>3350</v>
      </c>
      <c r="F835" s="20">
        <f t="shared" si="62"/>
        <v>1550</v>
      </c>
      <c r="G835" s="20">
        <v>0.30867802615766077</v>
      </c>
      <c r="H835" s="50"/>
      <c r="I835" s="16"/>
      <c r="J835" s="16"/>
      <c r="K835" s="16"/>
      <c r="L835" s="16"/>
      <c r="M835" s="16">
        <v>829</v>
      </c>
      <c r="N835" s="16">
        <f t="shared" si="63"/>
        <v>0.29716642754662842</v>
      </c>
      <c r="O835" s="16"/>
      <c r="P835" s="16"/>
      <c r="Q835" s="16">
        <f t="shared" si="64"/>
        <v>-0.53256771597095598</v>
      </c>
    </row>
    <row r="836" spans="4:17" ht="15" thickBot="1" x14ac:dyDescent="0.35">
      <c r="D836" s="20">
        <f t="shared" si="60"/>
        <v>830</v>
      </c>
      <c r="E836" s="20">
        <f t="shared" si="61"/>
        <v>3450</v>
      </c>
      <c r="F836" s="20">
        <f t="shared" si="62"/>
        <v>1550</v>
      </c>
      <c r="G836" s="20">
        <v>0.30872059740282337</v>
      </c>
      <c r="H836" s="50"/>
      <c r="I836" s="16"/>
      <c r="J836" s="16"/>
      <c r="K836" s="16"/>
      <c r="L836" s="16"/>
      <c r="M836" s="16">
        <v>830</v>
      </c>
      <c r="N836" s="16">
        <f t="shared" si="63"/>
        <v>0.29752510760401724</v>
      </c>
      <c r="O836" s="16"/>
      <c r="P836" s="16"/>
      <c r="Q836" s="16">
        <f t="shared" si="64"/>
        <v>-0.53153193823357436</v>
      </c>
    </row>
    <row r="837" spans="4:17" ht="15" thickBot="1" x14ac:dyDescent="0.35">
      <c r="D837" s="20">
        <f t="shared" si="60"/>
        <v>831</v>
      </c>
      <c r="E837" s="20">
        <f t="shared" si="61"/>
        <v>3550</v>
      </c>
      <c r="F837" s="20">
        <f t="shared" si="62"/>
        <v>1550</v>
      </c>
      <c r="G837" s="20">
        <v>0.30883540568922668</v>
      </c>
      <c r="H837" s="50"/>
      <c r="I837" s="16"/>
      <c r="J837" s="16"/>
      <c r="K837" s="16"/>
      <c r="L837" s="16"/>
      <c r="M837" s="16">
        <v>831</v>
      </c>
      <c r="N837" s="16">
        <f t="shared" si="63"/>
        <v>0.29788378766140605</v>
      </c>
      <c r="O837" s="16"/>
      <c r="P837" s="16"/>
      <c r="Q837" s="16">
        <f t="shared" si="64"/>
        <v>-0.53049673042892764</v>
      </c>
    </row>
    <row r="838" spans="4:17" ht="15" thickBot="1" x14ac:dyDescent="0.35">
      <c r="D838" s="20">
        <f t="shared" si="60"/>
        <v>832</v>
      </c>
      <c r="E838" s="20">
        <f t="shared" si="61"/>
        <v>3650</v>
      </c>
      <c r="F838" s="20">
        <f t="shared" si="62"/>
        <v>1550</v>
      </c>
      <c r="G838" s="20">
        <v>0.30892943465041744</v>
      </c>
      <c r="H838" s="50"/>
      <c r="I838" s="16"/>
      <c r="J838" s="16"/>
      <c r="K838" s="16"/>
      <c r="L838" s="16"/>
      <c r="M838" s="16">
        <v>832</v>
      </c>
      <c r="N838" s="16">
        <f t="shared" si="63"/>
        <v>0.29824246771879481</v>
      </c>
      <c r="O838" s="16"/>
      <c r="P838" s="16"/>
      <c r="Q838" s="16">
        <f t="shared" si="64"/>
        <v>-0.52946209082198725</v>
      </c>
    </row>
    <row r="839" spans="4:17" ht="15" thickBot="1" x14ac:dyDescent="0.35">
      <c r="D839" s="20">
        <f t="shared" ref="D839:D902" si="65">ROW()-6</f>
        <v>833</v>
      </c>
      <c r="E839" s="48">
        <f t="shared" ref="E839:E902" si="66">(MOD(D839-1,53)*100)+50</f>
        <v>3750</v>
      </c>
      <c r="F839" s="48">
        <f t="shared" ref="F839:F902" si="67">FLOOR((D839-1)/53,1)*100+50</f>
        <v>1550</v>
      </c>
      <c r="G839" s="20">
        <v>0.30907814872181283</v>
      </c>
      <c r="H839" s="50"/>
      <c r="I839" s="16"/>
      <c r="J839" s="16"/>
      <c r="K839" s="16"/>
      <c r="L839" s="16"/>
      <c r="M839" s="16">
        <v>833</v>
      </c>
      <c r="N839" s="16">
        <f t="shared" si="63"/>
        <v>0.29860114777618363</v>
      </c>
      <c r="O839" s="16"/>
      <c r="P839" s="16"/>
      <c r="Q839" s="16">
        <f t="shared" si="64"/>
        <v>-0.52842801768301095</v>
      </c>
    </row>
    <row r="840" spans="4:17" ht="15" thickBot="1" x14ac:dyDescent="0.35">
      <c r="D840" s="20">
        <f t="shared" si="65"/>
        <v>834</v>
      </c>
      <c r="E840" s="20">
        <f t="shared" si="66"/>
        <v>3850</v>
      </c>
      <c r="F840" s="20">
        <f t="shared" si="67"/>
        <v>1550</v>
      </c>
      <c r="G840" s="20">
        <v>0.30912260752398424</v>
      </c>
      <c r="H840" s="50"/>
      <c r="I840" s="16"/>
      <c r="J840" s="16"/>
      <c r="K840" s="16"/>
      <c r="L840" s="16"/>
      <c r="M840" s="16">
        <v>834</v>
      </c>
      <c r="N840" s="16">
        <f t="shared" ref="N840:N903" si="68">(M840-0.5)/$L$7</f>
        <v>0.29895982783357244</v>
      </c>
      <c r="O840" s="16"/>
      <c r="P840" s="16"/>
      <c r="Q840" s="16">
        <f t="shared" ref="Q840:Q903" si="69">_xlfn.NORM.S.INV(N840)</f>
        <v>-0.52739450928751908</v>
      </c>
    </row>
    <row r="841" spans="4:17" ht="15" thickBot="1" x14ac:dyDescent="0.35">
      <c r="D841" s="20">
        <f t="shared" si="65"/>
        <v>835</v>
      </c>
      <c r="E841" s="20">
        <f t="shared" si="66"/>
        <v>3950</v>
      </c>
      <c r="F841" s="20">
        <f t="shared" si="67"/>
        <v>1550</v>
      </c>
      <c r="G841" s="20">
        <v>0.30913965278594646</v>
      </c>
      <c r="H841" s="50"/>
      <c r="I841" s="16"/>
      <c r="J841" s="16"/>
      <c r="K841" s="16"/>
      <c r="L841" s="16"/>
      <c r="M841" s="16">
        <v>835</v>
      </c>
      <c r="N841" s="16">
        <f t="shared" si="68"/>
        <v>0.29931850789096126</v>
      </c>
      <c r="O841" s="16"/>
      <c r="P841" s="16"/>
      <c r="Q841" s="16">
        <f t="shared" si="69"/>
        <v>-0.52636156391626743</v>
      </c>
    </row>
    <row r="842" spans="4:17" ht="15" thickBot="1" x14ac:dyDescent="0.35">
      <c r="D842" s="20">
        <f t="shared" si="65"/>
        <v>836</v>
      </c>
      <c r="E842" s="20">
        <f t="shared" si="66"/>
        <v>4050</v>
      </c>
      <c r="F842" s="20">
        <f t="shared" si="67"/>
        <v>1550</v>
      </c>
      <c r="G842" s="20">
        <v>0.30915236620514408</v>
      </c>
      <c r="H842" s="50"/>
      <c r="I842" s="16"/>
      <c r="J842" s="16"/>
      <c r="K842" s="16"/>
      <c r="L842" s="16"/>
      <c r="M842" s="16">
        <v>836</v>
      </c>
      <c r="N842" s="16">
        <f t="shared" si="68"/>
        <v>0.29967718794835008</v>
      </c>
      <c r="O842" s="16"/>
      <c r="P842" s="16"/>
      <c r="Q842" s="16">
        <f t="shared" si="69"/>
        <v>-0.52532917985522309</v>
      </c>
    </row>
    <row r="843" spans="4:17" ht="15" thickBot="1" x14ac:dyDescent="0.35">
      <c r="D843" s="20">
        <f t="shared" si="65"/>
        <v>837</v>
      </c>
      <c r="E843" s="20">
        <f t="shared" si="66"/>
        <v>4150</v>
      </c>
      <c r="F843" s="20">
        <f t="shared" si="67"/>
        <v>1550</v>
      </c>
      <c r="G843" s="20">
        <v>0.3092264261017752</v>
      </c>
      <c r="H843" s="50"/>
      <c r="I843" s="16"/>
      <c r="J843" s="16"/>
      <c r="K843" s="16"/>
      <c r="L843" s="16"/>
      <c r="M843" s="16">
        <v>837</v>
      </c>
      <c r="N843" s="16">
        <f t="shared" si="68"/>
        <v>0.30003586800573889</v>
      </c>
      <c r="O843" s="16"/>
      <c r="P843" s="16"/>
      <c r="Q843" s="16">
        <f t="shared" si="69"/>
        <v>-0.52429735539553801</v>
      </c>
    </row>
    <row r="844" spans="4:17" ht="15" thickBot="1" x14ac:dyDescent="0.35">
      <c r="D844" s="20">
        <f t="shared" si="65"/>
        <v>838</v>
      </c>
      <c r="E844" s="20">
        <f t="shared" si="66"/>
        <v>4250</v>
      </c>
      <c r="F844" s="20">
        <f t="shared" si="67"/>
        <v>1550</v>
      </c>
      <c r="G844" s="20">
        <v>0.30924839447577063</v>
      </c>
      <c r="H844" s="50"/>
      <c r="I844" s="16"/>
      <c r="J844" s="16"/>
      <c r="K844" s="16"/>
      <c r="L844" s="16"/>
      <c r="M844" s="16">
        <v>838</v>
      </c>
      <c r="N844" s="16">
        <f t="shared" si="68"/>
        <v>0.30039454806312771</v>
      </c>
      <c r="O844" s="16"/>
      <c r="P844" s="16"/>
      <c r="Q844" s="16">
        <f t="shared" si="69"/>
        <v>-0.52326608883352377</v>
      </c>
    </row>
    <row r="845" spans="4:17" ht="15" thickBot="1" x14ac:dyDescent="0.35">
      <c r="D845" s="20">
        <f t="shared" si="65"/>
        <v>839</v>
      </c>
      <c r="E845" s="20">
        <f t="shared" si="66"/>
        <v>4350</v>
      </c>
      <c r="F845" s="20">
        <f t="shared" si="67"/>
        <v>1550</v>
      </c>
      <c r="G845" s="20">
        <v>0.30932095662731923</v>
      </c>
      <c r="H845" s="50"/>
      <c r="I845" s="16"/>
      <c r="J845" s="16"/>
      <c r="K845" s="16"/>
      <c r="L845" s="16"/>
      <c r="M845" s="16">
        <v>839</v>
      </c>
      <c r="N845" s="16">
        <f t="shared" si="68"/>
        <v>0.30075322812051652</v>
      </c>
      <c r="O845" s="16"/>
      <c r="P845" s="16"/>
      <c r="Q845" s="16">
        <f t="shared" si="69"/>
        <v>-0.52223537847062673</v>
      </c>
    </row>
    <row r="846" spans="4:17" ht="15" thickBot="1" x14ac:dyDescent="0.35">
      <c r="D846" s="20">
        <f t="shared" si="65"/>
        <v>840</v>
      </c>
      <c r="E846" s="20">
        <f t="shared" si="66"/>
        <v>4450</v>
      </c>
      <c r="F846" s="20">
        <f t="shared" si="67"/>
        <v>1550</v>
      </c>
      <c r="G846" s="20">
        <v>0.30952060908636148</v>
      </c>
      <c r="H846" s="50"/>
      <c r="I846" s="16"/>
      <c r="J846" s="16"/>
      <c r="K846" s="16"/>
      <c r="L846" s="16"/>
      <c r="M846" s="16">
        <v>840</v>
      </c>
      <c r="N846" s="16">
        <f t="shared" si="68"/>
        <v>0.30111190817790529</v>
      </c>
      <c r="O846" s="16"/>
      <c r="P846" s="16"/>
      <c r="Q846" s="16">
        <f t="shared" si="69"/>
        <v>-0.52120522261340307</v>
      </c>
    </row>
    <row r="847" spans="4:17" ht="15" thickBot="1" x14ac:dyDescent="0.35">
      <c r="D847" s="20">
        <f t="shared" si="65"/>
        <v>841</v>
      </c>
      <c r="E847" s="20">
        <f t="shared" si="66"/>
        <v>4550</v>
      </c>
      <c r="F847" s="20">
        <f t="shared" si="67"/>
        <v>1550</v>
      </c>
      <c r="G847" s="20">
        <v>0.30965028011533385</v>
      </c>
      <c r="H847" s="50"/>
      <c r="I847" s="16"/>
      <c r="J847" s="16"/>
      <c r="K847" s="16"/>
      <c r="L847" s="16"/>
      <c r="M847" s="16">
        <v>841</v>
      </c>
      <c r="N847" s="16">
        <f t="shared" si="68"/>
        <v>0.3014705882352941</v>
      </c>
      <c r="O847" s="16"/>
      <c r="P847" s="16"/>
      <c r="Q847" s="16">
        <f t="shared" si="69"/>
        <v>-0.52017561957349379</v>
      </c>
    </row>
    <row r="848" spans="4:17" ht="15" thickBot="1" x14ac:dyDescent="0.35">
      <c r="D848" s="20">
        <f t="shared" si="65"/>
        <v>842</v>
      </c>
      <c r="E848" s="20">
        <f t="shared" si="66"/>
        <v>4650</v>
      </c>
      <c r="F848" s="20">
        <f t="shared" si="67"/>
        <v>1550</v>
      </c>
      <c r="G848" s="20">
        <v>0.3096524673397944</v>
      </c>
      <c r="H848" s="50"/>
      <c r="I848" s="16"/>
      <c r="J848" s="16"/>
      <c r="K848" s="16"/>
      <c r="L848" s="16"/>
      <c r="M848" s="16">
        <v>842</v>
      </c>
      <c r="N848" s="16">
        <f t="shared" si="68"/>
        <v>0.30182926829268292</v>
      </c>
      <c r="O848" s="16"/>
      <c r="P848" s="16"/>
      <c r="Q848" s="16">
        <f t="shared" si="69"/>
        <v>-0.51914656766759959</v>
      </c>
    </row>
    <row r="849" spans="4:17" ht="15" thickBot="1" x14ac:dyDescent="0.35">
      <c r="D849" s="20">
        <f t="shared" si="65"/>
        <v>843</v>
      </c>
      <c r="E849" s="20">
        <f t="shared" si="66"/>
        <v>4750</v>
      </c>
      <c r="F849" s="20">
        <f t="shared" si="67"/>
        <v>1550</v>
      </c>
      <c r="G849" s="20">
        <v>0.30966517363969942</v>
      </c>
      <c r="H849" s="50"/>
      <c r="I849" s="16"/>
      <c r="J849" s="16"/>
      <c r="K849" s="16"/>
      <c r="L849" s="16"/>
      <c r="M849" s="16">
        <v>843</v>
      </c>
      <c r="N849" s="16">
        <f t="shared" si="68"/>
        <v>0.30218794835007173</v>
      </c>
      <c r="O849" s="16"/>
      <c r="P849" s="16"/>
      <c r="Q849" s="16">
        <f t="shared" si="69"/>
        <v>-0.51811806521745762</v>
      </c>
    </row>
    <row r="850" spans="4:17" ht="15" thickBot="1" x14ac:dyDescent="0.35">
      <c r="D850" s="20">
        <f t="shared" si="65"/>
        <v>844</v>
      </c>
      <c r="E850" s="20">
        <f t="shared" si="66"/>
        <v>4850</v>
      </c>
      <c r="F850" s="20">
        <f t="shared" si="67"/>
        <v>1550</v>
      </c>
      <c r="G850" s="20">
        <v>0.30979654157616404</v>
      </c>
      <c r="H850" s="50"/>
      <c r="I850" s="16"/>
      <c r="J850" s="16"/>
      <c r="K850" s="16"/>
      <c r="L850" s="16"/>
      <c r="M850" s="16">
        <v>844</v>
      </c>
      <c r="N850" s="16">
        <f t="shared" si="68"/>
        <v>0.30254662840746055</v>
      </c>
      <c r="O850" s="16"/>
      <c r="P850" s="16"/>
      <c r="Q850" s="16">
        <f t="shared" si="69"/>
        <v>-0.51709011054981568</v>
      </c>
    </row>
    <row r="851" spans="4:17" ht="15" thickBot="1" x14ac:dyDescent="0.35">
      <c r="D851" s="20">
        <f t="shared" si="65"/>
        <v>845</v>
      </c>
      <c r="E851" s="20">
        <f t="shared" si="66"/>
        <v>4950</v>
      </c>
      <c r="F851" s="20">
        <f t="shared" si="67"/>
        <v>1550</v>
      </c>
      <c r="G851" s="20">
        <v>0.30994695946638445</v>
      </c>
      <c r="H851" s="50"/>
      <c r="I851" s="16"/>
      <c r="J851" s="16"/>
      <c r="K851" s="16"/>
      <c r="L851" s="16"/>
      <c r="M851" s="16">
        <v>845</v>
      </c>
      <c r="N851" s="16">
        <f t="shared" si="68"/>
        <v>0.30290530846484937</v>
      </c>
      <c r="O851" s="16"/>
      <c r="P851" s="16"/>
      <c r="Q851" s="16">
        <f t="shared" si="69"/>
        <v>-0.51606270199640825</v>
      </c>
    </row>
    <row r="852" spans="4:17" ht="15" thickBot="1" x14ac:dyDescent="0.35">
      <c r="D852" s="20">
        <f t="shared" si="65"/>
        <v>846</v>
      </c>
      <c r="E852" s="20">
        <f t="shared" si="66"/>
        <v>5050</v>
      </c>
      <c r="F852" s="20">
        <f t="shared" si="67"/>
        <v>1550</v>
      </c>
      <c r="G852" s="20">
        <v>0.31011527597127342</v>
      </c>
      <c r="H852" s="50"/>
      <c r="I852" s="16"/>
      <c r="J852" s="16"/>
      <c r="K852" s="16"/>
      <c r="L852" s="16"/>
      <c r="M852" s="16">
        <v>846</v>
      </c>
      <c r="N852" s="16">
        <f t="shared" si="68"/>
        <v>0.30326398852223818</v>
      </c>
      <c r="O852" s="16"/>
      <c r="P852" s="16"/>
      <c r="Q852" s="16">
        <f t="shared" si="69"/>
        <v>-0.51503583789393259</v>
      </c>
    </row>
    <row r="853" spans="4:17" ht="15" thickBot="1" x14ac:dyDescent="0.35">
      <c r="D853" s="20">
        <f t="shared" si="65"/>
        <v>847</v>
      </c>
      <c r="E853" s="44">
        <f t="shared" si="66"/>
        <v>5150</v>
      </c>
      <c r="F853" s="44">
        <f t="shared" si="67"/>
        <v>1550</v>
      </c>
      <c r="G853" s="20">
        <v>0.31012129308587388</v>
      </c>
      <c r="H853" s="50"/>
      <c r="I853" s="16"/>
      <c r="J853" s="16"/>
      <c r="K853" s="16"/>
      <c r="L853" s="16"/>
      <c r="M853" s="16">
        <v>847</v>
      </c>
      <c r="N853" s="16">
        <f t="shared" si="68"/>
        <v>0.303622668579627</v>
      </c>
      <c r="O853" s="16"/>
      <c r="P853" s="16"/>
      <c r="Q853" s="16">
        <f t="shared" si="69"/>
        <v>-0.51400951658402494</v>
      </c>
    </row>
    <row r="854" spans="4:17" ht="15" thickBot="1" x14ac:dyDescent="0.35">
      <c r="D854" s="20">
        <f t="shared" si="65"/>
        <v>848</v>
      </c>
      <c r="E854" s="20">
        <f t="shared" si="66"/>
        <v>5250</v>
      </c>
      <c r="F854" s="20">
        <f t="shared" si="67"/>
        <v>1550</v>
      </c>
      <c r="G854" s="20">
        <v>0.31015212666849135</v>
      </c>
      <c r="H854" s="50"/>
      <c r="I854" s="16"/>
      <c r="J854" s="16"/>
      <c r="K854" s="16"/>
      <c r="L854" s="16"/>
      <c r="M854" s="16">
        <v>848</v>
      </c>
      <c r="N854" s="16">
        <f t="shared" si="68"/>
        <v>0.30398134863701576</v>
      </c>
      <c r="O854" s="16"/>
      <c r="P854" s="16"/>
      <c r="Q854" s="16">
        <f t="shared" si="69"/>
        <v>-0.51298373641323636</v>
      </c>
    </row>
    <row r="855" spans="4:17" ht="15" thickBot="1" x14ac:dyDescent="0.35">
      <c r="D855" s="20">
        <f t="shared" si="65"/>
        <v>849</v>
      </c>
      <c r="E855" s="20">
        <f t="shared" si="66"/>
        <v>50</v>
      </c>
      <c r="F855" s="20">
        <f t="shared" si="67"/>
        <v>1650</v>
      </c>
      <c r="G855" s="20">
        <v>0.31031511581429</v>
      </c>
      <c r="H855" s="50"/>
      <c r="I855" s="16"/>
      <c r="J855" s="16"/>
      <c r="K855" s="16"/>
      <c r="L855" s="16"/>
      <c r="M855" s="16">
        <v>849</v>
      </c>
      <c r="N855" s="16">
        <f t="shared" si="68"/>
        <v>0.30434002869440457</v>
      </c>
      <c r="O855" s="16"/>
      <c r="P855" s="16"/>
      <c r="Q855" s="16">
        <f t="shared" si="69"/>
        <v>-0.51195849573300822</v>
      </c>
    </row>
    <row r="856" spans="4:17" ht="15" thickBot="1" x14ac:dyDescent="0.35">
      <c r="D856" s="20">
        <f t="shared" si="65"/>
        <v>850</v>
      </c>
      <c r="E856" s="20">
        <f t="shared" si="66"/>
        <v>150</v>
      </c>
      <c r="F856" s="20">
        <f t="shared" si="67"/>
        <v>1650</v>
      </c>
      <c r="G856" s="20">
        <v>0.31039957227634335</v>
      </c>
      <c r="H856" s="50"/>
      <c r="I856" s="16"/>
      <c r="J856" s="16"/>
      <c r="K856" s="16"/>
      <c r="L856" s="16"/>
      <c r="M856" s="16">
        <v>850</v>
      </c>
      <c r="N856" s="16">
        <f t="shared" si="68"/>
        <v>0.30469870875179339</v>
      </c>
      <c r="O856" s="16"/>
      <c r="P856" s="16"/>
      <c r="Q856" s="16">
        <f t="shared" si="69"/>
        <v>-0.51093379289965002</v>
      </c>
    </row>
    <row r="857" spans="4:17" ht="15" thickBot="1" x14ac:dyDescent="0.35">
      <c r="D857" s="20">
        <f t="shared" si="65"/>
        <v>851</v>
      </c>
      <c r="E857" s="20">
        <f t="shared" si="66"/>
        <v>250</v>
      </c>
      <c r="F857" s="20">
        <f t="shared" si="67"/>
        <v>1650</v>
      </c>
      <c r="G857" s="20">
        <v>0.31046616744462957</v>
      </c>
      <c r="H857" s="50"/>
      <c r="I857" s="16"/>
      <c r="J857" s="16"/>
      <c r="K857" s="16"/>
      <c r="L857" s="16"/>
      <c r="M857" s="16">
        <v>851</v>
      </c>
      <c r="N857" s="16">
        <f t="shared" si="68"/>
        <v>0.30505738880918221</v>
      </c>
      <c r="O857" s="16"/>
      <c r="P857" s="16"/>
      <c r="Q857" s="16">
        <f t="shared" si="69"/>
        <v>-0.5099096262743148</v>
      </c>
    </row>
    <row r="858" spans="4:17" ht="15" thickBot="1" x14ac:dyDescent="0.35">
      <c r="D858" s="20">
        <f t="shared" si="65"/>
        <v>852</v>
      </c>
      <c r="E858" s="20">
        <f t="shared" si="66"/>
        <v>350</v>
      </c>
      <c r="F858" s="20">
        <f t="shared" si="67"/>
        <v>1650</v>
      </c>
      <c r="G858" s="20">
        <v>0.31048966661138483</v>
      </c>
      <c r="H858" s="50"/>
      <c r="I858" s="16"/>
      <c r="J858" s="16"/>
      <c r="K858" s="16"/>
      <c r="L858" s="16"/>
      <c r="M858" s="16">
        <v>852</v>
      </c>
      <c r="N858" s="16">
        <f t="shared" si="68"/>
        <v>0.30541606886657102</v>
      </c>
      <c r="O858" s="16"/>
      <c r="P858" s="16"/>
      <c r="Q858" s="16">
        <f t="shared" si="69"/>
        <v>-0.50888599422297665</v>
      </c>
    </row>
    <row r="859" spans="4:17" ht="15" thickBot="1" x14ac:dyDescent="0.35">
      <c r="D859" s="20">
        <f t="shared" si="65"/>
        <v>853</v>
      </c>
      <c r="E859" s="20">
        <f t="shared" si="66"/>
        <v>450</v>
      </c>
      <c r="F859" s="20">
        <f t="shared" si="67"/>
        <v>1650</v>
      </c>
      <c r="G859" s="20">
        <v>0.31053258096048764</v>
      </c>
      <c r="H859" s="50"/>
      <c r="I859" s="16"/>
      <c r="J859" s="16"/>
      <c r="K859" s="16"/>
      <c r="L859" s="16"/>
      <c r="M859" s="16">
        <v>853</v>
      </c>
      <c r="N859" s="16">
        <f t="shared" si="68"/>
        <v>0.30577474892395984</v>
      </c>
      <c r="O859" s="16"/>
      <c r="P859" s="16"/>
      <c r="Q859" s="16">
        <f t="shared" si="69"/>
        <v>-0.50786289511640614</v>
      </c>
    </row>
    <row r="860" spans="4:17" ht="15" thickBot="1" x14ac:dyDescent="0.35">
      <c r="D860" s="20">
        <f t="shared" si="65"/>
        <v>854</v>
      </c>
      <c r="E860" s="20">
        <f t="shared" si="66"/>
        <v>550</v>
      </c>
      <c r="F860" s="20">
        <f t="shared" si="67"/>
        <v>1650</v>
      </c>
      <c r="G860" s="20">
        <v>0.3106334406561988</v>
      </c>
      <c r="H860" s="50"/>
      <c r="I860" s="16"/>
      <c r="J860" s="16"/>
      <c r="K860" s="16"/>
      <c r="L860" s="16"/>
      <c r="M860" s="16">
        <v>854</v>
      </c>
      <c r="N860" s="16">
        <f t="shared" si="68"/>
        <v>0.30613342898134865</v>
      </c>
      <c r="O860" s="16"/>
      <c r="P860" s="16"/>
      <c r="Q860" s="16">
        <f t="shared" si="69"/>
        <v>-0.50684032733014883</v>
      </c>
    </row>
    <row r="861" spans="4:17" ht="15" thickBot="1" x14ac:dyDescent="0.35">
      <c r="D861" s="20">
        <f t="shared" si="65"/>
        <v>855</v>
      </c>
      <c r="E861" s="20">
        <f t="shared" si="66"/>
        <v>650</v>
      </c>
      <c r="F861" s="20">
        <f t="shared" si="67"/>
        <v>1650</v>
      </c>
      <c r="G861" s="20">
        <v>0.31068885730421031</v>
      </c>
      <c r="H861" s="50"/>
      <c r="I861" s="16"/>
      <c r="J861" s="16"/>
      <c r="K861" s="16"/>
      <c r="L861" s="16"/>
      <c r="M861" s="16">
        <v>855</v>
      </c>
      <c r="N861" s="16">
        <f t="shared" si="68"/>
        <v>0.30649210903873747</v>
      </c>
      <c r="O861" s="16"/>
      <c r="P861" s="16"/>
      <c r="Q861" s="16">
        <f t="shared" si="69"/>
        <v>-0.50581828924450123</v>
      </c>
    </row>
    <row r="862" spans="4:17" ht="15" thickBot="1" x14ac:dyDescent="0.35">
      <c r="D862" s="20">
        <f t="shared" si="65"/>
        <v>856</v>
      </c>
      <c r="E862" s="20">
        <f t="shared" si="66"/>
        <v>750</v>
      </c>
      <c r="F862" s="20">
        <f t="shared" si="67"/>
        <v>1650</v>
      </c>
      <c r="G862" s="20">
        <v>0.31072306668447169</v>
      </c>
      <c r="H862" s="50"/>
      <c r="I862" s="16"/>
      <c r="J862" s="16"/>
      <c r="K862" s="16"/>
      <c r="L862" s="16"/>
      <c r="M862" s="16">
        <v>856</v>
      </c>
      <c r="N862" s="16">
        <f t="shared" si="68"/>
        <v>0.30685078909612623</v>
      </c>
      <c r="O862" s="16"/>
      <c r="P862" s="16"/>
      <c r="Q862" s="16">
        <f t="shared" si="69"/>
        <v>-0.50479677924448862</v>
      </c>
    </row>
    <row r="863" spans="4:17" ht="15" thickBot="1" x14ac:dyDescent="0.35">
      <c r="D863" s="20">
        <f t="shared" si="65"/>
        <v>857</v>
      </c>
      <c r="E863" s="20">
        <f t="shared" si="66"/>
        <v>850</v>
      </c>
      <c r="F863" s="20">
        <f t="shared" si="67"/>
        <v>1650</v>
      </c>
      <c r="G863" s="20">
        <v>0.31082779201596367</v>
      </c>
      <c r="H863" s="50"/>
      <c r="I863" s="16"/>
      <c r="J863" s="16"/>
      <c r="K863" s="16"/>
      <c r="L863" s="16"/>
      <c r="M863" s="16">
        <v>857</v>
      </c>
      <c r="N863" s="16">
        <f t="shared" si="68"/>
        <v>0.30720946915351505</v>
      </c>
      <c r="O863" s="16"/>
      <c r="P863" s="16"/>
      <c r="Q863" s="16">
        <f t="shared" si="69"/>
        <v>-0.5037757957198411</v>
      </c>
    </row>
    <row r="864" spans="4:17" ht="15" thickBot="1" x14ac:dyDescent="0.35">
      <c r="D864" s="20">
        <f t="shared" si="65"/>
        <v>858</v>
      </c>
      <c r="E864" s="20">
        <f t="shared" si="66"/>
        <v>950</v>
      </c>
      <c r="F864" s="20">
        <f t="shared" si="67"/>
        <v>1650</v>
      </c>
      <c r="G864" s="20">
        <v>0.31087809106901726</v>
      </c>
      <c r="H864" s="50"/>
      <c r="I864" s="16"/>
      <c r="J864" s="16"/>
      <c r="K864" s="16"/>
      <c r="L864" s="16"/>
      <c r="M864" s="16">
        <v>858</v>
      </c>
      <c r="N864" s="16">
        <f t="shared" si="68"/>
        <v>0.30756814921090386</v>
      </c>
      <c r="O864" s="16"/>
      <c r="P864" s="16"/>
      <c r="Q864" s="16">
        <f t="shared" si="69"/>
        <v>-0.50275533706497288</v>
      </c>
    </row>
    <row r="865" spans="4:17" ht="15" thickBot="1" x14ac:dyDescent="0.35">
      <c r="D865" s="20">
        <f t="shared" si="65"/>
        <v>859</v>
      </c>
      <c r="E865" s="20">
        <f t="shared" si="66"/>
        <v>1050</v>
      </c>
      <c r="F865" s="20">
        <f t="shared" si="67"/>
        <v>1650</v>
      </c>
      <c r="G865" s="20">
        <v>0.31097319274526647</v>
      </c>
      <c r="H865" s="50"/>
      <c r="I865" s="16"/>
      <c r="J865" s="16"/>
      <c r="K865" s="16"/>
      <c r="L865" s="16"/>
      <c r="M865" s="16">
        <v>859</v>
      </c>
      <c r="N865" s="16">
        <f t="shared" si="68"/>
        <v>0.30792682926829268</v>
      </c>
      <c r="O865" s="16"/>
      <c r="P865" s="16"/>
      <c r="Q865" s="16">
        <f t="shared" si="69"/>
        <v>-0.50173540167895858</v>
      </c>
    </row>
    <row r="866" spans="4:17" ht="15" thickBot="1" x14ac:dyDescent="0.35">
      <c r="D866" s="20">
        <f t="shared" si="65"/>
        <v>860</v>
      </c>
      <c r="E866" s="45">
        <f t="shared" si="66"/>
        <v>1150</v>
      </c>
      <c r="F866" s="45">
        <f t="shared" si="67"/>
        <v>1650</v>
      </c>
      <c r="G866" s="20">
        <v>0.31097611349355586</v>
      </c>
      <c r="H866" s="50"/>
      <c r="I866" s="16"/>
      <c r="J866" s="16"/>
      <c r="K866" s="16"/>
      <c r="L866" s="16"/>
      <c r="M866" s="16">
        <v>860</v>
      </c>
      <c r="N866" s="16">
        <f t="shared" si="68"/>
        <v>0.30828550932568149</v>
      </c>
      <c r="O866" s="16"/>
      <c r="P866" s="16"/>
      <c r="Q866" s="16">
        <f t="shared" si="69"/>
        <v>-0.50071598796551042</v>
      </c>
    </row>
    <row r="867" spans="4:17" ht="15" thickBot="1" x14ac:dyDescent="0.35">
      <c r="D867" s="20">
        <f t="shared" si="65"/>
        <v>861</v>
      </c>
      <c r="E867" s="20">
        <f t="shared" si="66"/>
        <v>1250</v>
      </c>
      <c r="F867" s="20">
        <f t="shared" si="67"/>
        <v>1650</v>
      </c>
      <c r="G867" s="20">
        <v>0.31106133470734487</v>
      </c>
      <c r="H867" s="50"/>
      <c r="I867" s="16"/>
      <c r="J867" s="16"/>
      <c r="K867" s="16"/>
      <c r="L867" s="16"/>
      <c r="M867" s="16">
        <v>861</v>
      </c>
      <c r="N867" s="16">
        <f t="shared" si="68"/>
        <v>0.30864418938307031</v>
      </c>
      <c r="O867" s="16"/>
      <c r="P867" s="16"/>
      <c r="Q867" s="16">
        <f t="shared" si="69"/>
        <v>-0.49969709433295773</v>
      </c>
    </row>
    <row r="868" spans="4:17" ht="15" thickBot="1" x14ac:dyDescent="0.35">
      <c r="D868" s="20">
        <f t="shared" si="65"/>
        <v>862</v>
      </c>
      <c r="E868" s="20">
        <f t="shared" si="66"/>
        <v>1350</v>
      </c>
      <c r="F868" s="20">
        <f t="shared" si="67"/>
        <v>1650</v>
      </c>
      <c r="G868" s="20">
        <v>0.31115074932332015</v>
      </c>
      <c r="H868" s="50"/>
      <c r="I868" s="16"/>
      <c r="J868" s="16"/>
      <c r="K868" s="16"/>
      <c r="L868" s="16"/>
      <c r="M868" s="16">
        <v>862</v>
      </c>
      <c r="N868" s="16">
        <f t="shared" si="68"/>
        <v>0.30900286944045913</v>
      </c>
      <c r="O868" s="16"/>
      <c r="P868" s="16"/>
      <c r="Q868" s="16">
        <f t="shared" si="69"/>
        <v>-0.49867871919422324</v>
      </c>
    </row>
    <row r="869" spans="4:17" ht="15" thickBot="1" x14ac:dyDescent="0.35">
      <c r="D869" s="20">
        <f t="shared" si="65"/>
        <v>863</v>
      </c>
      <c r="E869" s="20">
        <f t="shared" si="66"/>
        <v>1450</v>
      </c>
      <c r="F869" s="20">
        <f t="shared" si="67"/>
        <v>1650</v>
      </c>
      <c r="G869" s="20">
        <v>0.31136039529026482</v>
      </c>
      <c r="H869" s="50"/>
      <c r="I869" s="16"/>
      <c r="J869" s="16"/>
      <c r="K869" s="16"/>
      <c r="L869" s="16"/>
      <c r="M869" s="16">
        <v>863</v>
      </c>
      <c r="N869" s="16">
        <f t="shared" si="68"/>
        <v>0.30936154949784794</v>
      </c>
      <c r="O869" s="16"/>
      <c r="P869" s="16"/>
      <c r="Q869" s="16">
        <f t="shared" si="69"/>
        <v>-0.49766086096680168</v>
      </c>
    </row>
    <row r="870" spans="4:17" ht="15" thickBot="1" x14ac:dyDescent="0.35">
      <c r="D870" s="20">
        <f t="shared" si="65"/>
        <v>864</v>
      </c>
      <c r="E870" s="20">
        <f t="shared" si="66"/>
        <v>1550</v>
      </c>
      <c r="F870" s="20">
        <f t="shared" si="67"/>
        <v>1650</v>
      </c>
      <c r="G870" s="20">
        <v>0.31136947666988263</v>
      </c>
      <c r="H870" s="50"/>
      <c r="I870" s="16"/>
      <c r="J870" s="16"/>
      <c r="K870" s="16"/>
      <c r="L870" s="16"/>
      <c r="M870" s="16">
        <v>864</v>
      </c>
      <c r="N870" s="16">
        <f t="shared" si="68"/>
        <v>0.3097202295552367</v>
      </c>
      <c r="O870" s="16"/>
      <c r="P870" s="16"/>
      <c r="Q870" s="16">
        <f t="shared" si="69"/>
        <v>-0.49664351807273832</v>
      </c>
    </row>
    <row r="871" spans="4:17" ht="15" thickBot="1" x14ac:dyDescent="0.35">
      <c r="D871" s="20">
        <f t="shared" si="65"/>
        <v>865</v>
      </c>
      <c r="E871" s="20">
        <f t="shared" si="66"/>
        <v>1650</v>
      </c>
      <c r="F871" s="20">
        <f t="shared" si="67"/>
        <v>1650</v>
      </c>
      <c r="G871" s="20">
        <v>0.31146258908230451</v>
      </c>
      <c r="H871" s="50"/>
      <c r="I871" s="16"/>
      <c r="J871" s="16"/>
      <c r="K871" s="16"/>
      <c r="L871" s="16"/>
      <c r="M871" s="16">
        <v>865</v>
      </c>
      <c r="N871" s="16">
        <f t="shared" si="68"/>
        <v>0.31007890961262552</v>
      </c>
      <c r="O871" s="16"/>
      <c r="P871" s="16"/>
      <c r="Q871" s="16">
        <f t="shared" si="69"/>
        <v>-0.49562668893860612</v>
      </c>
    </row>
    <row r="872" spans="4:17" ht="15" thickBot="1" x14ac:dyDescent="0.35">
      <c r="D872" s="20">
        <f t="shared" si="65"/>
        <v>866</v>
      </c>
      <c r="E872" s="20">
        <f t="shared" si="66"/>
        <v>1750</v>
      </c>
      <c r="F872" s="20">
        <f t="shared" si="67"/>
        <v>1650</v>
      </c>
      <c r="G872" s="20">
        <v>0.31150384288935129</v>
      </c>
      <c r="H872" s="50"/>
      <c r="I872" s="16"/>
      <c r="J872" s="16"/>
      <c r="K872" s="16"/>
      <c r="L872" s="16"/>
      <c r="M872" s="16">
        <v>866</v>
      </c>
      <c r="N872" s="16">
        <f t="shared" si="68"/>
        <v>0.31043758967001434</v>
      </c>
      <c r="O872" s="16"/>
      <c r="P872" s="16"/>
      <c r="Q872" s="16">
        <f t="shared" si="69"/>
        <v>-0.4946103719954858</v>
      </c>
    </row>
    <row r="873" spans="4:17" ht="15" thickBot="1" x14ac:dyDescent="0.35">
      <c r="D873" s="20">
        <f t="shared" si="65"/>
        <v>867</v>
      </c>
      <c r="E873" s="20">
        <f t="shared" si="66"/>
        <v>1850</v>
      </c>
      <c r="F873" s="20">
        <f t="shared" si="67"/>
        <v>1650</v>
      </c>
      <c r="G873" s="20">
        <v>0.31162436810923289</v>
      </c>
      <c r="H873" s="50"/>
      <c r="I873" s="16"/>
      <c r="J873" s="16"/>
      <c r="K873" s="16"/>
      <c r="L873" s="16"/>
      <c r="M873" s="16">
        <v>867</v>
      </c>
      <c r="N873" s="16">
        <f t="shared" si="68"/>
        <v>0.31079626972740315</v>
      </c>
      <c r="O873" s="16"/>
      <c r="P873" s="16"/>
      <c r="Q873" s="16">
        <f t="shared" si="69"/>
        <v>-0.49359456567894278</v>
      </c>
    </row>
    <row r="874" spans="4:17" ht="15" thickBot="1" x14ac:dyDescent="0.35">
      <c r="D874" s="20">
        <f t="shared" si="65"/>
        <v>868</v>
      </c>
      <c r="E874" s="20">
        <f t="shared" si="66"/>
        <v>1950</v>
      </c>
      <c r="F874" s="20">
        <f t="shared" si="67"/>
        <v>1650</v>
      </c>
      <c r="G874" s="20">
        <v>0.31176605031675858</v>
      </c>
      <c r="H874" s="50"/>
      <c r="I874" s="16"/>
      <c r="J874" s="16"/>
      <c r="K874" s="16"/>
      <c r="L874" s="16"/>
      <c r="M874" s="16">
        <v>868</v>
      </c>
      <c r="N874" s="16">
        <f t="shared" si="68"/>
        <v>0.31115494978479197</v>
      </c>
      <c r="O874" s="16"/>
      <c r="P874" s="16"/>
      <c r="Q874" s="16">
        <f t="shared" si="69"/>
        <v>-0.49257926842900646</v>
      </c>
    </row>
    <row r="875" spans="4:17" ht="15" thickBot="1" x14ac:dyDescent="0.35">
      <c r="D875" s="20">
        <f t="shared" si="65"/>
        <v>869</v>
      </c>
      <c r="E875" s="20">
        <f t="shared" si="66"/>
        <v>2050</v>
      </c>
      <c r="F875" s="20">
        <f t="shared" si="67"/>
        <v>1650</v>
      </c>
      <c r="G875" s="20">
        <v>0.31186497227734583</v>
      </c>
      <c r="H875" s="50"/>
      <c r="I875" s="16"/>
      <c r="J875" s="16"/>
      <c r="K875" s="16"/>
      <c r="L875" s="16"/>
      <c r="M875" s="16">
        <v>869</v>
      </c>
      <c r="N875" s="16">
        <f t="shared" si="68"/>
        <v>0.31151362984218078</v>
      </c>
      <c r="O875" s="16"/>
      <c r="P875" s="16"/>
      <c r="Q875" s="16">
        <f t="shared" si="69"/>
        <v>-0.49156447869014919</v>
      </c>
    </row>
    <row r="876" spans="4:17" ht="15" thickBot="1" x14ac:dyDescent="0.35">
      <c r="D876" s="20">
        <f t="shared" si="65"/>
        <v>870</v>
      </c>
      <c r="E876" s="44">
        <f t="shared" si="66"/>
        <v>2150</v>
      </c>
      <c r="F876" s="44">
        <f t="shared" si="67"/>
        <v>1650</v>
      </c>
      <c r="G876" s="20">
        <v>0.3118734093397465</v>
      </c>
      <c r="H876" s="50"/>
      <c r="I876" s="16"/>
      <c r="J876" s="16"/>
      <c r="K876" s="16"/>
      <c r="L876" s="16"/>
      <c r="M876" s="16">
        <v>870</v>
      </c>
      <c r="N876" s="16">
        <f t="shared" si="68"/>
        <v>0.3118723098995696</v>
      </c>
      <c r="O876" s="16"/>
      <c r="P876" s="16"/>
      <c r="Q876" s="16">
        <f t="shared" si="69"/>
        <v>-0.49055019491126423</v>
      </c>
    </row>
    <row r="877" spans="4:17" ht="15" thickBot="1" x14ac:dyDescent="0.35">
      <c r="D877" s="20">
        <f t="shared" si="65"/>
        <v>871</v>
      </c>
      <c r="E877" s="20">
        <f t="shared" si="66"/>
        <v>2250</v>
      </c>
      <c r="F877" s="20">
        <f t="shared" si="67"/>
        <v>1650</v>
      </c>
      <c r="G877" s="20">
        <v>0.31209910634178439</v>
      </c>
      <c r="H877" s="50"/>
      <c r="I877" s="16"/>
      <c r="J877" s="16"/>
      <c r="K877" s="16"/>
      <c r="L877" s="16"/>
      <c r="M877" s="16">
        <v>871</v>
      </c>
      <c r="N877" s="16">
        <f t="shared" si="68"/>
        <v>0.31223098995695842</v>
      </c>
      <c r="O877" s="16"/>
      <c r="P877" s="16"/>
      <c r="Q877" s="16">
        <f t="shared" si="69"/>
        <v>-0.48953641554564636</v>
      </c>
    </row>
    <row r="878" spans="4:17" ht="15" thickBot="1" x14ac:dyDescent="0.35">
      <c r="D878" s="20">
        <f t="shared" si="65"/>
        <v>872</v>
      </c>
      <c r="E878" s="45">
        <f t="shared" si="66"/>
        <v>2350</v>
      </c>
      <c r="F878" s="45">
        <f t="shared" si="67"/>
        <v>1650</v>
      </c>
      <c r="G878" s="20">
        <v>0.31227295751469086</v>
      </c>
      <c r="H878" s="50"/>
      <c r="I878" s="16"/>
      <c r="J878" s="16"/>
      <c r="K878" s="16"/>
      <c r="L878" s="16"/>
      <c r="M878" s="16">
        <v>872</v>
      </c>
      <c r="N878" s="16">
        <f t="shared" si="68"/>
        <v>0.31258967001434718</v>
      </c>
      <c r="O878" s="16"/>
      <c r="P878" s="16"/>
      <c r="Q878" s="16">
        <f t="shared" si="69"/>
        <v>-0.48852313905096911</v>
      </c>
    </row>
    <row r="879" spans="4:17" ht="15" thickBot="1" x14ac:dyDescent="0.35">
      <c r="D879" s="20">
        <f t="shared" si="65"/>
        <v>873</v>
      </c>
      <c r="E879" s="20">
        <f t="shared" si="66"/>
        <v>2450</v>
      </c>
      <c r="F879" s="20">
        <f t="shared" si="67"/>
        <v>1650</v>
      </c>
      <c r="G879" s="20">
        <v>0.31227534945894059</v>
      </c>
      <c r="H879" s="50"/>
      <c r="I879" s="16"/>
      <c r="J879" s="16"/>
      <c r="K879" s="16"/>
      <c r="L879" s="16"/>
      <c r="M879" s="16">
        <v>873</v>
      </c>
      <c r="N879" s="16">
        <f t="shared" si="68"/>
        <v>0.31294835007173599</v>
      </c>
      <c r="O879" s="16"/>
      <c r="P879" s="16"/>
      <c r="Q879" s="16">
        <f t="shared" si="69"/>
        <v>-0.48751036388926444</v>
      </c>
    </row>
    <row r="880" spans="4:17" ht="15" thickBot="1" x14ac:dyDescent="0.35">
      <c r="D880" s="20">
        <f t="shared" si="65"/>
        <v>874</v>
      </c>
      <c r="E880" s="20">
        <f t="shared" si="66"/>
        <v>2550</v>
      </c>
      <c r="F880" s="20">
        <f t="shared" si="67"/>
        <v>1650</v>
      </c>
      <c r="G880" s="20">
        <v>0.31230676435001775</v>
      </c>
      <c r="H880" s="50"/>
      <c r="I880" s="16"/>
      <c r="J880" s="16"/>
      <c r="K880" s="16"/>
      <c r="L880" s="16"/>
      <c r="M880" s="16">
        <v>874</v>
      </c>
      <c r="N880" s="16">
        <f t="shared" si="68"/>
        <v>0.31330703012912481</v>
      </c>
      <c r="O880" s="16"/>
      <c r="P880" s="16"/>
      <c r="Q880" s="16">
        <f t="shared" si="69"/>
        <v>-0.48649808852690346</v>
      </c>
    </row>
    <row r="881" spans="4:17" ht="15" thickBot="1" x14ac:dyDescent="0.35">
      <c r="D881" s="20">
        <f t="shared" si="65"/>
        <v>875</v>
      </c>
      <c r="E881" s="20">
        <f t="shared" si="66"/>
        <v>2650</v>
      </c>
      <c r="F881" s="20">
        <f t="shared" si="67"/>
        <v>1650</v>
      </c>
      <c r="G881" s="20">
        <v>0.31254569284839706</v>
      </c>
      <c r="H881" s="50"/>
      <c r="I881" s="16"/>
      <c r="J881" s="16"/>
      <c r="K881" s="16"/>
      <c r="L881" s="16"/>
      <c r="M881" s="16">
        <v>875</v>
      </c>
      <c r="N881" s="16">
        <f t="shared" si="68"/>
        <v>0.31366571018651362</v>
      </c>
      <c r="O881" s="16"/>
      <c r="P881" s="16"/>
      <c r="Q881" s="16">
        <f t="shared" si="69"/>
        <v>-0.48548631143457388</v>
      </c>
    </row>
    <row r="882" spans="4:17" ht="15" thickBot="1" x14ac:dyDescent="0.35">
      <c r="D882" s="20">
        <f t="shared" si="65"/>
        <v>876</v>
      </c>
      <c r="E882" s="20">
        <f t="shared" si="66"/>
        <v>2750</v>
      </c>
      <c r="F882" s="20">
        <f t="shared" si="67"/>
        <v>1650</v>
      </c>
      <c r="G882" s="20">
        <v>0.31255004982531748</v>
      </c>
      <c r="H882" s="50"/>
      <c r="I882" s="16"/>
      <c r="J882" s="16"/>
      <c r="K882" s="16"/>
      <c r="L882" s="16"/>
      <c r="M882" s="16">
        <v>876</v>
      </c>
      <c r="N882" s="16">
        <f t="shared" si="68"/>
        <v>0.31402439024390244</v>
      </c>
      <c r="O882" s="16"/>
      <c r="P882" s="16"/>
      <c r="Q882" s="16">
        <f t="shared" si="69"/>
        <v>-0.48447503108726092</v>
      </c>
    </row>
    <row r="883" spans="4:17" ht="15" thickBot="1" x14ac:dyDescent="0.35">
      <c r="D883" s="20">
        <f t="shared" si="65"/>
        <v>877</v>
      </c>
      <c r="E883" s="20">
        <f t="shared" si="66"/>
        <v>2850</v>
      </c>
      <c r="F883" s="20">
        <f t="shared" si="67"/>
        <v>1650</v>
      </c>
      <c r="G883" s="20">
        <v>0.31265980073619409</v>
      </c>
      <c r="H883" s="50"/>
      <c r="I883" s="16"/>
      <c r="J883" s="16"/>
      <c r="K883" s="16"/>
      <c r="L883" s="16"/>
      <c r="M883" s="16">
        <v>877</v>
      </c>
      <c r="N883" s="16">
        <f t="shared" si="68"/>
        <v>0.31438307030129126</v>
      </c>
      <c r="O883" s="16"/>
      <c r="P883" s="16"/>
      <c r="Q883" s="16">
        <f t="shared" si="69"/>
        <v>-0.4834642459642261</v>
      </c>
    </row>
    <row r="884" spans="4:17" ht="15" thickBot="1" x14ac:dyDescent="0.35">
      <c r="D884" s="20">
        <f t="shared" si="65"/>
        <v>878</v>
      </c>
      <c r="E884" s="20">
        <f t="shared" si="66"/>
        <v>2950</v>
      </c>
      <c r="F884" s="20">
        <f t="shared" si="67"/>
        <v>1650</v>
      </c>
      <c r="G884" s="20">
        <v>0.31269413548815883</v>
      </c>
      <c r="H884" s="50"/>
      <c r="I884" s="16"/>
      <c r="J884" s="16"/>
      <c r="K884" s="16"/>
      <c r="L884" s="16"/>
      <c r="M884" s="16">
        <v>878</v>
      </c>
      <c r="N884" s="16">
        <f t="shared" si="68"/>
        <v>0.31474175035868007</v>
      </c>
      <c r="O884" s="16"/>
      <c r="P884" s="16"/>
      <c r="Q884" s="16">
        <f t="shared" si="69"/>
        <v>-0.48245395454898737</v>
      </c>
    </row>
    <row r="885" spans="4:17" ht="15" thickBot="1" x14ac:dyDescent="0.35">
      <c r="D885" s="20">
        <f t="shared" si="65"/>
        <v>879</v>
      </c>
      <c r="E885" s="20">
        <f t="shared" si="66"/>
        <v>3050</v>
      </c>
      <c r="F885" s="20">
        <f t="shared" si="67"/>
        <v>1650</v>
      </c>
      <c r="G885" s="20">
        <v>0.31283516840038883</v>
      </c>
      <c r="H885" s="50"/>
      <c r="I885" s="16"/>
      <c r="J885" s="16"/>
      <c r="K885" s="16"/>
      <c r="L885" s="16"/>
      <c r="M885" s="16">
        <v>879</v>
      </c>
      <c r="N885" s="16">
        <f t="shared" si="68"/>
        <v>0.31510043041606889</v>
      </c>
      <c r="O885" s="16"/>
      <c r="P885" s="16"/>
      <c r="Q885" s="16">
        <f t="shared" si="69"/>
        <v>-0.48144415532929918</v>
      </c>
    </row>
    <row r="886" spans="4:17" ht="15" thickBot="1" x14ac:dyDescent="0.35">
      <c r="D886" s="20">
        <f t="shared" si="65"/>
        <v>880</v>
      </c>
      <c r="E886" s="20">
        <f t="shared" si="66"/>
        <v>3150</v>
      </c>
      <c r="F886" s="20">
        <f t="shared" si="67"/>
        <v>1650</v>
      </c>
      <c r="G886" s="20">
        <v>0.31287262346368261</v>
      </c>
      <c r="H886" s="50"/>
      <c r="I886" s="16"/>
      <c r="J886" s="16"/>
      <c r="K886" s="16"/>
      <c r="L886" s="16"/>
      <c r="M886" s="16">
        <v>880</v>
      </c>
      <c r="N886" s="16">
        <f t="shared" si="68"/>
        <v>0.31545911047345765</v>
      </c>
      <c r="O886" s="16"/>
      <c r="P886" s="16"/>
      <c r="Q886" s="16">
        <f t="shared" si="69"/>
        <v>-0.48043484679713244</v>
      </c>
    </row>
    <row r="887" spans="4:17" ht="15" thickBot="1" x14ac:dyDescent="0.35">
      <c r="D887" s="20">
        <f t="shared" si="65"/>
        <v>881</v>
      </c>
      <c r="E887" s="20">
        <f t="shared" si="66"/>
        <v>3250</v>
      </c>
      <c r="F887" s="20">
        <f t="shared" si="67"/>
        <v>1650</v>
      </c>
      <c r="G887" s="20">
        <v>0.31288093234204378</v>
      </c>
      <c r="H887" s="50"/>
      <c r="I887" s="16"/>
      <c r="J887" s="16"/>
      <c r="K887" s="16"/>
      <c r="L887" s="16"/>
      <c r="M887" s="16">
        <v>881</v>
      </c>
      <c r="N887" s="16">
        <f t="shared" si="68"/>
        <v>0.31581779053084647</v>
      </c>
      <c r="O887" s="16"/>
      <c r="P887" s="16"/>
      <c r="Q887" s="16">
        <f t="shared" si="69"/>
        <v>-0.4794260274486532</v>
      </c>
    </row>
    <row r="888" spans="4:17" ht="15" thickBot="1" x14ac:dyDescent="0.35">
      <c r="D888" s="20">
        <f t="shared" si="65"/>
        <v>882</v>
      </c>
      <c r="E888" s="20">
        <f t="shared" si="66"/>
        <v>3350</v>
      </c>
      <c r="F888" s="20">
        <f t="shared" si="67"/>
        <v>1650</v>
      </c>
      <c r="G888" s="20">
        <v>0.31289741689740957</v>
      </c>
      <c r="H888" s="50"/>
      <c r="I888" s="16"/>
      <c r="J888" s="16"/>
      <c r="K888" s="16"/>
      <c r="L888" s="16"/>
      <c r="M888" s="16">
        <v>882</v>
      </c>
      <c r="N888" s="16">
        <f t="shared" si="68"/>
        <v>0.31617647058823528</v>
      </c>
      <c r="O888" s="16"/>
      <c r="P888" s="16"/>
      <c r="Q888" s="16">
        <f t="shared" si="69"/>
        <v>-0.47841769578420501</v>
      </c>
    </row>
    <row r="889" spans="4:17" ht="15" thickBot="1" x14ac:dyDescent="0.35">
      <c r="D889" s="20">
        <f t="shared" si="65"/>
        <v>883</v>
      </c>
      <c r="E889" s="20">
        <f t="shared" si="66"/>
        <v>3450</v>
      </c>
      <c r="F889" s="20">
        <f t="shared" si="67"/>
        <v>1650</v>
      </c>
      <c r="G889" s="20">
        <v>0.31294521622504706</v>
      </c>
      <c r="H889" s="50"/>
      <c r="I889" s="16"/>
      <c r="J889" s="16"/>
      <c r="K889" s="16"/>
      <c r="L889" s="16"/>
      <c r="M889" s="16">
        <v>883</v>
      </c>
      <c r="N889" s="16">
        <f t="shared" si="68"/>
        <v>0.3165351506456241</v>
      </c>
      <c r="O889" s="16"/>
      <c r="P889" s="16"/>
      <c r="Q889" s="16">
        <f t="shared" si="69"/>
        <v>-0.47740985030828814</v>
      </c>
    </row>
    <row r="890" spans="4:17" ht="15" thickBot="1" x14ac:dyDescent="0.35">
      <c r="D890" s="20">
        <f t="shared" si="65"/>
        <v>884</v>
      </c>
      <c r="E890" s="20">
        <f t="shared" si="66"/>
        <v>3550</v>
      </c>
      <c r="F890" s="20">
        <f t="shared" si="67"/>
        <v>1650</v>
      </c>
      <c r="G890" s="20">
        <v>0.31306316368709269</v>
      </c>
      <c r="H890" s="50"/>
      <c r="I890" s="16"/>
      <c r="J890" s="16"/>
      <c r="K890" s="16"/>
      <c r="L890" s="16"/>
      <c r="M890" s="16">
        <v>884</v>
      </c>
      <c r="N890" s="16">
        <f t="shared" si="68"/>
        <v>0.31689383070301291</v>
      </c>
      <c r="O890" s="16"/>
      <c r="P890" s="16"/>
      <c r="Q890" s="16">
        <f t="shared" si="69"/>
        <v>-0.47640248952953945</v>
      </c>
    </row>
    <row r="891" spans="4:17" ht="15" thickBot="1" x14ac:dyDescent="0.35">
      <c r="D891" s="20">
        <f t="shared" si="65"/>
        <v>885</v>
      </c>
      <c r="E891" s="20">
        <f t="shared" si="66"/>
        <v>3650</v>
      </c>
      <c r="F891" s="20">
        <f t="shared" si="67"/>
        <v>1650</v>
      </c>
      <c r="G891" s="20">
        <v>0.31314301990753418</v>
      </c>
      <c r="H891" s="50"/>
      <c r="I891" s="16"/>
      <c r="J891" s="16"/>
      <c r="K891" s="16"/>
      <c r="L891" s="16"/>
      <c r="M891" s="16">
        <v>885</v>
      </c>
      <c r="N891" s="16">
        <f t="shared" si="68"/>
        <v>0.31725251076040173</v>
      </c>
      <c r="O891" s="16"/>
      <c r="P891" s="16"/>
      <c r="Q891" s="16">
        <f t="shared" si="69"/>
        <v>-0.47539561196071395</v>
      </c>
    </row>
    <row r="892" spans="4:17" ht="15" thickBot="1" x14ac:dyDescent="0.35">
      <c r="D892" s="20">
        <f t="shared" si="65"/>
        <v>886</v>
      </c>
      <c r="E892" s="20">
        <f t="shared" si="66"/>
        <v>3750</v>
      </c>
      <c r="F892" s="20">
        <f t="shared" si="67"/>
        <v>1650</v>
      </c>
      <c r="G892" s="20">
        <v>0.31323589960323572</v>
      </c>
      <c r="H892" s="50"/>
      <c r="I892" s="16"/>
      <c r="J892" s="16"/>
      <c r="K892" s="16"/>
      <c r="L892" s="16"/>
      <c r="M892" s="16">
        <v>886</v>
      </c>
      <c r="N892" s="16">
        <f t="shared" si="68"/>
        <v>0.31761119081779055</v>
      </c>
      <c r="O892" s="16"/>
      <c r="P892" s="16"/>
      <c r="Q892" s="16">
        <f t="shared" si="69"/>
        <v>-0.47438921611866447</v>
      </c>
    </row>
    <row r="893" spans="4:17" ht="15" thickBot="1" x14ac:dyDescent="0.35">
      <c r="D893" s="20">
        <f t="shared" si="65"/>
        <v>887</v>
      </c>
      <c r="E893" s="20">
        <f t="shared" si="66"/>
        <v>3850</v>
      </c>
      <c r="F893" s="20">
        <f t="shared" si="67"/>
        <v>1650</v>
      </c>
      <c r="G893" s="20">
        <v>0.31327026582723139</v>
      </c>
      <c r="H893" s="50"/>
      <c r="I893" s="16"/>
      <c r="J893" s="16"/>
      <c r="K893" s="16"/>
      <c r="L893" s="16"/>
      <c r="M893" s="16">
        <v>887</v>
      </c>
      <c r="N893" s="16">
        <f t="shared" si="68"/>
        <v>0.31796987087517936</v>
      </c>
      <c r="O893" s="16"/>
      <c r="P893" s="16"/>
      <c r="Q893" s="16">
        <f t="shared" si="69"/>
        <v>-0.4733833005243232</v>
      </c>
    </row>
    <row r="894" spans="4:17" ht="15" thickBot="1" x14ac:dyDescent="0.35">
      <c r="D894" s="20">
        <f t="shared" si="65"/>
        <v>888</v>
      </c>
      <c r="E894" s="20">
        <f t="shared" si="66"/>
        <v>3950</v>
      </c>
      <c r="F894" s="20">
        <f t="shared" si="67"/>
        <v>1650</v>
      </c>
      <c r="G894" s="20">
        <v>0.31332214913728607</v>
      </c>
      <c r="H894" s="50"/>
      <c r="I894" s="16"/>
      <c r="J894" s="16"/>
      <c r="K894" s="16"/>
      <c r="L894" s="16"/>
      <c r="M894" s="16">
        <v>888</v>
      </c>
      <c r="N894" s="16">
        <f t="shared" si="68"/>
        <v>0.31832855093256812</v>
      </c>
      <c r="O894" s="16"/>
      <c r="P894" s="16"/>
      <c r="Q894" s="16">
        <f t="shared" si="69"/>
        <v>-0.47237786370268153</v>
      </c>
    </row>
    <row r="895" spans="4:17" ht="15" thickBot="1" x14ac:dyDescent="0.35">
      <c r="D895" s="20">
        <f t="shared" si="65"/>
        <v>889</v>
      </c>
      <c r="E895" s="20">
        <f t="shared" si="66"/>
        <v>4050</v>
      </c>
      <c r="F895" s="20">
        <f t="shared" si="67"/>
        <v>1650</v>
      </c>
      <c r="G895" s="20">
        <v>0.3134429125337389</v>
      </c>
      <c r="H895" s="50"/>
      <c r="I895" s="16"/>
      <c r="J895" s="16"/>
      <c r="K895" s="16"/>
      <c r="L895" s="16"/>
      <c r="M895" s="16">
        <v>889</v>
      </c>
      <c r="N895" s="16">
        <f t="shared" si="68"/>
        <v>0.31868723098995694</v>
      </c>
      <c r="O895" s="16"/>
      <c r="P895" s="16"/>
      <c r="Q895" s="16">
        <f t="shared" si="69"/>
        <v>-0.47137290418277183</v>
      </c>
    </row>
    <row r="896" spans="4:17" ht="15" thickBot="1" x14ac:dyDescent="0.35">
      <c r="D896" s="20">
        <f t="shared" si="65"/>
        <v>890</v>
      </c>
      <c r="E896" s="20">
        <f t="shared" si="66"/>
        <v>4150</v>
      </c>
      <c r="F896" s="20">
        <f t="shared" si="67"/>
        <v>1650</v>
      </c>
      <c r="G896" s="20">
        <v>0.31346130720984422</v>
      </c>
      <c r="H896" s="50"/>
      <c r="I896" s="16"/>
      <c r="J896" s="16"/>
      <c r="K896" s="16"/>
      <c r="L896" s="16"/>
      <c r="M896" s="16">
        <v>890</v>
      </c>
      <c r="N896" s="16">
        <f t="shared" si="68"/>
        <v>0.31904591104734575</v>
      </c>
      <c r="O896" s="16"/>
      <c r="P896" s="16"/>
      <c r="Q896" s="16">
        <f t="shared" si="69"/>
        <v>-0.47036842049764827</v>
      </c>
    </row>
    <row r="897" spans="4:17" ht="15" thickBot="1" x14ac:dyDescent="0.35">
      <c r="D897" s="20">
        <f t="shared" si="65"/>
        <v>891</v>
      </c>
      <c r="E897" s="20">
        <f t="shared" si="66"/>
        <v>4250</v>
      </c>
      <c r="F897" s="20">
        <f t="shared" si="67"/>
        <v>1650</v>
      </c>
      <c r="G897" s="20">
        <v>0.3135315721073122</v>
      </c>
      <c r="H897" s="50"/>
      <c r="I897" s="16"/>
      <c r="J897" s="16"/>
      <c r="K897" s="16"/>
      <c r="L897" s="16"/>
      <c r="M897" s="16">
        <v>891</v>
      </c>
      <c r="N897" s="16">
        <f t="shared" si="68"/>
        <v>0.31940459110473457</v>
      </c>
      <c r="O897" s="16"/>
      <c r="P897" s="16"/>
      <c r="Q897" s="16">
        <f t="shared" si="69"/>
        <v>-0.4693644111843675</v>
      </c>
    </row>
    <row r="898" spans="4:17" ht="15" thickBot="1" x14ac:dyDescent="0.35">
      <c r="D898" s="20">
        <f t="shared" si="65"/>
        <v>892</v>
      </c>
      <c r="E898" s="20">
        <f t="shared" si="66"/>
        <v>4350</v>
      </c>
      <c r="F898" s="20">
        <f t="shared" si="67"/>
        <v>1650</v>
      </c>
      <c r="G898" s="20">
        <v>0.31353255424808546</v>
      </c>
      <c r="H898" s="50"/>
      <c r="I898" s="16"/>
      <c r="J898" s="16"/>
      <c r="K898" s="16"/>
      <c r="L898" s="16"/>
      <c r="M898" s="16">
        <v>892</v>
      </c>
      <c r="N898" s="16">
        <f t="shared" si="68"/>
        <v>0.31976327116212339</v>
      </c>
      <c r="O898" s="16"/>
      <c r="P898" s="16"/>
      <c r="Q898" s="16">
        <f t="shared" si="69"/>
        <v>-0.46836087478397009</v>
      </c>
    </row>
    <row r="899" spans="4:17" ht="15" thickBot="1" x14ac:dyDescent="0.35">
      <c r="D899" s="20">
        <f t="shared" si="65"/>
        <v>893</v>
      </c>
      <c r="E899" s="20">
        <f t="shared" si="66"/>
        <v>4450</v>
      </c>
      <c r="F899" s="20">
        <f t="shared" si="67"/>
        <v>1650</v>
      </c>
      <c r="G899" s="20">
        <v>0.31375569982797241</v>
      </c>
      <c r="H899" s="50"/>
      <c r="I899" s="16"/>
      <c r="J899" s="16"/>
      <c r="K899" s="16"/>
      <c r="L899" s="16"/>
      <c r="M899" s="16">
        <v>893</v>
      </c>
      <c r="N899" s="16">
        <f t="shared" si="68"/>
        <v>0.3201219512195122</v>
      </c>
      <c r="O899" s="16"/>
      <c r="P899" s="16"/>
      <c r="Q899" s="16">
        <f t="shared" si="69"/>
        <v>-0.46735780984146197</v>
      </c>
    </row>
    <row r="900" spans="4:17" ht="15" thickBot="1" x14ac:dyDescent="0.35">
      <c r="D900" s="20">
        <f t="shared" si="65"/>
        <v>894</v>
      </c>
      <c r="E900" s="20">
        <f t="shared" si="66"/>
        <v>4550</v>
      </c>
      <c r="F900" s="20">
        <f t="shared" si="67"/>
        <v>1650</v>
      </c>
      <c r="G900" s="20">
        <v>0.31386955202152778</v>
      </c>
      <c r="H900" s="50"/>
      <c r="I900" s="16"/>
      <c r="J900" s="16"/>
      <c r="K900" s="16"/>
      <c r="L900" s="16"/>
      <c r="M900" s="16">
        <v>894</v>
      </c>
      <c r="N900" s="16">
        <f t="shared" si="68"/>
        <v>0.32048063127690102</v>
      </c>
      <c r="O900" s="16"/>
      <c r="P900" s="16"/>
      <c r="Q900" s="16">
        <f t="shared" si="69"/>
        <v>-0.46635521490579585</v>
      </c>
    </row>
    <row r="901" spans="4:17" ht="15" thickBot="1" x14ac:dyDescent="0.35">
      <c r="D901" s="20">
        <f t="shared" si="65"/>
        <v>895</v>
      </c>
      <c r="E901" s="20">
        <f t="shared" si="66"/>
        <v>4650</v>
      </c>
      <c r="F901" s="20">
        <f t="shared" si="67"/>
        <v>1650</v>
      </c>
      <c r="G901" s="20">
        <v>0.31388602108692309</v>
      </c>
      <c r="H901" s="50"/>
      <c r="I901" s="16"/>
      <c r="J901" s="16"/>
      <c r="K901" s="16"/>
      <c r="L901" s="16"/>
      <c r="M901" s="16">
        <v>895</v>
      </c>
      <c r="N901" s="16">
        <f t="shared" si="68"/>
        <v>0.32083931133428983</v>
      </c>
      <c r="O901" s="16"/>
      <c r="P901" s="16"/>
      <c r="Q901" s="16">
        <f t="shared" si="69"/>
        <v>-0.4653530885298523</v>
      </c>
    </row>
    <row r="902" spans="4:17" ht="15" thickBot="1" x14ac:dyDescent="0.35">
      <c r="D902" s="20">
        <f t="shared" si="65"/>
        <v>896</v>
      </c>
      <c r="E902" s="20">
        <f t="shared" si="66"/>
        <v>4750</v>
      </c>
      <c r="F902" s="20">
        <f t="shared" si="67"/>
        <v>1650</v>
      </c>
      <c r="G902" s="20">
        <v>0.31389486595407651</v>
      </c>
      <c r="H902" s="50"/>
      <c r="I902" s="16"/>
      <c r="J902" s="16"/>
      <c r="K902" s="16"/>
      <c r="L902" s="16"/>
      <c r="M902" s="16">
        <v>896</v>
      </c>
      <c r="N902" s="16">
        <f t="shared" si="68"/>
        <v>0.32119799139167865</v>
      </c>
      <c r="O902" s="16"/>
      <c r="P902" s="16"/>
      <c r="Q902" s="16">
        <f t="shared" si="69"/>
        <v>-0.46435142927042206</v>
      </c>
    </row>
    <row r="903" spans="4:17" ht="15" thickBot="1" x14ac:dyDescent="0.35">
      <c r="D903" s="20">
        <f t="shared" ref="D903:D966" si="70">ROW()-6</f>
        <v>897</v>
      </c>
      <c r="E903" s="48">
        <f t="shared" ref="E903:E966" si="71">(MOD(D903-1,53)*100)+50</f>
        <v>4850</v>
      </c>
      <c r="F903" s="48">
        <f t="shared" ref="F903:F966" si="72">FLOOR((D903-1)/53,1)*100+50</f>
        <v>1650</v>
      </c>
      <c r="G903" s="20">
        <v>0.31389539562822305</v>
      </c>
      <c r="H903" s="50"/>
      <c r="I903" s="16"/>
      <c r="J903" s="16"/>
      <c r="K903" s="16"/>
      <c r="L903" s="16"/>
      <c r="M903" s="16">
        <v>897</v>
      </c>
      <c r="N903" s="16">
        <f t="shared" si="68"/>
        <v>0.32155667144906741</v>
      </c>
      <c r="O903" s="16"/>
      <c r="P903" s="16"/>
      <c r="Q903" s="16">
        <f t="shared" si="69"/>
        <v>-0.46335023568818712</v>
      </c>
    </row>
    <row r="904" spans="4:17" ht="15" thickBot="1" x14ac:dyDescent="0.35">
      <c r="D904" s="20">
        <f t="shared" si="70"/>
        <v>898</v>
      </c>
      <c r="E904" s="20">
        <f t="shared" si="71"/>
        <v>4950</v>
      </c>
      <c r="F904" s="20">
        <f t="shared" si="72"/>
        <v>1650</v>
      </c>
      <c r="G904" s="20">
        <v>0.31392407233469688</v>
      </c>
      <c r="H904" s="50"/>
      <c r="I904" s="16"/>
      <c r="J904" s="16"/>
      <c r="K904" s="16"/>
      <c r="L904" s="16"/>
      <c r="M904" s="16">
        <v>898</v>
      </c>
      <c r="N904" s="16">
        <f t="shared" ref="N904:N967" si="73">(M904-0.5)/$L$7</f>
        <v>0.32191535150645623</v>
      </c>
      <c r="O904" s="16"/>
      <c r="P904" s="16"/>
      <c r="Q904" s="16">
        <f t="shared" ref="Q904:Q967" si="74">_xlfn.NORM.S.INV(N904)</f>
        <v>-0.46234950634770222</v>
      </c>
    </row>
    <row r="905" spans="4:17" ht="15" thickBot="1" x14ac:dyDescent="0.35">
      <c r="D905" s="20">
        <f t="shared" si="70"/>
        <v>899</v>
      </c>
      <c r="E905" s="20">
        <f t="shared" si="71"/>
        <v>5050</v>
      </c>
      <c r="F905" s="20">
        <f t="shared" si="72"/>
        <v>1650</v>
      </c>
      <c r="G905" s="20">
        <v>0.31393753865464735</v>
      </c>
      <c r="H905" s="50"/>
      <c r="I905" s="16"/>
      <c r="J905" s="16"/>
      <c r="K905" s="16"/>
      <c r="L905" s="16"/>
      <c r="M905" s="16">
        <v>899</v>
      </c>
      <c r="N905" s="16">
        <f t="shared" si="73"/>
        <v>0.32227403156384504</v>
      </c>
      <c r="O905" s="16"/>
      <c r="P905" s="16"/>
      <c r="Q905" s="16">
        <f t="shared" si="74"/>
        <v>-0.46134923981737819</v>
      </c>
    </row>
    <row r="906" spans="4:17" ht="15" thickBot="1" x14ac:dyDescent="0.35">
      <c r="D906" s="20">
        <f t="shared" si="70"/>
        <v>900</v>
      </c>
      <c r="E906" s="20">
        <f t="shared" si="71"/>
        <v>5150</v>
      </c>
      <c r="F906" s="20">
        <f t="shared" si="72"/>
        <v>1650</v>
      </c>
      <c r="G906" s="20">
        <v>0.31405107811991029</v>
      </c>
      <c r="H906" s="50"/>
      <c r="I906" s="16"/>
      <c r="J906" s="16"/>
      <c r="K906" s="16"/>
      <c r="L906" s="16"/>
      <c r="M906" s="16">
        <v>900</v>
      </c>
      <c r="N906" s="16">
        <f t="shared" si="73"/>
        <v>0.32263271162123386</v>
      </c>
      <c r="O906" s="16"/>
      <c r="P906" s="16"/>
      <c r="Q906" s="16">
        <f t="shared" si="74"/>
        <v>-0.46034943466946204</v>
      </c>
    </row>
    <row r="907" spans="4:17" ht="15" thickBot="1" x14ac:dyDescent="0.35">
      <c r="D907" s="20">
        <f t="shared" si="70"/>
        <v>901</v>
      </c>
      <c r="E907" s="20">
        <f t="shared" si="71"/>
        <v>5250</v>
      </c>
      <c r="F907" s="20">
        <f t="shared" si="72"/>
        <v>1650</v>
      </c>
      <c r="G907" s="20">
        <v>0.31406793920538867</v>
      </c>
      <c r="H907" s="50"/>
      <c r="I907" s="16"/>
      <c r="J907" s="16"/>
      <c r="K907" s="16"/>
      <c r="L907" s="16"/>
      <c r="M907" s="16">
        <v>901</v>
      </c>
      <c r="N907" s="16">
        <f t="shared" si="73"/>
        <v>0.32299139167862267</v>
      </c>
      <c r="O907" s="16"/>
      <c r="P907" s="16"/>
      <c r="Q907" s="16">
        <f t="shared" si="74"/>
        <v>-0.45935008948002087</v>
      </c>
    </row>
    <row r="908" spans="4:17" ht="15" thickBot="1" x14ac:dyDescent="0.35">
      <c r="D908" s="20">
        <f t="shared" si="70"/>
        <v>902</v>
      </c>
      <c r="E908" s="20">
        <f t="shared" si="71"/>
        <v>50</v>
      </c>
      <c r="F908" s="20">
        <f t="shared" si="72"/>
        <v>1750</v>
      </c>
      <c r="G908" s="20">
        <v>0.31427550473766469</v>
      </c>
      <c r="H908" s="50"/>
      <c r="I908" s="16"/>
      <c r="J908" s="16"/>
      <c r="K908" s="16"/>
      <c r="L908" s="16"/>
      <c r="M908" s="16">
        <v>902</v>
      </c>
      <c r="N908" s="16">
        <f t="shared" si="73"/>
        <v>0.32335007173601149</v>
      </c>
      <c r="O908" s="16"/>
      <c r="P908" s="16"/>
      <c r="Q908" s="16">
        <f t="shared" si="74"/>
        <v>-0.45835120282892222</v>
      </c>
    </row>
    <row r="909" spans="4:17" ht="15" thickBot="1" x14ac:dyDescent="0.35">
      <c r="D909" s="20">
        <f t="shared" si="70"/>
        <v>903</v>
      </c>
      <c r="E909" s="20">
        <f t="shared" si="71"/>
        <v>150</v>
      </c>
      <c r="F909" s="20">
        <f t="shared" si="72"/>
        <v>1750</v>
      </c>
      <c r="G909" s="20">
        <v>0.31460125295083541</v>
      </c>
      <c r="H909" s="50"/>
      <c r="I909" s="16"/>
      <c r="J909" s="16"/>
      <c r="K909" s="16"/>
      <c r="L909" s="16"/>
      <c r="M909" s="16">
        <v>903</v>
      </c>
      <c r="N909" s="16">
        <f t="shared" si="73"/>
        <v>0.32370875179340031</v>
      </c>
      <c r="O909" s="16"/>
      <c r="P909" s="16"/>
      <c r="Q909" s="16">
        <f t="shared" si="74"/>
        <v>-0.45735277329981761</v>
      </c>
    </row>
    <row r="910" spans="4:17" ht="15" thickBot="1" x14ac:dyDescent="0.35">
      <c r="D910" s="20">
        <f t="shared" si="70"/>
        <v>904</v>
      </c>
      <c r="E910" s="20">
        <f t="shared" si="71"/>
        <v>250</v>
      </c>
      <c r="F910" s="20">
        <f t="shared" si="72"/>
        <v>1750</v>
      </c>
      <c r="G910" s="20">
        <v>0.31462262521384055</v>
      </c>
      <c r="H910" s="50"/>
      <c r="I910" s="16"/>
      <c r="J910" s="16"/>
      <c r="K910" s="16"/>
      <c r="L910" s="16"/>
      <c r="M910" s="16">
        <v>904</v>
      </c>
      <c r="N910" s="16">
        <f t="shared" si="73"/>
        <v>0.32406743185078912</v>
      </c>
      <c r="O910" s="16"/>
      <c r="P910" s="16"/>
      <c r="Q910" s="16">
        <f t="shared" si="74"/>
        <v>-0.45635479948012458</v>
      </c>
    </row>
    <row r="911" spans="4:17" ht="15" thickBot="1" x14ac:dyDescent="0.35">
      <c r="D911" s="20">
        <f t="shared" si="70"/>
        <v>905</v>
      </c>
      <c r="E911" s="20">
        <f t="shared" si="71"/>
        <v>350</v>
      </c>
      <c r="F911" s="20">
        <f t="shared" si="72"/>
        <v>1750</v>
      </c>
      <c r="G911" s="20">
        <v>0.31462505150993147</v>
      </c>
      <c r="H911" s="50"/>
      <c r="I911" s="16"/>
      <c r="J911" s="16"/>
      <c r="K911" s="16"/>
      <c r="L911" s="16"/>
      <c r="M911" s="16">
        <v>905</v>
      </c>
      <c r="N911" s="16">
        <f t="shared" si="73"/>
        <v>0.32442611190817788</v>
      </c>
      <c r="O911" s="16"/>
      <c r="P911" s="16"/>
      <c r="Q911" s="16">
        <f t="shared" si="74"/>
        <v>-0.45535727996100966</v>
      </c>
    </row>
    <row r="912" spans="4:17" ht="15" thickBot="1" x14ac:dyDescent="0.35">
      <c r="D912" s="20">
        <f t="shared" si="70"/>
        <v>906</v>
      </c>
      <c r="E912" s="20">
        <f t="shared" si="71"/>
        <v>450</v>
      </c>
      <c r="F912" s="20">
        <f t="shared" si="72"/>
        <v>1750</v>
      </c>
      <c r="G912" s="20">
        <v>0.31478295249962412</v>
      </c>
      <c r="H912" s="50"/>
      <c r="I912" s="16"/>
      <c r="J912" s="16"/>
      <c r="K912" s="16"/>
      <c r="L912" s="16"/>
      <c r="M912" s="16">
        <v>906</v>
      </c>
      <c r="N912" s="16">
        <f t="shared" si="73"/>
        <v>0.3247847919655667</v>
      </c>
      <c r="O912" s="16"/>
      <c r="P912" s="16"/>
      <c r="Q912" s="16">
        <f t="shared" si="74"/>
        <v>-0.45436021333736865</v>
      </c>
    </row>
    <row r="913" spans="4:17" ht="15" thickBot="1" x14ac:dyDescent="0.35">
      <c r="D913" s="20">
        <f t="shared" si="70"/>
        <v>907</v>
      </c>
      <c r="E913" s="20">
        <f t="shared" si="71"/>
        <v>550</v>
      </c>
      <c r="F913" s="20">
        <f t="shared" si="72"/>
        <v>1750</v>
      </c>
      <c r="G913" s="20">
        <v>0.31486367506056945</v>
      </c>
      <c r="H913" s="50"/>
      <c r="I913" s="16"/>
      <c r="J913" s="16"/>
      <c r="K913" s="16"/>
      <c r="L913" s="16"/>
      <c r="M913" s="16">
        <v>907</v>
      </c>
      <c r="N913" s="16">
        <f t="shared" si="73"/>
        <v>0.32514347202295552</v>
      </c>
      <c r="O913" s="16"/>
      <c r="P913" s="16"/>
      <c r="Q913" s="16">
        <f t="shared" si="74"/>
        <v>-0.45336359820781214</v>
      </c>
    </row>
    <row r="914" spans="4:17" ht="15" thickBot="1" x14ac:dyDescent="0.35">
      <c r="D914" s="20">
        <f t="shared" si="70"/>
        <v>908</v>
      </c>
      <c r="E914" s="20">
        <f t="shared" si="71"/>
        <v>650</v>
      </c>
      <c r="F914" s="20">
        <f t="shared" si="72"/>
        <v>1750</v>
      </c>
      <c r="G914" s="20">
        <v>0.31492241036544161</v>
      </c>
      <c r="H914" s="50"/>
      <c r="I914" s="16"/>
      <c r="J914" s="16"/>
      <c r="K914" s="16"/>
      <c r="L914" s="16"/>
      <c r="M914" s="16">
        <v>908</v>
      </c>
      <c r="N914" s="16">
        <f t="shared" si="73"/>
        <v>0.32550215208034433</v>
      </c>
      <c r="O914" s="16"/>
      <c r="P914" s="16"/>
      <c r="Q914" s="16">
        <f t="shared" si="74"/>
        <v>-0.45236743317464695</v>
      </c>
    </row>
    <row r="915" spans="4:17" ht="15" thickBot="1" x14ac:dyDescent="0.35">
      <c r="D915" s="20">
        <f t="shared" si="70"/>
        <v>909</v>
      </c>
      <c r="E915" s="20">
        <f t="shared" si="71"/>
        <v>750</v>
      </c>
      <c r="F915" s="20">
        <f t="shared" si="72"/>
        <v>1750</v>
      </c>
      <c r="G915" s="20">
        <v>0.31496802990292655</v>
      </c>
      <c r="H915" s="50"/>
      <c r="I915" s="16"/>
      <c r="J915" s="16"/>
      <c r="K915" s="16"/>
      <c r="L915" s="16"/>
      <c r="M915" s="16">
        <v>909</v>
      </c>
      <c r="N915" s="16">
        <f t="shared" si="73"/>
        <v>0.32586083213773315</v>
      </c>
      <c r="O915" s="16"/>
      <c r="P915" s="16"/>
      <c r="Q915" s="16">
        <f t="shared" si="74"/>
        <v>-0.45137171684385863</v>
      </c>
    </row>
    <row r="916" spans="4:17" ht="15" thickBot="1" x14ac:dyDescent="0.35">
      <c r="D916" s="20">
        <f t="shared" si="70"/>
        <v>910</v>
      </c>
      <c r="E916" s="20">
        <f t="shared" si="71"/>
        <v>850</v>
      </c>
      <c r="F916" s="20">
        <f t="shared" si="72"/>
        <v>1750</v>
      </c>
      <c r="G916" s="20">
        <v>0.31512208045200674</v>
      </c>
      <c r="H916" s="50"/>
      <c r="I916" s="16"/>
      <c r="J916" s="16"/>
      <c r="K916" s="16"/>
      <c r="L916" s="16"/>
      <c r="M916" s="16">
        <v>910</v>
      </c>
      <c r="N916" s="16">
        <f t="shared" si="73"/>
        <v>0.32621951219512196</v>
      </c>
      <c r="O916" s="16"/>
      <c r="P916" s="16"/>
      <c r="Q916" s="16">
        <f t="shared" si="74"/>
        <v>-0.45037644782509462</v>
      </c>
    </row>
    <row r="917" spans="4:17" ht="15" thickBot="1" x14ac:dyDescent="0.35">
      <c r="D917" s="20">
        <f t="shared" si="70"/>
        <v>911</v>
      </c>
      <c r="E917" s="47">
        <f t="shared" si="71"/>
        <v>950</v>
      </c>
      <c r="F917" s="47">
        <f t="shared" si="72"/>
        <v>1750</v>
      </c>
      <c r="G917" s="20">
        <v>0.31517237362324879</v>
      </c>
      <c r="H917" s="50"/>
      <c r="I917" s="16"/>
      <c r="J917" s="16"/>
      <c r="K917" s="16"/>
      <c r="L917" s="16"/>
      <c r="M917" s="16">
        <v>911</v>
      </c>
      <c r="N917" s="16">
        <f t="shared" si="73"/>
        <v>0.32657819225251078</v>
      </c>
      <c r="O917" s="16"/>
      <c r="P917" s="16"/>
      <c r="Q917" s="16">
        <f t="shared" si="74"/>
        <v>-0.44938162473164778</v>
      </c>
    </row>
    <row r="918" spans="4:17" ht="15" thickBot="1" x14ac:dyDescent="0.35">
      <c r="D918" s="20">
        <f t="shared" si="70"/>
        <v>912</v>
      </c>
      <c r="E918" s="20">
        <f t="shared" si="71"/>
        <v>1050</v>
      </c>
      <c r="F918" s="20">
        <f t="shared" si="72"/>
        <v>1750</v>
      </c>
      <c r="G918" s="20">
        <v>0.31519051656764691</v>
      </c>
      <c r="H918" s="50"/>
      <c r="I918" s="16"/>
      <c r="J918" s="16"/>
      <c r="K918" s="16"/>
      <c r="L918" s="16"/>
      <c r="M918" s="16">
        <v>912</v>
      </c>
      <c r="N918" s="16">
        <f t="shared" si="73"/>
        <v>0.3269368723098996</v>
      </c>
      <c r="O918" s="16"/>
      <c r="P918" s="16"/>
      <c r="Q918" s="16">
        <f t="shared" si="74"/>
        <v>-0.44838724618043813</v>
      </c>
    </row>
    <row r="919" spans="4:17" ht="15" thickBot="1" x14ac:dyDescent="0.35">
      <c r="D919" s="20">
        <f t="shared" si="70"/>
        <v>913</v>
      </c>
      <c r="E919" s="20">
        <f t="shared" si="71"/>
        <v>1150</v>
      </c>
      <c r="F919" s="20">
        <f t="shared" si="72"/>
        <v>1750</v>
      </c>
      <c r="G919" s="20">
        <v>0.3152109561502407</v>
      </c>
      <c r="H919" s="50"/>
      <c r="I919" s="16"/>
      <c r="J919" s="16"/>
      <c r="K919" s="16"/>
      <c r="L919" s="16"/>
      <c r="M919" s="16">
        <v>913</v>
      </c>
      <c r="N919" s="16">
        <f t="shared" si="73"/>
        <v>0.32729555236728836</v>
      </c>
      <c r="O919" s="16"/>
      <c r="P919" s="16"/>
      <c r="Q919" s="16">
        <f t="shared" si="74"/>
        <v>-0.44739331079199768</v>
      </c>
    </row>
    <row r="920" spans="4:17" ht="15" thickBot="1" x14ac:dyDescent="0.35">
      <c r="D920" s="20">
        <f t="shared" si="70"/>
        <v>914</v>
      </c>
      <c r="E920" s="20">
        <f t="shared" si="71"/>
        <v>1250</v>
      </c>
      <c r="F920" s="20">
        <f t="shared" si="72"/>
        <v>1750</v>
      </c>
      <c r="G920" s="20">
        <v>0.31525035816183211</v>
      </c>
      <c r="H920" s="50"/>
      <c r="I920" s="16"/>
      <c r="J920" s="16"/>
      <c r="K920" s="16"/>
      <c r="L920" s="16"/>
      <c r="M920" s="16">
        <v>914</v>
      </c>
      <c r="N920" s="16">
        <f t="shared" si="73"/>
        <v>0.32765423242467717</v>
      </c>
      <c r="O920" s="16"/>
      <c r="P920" s="16"/>
      <c r="Q920" s="16">
        <f t="shared" si="74"/>
        <v>-0.44639981719045196</v>
      </c>
    </row>
    <row r="921" spans="4:17" ht="15" thickBot="1" x14ac:dyDescent="0.35">
      <c r="D921" s="20">
        <f t="shared" si="70"/>
        <v>915</v>
      </c>
      <c r="E921" s="20">
        <f t="shared" si="71"/>
        <v>1350</v>
      </c>
      <c r="F921" s="20">
        <f t="shared" si="72"/>
        <v>1750</v>
      </c>
      <c r="G921" s="20">
        <v>0.31532762655017793</v>
      </c>
      <c r="H921" s="50"/>
      <c r="I921" s="16"/>
      <c r="J921" s="16"/>
      <c r="K921" s="16"/>
      <c r="L921" s="16"/>
      <c r="M921" s="16">
        <v>915</v>
      </c>
      <c r="N921" s="16">
        <f t="shared" si="73"/>
        <v>0.32801291248206599</v>
      </c>
      <c r="O921" s="16"/>
      <c r="P921" s="16"/>
      <c r="Q921" s="16">
        <f t="shared" si="74"/>
        <v>-0.44540676400350493</v>
      </c>
    </row>
    <row r="922" spans="4:17" ht="15" thickBot="1" x14ac:dyDescent="0.35">
      <c r="D922" s="20">
        <f t="shared" si="70"/>
        <v>916</v>
      </c>
      <c r="E922" s="20">
        <f t="shared" si="71"/>
        <v>1450</v>
      </c>
      <c r="F922" s="20">
        <f t="shared" si="72"/>
        <v>1750</v>
      </c>
      <c r="G922" s="20">
        <v>0.31536346142774141</v>
      </c>
      <c r="H922" s="50"/>
      <c r="I922" s="16"/>
      <c r="J922" s="16"/>
      <c r="K922" s="16"/>
      <c r="L922" s="16"/>
      <c r="M922" s="16">
        <v>916</v>
      </c>
      <c r="N922" s="16">
        <f t="shared" si="73"/>
        <v>0.3283715925394548</v>
      </c>
      <c r="O922" s="16"/>
      <c r="P922" s="16"/>
      <c r="Q922" s="16">
        <f t="shared" si="74"/>
        <v>-0.44441414986242106</v>
      </c>
    </row>
    <row r="923" spans="4:17" ht="15" thickBot="1" x14ac:dyDescent="0.35">
      <c r="D923" s="20">
        <f t="shared" si="70"/>
        <v>917</v>
      </c>
      <c r="E923" s="20">
        <f t="shared" si="71"/>
        <v>1550</v>
      </c>
      <c r="F923" s="20">
        <f t="shared" si="72"/>
        <v>1750</v>
      </c>
      <c r="G923" s="20">
        <v>0.31536965349626223</v>
      </c>
      <c r="H923" s="50"/>
      <c r="I923" s="16"/>
      <c r="J923" s="16"/>
      <c r="K923" s="16"/>
      <c r="L923" s="16"/>
      <c r="M923" s="16">
        <v>917</v>
      </c>
      <c r="N923" s="16">
        <f t="shared" si="73"/>
        <v>0.32873027259684362</v>
      </c>
      <c r="O923" s="16"/>
      <c r="P923" s="16"/>
      <c r="Q923" s="16">
        <f t="shared" si="74"/>
        <v>-0.44342197340200989</v>
      </c>
    </row>
    <row r="924" spans="4:17" ht="15" thickBot="1" x14ac:dyDescent="0.35">
      <c r="D924" s="20">
        <f t="shared" si="70"/>
        <v>918</v>
      </c>
      <c r="E924" s="20">
        <f t="shared" si="71"/>
        <v>1650</v>
      </c>
      <c r="F924" s="20">
        <f t="shared" si="72"/>
        <v>1750</v>
      </c>
      <c r="G924" s="20">
        <v>0.31548168526798276</v>
      </c>
      <c r="H924" s="50"/>
      <c r="I924" s="16"/>
      <c r="J924" s="16"/>
      <c r="K924" s="16"/>
      <c r="L924" s="16"/>
      <c r="M924" s="16">
        <v>918</v>
      </c>
      <c r="N924" s="16">
        <f t="shared" si="73"/>
        <v>0.32908895265423244</v>
      </c>
      <c r="O924" s="16"/>
      <c r="P924" s="16"/>
      <c r="Q924" s="16">
        <f t="shared" si="74"/>
        <v>-0.44243023326060898</v>
      </c>
    </row>
    <row r="925" spans="4:17" ht="15" thickBot="1" x14ac:dyDescent="0.35">
      <c r="D925" s="20">
        <f t="shared" si="70"/>
        <v>919</v>
      </c>
      <c r="E925" s="20">
        <f t="shared" si="71"/>
        <v>1750</v>
      </c>
      <c r="F925" s="20">
        <f t="shared" si="72"/>
        <v>1750</v>
      </c>
      <c r="G925" s="20">
        <v>0.31563980827579896</v>
      </c>
      <c r="H925" s="50"/>
      <c r="I925" s="16"/>
      <c r="J925" s="16"/>
      <c r="K925" s="16"/>
      <c r="L925" s="16"/>
      <c r="M925" s="16">
        <v>919</v>
      </c>
      <c r="N925" s="16">
        <f t="shared" si="73"/>
        <v>0.32944763271162125</v>
      </c>
      <c r="O925" s="16"/>
      <c r="P925" s="16"/>
      <c r="Q925" s="16">
        <f t="shared" si="74"/>
        <v>-0.44143892808006729</v>
      </c>
    </row>
    <row r="926" spans="4:17" ht="15" thickBot="1" x14ac:dyDescent="0.35">
      <c r="D926" s="20">
        <f t="shared" si="70"/>
        <v>920</v>
      </c>
      <c r="E926" s="20">
        <f t="shared" si="71"/>
        <v>1850</v>
      </c>
      <c r="F926" s="20">
        <f t="shared" si="72"/>
        <v>1750</v>
      </c>
      <c r="G926" s="20">
        <v>0.31582272616689816</v>
      </c>
      <c r="H926" s="50"/>
      <c r="I926" s="16"/>
      <c r="J926" s="16"/>
      <c r="K926" s="16"/>
      <c r="L926" s="16"/>
      <c r="M926" s="16">
        <v>920</v>
      </c>
      <c r="N926" s="16">
        <f t="shared" si="73"/>
        <v>0.32980631276901007</v>
      </c>
      <c r="O926" s="16"/>
      <c r="P926" s="16"/>
      <c r="Q926" s="16">
        <f t="shared" si="74"/>
        <v>-0.44044805650572993</v>
      </c>
    </row>
    <row r="927" spans="4:17" ht="15" thickBot="1" x14ac:dyDescent="0.35">
      <c r="D927" s="20">
        <f t="shared" si="70"/>
        <v>921</v>
      </c>
      <c r="E927" s="20">
        <f t="shared" si="71"/>
        <v>1950</v>
      </c>
      <c r="F927" s="20">
        <f t="shared" si="72"/>
        <v>1750</v>
      </c>
      <c r="G927" s="20">
        <v>0.31590523883242405</v>
      </c>
      <c r="H927" s="50"/>
      <c r="I927" s="16"/>
      <c r="J927" s="16"/>
      <c r="K927" s="16"/>
      <c r="L927" s="16"/>
      <c r="M927" s="16">
        <v>921</v>
      </c>
      <c r="N927" s="16">
        <f t="shared" si="73"/>
        <v>0.33016499282639883</v>
      </c>
      <c r="O927" s="16"/>
      <c r="P927" s="16"/>
      <c r="Q927" s="16">
        <f t="shared" si="74"/>
        <v>-0.43945761718642123</v>
      </c>
    </row>
    <row r="928" spans="4:17" ht="15" thickBot="1" x14ac:dyDescent="0.35">
      <c r="D928" s="20">
        <f t="shared" si="70"/>
        <v>922</v>
      </c>
      <c r="E928" s="20">
        <f t="shared" si="71"/>
        <v>2050</v>
      </c>
      <c r="F928" s="20">
        <f t="shared" si="72"/>
        <v>1750</v>
      </c>
      <c r="G928" s="20">
        <v>0.31613829805129323</v>
      </c>
      <c r="H928" s="50"/>
      <c r="I928" s="16"/>
      <c r="J928" s="16"/>
      <c r="K928" s="16"/>
      <c r="L928" s="16"/>
      <c r="M928" s="16">
        <v>922</v>
      </c>
      <c r="N928" s="16">
        <f t="shared" si="73"/>
        <v>0.33052367288378764</v>
      </c>
      <c r="O928" s="16"/>
      <c r="P928" s="16"/>
      <c r="Q928" s="16">
        <f t="shared" si="74"/>
        <v>-0.43846760877442831</v>
      </c>
    </row>
    <row r="929" spans="4:17" ht="15" thickBot="1" x14ac:dyDescent="0.35">
      <c r="D929" s="20">
        <f t="shared" si="70"/>
        <v>923</v>
      </c>
      <c r="E929" s="48">
        <f t="shared" si="71"/>
        <v>2150</v>
      </c>
      <c r="F929" s="48">
        <f t="shared" si="72"/>
        <v>1750</v>
      </c>
      <c r="G929" s="20">
        <v>0.31625009111507396</v>
      </c>
      <c r="H929" s="50"/>
      <c r="I929" s="16"/>
      <c r="J929" s="16"/>
      <c r="K929" s="16"/>
      <c r="L929" s="16"/>
      <c r="M929" s="16">
        <v>923</v>
      </c>
      <c r="N929" s="16">
        <f t="shared" si="73"/>
        <v>0.33088235294117646</v>
      </c>
      <c r="O929" s="16"/>
      <c r="P929" s="16"/>
      <c r="Q929" s="16">
        <f t="shared" si="74"/>
        <v>-0.43747802992548634</v>
      </c>
    </row>
    <row r="930" spans="4:17" ht="15" thickBot="1" x14ac:dyDescent="0.35">
      <c r="D930" s="20">
        <f t="shared" si="70"/>
        <v>924</v>
      </c>
      <c r="E930" s="20">
        <f t="shared" si="71"/>
        <v>2250</v>
      </c>
      <c r="F930" s="20">
        <f t="shared" si="72"/>
        <v>1750</v>
      </c>
      <c r="G930" s="20">
        <v>0.31631955528333316</v>
      </c>
      <c r="H930" s="50"/>
      <c r="I930" s="16"/>
      <c r="J930" s="16"/>
      <c r="K930" s="16"/>
      <c r="L930" s="16"/>
      <c r="M930" s="16">
        <v>924</v>
      </c>
      <c r="N930" s="16">
        <f t="shared" si="73"/>
        <v>0.33124103299856528</v>
      </c>
      <c r="O930" s="16"/>
      <c r="P930" s="16"/>
      <c r="Q930" s="16">
        <f t="shared" si="74"/>
        <v>-0.43648887929876112</v>
      </c>
    </row>
    <row r="931" spans="4:17" ht="15" thickBot="1" x14ac:dyDescent="0.35">
      <c r="D931" s="20">
        <f t="shared" si="70"/>
        <v>925</v>
      </c>
      <c r="E931" s="20">
        <f t="shared" si="71"/>
        <v>2350</v>
      </c>
      <c r="F931" s="20">
        <f t="shared" si="72"/>
        <v>1750</v>
      </c>
      <c r="G931" s="20">
        <v>0.31642676481275067</v>
      </c>
      <c r="H931" s="50"/>
      <c r="I931" s="16"/>
      <c r="J931" s="16"/>
      <c r="K931" s="16"/>
      <c r="L931" s="16"/>
      <c r="M931" s="16">
        <v>925</v>
      </c>
      <c r="N931" s="16">
        <f t="shared" si="73"/>
        <v>0.33159971305595409</v>
      </c>
      <c r="O931" s="16"/>
      <c r="P931" s="16"/>
      <c r="Q931" s="16">
        <f t="shared" si="74"/>
        <v>-0.43550015555683441</v>
      </c>
    </row>
    <row r="932" spans="4:17" ht="15" thickBot="1" x14ac:dyDescent="0.35">
      <c r="D932" s="20">
        <f t="shared" si="70"/>
        <v>926</v>
      </c>
      <c r="E932" s="20">
        <f t="shared" si="71"/>
        <v>2450</v>
      </c>
      <c r="F932" s="20">
        <f t="shared" si="72"/>
        <v>1750</v>
      </c>
      <c r="G932" s="20">
        <v>0.31661268976430923</v>
      </c>
      <c r="H932" s="50"/>
      <c r="I932" s="16"/>
      <c r="J932" s="16"/>
      <c r="K932" s="16"/>
      <c r="L932" s="16"/>
      <c r="M932" s="16">
        <v>926</v>
      </c>
      <c r="N932" s="16">
        <f t="shared" si="73"/>
        <v>0.33195839311334291</v>
      </c>
      <c r="O932" s="16"/>
      <c r="P932" s="16"/>
      <c r="Q932" s="16">
        <f t="shared" si="74"/>
        <v>-0.43451185736568737</v>
      </c>
    </row>
    <row r="933" spans="4:17" ht="15" thickBot="1" x14ac:dyDescent="0.35">
      <c r="D933" s="20">
        <f t="shared" si="70"/>
        <v>927</v>
      </c>
      <c r="E933" s="20">
        <f t="shared" si="71"/>
        <v>2550</v>
      </c>
      <c r="F933" s="20">
        <f t="shared" si="72"/>
        <v>1750</v>
      </c>
      <c r="G933" s="20">
        <v>0.31675830481963069</v>
      </c>
      <c r="H933" s="50"/>
      <c r="I933" s="16"/>
      <c r="J933" s="16"/>
      <c r="K933" s="16"/>
      <c r="L933" s="16"/>
      <c r="M933" s="16">
        <v>927</v>
      </c>
      <c r="N933" s="16">
        <f t="shared" si="73"/>
        <v>0.33231707317073172</v>
      </c>
      <c r="O933" s="16"/>
      <c r="P933" s="16"/>
      <c r="Q933" s="16">
        <f t="shared" si="74"/>
        <v>-0.43352398339468556</v>
      </c>
    </row>
    <row r="934" spans="4:17" ht="15" thickBot="1" x14ac:dyDescent="0.35">
      <c r="D934" s="20">
        <f t="shared" si="70"/>
        <v>928</v>
      </c>
      <c r="E934" s="20">
        <f t="shared" si="71"/>
        <v>2650</v>
      </c>
      <c r="F934" s="20">
        <f t="shared" si="72"/>
        <v>1750</v>
      </c>
      <c r="G934" s="20">
        <v>0.31692863735776061</v>
      </c>
      <c r="H934" s="50"/>
      <c r="I934" s="16"/>
      <c r="J934" s="16"/>
      <c r="K934" s="16"/>
      <c r="L934" s="16"/>
      <c r="M934" s="16">
        <v>928</v>
      </c>
      <c r="N934" s="16">
        <f t="shared" si="73"/>
        <v>0.33267575322812054</v>
      </c>
      <c r="O934" s="16"/>
      <c r="P934" s="16"/>
      <c r="Q934" s="16">
        <f t="shared" si="74"/>
        <v>-0.43253653231656225</v>
      </c>
    </row>
    <row r="935" spans="4:17" ht="15" thickBot="1" x14ac:dyDescent="0.35">
      <c r="D935" s="20">
        <f t="shared" si="70"/>
        <v>929</v>
      </c>
      <c r="E935" s="47">
        <f t="shared" si="71"/>
        <v>2750</v>
      </c>
      <c r="F935" s="47">
        <f t="shared" si="72"/>
        <v>1750</v>
      </c>
      <c r="G935" s="20">
        <v>0.31700019035835147</v>
      </c>
      <c r="H935" s="50"/>
      <c r="I935" s="16"/>
      <c r="J935" s="16"/>
      <c r="K935" s="16"/>
      <c r="L935" s="16"/>
      <c r="M935" s="16">
        <v>929</v>
      </c>
      <c r="N935" s="16">
        <f t="shared" si="73"/>
        <v>0.3330344332855093</v>
      </c>
      <c r="O935" s="16"/>
      <c r="P935" s="16"/>
      <c r="Q935" s="16">
        <f t="shared" si="74"/>
        <v>-0.43154950280740451</v>
      </c>
    </row>
    <row r="936" spans="4:17" ht="15" thickBot="1" x14ac:dyDescent="0.35">
      <c r="D936" s="20">
        <f t="shared" si="70"/>
        <v>930</v>
      </c>
      <c r="E936" s="20">
        <f t="shared" si="71"/>
        <v>2850</v>
      </c>
      <c r="F936" s="20">
        <f t="shared" si="72"/>
        <v>1750</v>
      </c>
      <c r="G936" s="20">
        <v>0.31700758403599399</v>
      </c>
      <c r="H936" s="50"/>
      <c r="I936" s="16"/>
      <c r="J936" s="16"/>
      <c r="K936" s="16"/>
      <c r="L936" s="16"/>
      <c r="M936" s="16">
        <v>930</v>
      </c>
      <c r="N936" s="16">
        <f t="shared" si="73"/>
        <v>0.33339311334289812</v>
      </c>
      <c r="O936" s="16"/>
      <c r="P936" s="16"/>
      <c r="Q936" s="16">
        <f t="shared" si="74"/>
        <v>-0.43056289354663568</v>
      </c>
    </row>
    <row r="937" spans="4:17" ht="15" thickBot="1" x14ac:dyDescent="0.35">
      <c r="D937" s="20">
        <f t="shared" si="70"/>
        <v>931</v>
      </c>
      <c r="E937" s="20">
        <f t="shared" si="71"/>
        <v>2950</v>
      </c>
      <c r="F937" s="20">
        <f t="shared" si="72"/>
        <v>1750</v>
      </c>
      <c r="G937" s="20">
        <v>0.3170107297603284</v>
      </c>
      <c r="H937" s="50"/>
      <c r="I937" s="16"/>
      <c r="J937" s="16"/>
      <c r="K937" s="16"/>
      <c r="L937" s="16"/>
      <c r="M937" s="16">
        <v>931</v>
      </c>
      <c r="N937" s="16">
        <f t="shared" si="73"/>
        <v>0.33375179340028693</v>
      </c>
      <c r="O937" s="16"/>
      <c r="P937" s="16"/>
      <c r="Q937" s="16">
        <f t="shared" si="74"/>
        <v>-0.42957670321700203</v>
      </c>
    </row>
    <row r="938" spans="4:17" ht="15" thickBot="1" x14ac:dyDescent="0.35">
      <c r="D938" s="20">
        <f t="shared" si="70"/>
        <v>932</v>
      </c>
      <c r="E938" s="20">
        <f t="shared" si="71"/>
        <v>3050</v>
      </c>
      <c r="F938" s="20">
        <f t="shared" si="72"/>
        <v>1750</v>
      </c>
      <c r="G938" s="20">
        <v>0.31704446187873137</v>
      </c>
      <c r="H938" s="50"/>
      <c r="I938" s="16"/>
      <c r="J938" s="16"/>
      <c r="K938" s="16"/>
      <c r="L938" s="16"/>
      <c r="M938" s="16">
        <v>932</v>
      </c>
      <c r="N938" s="16">
        <f t="shared" si="73"/>
        <v>0.33411047345767575</v>
      </c>
      <c r="O938" s="16"/>
      <c r="P938" s="16"/>
      <c r="Q938" s="16">
        <f t="shared" si="74"/>
        <v>-0.42859093050455604</v>
      </c>
    </row>
    <row r="939" spans="4:17" ht="15" thickBot="1" x14ac:dyDescent="0.35">
      <c r="D939" s="20">
        <f t="shared" si="70"/>
        <v>933</v>
      </c>
      <c r="E939" s="20">
        <f t="shared" si="71"/>
        <v>3150</v>
      </c>
      <c r="F939" s="20">
        <f t="shared" si="72"/>
        <v>1750</v>
      </c>
      <c r="G939" s="20">
        <v>0.31706191183543991</v>
      </c>
      <c r="H939" s="50"/>
      <c r="I939" s="16"/>
      <c r="J939" s="16"/>
      <c r="K939" s="16"/>
      <c r="L939" s="16"/>
      <c r="M939" s="16">
        <v>933</v>
      </c>
      <c r="N939" s="16">
        <f t="shared" si="73"/>
        <v>0.33446915351506457</v>
      </c>
      <c r="O939" s="16"/>
      <c r="P939" s="16"/>
      <c r="Q939" s="16">
        <f t="shared" si="74"/>
        <v>-0.42760557409864203</v>
      </c>
    </row>
    <row r="940" spans="4:17" ht="15" thickBot="1" x14ac:dyDescent="0.35">
      <c r="D940" s="20">
        <f t="shared" si="70"/>
        <v>934</v>
      </c>
      <c r="E940" s="20">
        <f t="shared" si="71"/>
        <v>3250</v>
      </c>
      <c r="F940" s="20">
        <f t="shared" si="72"/>
        <v>1750</v>
      </c>
      <c r="G940" s="20">
        <v>0.31712429915290918</v>
      </c>
      <c r="H940" s="50"/>
      <c r="I940" s="16"/>
      <c r="J940" s="16"/>
      <c r="K940" s="16"/>
      <c r="L940" s="16"/>
      <c r="M940" s="16">
        <v>934</v>
      </c>
      <c r="N940" s="16">
        <f t="shared" si="73"/>
        <v>0.33482783357245338</v>
      </c>
      <c r="O940" s="16"/>
      <c r="P940" s="16"/>
      <c r="Q940" s="16">
        <f t="shared" si="74"/>
        <v>-0.42662063269188</v>
      </c>
    </row>
    <row r="941" spans="4:17" ht="15" thickBot="1" x14ac:dyDescent="0.35">
      <c r="D941" s="20">
        <f t="shared" si="70"/>
        <v>935</v>
      </c>
      <c r="E941" s="20">
        <f t="shared" si="71"/>
        <v>3350</v>
      </c>
      <c r="F941" s="20">
        <f t="shared" si="72"/>
        <v>1750</v>
      </c>
      <c r="G941" s="20">
        <v>0.31733639385052437</v>
      </c>
      <c r="H941" s="50"/>
      <c r="I941" s="16"/>
      <c r="J941" s="16"/>
      <c r="K941" s="16"/>
      <c r="L941" s="16"/>
      <c r="M941" s="16">
        <v>935</v>
      </c>
      <c r="N941" s="16">
        <f t="shared" si="73"/>
        <v>0.3351865136298422</v>
      </c>
      <c r="O941" s="16"/>
      <c r="P941" s="16"/>
      <c r="Q941" s="16">
        <f t="shared" si="74"/>
        <v>-0.42563610498015186</v>
      </c>
    </row>
    <row r="942" spans="4:17" ht="15" thickBot="1" x14ac:dyDescent="0.35">
      <c r="D942" s="20">
        <f t="shared" si="70"/>
        <v>936</v>
      </c>
      <c r="E942" s="20">
        <f t="shared" si="71"/>
        <v>3450</v>
      </c>
      <c r="F942" s="20">
        <f t="shared" si="72"/>
        <v>1750</v>
      </c>
      <c r="G942" s="20">
        <v>0.31736866541574976</v>
      </c>
      <c r="H942" s="50"/>
      <c r="I942" s="16"/>
      <c r="J942" s="16"/>
      <c r="K942" s="16"/>
      <c r="L942" s="16"/>
      <c r="M942" s="16">
        <v>936</v>
      </c>
      <c r="N942" s="16">
        <f t="shared" si="73"/>
        <v>0.33554519368723101</v>
      </c>
      <c r="O942" s="16"/>
      <c r="P942" s="16"/>
      <c r="Q942" s="16">
        <f t="shared" si="74"/>
        <v>-0.42465198966258533</v>
      </c>
    </row>
    <row r="943" spans="4:17" ht="15" thickBot="1" x14ac:dyDescent="0.35">
      <c r="D943" s="20">
        <f t="shared" si="70"/>
        <v>937</v>
      </c>
      <c r="E943" s="20">
        <f t="shared" si="71"/>
        <v>3550</v>
      </c>
      <c r="F943" s="20">
        <f t="shared" si="72"/>
        <v>1750</v>
      </c>
      <c r="G943" s="20">
        <v>0.31736956391238408</v>
      </c>
      <c r="H943" s="50"/>
      <c r="I943" s="16"/>
      <c r="J943" s="16"/>
      <c r="K943" s="16"/>
      <c r="L943" s="16"/>
      <c r="M943" s="16">
        <v>937</v>
      </c>
      <c r="N943" s="16">
        <f t="shared" si="73"/>
        <v>0.33590387374461977</v>
      </c>
      <c r="O943" s="16"/>
      <c r="P943" s="16"/>
      <c r="Q943" s="16">
        <f t="shared" si="74"/>
        <v>-0.42366828544153984</v>
      </c>
    </row>
    <row r="944" spans="4:17" ht="15" thickBot="1" x14ac:dyDescent="0.35">
      <c r="D944" s="20">
        <f t="shared" si="70"/>
        <v>938</v>
      </c>
      <c r="E944" s="20">
        <f t="shared" si="71"/>
        <v>3650</v>
      </c>
      <c r="F944" s="20">
        <f t="shared" si="72"/>
        <v>1750</v>
      </c>
      <c r="G944" s="20">
        <v>0.31737983098104772</v>
      </c>
      <c r="H944" s="50"/>
      <c r="I944" s="16"/>
      <c r="J944" s="16"/>
      <c r="K944" s="16"/>
      <c r="L944" s="16"/>
      <c r="M944" s="16">
        <v>938</v>
      </c>
      <c r="N944" s="16">
        <f t="shared" si="73"/>
        <v>0.33626255380200859</v>
      </c>
      <c r="O944" s="16"/>
      <c r="P944" s="16"/>
      <c r="Q944" s="16">
        <f t="shared" si="74"/>
        <v>-0.42268499102259033</v>
      </c>
    </row>
    <row r="945" spans="4:17" ht="15" thickBot="1" x14ac:dyDescent="0.35">
      <c r="D945" s="20">
        <f t="shared" si="70"/>
        <v>939</v>
      </c>
      <c r="E945" s="20">
        <f t="shared" si="71"/>
        <v>3750</v>
      </c>
      <c r="F945" s="20">
        <f t="shared" si="72"/>
        <v>1750</v>
      </c>
      <c r="G945" s="20">
        <v>0.31762376431600903</v>
      </c>
      <c r="H945" s="50"/>
      <c r="I945" s="16"/>
      <c r="J945" s="16"/>
      <c r="K945" s="16"/>
      <c r="L945" s="16"/>
      <c r="M945" s="16">
        <v>939</v>
      </c>
      <c r="N945" s="16">
        <f t="shared" si="73"/>
        <v>0.33662123385939741</v>
      </c>
      <c r="O945" s="16"/>
      <c r="P945" s="16"/>
      <c r="Q945" s="16">
        <f t="shared" si="74"/>
        <v>-0.42170210511451434</v>
      </c>
    </row>
    <row r="946" spans="4:17" ht="15" thickBot="1" x14ac:dyDescent="0.35">
      <c r="D946" s="20">
        <f t="shared" si="70"/>
        <v>940</v>
      </c>
      <c r="E946" s="20">
        <f t="shared" si="71"/>
        <v>3850</v>
      </c>
      <c r="F946" s="20">
        <f t="shared" si="72"/>
        <v>1750</v>
      </c>
      <c r="G946" s="20">
        <v>0.31763258387220078</v>
      </c>
      <c r="H946" s="50"/>
      <c r="I946" s="16"/>
      <c r="J946" s="16"/>
      <c r="K946" s="16"/>
      <c r="L946" s="16"/>
      <c r="M946" s="16">
        <v>940</v>
      </c>
      <c r="N946" s="16">
        <f t="shared" si="73"/>
        <v>0.33697991391678622</v>
      </c>
      <c r="O946" s="16"/>
      <c r="P946" s="16"/>
      <c r="Q946" s="16">
        <f t="shared" si="74"/>
        <v>-0.42071962642927563</v>
      </c>
    </row>
    <row r="947" spans="4:17" ht="15" thickBot="1" x14ac:dyDescent="0.35">
      <c r="D947" s="20">
        <f t="shared" si="70"/>
        <v>941</v>
      </c>
      <c r="E947" s="20">
        <f t="shared" si="71"/>
        <v>3950</v>
      </c>
      <c r="F947" s="20">
        <f t="shared" si="72"/>
        <v>1750</v>
      </c>
      <c r="G947" s="20">
        <v>0.31776807533018403</v>
      </c>
      <c r="H947" s="50"/>
      <c r="I947" s="16"/>
      <c r="J947" s="16"/>
      <c r="K947" s="16"/>
      <c r="L947" s="16"/>
      <c r="M947" s="16">
        <v>941</v>
      </c>
      <c r="N947" s="16">
        <f t="shared" si="73"/>
        <v>0.33733859397417504</v>
      </c>
      <c r="O947" s="16"/>
      <c r="P947" s="16"/>
      <c r="Q947" s="16">
        <f t="shared" si="74"/>
        <v>-0.41973755368201104</v>
      </c>
    </row>
    <row r="948" spans="4:17" ht="15" thickBot="1" x14ac:dyDescent="0.35">
      <c r="D948" s="20">
        <f t="shared" si="70"/>
        <v>942</v>
      </c>
      <c r="E948" s="20">
        <f t="shared" si="71"/>
        <v>4050</v>
      </c>
      <c r="F948" s="20">
        <f t="shared" si="72"/>
        <v>1750</v>
      </c>
      <c r="G948" s="20">
        <v>0.31782892534451995</v>
      </c>
      <c r="H948" s="50"/>
      <c r="I948" s="16"/>
      <c r="J948" s="16"/>
      <c r="K948" s="16"/>
      <c r="L948" s="16"/>
      <c r="M948" s="16">
        <v>942</v>
      </c>
      <c r="N948" s="16">
        <f t="shared" si="73"/>
        <v>0.33769727403156385</v>
      </c>
      <c r="O948" s="16"/>
      <c r="P948" s="16"/>
      <c r="Q948" s="16">
        <f t="shared" si="74"/>
        <v>-0.41875588559101429</v>
      </c>
    </row>
    <row r="949" spans="4:17" ht="15" thickBot="1" x14ac:dyDescent="0.35">
      <c r="D949" s="20">
        <f t="shared" si="70"/>
        <v>943</v>
      </c>
      <c r="E949" s="20">
        <f t="shared" si="71"/>
        <v>4150</v>
      </c>
      <c r="F949" s="20">
        <f t="shared" si="72"/>
        <v>1750</v>
      </c>
      <c r="G949" s="20">
        <v>0.31783984303342877</v>
      </c>
      <c r="H949" s="50"/>
      <c r="I949" s="16"/>
      <c r="J949" s="16"/>
      <c r="K949" s="16"/>
      <c r="L949" s="16"/>
      <c r="M949" s="16">
        <v>943</v>
      </c>
      <c r="N949" s="16">
        <f t="shared" si="73"/>
        <v>0.33805595408895267</v>
      </c>
      <c r="O949" s="16"/>
      <c r="P949" s="16"/>
      <c r="Q949" s="16">
        <f t="shared" si="74"/>
        <v>-0.41777462087772282</v>
      </c>
    </row>
    <row r="950" spans="4:17" ht="15" thickBot="1" x14ac:dyDescent="0.35">
      <c r="D950" s="20">
        <f t="shared" si="70"/>
        <v>944</v>
      </c>
      <c r="E950" s="47">
        <f t="shared" si="71"/>
        <v>4250</v>
      </c>
      <c r="F950" s="47">
        <f t="shared" si="72"/>
        <v>1750</v>
      </c>
      <c r="G950" s="20">
        <v>0.31805584268870435</v>
      </c>
      <c r="H950" s="50"/>
      <c r="I950" s="16"/>
      <c r="J950" s="16"/>
      <c r="K950" s="16"/>
      <c r="L950" s="16"/>
      <c r="M950" s="16">
        <v>944</v>
      </c>
      <c r="N950" s="16">
        <f t="shared" si="73"/>
        <v>0.33841463414634149</v>
      </c>
      <c r="O950" s="16"/>
      <c r="P950" s="16"/>
      <c r="Q950" s="16">
        <f t="shared" si="74"/>
        <v>-0.41679375826670267</v>
      </c>
    </row>
    <row r="951" spans="4:17" ht="15" thickBot="1" x14ac:dyDescent="0.35">
      <c r="D951" s="20">
        <f t="shared" si="70"/>
        <v>945</v>
      </c>
      <c r="E951" s="20">
        <f t="shared" si="71"/>
        <v>4350</v>
      </c>
      <c r="F951" s="20">
        <f t="shared" si="72"/>
        <v>1750</v>
      </c>
      <c r="G951" s="20">
        <v>0.31822016456377877</v>
      </c>
      <c r="H951" s="50"/>
      <c r="I951" s="16"/>
      <c r="J951" s="16"/>
      <c r="K951" s="16"/>
      <c r="L951" s="16"/>
      <c r="M951" s="16">
        <v>945</v>
      </c>
      <c r="N951" s="16">
        <f t="shared" si="73"/>
        <v>0.33877331420373025</v>
      </c>
      <c r="O951" s="16"/>
      <c r="P951" s="16"/>
      <c r="Q951" s="16">
        <f t="shared" si="74"/>
        <v>-0.41581329648563453</v>
      </c>
    </row>
    <row r="952" spans="4:17" ht="15" thickBot="1" x14ac:dyDescent="0.35">
      <c r="D952" s="20">
        <f t="shared" si="70"/>
        <v>946</v>
      </c>
      <c r="E952" s="20">
        <f t="shared" si="71"/>
        <v>4450</v>
      </c>
      <c r="F952" s="20">
        <f t="shared" si="72"/>
        <v>1750</v>
      </c>
      <c r="G952" s="20">
        <v>0.31822434324784998</v>
      </c>
      <c r="H952" s="50"/>
      <c r="I952" s="16"/>
      <c r="J952" s="16"/>
      <c r="K952" s="16"/>
      <c r="L952" s="16"/>
      <c r="M952" s="16">
        <v>946</v>
      </c>
      <c r="N952" s="16">
        <f t="shared" si="73"/>
        <v>0.33913199426111906</v>
      </c>
      <c r="O952" s="16"/>
      <c r="P952" s="16"/>
      <c r="Q952" s="16">
        <f t="shared" si="74"/>
        <v>-0.41483323426529861</v>
      </c>
    </row>
    <row r="953" spans="4:17" ht="15" thickBot="1" x14ac:dyDescent="0.35">
      <c r="D953" s="20">
        <f t="shared" si="70"/>
        <v>947</v>
      </c>
      <c r="E953" s="20">
        <f t="shared" si="71"/>
        <v>4550</v>
      </c>
      <c r="F953" s="20">
        <f t="shared" si="72"/>
        <v>1750</v>
      </c>
      <c r="G953" s="20">
        <v>0.31824788710292923</v>
      </c>
      <c r="H953" s="50"/>
      <c r="I953" s="16"/>
      <c r="J953" s="16"/>
      <c r="K953" s="16"/>
      <c r="L953" s="16"/>
      <c r="M953" s="16">
        <v>947</v>
      </c>
      <c r="N953" s="16">
        <f t="shared" si="73"/>
        <v>0.33949067431850788</v>
      </c>
      <c r="O953" s="16"/>
      <c r="P953" s="16"/>
      <c r="Q953" s="16">
        <f t="shared" si="74"/>
        <v>-0.41385357033956183</v>
      </c>
    </row>
    <row r="954" spans="4:17" ht="15" thickBot="1" x14ac:dyDescent="0.35">
      <c r="D954" s="20">
        <f t="shared" si="70"/>
        <v>948</v>
      </c>
      <c r="E954" s="20">
        <f t="shared" si="71"/>
        <v>4650</v>
      </c>
      <c r="F954" s="20">
        <f t="shared" si="72"/>
        <v>1750</v>
      </c>
      <c r="G954" s="20">
        <v>0.31828722997644693</v>
      </c>
      <c r="H954" s="50"/>
      <c r="I954" s="16"/>
      <c r="J954" s="16"/>
      <c r="K954" s="16"/>
      <c r="L954" s="16"/>
      <c r="M954" s="16">
        <v>948</v>
      </c>
      <c r="N954" s="16">
        <f t="shared" si="73"/>
        <v>0.3398493543758967</v>
      </c>
      <c r="O954" s="16"/>
      <c r="P954" s="16"/>
      <c r="Q954" s="16">
        <f t="shared" si="74"/>
        <v>-0.41287430344536208</v>
      </c>
    </row>
    <row r="955" spans="4:17" ht="15" thickBot="1" x14ac:dyDescent="0.35">
      <c r="D955" s="20">
        <f t="shared" si="70"/>
        <v>949</v>
      </c>
      <c r="E955" s="20">
        <f t="shared" si="71"/>
        <v>4750</v>
      </c>
      <c r="F955" s="20">
        <f t="shared" si="72"/>
        <v>1750</v>
      </c>
      <c r="G955" s="20">
        <v>0.31834637668769827</v>
      </c>
      <c r="H955" s="50"/>
      <c r="I955" s="16"/>
      <c r="J955" s="16"/>
      <c r="K955" s="16"/>
      <c r="L955" s="16"/>
      <c r="M955" s="16">
        <v>949</v>
      </c>
      <c r="N955" s="16">
        <f t="shared" si="73"/>
        <v>0.34020803443328551</v>
      </c>
      <c r="O955" s="16"/>
      <c r="P955" s="16"/>
      <c r="Q955" s="16">
        <f t="shared" si="74"/>
        <v>-0.4118954323226956</v>
      </c>
    </row>
    <row r="956" spans="4:17" ht="15" thickBot="1" x14ac:dyDescent="0.35">
      <c r="D956" s="20">
        <f t="shared" si="70"/>
        <v>950</v>
      </c>
      <c r="E956" s="20">
        <f t="shared" si="71"/>
        <v>4850</v>
      </c>
      <c r="F956" s="20">
        <f t="shared" si="72"/>
        <v>1750</v>
      </c>
      <c r="G956" s="20">
        <v>0.3183466220170838</v>
      </c>
      <c r="H956" s="50"/>
      <c r="I956" s="16"/>
      <c r="J956" s="16"/>
      <c r="K956" s="16"/>
      <c r="L956" s="16"/>
      <c r="M956" s="16">
        <v>950</v>
      </c>
      <c r="N956" s="16">
        <f t="shared" si="73"/>
        <v>0.34056671449067433</v>
      </c>
      <c r="O956" s="16"/>
      <c r="P956" s="16"/>
      <c r="Q956" s="16">
        <f t="shared" si="74"/>
        <v>-0.41091695571460224</v>
      </c>
    </row>
    <row r="957" spans="4:17" ht="15" thickBot="1" x14ac:dyDescent="0.35">
      <c r="D957" s="20">
        <f t="shared" si="70"/>
        <v>951</v>
      </c>
      <c r="E957" s="20">
        <f t="shared" si="71"/>
        <v>4950</v>
      </c>
      <c r="F957" s="20">
        <f t="shared" si="72"/>
        <v>1750</v>
      </c>
      <c r="G957" s="20">
        <v>0.31835156525772651</v>
      </c>
      <c r="H957" s="50"/>
      <c r="I957" s="16"/>
      <c r="J957" s="16"/>
      <c r="K957" s="16"/>
      <c r="L957" s="16"/>
      <c r="M957" s="16">
        <v>951</v>
      </c>
      <c r="N957" s="16">
        <f t="shared" si="73"/>
        <v>0.34092539454806314</v>
      </c>
      <c r="O957" s="16"/>
      <c r="P957" s="16"/>
      <c r="Q957" s="16">
        <f t="shared" si="74"/>
        <v>-0.40993887236715104</v>
      </c>
    </row>
    <row r="958" spans="4:17" ht="15" thickBot="1" x14ac:dyDescent="0.35">
      <c r="D958" s="20">
        <f t="shared" si="70"/>
        <v>952</v>
      </c>
      <c r="E958" s="20">
        <f t="shared" si="71"/>
        <v>5050</v>
      </c>
      <c r="F958" s="20">
        <f t="shared" si="72"/>
        <v>1750</v>
      </c>
      <c r="G958" s="20">
        <v>0.31836851092795398</v>
      </c>
      <c r="H958" s="50"/>
      <c r="I958" s="16"/>
      <c r="J958" s="16"/>
      <c r="K958" s="16"/>
      <c r="L958" s="16"/>
      <c r="M958" s="16">
        <v>952</v>
      </c>
      <c r="N958" s="16">
        <f t="shared" si="73"/>
        <v>0.34128407460545196</v>
      </c>
      <c r="O958" s="16"/>
      <c r="P958" s="16"/>
      <c r="Q958" s="16">
        <f t="shared" si="74"/>
        <v>-0.40896118102942736</v>
      </c>
    </row>
    <row r="959" spans="4:17" ht="15" thickBot="1" x14ac:dyDescent="0.35">
      <c r="D959" s="20">
        <f t="shared" si="70"/>
        <v>953</v>
      </c>
      <c r="E959" s="20">
        <f t="shared" si="71"/>
        <v>5150</v>
      </c>
      <c r="F959" s="20">
        <f t="shared" si="72"/>
        <v>1750</v>
      </c>
      <c r="G959" s="20">
        <v>0.3183857728311113</v>
      </c>
      <c r="H959" s="50"/>
      <c r="I959" s="16"/>
      <c r="J959" s="16"/>
      <c r="K959" s="16"/>
      <c r="L959" s="16"/>
      <c r="M959" s="16">
        <v>953</v>
      </c>
      <c r="N959" s="16">
        <f t="shared" si="73"/>
        <v>0.34164275466284072</v>
      </c>
      <c r="O959" s="16"/>
      <c r="P959" s="16"/>
      <c r="Q959" s="16">
        <f t="shared" si="74"/>
        <v>-0.40798388045351869</v>
      </c>
    </row>
    <row r="960" spans="4:17" ht="15" thickBot="1" x14ac:dyDescent="0.35">
      <c r="D960" s="20">
        <f t="shared" si="70"/>
        <v>954</v>
      </c>
      <c r="E960" s="20">
        <f t="shared" si="71"/>
        <v>5250</v>
      </c>
      <c r="F960" s="20">
        <f t="shared" si="72"/>
        <v>1750</v>
      </c>
      <c r="G960" s="20">
        <v>0.31843115677884415</v>
      </c>
      <c r="H960" s="50"/>
      <c r="I960" s="16"/>
      <c r="J960" s="16"/>
      <c r="K960" s="16"/>
      <c r="L960" s="16"/>
      <c r="M960" s="16">
        <v>954</v>
      </c>
      <c r="N960" s="16">
        <f t="shared" si="73"/>
        <v>0.34200143472022954</v>
      </c>
      <c r="O960" s="16"/>
      <c r="P960" s="16"/>
      <c r="Q960" s="16">
        <f t="shared" si="74"/>
        <v>-0.40700696939450032</v>
      </c>
    </row>
    <row r="961" spans="4:17" ht="15" thickBot="1" x14ac:dyDescent="0.35">
      <c r="D961" s="20">
        <f t="shared" si="70"/>
        <v>955</v>
      </c>
      <c r="E961" s="20">
        <f t="shared" si="71"/>
        <v>50</v>
      </c>
      <c r="F961" s="20">
        <f t="shared" si="72"/>
        <v>1850</v>
      </c>
      <c r="G961" s="20">
        <v>0.31847559094549827</v>
      </c>
      <c r="H961" s="50"/>
      <c r="I961" s="16"/>
      <c r="J961" s="16"/>
      <c r="K961" s="16"/>
      <c r="L961" s="16"/>
      <c r="M961" s="16">
        <v>955</v>
      </c>
      <c r="N961" s="16">
        <f t="shared" si="73"/>
        <v>0.34236011477761835</v>
      </c>
      <c r="O961" s="16"/>
      <c r="P961" s="16"/>
      <c r="Q961" s="16">
        <f t="shared" si="74"/>
        <v>-0.40603044661042242</v>
      </c>
    </row>
    <row r="962" spans="4:17" ht="15" thickBot="1" x14ac:dyDescent="0.35">
      <c r="D962" s="20">
        <f t="shared" si="70"/>
        <v>956</v>
      </c>
      <c r="E962" s="47">
        <f t="shared" si="71"/>
        <v>150</v>
      </c>
      <c r="F962" s="47">
        <f t="shared" si="72"/>
        <v>1850</v>
      </c>
      <c r="G962" s="20">
        <v>0.31860180995804072</v>
      </c>
      <c r="H962" s="50"/>
      <c r="I962" s="16"/>
      <c r="J962" s="16"/>
      <c r="K962" s="16"/>
      <c r="L962" s="16"/>
      <c r="M962" s="16">
        <v>956</v>
      </c>
      <c r="N962" s="16">
        <f t="shared" si="73"/>
        <v>0.34271879483500717</v>
      </c>
      <c r="O962" s="16"/>
      <c r="P962" s="16"/>
      <c r="Q962" s="16">
        <f t="shared" si="74"/>
        <v>-0.40505431086229643</v>
      </c>
    </row>
    <row r="963" spans="4:17" ht="15" thickBot="1" x14ac:dyDescent="0.35">
      <c r="D963" s="20">
        <f t="shared" si="70"/>
        <v>957</v>
      </c>
      <c r="E963" s="20">
        <f t="shared" si="71"/>
        <v>250</v>
      </c>
      <c r="F963" s="20">
        <f t="shared" si="72"/>
        <v>1850</v>
      </c>
      <c r="G963" s="20">
        <v>0.3186062820469916</v>
      </c>
      <c r="H963" s="50"/>
      <c r="I963" s="16"/>
      <c r="J963" s="16"/>
      <c r="K963" s="16"/>
      <c r="L963" s="16"/>
      <c r="M963" s="16">
        <v>957</v>
      </c>
      <c r="N963" s="16">
        <f t="shared" si="73"/>
        <v>0.34307747489239598</v>
      </c>
      <c r="O963" s="16"/>
      <c r="P963" s="16"/>
      <c r="Q963" s="16">
        <f t="shared" si="74"/>
        <v>-0.40407856091408068</v>
      </c>
    </row>
    <row r="964" spans="4:17" ht="15" thickBot="1" x14ac:dyDescent="0.35">
      <c r="D964" s="20">
        <f t="shared" si="70"/>
        <v>958</v>
      </c>
      <c r="E964" s="45">
        <f t="shared" si="71"/>
        <v>350</v>
      </c>
      <c r="F964" s="45">
        <f t="shared" si="72"/>
        <v>1850</v>
      </c>
      <c r="G964" s="20">
        <v>0.31868225285617119</v>
      </c>
      <c r="H964" s="50"/>
      <c r="I964" s="16"/>
      <c r="J964" s="16"/>
      <c r="K964" s="16"/>
      <c r="L964" s="16"/>
      <c r="M964" s="16">
        <v>958</v>
      </c>
      <c r="N964" s="16">
        <f t="shared" si="73"/>
        <v>0.3434361549497848</v>
      </c>
      <c r="O964" s="16"/>
      <c r="P964" s="16"/>
      <c r="Q964" s="16">
        <f t="shared" si="74"/>
        <v>-0.40310319553266777</v>
      </c>
    </row>
    <row r="965" spans="4:17" ht="15" thickBot="1" x14ac:dyDescent="0.35">
      <c r="D965" s="20">
        <f t="shared" si="70"/>
        <v>959</v>
      </c>
      <c r="E965" s="20">
        <f t="shared" si="71"/>
        <v>450</v>
      </c>
      <c r="F965" s="20">
        <f t="shared" si="72"/>
        <v>1850</v>
      </c>
      <c r="G965" s="20">
        <v>0.31929179850380879</v>
      </c>
      <c r="H965" s="50"/>
      <c r="I965" s="16"/>
      <c r="J965" s="16"/>
      <c r="K965" s="16"/>
      <c r="L965" s="16"/>
      <c r="M965" s="16">
        <v>959</v>
      </c>
      <c r="N965" s="16">
        <f t="shared" si="73"/>
        <v>0.34379483500717362</v>
      </c>
      <c r="O965" s="16"/>
      <c r="P965" s="16"/>
      <c r="Q965" s="16">
        <f t="shared" si="74"/>
        <v>-0.40212821348787098</v>
      </c>
    </row>
    <row r="966" spans="4:17" ht="15" thickBot="1" x14ac:dyDescent="0.35">
      <c r="D966" s="20">
        <f t="shared" si="70"/>
        <v>960</v>
      </c>
      <c r="E966" s="20">
        <f t="shared" si="71"/>
        <v>550</v>
      </c>
      <c r="F966" s="20">
        <f t="shared" si="72"/>
        <v>1850</v>
      </c>
      <c r="G966" s="20">
        <v>0.31929483769736594</v>
      </c>
      <c r="H966" s="50"/>
      <c r="I966" s="16"/>
      <c r="J966" s="16"/>
      <c r="K966" s="16"/>
      <c r="L966" s="16"/>
      <c r="M966" s="16">
        <v>960</v>
      </c>
      <c r="N966" s="16">
        <f t="shared" si="73"/>
        <v>0.34415351506456243</v>
      </c>
      <c r="O966" s="16"/>
      <c r="P966" s="16"/>
      <c r="Q966" s="16">
        <f t="shared" si="74"/>
        <v>-0.40115361355241069</v>
      </c>
    </row>
    <row r="967" spans="4:17" ht="15" thickBot="1" x14ac:dyDescent="0.35">
      <c r="D967" s="20">
        <f t="shared" ref="D967:D1030" si="75">ROW()-6</f>
        <v>961</v>
      </c>
      <c r="E967" s="20">
        <f t="shared" ref="E967:E1030" si="76">(MOD(D967-1,53)*100)+50</f>
        <v>650</v>
      </c>
      <c r="F967" s="20">
        <f t="shared" ref="F967:F1030" si="77">FLOOR((D967-1)/53,1)*100+50</f>
        <v>1850</v>
      </c>
      <c r="G967" s="20">
        <v>0.31935192464933254</v>
      </c>
      <c r="H967" s="50"/>
      <c r="I967" s="16"/>
      <c r="J967" s="16"/>
      <c r="K967" s="16"/>
      <c r="L967" s="16"/>
      <c r="M967" s="16">
        <v>961</v>
      </c>
      <c r="N967" s="16">
        <f t="shared" si="73"/>
        <v>0.34451219512195119</v>
      </c>
      <c r="O967" s="16"/>
      <c r="P967" s="16"/>
      <c r="Q967" s="16">
        <f t="shared" si="74"/>
        <v>-0.40017939450190104</v>
      </c>
    </row>
    <row r="968" spans="4:17" ht="15" thickBot="1" x14ac:dyDescent="0.35">
      <c r="D968" s="20">
        <f t="shared" si="75"/>
        <v>962</v>
      </c>
      <c r="E968" s="20">
        <f t="shared" si="76"/>
        <v>750</v>
      </c>
      <c r="F968" s="20">
        <f t="shared" si="77"/>
        <v>1850</v>
      </c>
      <c r="G968" s="20">
        <v>0.31936249590362364</v>
      </c>
      <c r="H968" s="50"/>
      <c r="I968" s="16"/>
      <c r="J968" s="16"/>
      <c r="K968" s="16"/>
      <c r="L968" s="16"/>
      <c r="M968" s="16">
        <v>962</v>
      </c>
      <c r="N968" s="16">
        <f t="shared" ref="N968:N1031" si="78">(M968-0.5)/$L$7</f>
        <v>0.34487087517934001</v>
      </c>
      <c r="O968" s="16"/>
      <c r="P968" s="16"/>
      <c r="Q968" s="16">
        <f t="shared" ref="Q968:Q1031" si="79">_xlfn.NORM.S.INV(N968)</f>
        <v>-0.39920555511483696</v>
      </c>
    </row>
    <row r="969" spans="4:17" ht="15" thickBot="1" x14ac:dyDescent="0.35">
      <c r="D969" s="20">
        <f t="shared" si="75"/>
        <v>963</v>
      </c>
      <c r="E969" s="20">
        <f t="shared" si="76"/>
        <v>850</v>
      </c>
      <c r="F969" s="20">
        <f t="shared" si="77"/>
        <v>1850</v>
      </c>
      <c r="G969" s="20">
        <v>0.31940010665688018</v>
      </c>
      <c r="H969" s="50"/>
      <c r="I969" s="16"/>
      <c r="J969" s="16"/>
      <c r="K969" s="16"/>
      <c r="L969" s="16"/>
      <c r="M969" s="16">
        <v>963</v>
      </c>
      <c r="N969" s="16">
        <f t="shared" si="78"/>
        <v>0.34522955523672882</v>
      </c>
      <c r="O969" s="16"/>
      <c r="P969" s="16"/>
      <c r="Q969" s="16">
        <f t="shared" si="79"/>
        <v>-0.39823209417258071</v>
      </c>
    </row>
    <row r="970" spans="4:17" ht="15" thickBot="1" x14ac:dyDescent="0.35">
      <c r="D970" s="20">
        <f t="shared" si="75"/>
        <v>964</v>
      </c>
      <c r="E970" s="20">
        <f t="shared" si="76"/>
        <v>950</v>
      </c>
      <c r="F970" s="20">
        <f t="shared" si="77"/>
        <v>1850</v>
      </c>
      <c r="G970" s="20">
        <v>0.31943214980683055</v>
      </c>
      <c r="H970" s="50"/>
      <c r="I970" s="16"/>
      <c r="J970" s="16"/>
      <c r="K970" s="16"/>
      <c r="L970" s="16"/>
      <c r="M970" s="16">
        <v>964</v>
      </c>
      <c r="N970" s="16">
        <f t="shared" si="78"/>
        <v>0.34558823529411764</v>
      </c>
      <c r="O970" s="16"/>
      <c r="P970" s="16"/>
      <c r="Q970" s="16">
        <f t="shared" si="79"/>
        <v>-0.39725901045934914</v>
      </c>
    </row>
    <row r="971" spans="4:17" ht="15" thickBot="1" x14ac:dyDescent="0.35">
      <c r="D971" s="20">
        <f t="shared" si="75"/>
        <v>965</v>
      </c>
      <c r="E971" s="48">
        <f t="shared" si="76"/>
        <v>1050</v>
      </c>
      <c r="F971" s="48">
        <f t="shared" si="77"/>
        <v>1850</v>
      </c>
      <c r="G971" s="20">
        <v>0.31948043002641674</v>
      </c>
      <c r="H971" s="50"/>
      <c r="I971" s="16"/>
      <c r="J971" s="16"/>
      <c r="K971" s="16"/>
      <c r="L971" s="16"/>
      <c r="M971" s="16">
        <v>965</v>
      </c>
      <c r="N971" s="16">
        <f t="shared" si="78"/>
        <v>0.34594691535150646</v>
      </c>
      <c r="O971" s="16"/>
      <c r="P971" s="16"/>
      <c r="Q971" s="16">
        <f t="shared" si="79"/>
        <v>-0.3962863027622005</v>
      </c>
    </row>
    <row r="972" spans="4:17" ht="15" thickBot="1" x14ac:dyDescent="0.35">
      <c r="D972" s="20">
        <f t="shared" si="75"/>
        <v>966</v>
      </c>
      <c r="E972" s="20">
        <f t="shared" si="76"/>
        <v>1150</v>
      </c>
      <c r="F972" s="20">
        <f t="shared" si="77"/>
        <v>1850</v>
      </c>
      <c r="G972" s="20">
        <v>0.31956277052230553</v>
      </c>
      <c r="H972" s="50"/>
      <c r="I972" s="16"/>
      <c r="J972" s="16"/>
      <c r="K972" s="16"/>
      <c r="L972" s="16"/>
      <c r="M972" s="16">
        <v>966</v>
      </c>
      <c r="N972" s="16">
        <f t="shared" si="78"/>
        <v>0.34630559540889527</v>
      </c>
      <c r="O972" s="16"/>
      <c r="P972" s="16"/>
      <c r="Q972" s="16">
        <f t="shared" si="79"/>
        <v>-0.39531396987102113</v>
      </c>
    </row>
    <row r="973" spans="4:17" ht="15" thickBot="1" x14ac:dyDescent="0.35">
      <c r="D973" s="20">
        <f t="shared" si="75"/>
        <v>967</v>
      </c>
      <c r="E973" s="20">
        <f t="shared" si="76"/>
        <v>1250</v>
      </c>
      <c r="F973" s="20">
        <f t="shared" si="77"/>
        <v>1850</v>
      </c>
      <c r="G973" s="20">
        <v>0.3196078041180288</v>
      </c>
      <c r="H973" s="50"/>
      <c r="I973" s="16"/>
      <c r="J973" s="16"/>
      <c r="K973" s="16"/>
      <c r="L973" s="16"/>
      <c r="M973" s="16">
        <v>967</v>
      </c>
      <c r="N973" s="16">
        <f t="shared" si="78"/>
        <v>0.34666427546628409</v>
      </c>
      <c r="O973" s="16"/>
      <c r="P973" s="16"/>
      <c r="Q973" s="16">
        <f t="shared" si="79"/>
        <v>-0.39434201057851331</v>
      </c>
    </row>
    <row r="974" spans="4:17" ht="15" thickBot="1" x14ac:dyDescent="0.35">
      <c r="D974" s="20">
        <f t="shared" si="75"/>
        <v>968</v>
      </c>
      <c r="E974" s="20">
        <f t="shared" si="76"/>
        <v>1350</v>
      </c>
      <c r="F974" s="20">
        <f t="shared" si="77"/>
        <v>1850</v>
      </c>
      <c r="G974" s="20">
        <v>0.3196974120538098</v>
      </c>
      <c r="H974" s="50"/>
      <c r="I974" s="16"/>
      <c r="J974" s="16"/>
      <c r="K974" s="16"/>
      <c r="L974" s="16"/>
      <c r="M974" s="16">
        <v>968</v>
      </c>
      <c r="N974" s="16">
        <f t="shared" si="78"/>
        <v>0.3470229555236729</v>
      </c>
      <c r="O974" s="16"/>
      <c r="P974" s="16"/>
      <c r="Q974" s="16">
        <f t="shared" si="79"/>
        <v>-0.39337042368018144</v>
      </c>
    </row>
    <row r="975" spans="4:17" ht="15" thickBot="1" x14ac:dyDescent="0.35">
      <c r="D975" s="20">
        <f t="shared" si="75"/>
        <v>969</v>
      </c>
      <c r="E975" s="20">
        <f t="shared" si="76"/>
        <v>1450</v>
      </c>
      <c r="F975" s="20">
        <f t="shared" si="77"/>
        <v>1850</v>
      </c>
      <c r="G975" s="20">
        <v>0.31993338097178931</v>
      </c>
      <c r="H975" s="50"/>
      <c r="I975" s="16"/>
      <c r="J975" s="16"/>
      <c r="K975" s="16"/>
      <c r="L975" s="16"/>
      <c r="M975" s="16">
        <v>969</v>
      </c>
      <c r="N975" s="16">
        <f t="shared" si="78"/>
        <v>0.34738163558106172</v>
      </c>
      <c r="O975" s="16"/>
      <c r="P975" s="16"/>
      <c r="Q975" s="16">
        <f t="shared" si="79"/>
        <v>-0.39239920797431982</v>
      </c>
    </row>
    <row r="976" spans="4:17" ht="15" thickBot="1" x14ac:dyDescent="0.35">
      <c r="D976" s="20">
        <f t="shared" si="75"/>
        <v>970</v>
      </c>
      <c r="E976" s="20">
        <f t="shared" si="76"/>
        <v>1550</v>
      </c>
      <c r="F976" s="20">
        <f t="shared" si="77"/>
        <v>1850</v>
      </c>
      <c r="G976" s="20">
        <v>0.31996027508118713</v>
      </c>
      <c r="H976" s="50"/>
      <c r="I976" s="16"/>
      <c r="J976" s="16"/>
      <c r="K976" s="16"/>
      <c r="L976" s="16"/>
      <c r="M976" s="16">
        <v>970</v>
      </c>
      <c r="N976" s="16">
        <f t="shared" si="78"/>
        <v>0.34774031563845048</v>
      </c>
      <c r="O976" s="16"/>
      <c r="P976" s="16"/>
      <c r="Q976" s="16">
        <f t="shared" si="79"/>
        <v>-0.3914283622620004</v>
      </c>
    </row>
    <row r="977" spans="4:17" ht="15" thickBot="1" x14ac:dyDescent="0.35">
      <c r="D977" s="20">
        <f t="shared" si="75"/>
        <v>971</v>
      </c>
      <c r="E977" s="20">
        <f t="shared" si="76"/>
        <v>1650</v>
      </c>
      <c r="F977" s="20">
        <f t="shared" si="77"/>
        <v>1850</v>
      </c>
      <c r="G977" s="20">
        <v>0.32006919787149696</v>
      </c>
      <c r="H977" s="50"/>
      <c r="I977" s="16"/>
      <c r="J977" s="16"/>
      <c r="K977" s="16"/>
      <c r="L977" s="16"/>
      <c r="M977" s="16">
        <v>971</v>
      </c>
      <c r="N977" s="16">
        <f t="shared" si="78"/>
        <v>0.3480989956958393</v>
      </c>
      <c r="O977" s="16"/>
      <c r="P977" s="16"/>
      <c r="Q977" s="16">
        <f t="shared" si="79"/>
        <v>-0.39045788534705833</v>
      </c>
    </row>
    <row r="978" spans="4:17" ht="15" thickBot="1" x14ac:dyDescent="0.35">
      <c r="D978" s="20">
        <f t="shared" si="75"/>
        <v>972</v>
      </c>
      <c r="E978" s="20">
        <f t="shared" si="76"/>
        <v>1750</v>
      </c>
      <c r="F978" s="20">
        <f t="shared" si="77"/>
        <v>1850</v>
      </c>
      <c r="G978" s="20">
        <v>0.32008152960017039</v>
      </c>
      <c r="H978" s="50"/>
      <c r="I978" s="16"/>
      <c r="J978" s="16"/>
      <c r="K978" s="16"/>
      <c r="L978" s="16"/>
      <c r="M978" s="16">
        <v>972</v>
      </c>
      <c r="N978" s="16">
        <f t="shared" si="78"/>
        <v>0.34845767575322811</v>
      </c>
      <c r="O978" s="16"/>
      <c r="P978" s="16"/>
      <c r="Q978" s="16">
        <f t="shared" si="79"/>
        <v>-0.38948777603608148</v>
      </c>
    </row>
    <row r="979" spans="4:17" ht="15" thickBot="1" x14ac:dyDescent="0.35">
      <c r="D979" s="20">
        <f t="shared" si="75"/>
        <v>973</v>
      </c>
      <c r="E979" s="20">
        <f t="shared" si="76"/>
        <v>1850</v>
      </c>
      <c r="F979" s="20">
        <f t="shared" si="77"/>
        <v>1850</v>
      </c>
      <c r="G979" s="20">
        <v>0.32023498930832694</v>
      </c>
      <c r="H979" s="50"/>
      <c r="I979" s="16"/>
      <c r="J979" s="16"/>
      <c r="K979" s="16"/>
      <c r="L979" s="16"/>
      <c r="M979" s="16">
        <v>973</v>
      </c>
      <c r="N979" s="16">
        <f t="shared" si="78"/>
        <v>0.34881635581061693</v>
      </c>
      <c r="O979" s="16"/>
      <c r="P979" s="16"/>
      <c r="Q979" s="16">
        <f t="shared" si="79"/>
        <v>-0.38851803313839667</v>
      </c>
    </row>
    <row r="980" spans="4:17" ht="15" thickBot="1" x14ac:dyDescent="0.35">
      <c r="D980" s="20">
        <f t="shared" si="75"/>
        <v>974</v>
      </c>
      <c r="E980" s="20">
        <f t="shared" si="76"/>
        <v>1950</v>
      </c>
      <c r="F980" s="20">
        <f t="shared" si="77"/>
        <v>1850</v>
      </c>
      <c r="G980" s="20">
        <v>0.32024251112393648</v>
      </c>
      <c r="H980" s="50"/>
      <c r="I980" s="16"/>
      <c r="J980" s="16"/>
      <c r="K980" s="16"/>
      <c r="L980" s="16"/>
      <c r="M980" s="16">
        <v>974</v>
      </c>
      <c r="N980" s="16">
        <f t="shared" si="78"/>
        <v>0.34917503586800575</v>
      </c>
      <c r="O980" s="16"/>
      <c r="P980" s="16"/>
      <c r="Q980" s="16">
        <f t="shared" si="79"/>
        <v>-0.38754865546605738</v>
      </c>
    </row>
    <row r="981" spans="4:17" ht="15" thickBot="1" x14ac:dyDescent="0.35">
      <c r="D981" s="20">
        <f t="shared" si="75"/>
        <v>975</v>
      </c>
      <c r="E981" s="20">
        <f t="shared" si="76"/>
        <v>2050</v>
      </c>
      <c r="F981" s="20">
        <f t="shared" si="77"/>
        <v>1850</v>
      </c>
      <c r="G981" s="20">
        <v>0.32026803247509911</v>
      </c>
      <c r="H981" s="50"/>
      <c r="I981" s="16"/>
      <c r="J981" s="16"/>
      <c r="K981" s="16"/>
      <c r="L981" s="16"/>
      <c r="M981" s="16">
        <v>975</v>
      </c>
      <c r="N981" s="16">
        <f t="shared" si="78"/>
        <v>0.34953371592539456</v>
      </c>
      <c r="O981" s="16"/>
      <c r="P981" s="16"/>
      <c r="Q981" s="16">
        <f t="shared" si="79"/>
        <v>-0.38657964183383137</v>
      </c>
    </row>
    <row r="982" spans="4:17" ht="15" thickBot="1" x14ac:dyDescent="0.35">
      <c r="D982" s="20">
        <f t="shared" si="75"/>
        <v>976</v>
      </c>
      <c r="E982" s="20">
        <f t="shared" si="76"/>
        <v>2150</v>
      </c>
      <c r="F982" s="20">
        <f t="shared" si="77"/>
        <v>1850</v>
      </c>
      <c r="G982" s="20">
        <v>0.32034679645264386</v>
      </c>
      <c r="H982" s="50"/>
      <c r="I982" s="16"/>
      <c r="J982" s="16"/>
      <c r="K982" s="16"/>
      <c r="L982" s="16"/>
      <c r="M982" s="16">
        <v>976</v>
      </c>
      <c r="N982" s="16">
        <f t="shared" si="78"/>
        <v>0.34989239598278338</v>
      </c>
      <c r="O982" s="16"/>
      <c r="P982" s="16"/>
      <c r="Q982" s="16">
        <f t="shared" si="79"/>
        <v>-0.38561099105918833</v>
      </c>
    </row>
    <row r="983" spans="4:17" ht="15" thickBot="1" x14ac:dyDescent="0.35">
      <c r="D983" s="20">
        <f t="shared" si="75"/>
        <v>977</v>
      </c>
      <c r="E983" s="20">
        <f t="shared" si="76"/>
        <v>2250</v>
      </c>
      <c r="F983" s="20">
        <f t="shared" si="77"/>
        <v>1850</v>
      </c>
      <c r="G983" s="20">
        <v>0.32051126663484558</v>
      </c>
      <c r="H983" s="50"/>
      <c r="I983" s="16"/>
      <c r="J983" s="16"/>
      <c r="K983" s="16"/>
      <c r="L983" s="16"/>
      <c r="M983" s="16">
        <v>977</v>
      </c>
      <c r="N983" s="16">
        <f t="shared" si="78"/>
        <v>0.35025107604017219</v>
      </c>
      <c r="O983" s="16"/>
      <c r="P983" s="16"/>
      <c r="Q983" s="16">
        <f t="shared" si="79"/>
        <v>-0.38464270196228711</v>
      </c>
    </row>
    <row r="984" spans="4:17" ht="15" thickBot="1" x14ac:dyDescent="0.35">
      <c r="D984" s="20">
        <f t="shared" si="75"/>
        <v>978</v>
      </c>
      <c r="E984" s="20">
        <f t="shared" si="76"/>
        <v>2350</v>
      </c>
      <c r="F984" s="20">
        <f t="shared" si="77"/>
        <v>1850</v>
      </c>
      <c r="G984" s="20">
        <v>0.32052096156899434</v>
      </c>
      <c r="H984" s="50"/>
      <c r="I984" s="16"/>
      <c r="J984" s="16"/>
      <c r="K984" s="16"/>
      <c r="L984" s="16"/>
      <c r="M984" s="16">
        <v>978</v>
      </c>
      <c r="N984" s="16">
        <f t="shared" si="78"/>
        <v>0.35060975609756095</v>
      </c>
      <c r="O984" s="16"/>
      <c r="P984" s="16"/>
      <c r="Q984" s="16">
        <f t="shared" si="79"/>
        <v>-0.38367477336596478</v>
      </c>
    </row>
    <row r="985" spans="4:17" ht="15" thickBot="1" x14ac:dyDescent="0.35">
      <c r="D985" s="20">
        <f t="shared" si="75"/>
        <v>979</v>
      </c>
      <c r="E985" s="20">
        <f t="shared" si="76"/>
        <v>2450</v>
      </c>
      <c r="F985" s="20">
        <f t="shared" si="77"/>
        <v>1850</v>
      </c>
      <c r="G985" s="20">
        <v>0.32057129661131689</v>
      </c>
      <c r="H985" s="50"/>
      <c r="I985" s="16"/>
      <c r="J985" s="16"/>
      <c r="K985" s="16"/>
      <c r="L985" s="16"/>
      <c r="M985" s="16">
        <v>979</v>
      </c>
      <c r="N985" s="16">
        <f t="shared" si="78"/>
        <v>0.35096843615494977</v>
      </c>
      <c r="O985" s="16"/>
      <c r="P985" s="16"/>
      <c r="Q985" s="16">
        <f t="shared" si="79"/>
        <v>-0.38270720409572206</v>
      </c>
    </row>
    <row r="986" spans="4:17" ht="15" thickBot="1" x14ac:dyDescent="0.35">
      <c r="D986" s="20">
        <f t="shared" si="75"/>
        <v>980</v>
      </c>
      <c r="E986" s="44">
        <f t="shared" si="76"/>
        <v>2550</v>
      </c>
      <c r="F986" s="44">
        <f t="shared" si="77"/>
        <v>1850</v>
      </c>
      <c r="G986" s="20">
        <v>0.32059762252081403</v>
      </c>
      <c r="H986" s="50"/>
      <c r="I986" s="16"/>
      <c r="J986" s="16"/>
      <c r="K986" s="16"/>
      <c r="L986" s="16"/>
      <c r="M986" s="16">
        <v>980</v>
      </c>
      <c r="N986" s="16">
        <f t="shared" si="78"/>
        <v>0.35132711621233859</v>
      </c>
      <c r="O986" s="16"/>
      <c r="P986" s="16"/>
      <c r="Q986" s="16">
        <f t="shared" si="79"/>
        <v>-0.38173999297971378</v>
      </c>
    </row>
    <row r="987" spans="4:17" ht="15" thickBot="1" x14ac:dyDescent="0.35">
      <c r="D987" s="20">
        <f t="shared" si="75"/>
        <v>981</v>
      </c>
      <c r="E987" s="20">
        <f t="shared" si="76"/>
        <v>2650</v>
      </c>
      <c r="F987" s="20">
        <f t="shared" si="77"/>
        <v>1850</v>
      </c>
      <c r="G987" s="20">
        <v>0.32068943670780864</v>
      </c>
      <c r="H987" s="50"/>
      <c r="I987" s="16"/>
      <c r="J987" s="16"/>
      <c r="K987" s="16"/>
      <c r="L987" s="16"/>
      <c r="M987" s="16">
        <v>981</v>
      </c>
      <c r="N987" s="16">
        <f t="shared" si="78"/>
        <v>0.3516857962697274</v>
      </c>
      <c r="O987" s="16"/>
      <c r="P987" s="16"/>
      <c r="Q987" s="16">
        <f t="shared" si="79"/>
        <v>-0.38077313884873498</v>
      </c>
    </row>
    <row r="988" spans="4:17" ht="15" thickBot="1" x14ac:dyDescent="0.35">
      <c r="D988" s="20">
        <f t="shared" si="75"/>
        <v>982</v>
      </c>
      <c r="E988" s="20">
        <f t="shared" si="76"/>
        <v>2750</v>
      </c>
      <c r="F988" s="20">
        <f t="shared" si="77"/>
        <v>1850</v>
      </c>
      <c r="G988" s="20">
        <v>0.32079841903957257</v>
      </c>
      <c r="H988" s="50"/>
      <c r="I988" s="16"/>
      <c r="J988" s="16"/>
      <c r="K988" s="16"/>
      <c r="L988" s="16"/>
      <c r="M988" s="16">
        <v>982</v>
      </c>
      <c r="N988" s="16">
        <f t="shared" si="78"/>
        <v>0.35204447632711622</v>
      </c>
      <c r="O988" s="16"/>
      <c r="P988" s="16"/>
      <c r="Q988" s="16">
        <f t="shared" si="79"/>
        <v>-0.37980664053620944</v>
      </c>
    </row>
    <row r="989" spans="4:17" ht="15" thickBot="1" x14ac:dyDescent="0.35">
      <c r="D989" s="20">
        <f t="shared" si="75"/>
        <v>983</v>
      </c>
      <c r="E989" s="20">
        <f t="shared" si="76"/>
        <v>2850</v>
      </c>
      <c r="F989" s="20">
        <f t="shared" si="77"/>
        <v>1850</v>
      </c>
      <c r="G989" s="20">
        <v>0.32088681005099384</v>
      </c>
      <c r="H989" s="50"/>
      <c r="I989" s="16"/>
      <c r="J989" s="16"/>
      <c r="K989" s="16"/>
      <c r="L989" s="16"/>
      <c r="M989" s="16">
        <v>983</v>
      </c>
      <c r="N989" s="16">
        <f t="shared" si="78"/>
        <v>0.35240315638450503</v>
      </c>
      <c r="O989" s="16"/>
      <c r="P989" s="16"/>
      <c r="Q989" s="16">
        <f t="shared" si="79"/>
        <v>-0.37884049687817822</v>
      </c>
    </row>
    <row r="990" spans="4:17" ht="15" thickBot="1" x14ac:dyDescent="0.35">
      <c r="D990" s="20">
        <f t="shared" si="75"/>
        <v>984</v>
      </c>
      <c r="E990" s="20">
        <f t="shared" si="76"/>
        <v>2950</v>
      </c>
      <c r="F990" s="20">
        <f t="shared" si="77"/>
        <v>1850</v>
      </c>
      <c r="G990" s="20">
        <v>0.3209516441049442</v>
      </c>
      <c r="H990" s="50"/>
      <c r="I990" s="16"/>
      <c r="J990" s="16"/>
      <c r="K990" s="16"/>
      <c r="L990" s="16"/>
      <c r="M990" s="16">
        <v>984</v>
      </c>
      <c r="N990" s="16">
        <f t="shared" si="78"/>
        <v>0.35276183644189385</v>
      </c>
      <c r="O990" s="16"/>
      <c r="P990" s="16"/>
      <c r="Q990" s="16">
        <f t="shared" si="79"/>
        <v>-0.37787470671328632</v>
      </c>
    </row>
    <row r="991" spans="4:17" ht="15" thickBot="1" x14ac:dyDescent="0.35">
      <c r="D991" s="20">
        <f t="shared" si="75"/>
        <v>985</v>
      </c>
      <c r="E991" s="20">
        <f t="shared" si="76"/>
        <v>3050</v>
      </c>
      <c r="F991" s="20">
        <f t="shared" si="77"/>
        <v>1850</v>
      </c>
      <c r="G991" s="20">
        <v>0.32095981153206454</v>
      </c>
      <c r="H991" s="50"/>
      <c r="I991" s="16"/>
      <c r="J991" s="16"/>
      <c r="K991" s="16"/>
      <c r="L991" s="16"/>
      <c r="M991" s="16">
        <v>985</v>
      </c>
      <c r="N991" s="16">
        <f t="shared" si="78"/>
        <v>0.35312051649928267</v>
      </c>
      <c r="O991" s="16"/>
      <c r="P991" s="16"/>
      <c r="Q991" s="16">
        <f t="shared" si="79"/>
        <v>-0.37690926888277237</v>
      </c>
    </row>
    <row r="992" spans="4:17" ht="15" thickBot="1" x14ac:dyDescent="0.35">
      <c r="D992" s="20">
        <f t="shared" si="75"/>
        <v>986</v>
      </c>
      <c r="E992" s="20">
        <f t="shared" si="76"/>
        <v>3150</v>
      </c>
      <c r="F992" s="20">
        <f t="shared" si="77"/>
        <v>1850</v>
      </c>
      <c r="G992" s="20">
        <v>0.32104274793333942</v>
      </c>
      <c r="H992" s="50"/>
      <c r="I992" s="16"/>
      <c r="J992" s="16"/>
      <c r="K992" s="16"/>
      <c r="L992" s="16"/>
      <c r="M992" s="16">
        <v>986</v>
      </c>
      <c r="N992" s="16">
        <f t="shared" si="78"/>
        <v>0.35347919655667143</v>
      </c>
      <c r="O992" s="16"/>
      <c r="P992" s="16"/>
      <c r="Q992" s="16">
        <f t="shared" si="79"/>
        <v>-0.37594418223045617</v>
      </c>
    </row>
    <row r="993" spans="4:17" ht="15" thickBot="1" x14ac:dyDescent="0.35">
      <c r="D993" s="20">
        <f t="shared" si="75"/>
        <v>987</v>
      </c>
      <c r="E993" s="20">
        <f t="shared" si="76"/>
        <v>3250</v>
      </c>
      <c r="F993" s="20">
        <f t="shared" si="77"/>
        <v>1850</v>
      </c>
      <c r="G993" s="20">
        <v>0.32117364764926898</v>
      </c>
      <c r="H993" s="50"/>
      <c r="I993" s="16"/>
      <c r="J993" s="16"/>
      <c r="K993" s="16"/>
      <c r="L993" s="16"/>
      <c r="M993" s="16">
        <v>987</v>
      </c>
      <c r="N993" s="16">
        <f t="shared" si="78"/>
        <v>0.35383787661406024</v>
      </c>
      <c r="O993" s="16"/>
      <c r="P993" s="16"/>
      <c r="Q993" s="16">
        <f t="shared" si="79"/>
        <v>-0.374979445602726</v>
      </c>
    </row>
    <row r="994" spans="4:17" ht="15" thickBot="1" x14ac:dyDescent="0.35">
      <c r="D994" s="20">
        <f t="shared" si="75"/>
        <v>988</v>
      </c>
      <c r="E994" s="20">
        <f t="shared" si="76"/>
        <v>3350</v>
      </c>
      <c r="F994" s="20">
        <f t="shared" si="77"/>
        <v>1850</v>
      </c>
      <c r="G994" s="20">
        <v>0.32122109894349765</v>
      </c>
      <c r="H994" s="50"/>
      <c r="I994" s="16"/>
      <c r="J994" s="16"/>
      <c r="K994" s="16"/>
      <c r="L994" s="16"/>
      <c r="M994" s="16">
        <v>988</v>
      </c>
      <c r="N994" s="16">
        <f t="shared" si="78"/>
        <v>0.35419655667144906</v>
      </c>
      <c r="O994" s="16"/>
      <c r="P994" s="16"/>
      <c r="Q994" s="16">
        <f t="shared" si="79"/>
        <v>-0.37401505784852862</v>
      </c>
    </row>
    <row r="995" spans="4:17" ht="15" thickBot="1" x14ac:dyDescent="0.35">
      <c r="D995" s="20">
        <f t="shared" si="75"/>
        <v>989</v>
      </c>
      <c r="E995" s="43">
        <f t="shared" si="76"/>
        <v>3450</v>
      </c>
      <c r="F995" s="43">
        <f t="shared" si="77"/>
        <v>1850</v>
      </c>
      <c r="G995" s="20">
        <v>0.32123912324910725</v>
      </c>
      <c r="H995" s="50"/>
      <c r="I995" s="16"/>
      <c r="J995" s="16"/>
      <c r="K995" s="16"/>
      <c r="L995" s="16"/>
      <c r="M995" s="16">
        <v>989</v>
      </c>
      <c r="N995" s="16">
        <f t="shared" si="78"/>
        <v>0.35455523672883787</v>
      </c>
      <c r="O995" s="16"/>
      <c r="P995" s="16"/>
      <c r="Q995" s="16">
        <f t="shared" si="79"/>
        <v>-0.37305101781935623</v>
      </c>
    </row>
    <row r="996" spans="4:17" ht="15" thickBot="1" x14ac:dyDescent="0.35">
      <c r="D996" s="20">
        <f t="shared" si="75"/>
        <v>990</v>
      </c>
      <c r="E996" s="20">
        <f t="shared" si="76"/>
        <v>3550</v>
      </c>
      <c r="F996" s="20">
        <f t="shared" si="77"/>
        <v>1850</v>
      </c>
      <c r="G996" s="20">
        <v>0.32144495821007268</v>
      </c>
      <c r="H996" s="50"/>
      <c r="I996" s="16"/>
      <c r="J996" s="16"/>
      <c r="K996" s="16"/>
      <c r="L996" s="16"/>
      <c r="M996" s="16">
        <v>990</v>
      </c>
      <c r="N996" s="16">
        <f t="shared" si="78"/>
        <v>0.35491391678622669</v>
      </c>
      <c r="O996" s="16"/>
      <c r="P996" s="16"/>
      <c r="Q996" s="16">
        <f t="shared" si="79"/>
        <v>-0.37208732436923569</v>
      </c>
    </row>
    <row r="997" spans="4:17" ht="15" thickBot="1" x14ac:dyDescent="0.35">
      <c r="D997" s="20">
        <f t="shared" si="75"/>
        <v>991</v>
      </c>
      <c r="E997" s="20">
        <f t="shared" si="76"/>
        <v>3650</v>
      </c>
      <c r="F997" s="20">
        <f t="shared" si="77"/>
        <v>1850</v>
      </c>
      <c r="G997" s="20">
        <v>0.32149632362566471</v>
      </c>
      <c r="H997" s="50"/>
      <c r="I997" s="16"/>
      <c r="J997" s="16"/>
      <c r="K997" s="16"/>
      <c r="L997" s="16"/>
      <c r="M997" s="16">
        <v>991</v>
      </c>
      <c r="N997" s="16">
        <f t="shared" si="78"/>
        <v>0.35527259684361551</v>
      </c>
      <c r="O997" s="16"/>
      <c r="P997" s="16"/>
      <c r="Q997" s="16">
        <f t="shared" si="79"/>
        <v>-0.37112397635471656</v>
      </c>
    </row>
    <row r="998" spans="4:17" ht="15" thickBot="1" x14ac:dyDescent="0.35">
      <c r="D998" s="20">
        <f t="shared" si="75"/>
        <v>992</v>
      </c>
      <c r="E998" s="45">
        <f t="shared" si="76"/>
        <v>3750</v>
      </c>
      <c r="F998" s="45">
        <f t="shared" si="77"/>
        <v>1850</v>
      </c>
      <c r="G998" s="20">
        <v>0.32156263249591505</v>
      </c>
      <c r="H998" s="50"/>
      <c r="I998" s="16"/>
      <c r="J998" s="16"/>
      <c r="K998" s="16"/>
      <c r="L998" s="16"/>
      <c r="M998" s="16">
        <v>992</v>
      </c>
      <c r="N998" s="16">
        <f t="shared" si="78"/>
        <v>0.35563127690100432</v>
      </c>
      <c r="O998" s="16"/>
      <c r="P998" s="16"/>
      <c r="Q998" s="16">
        <f t="shared" si="79"/>
        <v>-0.37016097263485925</v>
      </c>
    </row>
    <row r="999" spans="4:17" ht="15" thickBot="1" x14ac:dyDescent="0.35">
      <c r="D999" s="20">
        <f t="shared" si="75"/>
        <v>993</v>
      </c>
      <c r="E999" s="20">
        <f t="shared" si="76"/>
        <v>3850</v>
      </c>
      <c r="F999" s="20">
        <f t="shared" si="77"/>
        <v>1850</v>
      </c>
      <c r="G999" s="20">
        <v>0.32169517563247296</v>
      </c>
      <c r="H999" s="50"/>
      <c r="I999" s="16"/>
      <c r="J999" s="16"/>
      <c r="K999" s="16"/>
      <c r="L999" s="16"/>
      <c r="M999" s="16">
        <v>993</v>
      </c>
      <c r="N999" s="16">
        <f t="shared" si="78"/>
        <v>0.35598995695839314</v>
      </c>
      <c r="O999" s="16"/>
      <c r="P999" s="16"/>
      <c r="Q999" s="16">
        <f t="shared" si="79"/>
        <v>-0.36919831207122461</v>
      </c>
    </row>
    <row r="1000" spans="4:17" ht="15" thickBot="1" x14ac:dyDescent="0.35">
      <c r="D1000" s="20">
        <f t="shared" si="75"/>
        <v>994</v>
      </c>
      <c r="E1000" s="20">
        <f t="shared" si="76"/>
        <v>3950</v>
      </c>
      <c r="F1000" s="20">
        <f t="shared" si="77"/>
        <v>1850</v>
      </c>
      <c r="G1000" s="20">
        <v>0.32184861205813176</v>
      </c>
      <c r="H1000" s="50"/>
      <c r="I1000" s="16"/>
      <c r="J1000" s="16"/>
      <c r="K1000" s="16"/>
      <c r="L1000" s="16"/>
      <c r="M1000" s="16">
        <v>994</v>
      </c>
      <c r="N1000" s="16">
        <f t="shared" si="78"/>
        <v>0.3563486370157819</v>
      </c>
      <c r="O1000" s="16"/>
      <c r="P1000" s="16"/>
      <c r="Q1000" s="16">
        <f t="shared" si="79"/>
        <v>-0.36823599352786157</v>
      </c>
    </row>
    <row r="1001" spans="4:17" ht="15" thickBot="1" x14ac:dyDescent="0.35">
      <c r="D1001" s="20">
        <f t="shared" si="75"/>
        <v>995</v>
      </c>
      <c r="E1001" s="20">
        <f t="shared" si="76"/>
        <v>4050</v>
      </c>
      <c r="F1001" s="20">
        <f t="shared" si="77"/>
        <v>1850</v>
      </c>
      <c r="G1001" s="20">
        <v>0.32187910362414046</v>
      </c>
      <c r="H1001" s="50"/>
      <c r="I1001" s="16"/>
      <c r="J1001" s="16"/>
      <c r="K1001" s="16"/>
      <c r="L1001" s="16"/>
      <c r="M1001" s="16">
        <v>995</v>
      </c>
      <c r="N1001" s="16">
        <f t="shared" si="78"/>
        <v>0.35670731707317072</v>
      </c>
      <c r="O1001" s="16"/>
      <c r="P1001" s="16"/>
      <c r="Q1001" s="16">
        <f t="shared" si="79"/>
        <v>-0.36727401587129571</v>
      </c>
    </row>
    <row r="1002" spans="4:17" ht="15" thickBot="1" x14ac:dyDescent="0.35">
      <c r="D1002" s="20">
        <f t="shared" si="75"/>
        <v>996</v>
      </c>
      <c r="E1002" s="20">
        <f t="shared" si="76"/>
        <v>4150</v>
      </c>
      <c r="F1002" s="20">
        <f t="shared" si="77"/>
        <v>1850</v>
      </c>
      <c r="G1002" s="20">
        <v>0.32193698118268221</v>
      </c>
      <c r="H1002" s="50"/>
      <c r="I1002" s="16"/>
      <c r="J1002" s="16"/>
      <c r="K1002" s="16"/>
      <c r="L1002" s="16"/>
      <c r="M1002" s="16">
        <v>996</v>
      </c>
      <c r="N1002" s="16">
        <f t="shared" si="78"/>
        <v>0.35706599713055953</v>
      </c>
      <c r="O1002" s="16"/>
      <c r="P1002" s="16"/>
      <c r="Q1002" s="16">
        <f t="shared" si="79"/>
        <v>-0.36631237797051897</v>
      </c>
    </row>
    <row r="1003" spans="4:17" ht="15" thickBot="1" x14ac:dyDescent="0.35">
      <c r="D1003" s="20">
        <f t="shared" si="75"/>
        <v>997</v>
      </c>
      <c r="E1003" s="20">
        <f t="shared" si="76"/>
        <v>4250</v>
      </c>
      <c r="F1003" s="20">
        <f t="shared" si="77"/>
        <v>1850</v>
      </c>
      <c r="G1003" s="20">
        <v>0.3219550409964077</v>
      </c>
      <c r="H1003" s="50"/>
      <c r="I1003" s="16"/>
      <c r="J1003" s="16"/>
      <c r="K1003" s="16"/>
      <c r="L1003" s="16"/>
      <c r="M1003" s="16">
        <v>997</v>
      </c>
      <c r="N1003" s="16">
        <f t="shared" si="78"/>
        <v>0.35742467718794835</v>
      </c>
      <c r="O1003" s="16"/>
      <c r="P1003" s="16"/>
      <c r="Q1003" s="16">
        <f t="shared" si="79"/>
        <v>-0.36535107869697736</v>
      </c>
    </row>
    <row r="1004" spans="4:17" ht="15" thickBot="1" x14ac:dyDescent="0.35">
      <c r="D1004" s="20">
        <f t="shared" si="75"/>
        <v>998</v>
      </c>
      <c r="E1004" s="20">
        <f t="shared" si="76"/>
        <v>4350</v>
      </c>
      <c r="F1004" s="20">
        <f t="shared" si="77"/>
        <v>1850</v>
      </c>
      <c r="G1004" s="20">
        <v>0.32199809983344746</v>
      </c>
      <c r="H1004" s="50"/>
      <c r="I1004" s="16"/>
      <c r="J1004" s="16"/>
      <c r="K1004" s="16"/>
      <c r="L1004" s="16"/>
      <c r="M1004" s="16">
        <v>998</v>
      </c>
      <c r="N1004" s="16">
        <f t="shared" si="78"/>
        <v>0.35778335724533716</v>
      </c>
      <c r="O1004" s="16"/>
      <c r="P1004" s="16"/>
      <c r="Q1004" s="16">
        <f t="shared" si="79"/>
        <v>-0.36439011692456047</v>
      </c>
    </row>
    <row r="1005" spans="4:17" ht="15" thickBot="1" x14ac:dyDescent="0.35">
      <c r="D1005" s="20">
        <f t="shared" si="75"/>
        <v>999</v>
      </c>
      <c r="E1005" s="20">
        <f t="shared" si="76"/>
        <v>4450</v>
      </c>
      <c r="F1005" s="20">
        <f t="shared" si="77"/>
        <v>1850</v>
      </c>
      <c r="G1005" s="20">
        <v>0.32213623198526603</v>
      </c>
      <c r="H1005" s="50"/>
      <c r="I1005" s="16"/>
      <c r="J1005" s="16"/>
      <c r="K1005" s="16"/>
      <c r="L1005" s="16"/>
      <c r="M1005" s="16">
        <v>999</v>
      </c>
      <c r="N1005" s="16">
        <f t="shared" si="78"/>
        <v>0.35814203730272598</v>
      </c>
      <c r="O1005" s="16"/>
      <c r="P1005" s="16"/>
      <c r="Q1005" s="16">
        <f t="shared" si="79"/>
        <v>-0.36342949152958964</v>
      </c>
    </row>
    <row r="1006" spans="4:17" ht="15" thickBot="1" x14ac:dyDescent="0.35">
      <c r="D1006" s="20">
        <f t="shared" si="75"/>
        <v>1000</v>
      </c>
      <c r="E1006" s="20">
        <f t="shared" si="76"/>
        <v>4550</v>
      </c>
      <c r="F1006" s="20">
        <f t="shared" si="77"/>
        <v>1850</v>
      </c>
      <c r="G1006" s="20">
        <v>0.3221653417470553</v>
      </c>
      <c r="H1006" s="50"/>
      <c r="I1006" s="16"/>
      <c r="J1006" s="16"/>
      <c r="K1006" s="16"/>
      <c r="L1006" s="16"/>
      <c r="M1006" s="16">
        <v>1000</v>
      </c>
      <c r="N1006" s="16">
        <f t="shared" si="78"/>
        <v>0.3585007173601148</v>
      </c>
      <c r="O1006" s="16"/>
      <c r="P1006" s="16"/>
      <c r="Q1006" s="16">
        <f t="shared" si="79"/>
        <v>-0.36246920139080774</v>
      </c>
    </row>
    <row r="1007" spans="4:17" ht="15" thickBot="1" x14ac:dyDescent="0.35">
      <c r="D1007" s="20">
        <f t="shared" si="75"/>
        <v>1001</v>
      </c>
      <c r="E1007" s="20">
        <f t="shared" si="76"/>
        <v>4650</v>
      </c>
      <c r="F1007" s="20">
        <f t="shared" si="77"/>
        <v>1850</v>
      </c>
      <c r="G1007" s="20">
        <v>0.3221978316077147</v>
      </c>
      <c r="H1007" s="50"/>
      <c r="I1007" s="16"/>
      <c r="J1007" s="16"/>
      <c r="K1007" s="16"/>
      <c r="L1007" s="16"/>
      <c r="M1007" s="16">
        <v>1001</v>
      </c>
      <c r="N1007" s="16">
        <f t="shared" si="78"/>
        <v>0.35885939741750361</v>
      </c>
      <c r="O1007" s="16"/>
      <c r="P1007" s="16"/>
      <c r="Q1007" s="16">
        <f t="shared" si="79"/>
        <v>-0.36150924538936696</v>
      </c>
    </row>
    <row r="1008" spans="4:17" ht="15" thickBot="1" x14ac:dyDescent="0.35">
      <c r="D1008" s="20">
        <f t="shared" si="75"/>
        <v>1002</v>
      </c>
      <c r="E1008" s="20">
        <f t="shared" si="76"/>
        <v>4750</v>
      </c>
      <c r="F1008" s="20">
        <f t="shared" si="77"/>
        <v>1850</v>
      </c>
      <c r="G1008" s="20">
        <v>0.32246654850520784</v>
      </c>
      <c r="H1008" s="50"/>
      <c r="I1008" s="16"/>
      <c r="J1008" s="16"/>
      <c r="K1008" s="16"/>
      <c r="L1008" s="16"/>
      <c r="M1008" s="16">
        <v>1002</v>
      </c>
      <c r="N1008" s="16">
        <f t="shared" si="78"/>
        <v>0.35921807747489237</v>
      </c>
      <c r="O1008" s="16"/>
      <c r="P1008" s="16"/>
      <c r="Q1008" s="16">
        <f t="shared" si="79"/>
        <v>-0.36054962240881927</v>
      </c>
    </row>
    <row r="1009" spans="4:17" ht="15" thickBot="1" x14ac:dyDescent="0.35">
      <c r="D1009" s="20">
        <f t="shared" si="75"/>
        <v>1003</v>
      </c>
      <c r="E1009" s="20">
        <f t="shared" si="76"/>
        <v>4850</v>
      </c>
      <c r="F1009" s="20">
        <f t="shared" si="77"/>
        <v>1850</v>
      </c>
      <c r="G1009" s="20">
        <v>0.32268147819654119</v>
      </c>
      <c r="H1009" s="50"/>
      <c r="I1009" s="16"/>
      <c r="J1009" s="16"/>
      <c r="K1009" s="16"/>
      <c r="L1009" s="16"/>
      <c r="M1009" s="16">
        <v>1003</v>
      </c>
      <c r="N1009" s="16">
        <f t="shared" si="78"/>
        <v>0.35957675753228119</v>
      </c>
      <c r="O1009" s="16"/>
      <c r="P1009" s="16"/>
      <c r="Q1009" s="16">
        <f t="shared" si="79"/>
        <v>-0.35959033133510349</v>
      </c>
    </row>
    <row r="1010" spans="4:17" ht="15" thickBot="1" x14ac:dyDescent="0.35">
      <c r="D1010" s="20">
        <f t="shared" si="75"/>
        <v>1004</v>
      </c>
      <c r="E1010" s="20">
        <f t="shared" si="76"/>
        <v>4950</v>
      </c>
      <c r="F1010" s="20">
        <f t="shared" si="77"/>
        <v>1850</v>
      </c>
      <c r="G1010" s="20">
        <v>0.3227097902489327</v>
      </c>
      <c r="H1010" s="50"/>
      <c r="I1010" s="16"/>
      <c r="J1010" s="16"/>
      <c r="K1010" s="16"/>
      <c r="L1010" s="16"/>
      <c r="M1010" s="16">
        <v>1004</v>
      </c>
      <c r="N1010" s="16">
        <f t="shared" si="78"/>
        <v>0.35993543758967</v>
      </c>
      <c r="O1010" s="16"/>
      <c r="P1010" s="16"/>
      <c r="Q1010" s="16">
        <f t="shared" si="79"/>
        <v>-0.35863137105653659</v>
      </c>
    </row>
    <row r="1011" spans="4:17" ht="15" thickBot="1" x14ac:dyDescent="0.35">
      <c r="D1011" s="20">
        <f t="shared" si="75"/>
        <v>1005</v>
      </c>
      <c r="E1011" s="20">
        <f t="shared" si="76"/>
        <v>5050</v>
      </c>
      <c r="F1011" s="20">
        <f t="shared" si="77"/>
        <v>1850</v>
      </c>
      <c r="G1011" s="20">
        <v>0.32271210615846452</v>
      </c>
      <c r="H1011" s="50"/>
      <c r="I1011" s="16"/>
      <c r="J1011" s="16"/>
      <c r="K1011" s="16"/>
      <c r="L1011" s="16"/>
      <c r="M1011" s="16">
        <v>1005</v>
      </c>
      <c r="N1011" s="16">
        <f t="shared" si="78"/>
        <v>0.36029411764705882</v>
      </c>
      <c r="O1011" s="16"/>
      <c r="P1011" s="16"/>
      <c r="Q1011" s="16">
        <f t="shared" si="79"/>
        <v>-0.35767274046380138</v>
      </c>
    </row>
    <row r="1012" spans="4:17" ht="15" thickBot="1" x14ac:dyDescent="0.35">
      <c r="D1012" s="20">
        <f t="shared" si="75"/>
        <v>1006</v>
      </c>
      <c r="E1012" s="20">
        <f t="shared" si="76"/>
        <v>5150</v>
      </c>
      <c r="F1012" s="20">
        <f t="shared" si="77"/>
        <v>1850</v>
      </c>
      <c r="G1012" s="20">
        <v>0.32275691932896811</v>
      </c>
      <c r="H1012" s="50"/>
      <c r="I1012" s="16"/>
      <c r="J1012" s="16"/>
      <c r="K1012" s="16"/>
      <c r="L1012" s="16"/>
      <c r="M1012" s="16">
        <v>1006</v>
      </c>
      <c r="N1012" s="16">
        <f t="shared" si="78"/>
        <v>0.36065279770444764</v>
      </c>
      <c r="O1012" s="16"/>
      <c r="P1012" s="16"/>
      <c r="Q1012" s="16">
        <f t="shared" si="79"/>
        <v>-0.356714438449936</v>
      </c>
    </row>
    <row r="1013" spans="4:17" ht="15" thickBot="1" x14ac:dyDescent="0.35">
      <c r="D1013" s="20">
        <f t="shared" si="75"/>
        <v>1007</v>
      </c>
      <c r="E1013" s="20">
        <f t="shared" si="76"/>
        <v>5250</v>
      </c>
      <c r="F1013" s="20">
        <f t="shared" si="77"/>
        <v>1850</v>
      </c>
      <c r="G1013" s="20">
        <v>0.32277917498506314</v>
      </c>
      <c r="H1013" s="50"/>
      <c r="I1013" s="16"/>
      <c r="J1013" s="16"/>
      <c r="K1013" s="16"/>
      <c r="L1013" s="16"/>
      <c r="M1013" s="16">
        <v>1007</v>
      </c>
      <c r="N1013" s="16">
        <f t="shared" si="78"/>
        <v>0.36101147776183645</v>
      </c>
      <c r="O1013" s="16"/>
      <c r="P1013" s="16"/>
      <c r="Q1013" s="16">
        <f t="shared" si="79"/>
        <v>-0.35575646391032334</v>
      </c>
    </row>
    <row r="1014" spans="4:17" ht="15" thickBot="1" x14ac:dyDescent="0.35">
      <c r="D1014" s="20">
        <f t="shared" si="75"/>
        <v>1008</v>
      </c>
      <c r="E1014" s="20">
        <f t="shared" si="76"/>
        <v>50</v>
      </c>
      <c r="F1014" s="20">
        <f t="shared" si="77"/>
        <v>1950</v>
      </c>
      <c r="G1014" s="20">
        <v>0.32283393762197343</v>
      </c>
      <c r="H1014" s="50"/>
      <c r="I1014" s="16"/>
      <c r="J1014" s="16"/>
      <c r="K1014" s="16"/>
      <c r="L1014" s="16"/>
      <c r="M1014" s="16">
        <v>1008</v>
      </c>
      <c r="N1014" s="16">
        <f t="shared" si="78"/>
        <v>0.36137015781922527</v>
      </c>
      <c r="O1014" s="16"/>
      <c r="P1014" s="16"/>
      <c r="Q1014" s="16">
        <f t="shared" si="79"/>
        <v>-0.35479881574268041</v>
      </c>
    </row>
    <row r="1015" spans="4:17" ht="15" thickBot="1" x14ac:dyDescent="0.35">
      <c r="D1015" s="20">
        <f t="shared" si="75"/>
        <v>1009</v>
      </c>
      <c r="E1015" s="20">
        <f t="shared" si="76"/>
        <v>150</v>
      </c>
      <c r="F1015" s="20">
        <f t="shared" si="77"/>
        <v>1950</v>
      </c>
      <c r="G1015" s="20">
        <v>0.3228728525874518</v>
      </c>
      <c r="H1015" s="50"/>
      <c r="I1015" s="16"/>
      <c r="J1015" s="16"/>
      <c r="K1015" s="16"/>
      <c r="L1015" s="16"/>
      <c r="M1015" s="16">
        <v>1009</v>
      </c>
      <c r="N1015" s="16">
        <f t="shared" si="78"/>
        <v>0.36172883787661408</v>
      </c>
      <c r="O1015" s="16"/>
      <c r="P1015" s="16"/>
      <c r="Q1015" s="16">
        <f t="shared" si="79"/>
        <v>-0.35384149284704719</v>
      </c>
    </row>
    <row r="1016" spans="4:17" ht="15" thickBot="1" x14ac:dyDescent="0.35">
      <c r="D1016" s="20">
        <f t="shared" si="75"/>
        <v>1010</v>
      </c>
      <c r="E1016" s="20">
        <f t="shared" si="76"/>
        <v>250</v>
      </c>
      <c r="F1016" s="20">
        <f t="shared" si="77"/>
        <v>1950</v>
      </c>
      <c r="G1016" s="20">
        <v>0.3229159466799103</v>
      </c>
      <c r="H1016" s="50"/>
      <c r="I1016" s="16"/>
      <c r="J1016" s="16"/>
      <c r="K1016" s="16"/>
      <c r="L1016" s="16"/>
      <c r="M1016" s="16">
        <v>1010</v>
      </c>
      <c r="N1016" s="16">
        <f t="shared" si="78"/>
        <v>0.36208751793400284</v>
      </c>
      <c r="O1016" s="16"/>
      <c r="P1016" s="16"/>
      <c r="Q1016" s="16">
        <f t="shared" si="79"/>
        <v>-0.35288449412577666</v>
      </c>
    </row>
    <row r="1017" spans="4:17" ht="15" thickBot="1" x14ac:dyDescent="0.35">
      <c r="D1017" s="20">
        <f t="shared" si="75"/>
        <v>1011</v>
      </c>
      <c r="E1017" s="20">
        <f t="shared" si="76"/>
        <v>350</v>
      </c>
      <c r="F1017" s="20">
        <f t="shared" si="77"/>
        <v>1950</v>
      </c>
      <c r="G1017" s="20">
        <v>0.32296321915960319</v>
      </c>
      <c r="H1017" s="50"/>
      <c r="I1017" s="16"/>
      <c r="J1017" s="16"/>
      <c r="K1017" s="16"/>
      <c r="L1017" s="16"/>
      <c r="M1017" s="16">
        <v>1011</v>
      </c>
      <c r="N1017" s="16">
        <f t="shared" si="78"/>
        <v>0.36244619799139166</v>
      </c>
      <c r="O1017" s="16"/>
      <c r="P1017" s="16"/>
      <c r="Q1017" s="16">
        <f t="shared" si="79"/>
        <v>-0.35192781848352345</v>
      </c>
    </row>
    <row r="1018" spans="4:17" ht="15" thickBot="1" x14ac:dyDescent="0.35">
      <c r="D1018" s="20">
        <f t="shared" si="75"/>
        <v>1012</v>
      </c>
      <c r="E1018" s="20">
        <f t="shared" si="76"/>
        <v>450</v>
      </c>
      <c r="F1018" s="20">
        <f t="shared" si="77"/>
        <v>1950</v>
      </c>
      <c r="G1018" s="20">
        <v>0.32296766597121479</v>
      </c>
      <c r="H1018" s="50"/>
      <c r="I1018" s="16"/>
      <c r="J1018" s="16"/>
      <c r="K1018" s="16"/>
      <c r="L1018" s="16"/>
      <c r="M1018" s="16">
        <v>1012</v>
      </c>
      <c r="N1018" s="16">
        <f t="shared" si="78"/>
        <v>0.36280487804878048</v>
      </c>
      <c r="O1018" s="16"/>
      <c r="P1018" s="16"/>
      <c r="Q1018" s="16">
        <f t="shared" si="79"/>
        <v>-0.3509714648272339</v>
      </c>
    </row>
    <row r="1019" spans="4:17" ht="15" thickBot="1" x14ac:dyDescent="0.35">
      <c r="D1019" s="20">
        <f t="shared" si="75"/>
        <v>1013</v>
      </c>
      <c r="E1019" s="20">
        <f t="shared" si="76"/>
        <v>550</v>
      </c>
      <c r="F1019" s="20">
        <f t="shared" si="77"/>
        <v>1950</v>
      </c>
      <c r="G1019" s="20">
        <v>0.32319214958900905</v>
      </c>
      <c r="H1019" s="50"/>
      <c r="I1019" s="16"/>
      <c r="J1019" s="16"/>
      <c r="K1019" s="16"/>
      <c r="L1019" s="16"/>
      <c r="M1019" s="16">
        <v>1013</v>
      </c>
      <c r="N1019" s="16">
        <f t="shared" si="78"/>
        <v>0.36316355810616929</v>
      </c>
      <c r="O1019" s="16"/>
      <c r="P1019" s="16"/>
      <c r="Q1019" s="16">
        <f t="shared" si="79"/>
        <v>-0.35001543206613561</v>
      </c>
    </row>
    <row r="1020" spans="4:17" ht="15" thickBot="1" x14ac:dyDescent="0.35">
      <c r="D1020" s="20">
        <f t="shared" si="75"/>
        <v>1014</v>
      </c>
      <c r="E1020" s="20">
        <f t="shared" si="76"/>
        <v>650</v>
      </c>
      <c r="F1020" s="20">
        <f t="shared" si="77"/>
        <v>1950</v>
      </c>
      <c r="G1020" s="20">
        <v>0.32323782225962505</v>
      </c>
      <c r="H1020" s="50"/>
      <c r="I1020" s="16"/>
      <c r="J1020" s="16"/>
      <c r="K1020" s="16"/>
      <c r="L1020" s="16"/>
      <c r="M1020" s="16">
        <v>1014</v>
      </c>
      <c r="N1020" s="16">
        <f t="shared" si="78"/>
        <v>0.36352223816355811</v>
      </c>
      <c r="O1020" s="16"/>
      <c r="P1020" s="16"/>
      <c r="Q1020" s="16">
        <f t="shared" si="79"/>
        <v>-0.34905971911172667</v>
      </c>
    </row>
    <row r="1021" spans="4:17" ht="15" thickBot="1" x14ac:dyDescent="0.35">
      <c r="D1021" s="20">
        <f t="shared" si="75"/>
        <v>1015</v>
      </c>
      <c r="E1021" s="20">
        <f t="shared" si="76"/>
        <v>750</v>
      </c>
      <c r="F1021" s="20">
        <f t="shared" si="77"/>
        <v>1950</v>
      </c>
      <c r="G1021" s="20">
        <v>0.32332853261359884</v>
      </c>
      <c r="H1021" s="50"/>
      <c r="I1021" s="16"/>
      <c r="J1021" s="16"/>
      <c r="K1021" s="16"/>
      <c r="L1021" s="16"/>
      <c r="M1021" s="16">
        <v>1015</v>
      </c>
      <c r="N1021" s="16">
        <f t="shared" si="78"/>
        <v>0.36388091822094693</v>
      </c>
      <c r="O1021" s="16"/>
      <c r="P1021" s="16"/>
      <c r="Q1021" s="16">
        <f t="shared" si="79"/>
        <v>-0.34810432487776538</v>
      </c>
    </row>
    <row r="1022" spans="4:17" ht="15" thickBot="1" x14ac:dyDescent="0.35">
      <c r="D1022" s="20">
        <f t="shared" si="75"/>
        <v>1016</v>
      </c>
      <c r="E1022" s="20">
        <f t="shared" si="76"/>
        <v>850</v>
      </c>
      <c r="F1022" s="20">
        <f t="shared" si="77"/>
        <v>1950</v>
      </c>
      <c r="G1022" s="20">
        <v>0.32333524158047044</v>
      </c>
      <c r="H1022" s="50"/>
      <c r="I1022" s="16"/>
      <c r="J1022" s="16"/>
      <c r="K1022" s="16"/>
      <c r="L1022" s="16"/>
      <c r="M1022" s="16">
        <v>1016</v>
      </c>
      <c r="N1022" s="16">
        <f t="shared" si="78"/>
        <v>0.36423959827833574</v>
      </c>
      <c r="O1022" s="16"/>
      <c r="P1022" s="16"/>
      <c r="Q1022" s="16">
        <f t="shared" si="79"/>
        <v>-0.34714924828025989</v>
      </c>
    </row>
    <row r="1023" spans="4:17" ht="15" thickBot="1" x14ac:dyDescent="0.35">
      <c r="D1023" s="20">
        <f t="shared" si="75"/>
        <v>1017</v>
      </c>
      <c r="E1023" s="20">
        <f t="shared" si="76"/>
        <v>950</v>
      </c>
      <c r="F1023" s="20">
        <f t="shared" si="77"/>
        <v>1950</v>
      </c>
      <c r="G1023" s="20">
        <v>0.32335146269582599</v>
      </c>
      <c r="H1023" s="50"/>
      <c r="I1023" s="16"/>
      <c r="J1023" s="16"/>
      <c r="K1023" s="16"/>
      <c r="L1023" s="16"/>
      <c r="M1023" s="16">
        <v>1017</v>
      </c>
      <c r="N1023" s="16">
        <f t="shared" si="78"/>
        <v>0.36459827833572456</v>
      </c>
      <c r="O1023" s="16"/>
      <c r="P1023" s="16"/>
      <c r="Q1023" s="16">
        <f t="shared" si="79"/>
        <v>-0.34619448823745796</v>
      </c>
    </row>
    <row r="1024" spans="4:17" ht="15" thickBot="1" x14ac:dyDescent="0.35">
      <c r="D1024" s="20">
        <f t="shared" si="75"/>
        <v>1018</v>
      </c>
      <c r="E1024" s="20">
        <f t="shared" si="76"/>
        <v>1050</v>
      </c>
      <c r="F1024" s="20">
        <f t="shared" si="77"/>
        <v>1950</v>
      </c>
      <c r="G1024" s="20">
        <v>0.32357704720536257</v>
      </c>
      <c r="H1024" s="50"/>
      <c r="I1024" s="16"/>
      <c r="J1024" s="16"/>
      <c r="K1024" s="16"/>
      <c r="L1024" s="16"/>
      <c r="M1024" s="16">
        <v>1018</v>
      </c>
      <c r="N1024" s="16">
        <f t="shared" si="78"/>
        <v>0.36495695839311332</v>
      </c>
      <c r="O1024" s="16"/>
      <c r="P1024" s="16"/>
      <c r="Q1024" s="16">
        <f t="shared" si="79"/>
        <v>-0.34524004366983696</v>
      </c>
    </row>
    <row r="1025" spans="4:17" ht="15" thickBot="1" x14ac:dyDescent="0.35">
      <c r="D1025" s="20">
        <f t="shared" si="75"/>
        <v>1019</v>
      </c>
      <c r="E1025" s="20">
        <f t="shared" si="76"/>
        <v>1150</v>
      </c>
      <c r="F1025" s="20">
        <f t="shared" si="77"/>
        <v>1950</v>
      </c>
      <c r="G1025" s="20">
        <v>0.32357893104010416</v>
      </c>
      <c r="H1025" s="50"/>
      <c r="I1025" s="16"/>
      <c r="J1025" s="16"/>
      <c r="K1025" s="16"/>
      <c r="L1025" s="16"/>
      <c r="M1025" s="16">
        <v>1019</v>
      </c>
      <c r="N1025" s="16">
        <f t="shared" si="78"/>
        <v>0.36531563845050213</v>
      </c>
      <c r="O1025" s="16"/>
      <c r="P1025" s="16"/>
      <c r="Q1025" s="16">
        <f t="shared" si="79"/>
        <v>-0.34428591350009269</v>
      </c>
    </row>
    <row r="1026" spans="4:17" ht="15" thickBot="1" x14ac:dyDescent="0.35">
      <c r="D1026" s="20">
        <f t="shared" si="75"/>
        <v>1020</v>
      </c>
      <c r="E1026" s="20">
        <f t="shared" si="76"/>
        <v>1250</v>
      </c>
      <c r="F1026" s="20">
        <f t="shared" si="77"/>
        <v>1950</v>
      </c>
      <c r="G1026" s="20">
        <v>0.32360818778280043</v>
      </c>
      <c r="H1026" s="50"/>
      <c r="I1026" s="16"/>
      <c r="J1026" s="16"/>
      <c r="K1026" s="16"/>
      <c r="L1026" s="16"/>
      <c r="M1026" s="16">
        <v>1020</v>
      </c>
      <c r="N1026" s="16">
        <f t="shared" si="78"/>
        <v>0.36567431850789095</v>
      </c>
      <c r="O1026" s="16"/>
      <c r="P1026" s="16"/>
      <c r="Q1026" s="16">
        <f t="shared" si="79"/>
        <v>-0.34333209665313047</v>
      </c>
    </row>
    <row r="1027" spans="4:17" ht="15" thickBot="1" x14ac:dyDescent="0.35">
      <c r="D1027" s="20">
        <f t="shared" si="75"/>
        <v>1021</v>
      </c>
      <c r="E1027" s="20">
        <f t="shared" si="76"/>
        <v>1350</v>
      </c>
      <c r="F1027" s="20">
        <f t="shared" si="77"/>
        <v>1950</v>
      </c>
      <c r="G1027" s="20">
        <v>0.32385174412625906</v>
      </c>
      <c r="H1027" s="50"/>
      <c r="I1027" s="16"/>
      <c r="J1027" s="16"/>
      <c r="K1027" s="16"/>
      <c r="L1027" s="16"/>
      <c r="M1027" s="16">
        <v>1021</v>
      </c>
      <c r="N1027" s="16">
        <f t="shared" si="78"/>
        <v>0.36603299856527977</v>
      </c>
      <c r="O1027" s="16"/>
      <c r="P1027" s="16"/>
      <c r="Q1027" s="16">
        <f t="shared" si="79"/>
        <v>-0.34237859205605425</v>
      </c>
    </row>
    <row r="1028" spans="4:17" ht="15" thickBot="1" x14ac:dyDescent="0.35">
      <c r="D1028" s="20">
        <f t="shared" si="75"/>
        <v>1022</v>
      </c>
      <c r="E1028" s="20">
        <f t="shared" si="76"/>
        <v>1450</v>
      </c>
      <c r="F1028" s="20">
        <f t="shared" si="77"/>
        <v>1950</v>
      </c>
      <c r="G1028" s="20">
        <v>0.32388305800229084</v>
      </c>
      <c r="H1028" s="50"/>
      <c r="I1028" s="16"/>
      <c r="J1028" s="16"/>
      <c r="K1028" s="16"/>
      <c r="L1028" s="16"/>
      <c r="M1028" s="16">
        <v>1022</v>
      </c>
      <c r="N1028" s="16">
        <f t="shared" si="78"/>
        <v>0.36639167862266858</v>
      </c>
      <c r="O1028" s="16"/>
      <c r="P1028" s="16"/>
      <c r="Q1028" s="16">
        <f t="shared" si="79"/>
        <v>-0.34142539863815674</v>
      </c>
    </row>
    <row r="1029" spans="4:17" ht="15" thickBot="1" x14ac:dyDescent="0.35">
      <c r="D1029" s="20">
        <f t="shared" si="75"/>
        <v>1023</v>
      </c>
      <c r="E1029" s="20">
        <f t="shared" si="76"/>
        <v>1550</v>
      </c>
      <c r="F1029" s="20">
        <f t="shared" si="77"/>
        <v>1950</v>
      </c>
      <c r="G1029" s="20">
        <v>0.32392123083126501</v>
      </c>
      <c r="H1029" s="50"/>
      <c r="I1029" s="16"/>
      <c r="J1029" s="16"/>
      <c r="K1029" s="16"/>
      <c r="L1029" s="16"/>
      <c r="M1029" s="16">
        <v>1023</v>
      </c>
      <c r="N1029" s="16">
        <f t="shared" si="78"/>
        <v>0.3667503586800574</v>
      </c>
      <c r="O1029" s="16"/>
      <c r="P1029" s="16"/>
      <c r="Q1029" s="16">
        <f t="shared" si="79"/>
        <v>-0.34047251533090916</v>
      </c>
    </row>
    <row r="1030" spans="4:17" ht="15" thickBot="1" x14ac:dyDescent="0.35">
      <c r="D1030" s="20">
        <f t="shared" si="75"/>
        <v>1024</v>
      </c>
      <c r="E1030" s="43">
        <f t="shared" si="76"/>
        <v>1650</v>
      </c>
      <c r="F1030" s="43">
        <f t="shared" si="77"/>
        <v>1950</v>
      </c>
      <c r="G1030" s="20">
        <v>0.32395398764875522</v>
      </c>
      <c r="H1030" s="50"/>
      <c r="I1030" s="16"/>
      <c r="J1030" s="16"/>
      <c r="K1030" s="16"/>
      <c r="L1030" s="16"/>
      <c r="M1030" s="16">
        <v>1024</v>
      </c>
      <c r="N1030" s="16">
        <f t="shared" si="78"/>
        <v>0.36710903873744621</v>
      </c>
      <c r="O1030" s="16"/>
      <c r="P1030" s="16"/>
      <c r="Q1030" s="16">
        <f t="shared" si="79"/>
        <v>-0.33951994106795175</v>
      </c>
    </row>
    <row r="1031" spans="4:17" ht="15" thickBot="1" x14ac:dyDescent="0.35">
      <c r="D1031" s="20">
        <f t="shared" ref="D1031:D1094" si="80">ROW()-6</f>
        <v>1025</v>
      </c>
      <c r="E1031" s="20">
        <f t="shared" ref="E1031:E1094" si="81">(MOD(D1031-1,53)*100)+50</f>
        <v>1750</v>
      </c>
      <c r="F1031" s="20">
        <f t="shared" ref="F1031:F1094" si="82">FLOOR((D1031-1)/53,1)*100+50</f>
        <v>1950</v>
      </c>
      <c r="G1031" s="20">
        <v>0.32396148950076814</v>
      </c>
      <c r="H1031" s="50"/>
      <c r="I1031" s="16"/>
      <c r="J1031" s="16"/>
      <c r="K1031" s="16"/>
      <c r="L1031" s="16"/>
      <c r="M1031" s="16">
        <v>1025</v>
      </c>
      <c r="N1031" s="16">
        <f t="shared" si="78"/>
        <v>0.36746771879483503</v>
      </c>
      <c r="O1031" s="16"/>
      <c r="P1031" s="16"/>
      <c r="Q1031" s="16">
        <f t="shared" si="79"/>
        <v>-0.33856767478508309</v>
      </c>
    </row>
    <row r="1032" spans="4:17" ht="15" thickBot="1" x14ac:dyDescent="0.35">
      <c r="D1032" s="20">
        <f t="shared" si="80"/>
        <v>1026</v>
      </c>
      <c r="E1032" s="20">
        <f t="shared" si="81"/>
        <v>1850</v>
      </c>
      <c r="F1032" s="20">
        <f t="shared" si="82"/>
        <v>1950</v>
      </c>
      <c r="G1032" s="20">
        <v>0.32396229965117684</v>
      </c>
      <c r="H1032" s="50"/>
      <c r="I1032" s="16"/>
      <c r="J1032" s="16"/>
      <c r="K1032" s="16"/>
      <c r="L1032" s="16"/>
      <c r="M1032" s="16">
        <v>1026</v>
      </c>
      <c r="N1032" s="16">
        <f t="shared" ref="N1032:N1095" si="83">(M1032-0.5)/$L$7</f>
        <v>0.36782639885222379</v>
      </c>
      <c r="O1032" s="16"/>
      <c r="P1032" s="16"/>
      <c r="Q1032" s="16">
        <f t="shared" ref="Q1032:Q1095" si="84">_xlfn.NORM.S.INV(N1032)</f>
        <v>-0.33761571542025109</v>
      </c>
    </row>
    <row r="1033" spans="4:17" ht="15" thickBot="1" x14ac:dyDescent="0.35">
      <c r="D1033" s="20">
        <f t="shared" si="80"/>
        <v>1027</v>
      </c>
      <c r="E1033" s="20">
        <f t="shared" si="81"/>
        <v>1950</v>
      </c>
      <c r="F1033" s="20">
        <f t="shared" si="82"/>
        <v>1950</v>
      </c>
      <c r="G1033" s="20">
        <v>0.3240703275841389</v>
      </c>
      <c r="H1033" s="50"/>
      <c r="I1033" s="16"/>
      <c r="J1033" s="16"/>
      <c r="K1033" s="16"/>
      <c r="L1033" s="16"/>
      <c r="M1033" s="16">
        <v>1027</v>
      </c>
      <c r="N1033" s="16">
        <f t="shared" si="83"/>
        <v>0.36818507890961261</v>
      </c>
      <c r="O1033" s="16"/>
      <c r="P1033" s="16"/>
      <c r="Q1033" s="16">
        <f t="shared" si="84"/>
        <v>-0.33666406191354192</v>
      </c>
    </row>
    <row r="1034" spans="4:17" ht="15" thickBot="1" x14ac:dyDescent="0.35">
      <c r="D1034" s="20">
        <f t="shared" si="80"/>
        <v>1028</v>
      </c>
      <c r="E1034" s="20">
        <f t="shared" si="81"/>
        <v>2050</v>
      </c>
      <c r="F1034" s="20">
        <f t="shared" si="82"/>
        <v>1950</v>
      </c>
      <c r="G1034" s="20">
        <v>0.3241456836178212</v>
      </c>
      <c r="H1034" s="50"/>
      <c r="I1034" s="16"/>
      <c r="J1034" s="16"/>
      <c r="K1034" s="16"/>
      <c r="L1034" s="16"/>
      <c r="M1034" s="16">
        <v>1028</v>
      </c>
      <c r="N1034" s="16">
        <f t="shared" si="83"/>
        <v>0.36854375896700142</v>
      </c>
      <c r="O1034" s="16"/>
      <c r="P1034" s="16"/>
      <c r="Q1034" s="16">
        <f t="shared" si="84"/>
        <v>-0.33571271320717128</v>
      </c>
    </row>
    <row r="1035" spans="4:17" ht="15" thickBot="1" x14ac:dyDescent="0.35">
      <c r="D1035" s="20">
        <f t="shared" si="80"/>
        <v>1029</v>
      </c>
      <c r="E1035" s="43">
        <f t="shared" si="81"/>
        <v>2150</v>
      </c>
      <c r="F1035" s="43">
        <f t="shared" si="82"/>
        <v>1950</v>
      </c>
      <c r="G1035" s="20">
        <v>0.32417511947566779</v>
      </c>
      <c r="H1035" s="50"/>
      <c r="I1035" s="16"/>
      <c r="J1035" s="16"/>
      <c r="K1035" s="16"/>
      <c r="L1035" s="16"/>
      <c r="M1035" s="16">
        <v>1029</v>
      </c>
      <c r="N1035" s="16">
        <f t="shared" si="83"/>
        <v>0.36890243902439024</v>
      </c>
      <c r="O1035" s="16"/>
      <c r="P1035" s="16"/>
      <c r="Q1035" s="16">
        <f t="shared" si="84"/>
        <v>-0.33476166824547443</v>
      </c>
    </row>
    <row r="1036" spans="4:17" ht="15" thickBot="1" x14ac:dyDescent="0.35">
      <c r="D1036" s="20">
        <f t="shared" si="80"/>
        <v>1030</v>
      </c>
      <c r="E1036" s="20">
        <f t="shared" si="81"/>
        <v>2250</v>
      </c>
      <c r="F1036" s="20">
        <f t="shared" si="82"/>
        <v>1950</v>
      </c>
      <c r="G1036" s="20">
        <v>0.32425247392125567</v>
      </c>
      <c r="H1036" s="50"/>
      <c r="I1036" s="16"/>
      <c r="J1036" s="16"/>
      <c r="K1036" s="16"/>
      <c r="L1036" s="16"/>
      <c r="M1036" s="16">
        <v>1030</v>
      </c>
      <c r="N1036" s="16">
        <f t="shared" si="83"/>
        <v>0.36926111908177905</v>
      </c>
      <c r="O1036" s="16"/>
      <c r="P1036" s="16"/>
      <c r="Q1036" s="16">
        <f t="shared" si="84"/>
        <v>-0.33381092597489581</v>
      </c>
    </row>
    <row r="1037" spans="4:17" ht="15" thickBot="1" x14ac:dyDescent="0.35">
      <c r="D1037" s="20">
        <f t="shared" si="80"/>
        <v>1031</v>
      </c>
      <c r="E1037" s="44">
        <f t="shared" si="81"/>
        <v>2350</v>
      </c>
      <c r="F1037" s="44">
        <f t="shared" si="82"/>
        <v>1950</v>
      </c>
      <c r="G1037" s="20">
        <v>0.32428067050464904</v>
      </c>
      <c r="H1037" s="50"/>
      <c r="I1037" s="16"/>
      <c r="J1037" s="16"/>
      <c r="K1037" s="16"/>
      <c r="L1037" s="16"/>
      <c r="M1037" s="16">
        <v>1031</v>
      </c>
      <c r="N1037" s="16">
        <f t="shared" si="83"/>
        <v>0.36961979913916787</v>
      </c>
      <c r="O1037" s="16"/>
      <c r="P1037" s="16"/>
      <c r="Q1037" s="16">
        <f t="shared" si="84"/>
        <v>-0.33286048534397994</v>
      </c>
    </row>
    <row r="1038" spans="4:17" ht="15" thickBot="1" x14ac:dyDescent="0.35">
      <c r="D1038" s="20">
        <f t="shared" si="80"/>
        <v>1032</v>
      </c>
      <c r="E1038" s="20">
        <f t="shared" si="81"/>
        <v>2450</v>
      </c>
      <c r="F1038" s="20">
        <f t="shared" si="82"/>
        <v>1950</v>
      </c>
      <c r="G1038" s="20">
        <v>0.32429367075784976</v>
      </c>
      <c r="H1038" s="50"/>
      <c r="I1038" s="16"/>
      <c r="J1038" s="16"/>
      <c r="K1038" s="16"/>
      <c r="L1038" s="16"/>
      <c r="M1038" s="16">
        <v>1032</v>
      </c>
      <c r="N1038" s="16">
        <f t="shared" si="83"/>
        <v>0.36997847919655669</v>
      </c>
      <c r="O1038" s="16"/>
      <c r="P1038" s="16"/>
      <c r="Q1038" s="16">
        <f t="shared" si="84"/>
        <v>-0.33191034530336139</v>
      </c>
    </row>
    <row r="1039" spans="4:17" ht="15" thickBot="1" x14ac:dyDescent="0.35">
      <c r="D1039" s="20">
        <f t="shared" si="80"/>
        <v>1033</v>
      </c>
      <c r="E1039" s="20">
        <f t="shared" si="81"/>
        <v>2550</v>
      </c>
      <c r="F1039" s="20">
        <f t="shared" si="82"/>
        <v>1950</v>
      </c>
      <c r="G1039" s="20">
        <v>0.32453229650429682</v>
      </c>
      <c r="H1039" s="50"/>
      <c r="I1039" s="16"/>
      <c r="J1039" s="16"/>
      <c r="K1039" s="16"/>
      <c r="L1039" s="16"/>
      <c r="M1039" s="16">
        <v>1033</v>
      </c>
      <c r="N1039" s="16">
        <f t="shared" si="83"/>
        <v>0.3703371592539455</v>
      </c>
      <c r="O1039" s="16"/>
      <c r="P1039" s="16"/>
      <c r="Q1039" s="16">
        <f t="shared" si="84"/>
        <v>-0.33096050480575562</v>
      </c>
    </row>
    <row r="1040" spans="4:17" ht="15" thickBot="1" x14ac:dyDescent="0.35">
      <c r="D1040" s="20">
        <f t="shared" si="80"/>
        <v>1034</v>
      </c>
      <c r="E1040" s="47">
        <f t="shared" si="81"/>
        <v>2650</v>
      </c>
      <c r="F1040" s="47">
        <f t="shared" si="82"/>
        <v>1950</v>
      </c>
      <c r="G1040" s="20">
        <v>0.32464317989882613</v>
      </c>
      <c r="H1040" s="50"/>
      <c r="I1040" s="16"/>
      <c r="J1040" s="16"/>
      <c r="K1040" s="16"/>
      <c r="L1040" s="16"/>
      <c r="M1040" s="16">
        <v>1034</v>
      </c>
      <c r="N1040" s="16">
        <f t="shared" si="83"/>
        <v>0.37069583931133426</v>
      </c>
      <c r="O1040" s="16"/>
      <c r="P1040" s="16"/>
      <c r="Q1040" s="16">
        <f t="shared" si="84"/>
        <v>-0.33001096280594888</v>
      </c>
    </row>
    <row r="1041" spans="4:17" ht="15" thickBot="1" x14ac:dyDescent="0.35">
      <c r="D1041" s="20">
        <f t="shared" si="80"/>
        <v>1035</v>
      </c>
      <c r="E1041" s="20">
        <f t="shared" si="81"/>
        <v>2750</v>
      </c>
      <c r="F1041" s="20">
        <f t="shared" si="82"/>
        <v>1950</v>
      </c>
      <c r="G1041" s="20">
        <v>0.32466364827807287</v>
      </c>
      <c r="H1041" s="50"/>
      <c r="I1041" s="16"/>
      <c r="J1041" s="16"/>
      <c r="K1041" s="16"/>
      <c r="L1041" s="16"/>
      <c r="M1041" s="16">
        <v>1035</v>
      </c>
      <c r="N1041" s="16">
        <f t="shared" si="83"/>
        <v>0.37105451936872308</v>
      </c>
      <c r="O1041" s="16"/>
      <c r="P1041" s="16"/>
      <c r="Q1041" s="16">
        <f t="shared" si="84"/>
        <v>-0.32906171826078889</v>
      </c>
    </row>
    <row r="1042" spans="4:17" ht="15" thickBot="1" x14ac:dyDescent="0.35">
      <c r="D1042" s="20">
        <f t="shared" si="80"/>
        <v>1036</v>
      </c>
      <c r="E1042" s="20">
        <f t="shared" si="81"/>
        <v>2850</v>
      </c>
      <c r="F1042" s="20">
        <f t="shared" si="82"/>
        <v>1950</v>
      </c>
      <c r="G1042" s="20">
        <v>0.32472270174385198</v>
      </c>
      <c r="H1042" s="50"/>
      <c r="I1042" s="16"/>
      <c r="J1042" s="16"/>
      <c r="K1042" s="16"/>
      <c r="L1042" s="16"/>
      <c r="M1042" s="16">
        <v>1036</v>
      </c>
      <c r="N1042" s="16">
        <f t="shared" si="83"/>
        <v>0.3714131994261119</v>
      </c>
      <c r="O1042" s="16"/>
      <c r="P1042" s="16"/>
      <c r="Q1042" s="16">
        <f t="shared" si="84"/>
        <v>-0.32811277012917539</v>
      </c>
    </row>
    <row r="1043" spans="4:17" ht="15" thickBot="1" x14ac:dyDescent="0.35">
      <c r="D1043" s="20">
        <f t="shared" si="80"/>
        <v>1037</v>
      </c>
      <c r="E1043" s="20">
        <f t="shared" si="81"/>
        <v>2950</v>
      </c>
      <c r="F1043" s="20">
        <f t="shared" si="82"/>
        <v>1950</v>
      </c>
      <c r="G1043" s="20">
        <v>0.32484778696477212</v>
      </c>
      <c r="H1043" s="50"/>
      <c r="I1043" s="16"/>
      <c r="J1043" s="16"/>
      <c r="K1043" s="16"/>
      <c r="L1043" s="16"/>
      <c r="M1043" s="16">
        <v>1037</v>
      </c>
      <c r="N1043" s="16">
        <f t="shared" si="83"/>
        <v>0.37177187948350071</v>
      </c>
      <c r="O1043" s="16"/>
      <c r="P1043" s="16"/>
      <c r="Q1043" s="16">
        <f t="shared" si="84"/>
        <v>-0.32716411737205064</v>
      </c>
    </row>
    <row r="1044" spans="4:17" ht="15" thickBot="1" x14ac:dyDescent="0.35">
      <c r="D1044" s="20">
        <f t="shared" si="80"/>
        <v>1038</v>
      </c>
      <c r="E1044" s="20">
        <f t="shared" si="81"/>
        <v>3050</v>
      </c>
      <c r="F1044" s="20">
        <f t="shared" si="82"/>
        <v>1950</v>
      </c>
      <c r="G1044" s="20">
        <v>0.32513005727551297</v>
      </c>
      <c r="H1044" s="50"/>
      <c r="I1044" s="16"/>
      <c r="J1044" s="16"/>
      <c r="K1044" s="16"/>
      <c r="L1044" s="16"/>
      <c r="M1044" s="16">
        <v>1038</v>
      </c>
      <c r="N1044" s="16">
        <f t="shared" si="83"/>
        <v>0.37213055954088953</v>
      </c>
      <c r="O1044" s="16"/>
      <c r="P1044" s="16"/>
      <c r="Q1044" s="16">
        <f t="shared" si="84"/>
        <v>-0.32621575895239013</v>
      </c>
    </row>
    <row r="1045" spans="4:17" ht="15" thickBot="1" x14ac:dyDescent="0.35">
      <c r="D1045" s="20">
        <f t="shared" si="80"/>
        <v>1039</v>
      </c>
      <c r="E1045" s="20">
        <f t="shared" si="81"/>
        <v>3150</v>
      </c>
      <c r="F1045" s="20">
        <f t="shared" si="82"/>
        <v>1950</v>
      </c>
      <c r="G1045" s="20">
        <v>0.3252241383264588</v>
      </c>
      <c r="H1045" s="50"/>
      <c r="I1045" s="16"/>
      <c r="J1045" s="16"/>
      <c r="K1045" s="16"/>
      <c r="L1045" s="16"/>
      <c r="M1045" s="16">
        <v>1039</v>
      </c>
      <c r="N1045" s="16">
        <f t="shared" si="83"/>
        <v>0.37248923959827834</v>
      </c>
      <c r="O1045" s="16"/>
      <c r="P1045" s="16"/>
      <c r="Q1045" s="16">
        <f t="shared" si="84"/>
        <v>-0.32526769383519272</v>
      </c>
    </row>
    <row r="1046" spans="4:17" ht="15" thickBot="1" x14ac:dyDescent="0.35">
      <c r="D1046" s="20">
        <f t="shared" si="80"/>
        <v>1040</v>
      </c>
      <c r="E1046" s="44">
        <f t="shared" si="81"/>
        <v>3250</v>
      </c>
      <c r="F1046" s="44">
        <f t="shared" si="82"/>
        <v>1950</v>
      </c>
      <c r="G1046" s="20">
        <v>0.32524091228836438</v>
      </c>
      <c r="H1046" s="50"/>
      <c r="I1046" s="16"/>
      <c r="J1046" s="16"/>
      <c r="K1046" s="16"/>
      <c r="L1046" s="16"/>
      <c r="M1046" s="16">
        <v>1040</v>
      </c>
      <c r="N1046" s="16">
        <f t="shared" si="83"/>
        <v>0.37284791965566716</v>
      </c>
      <c r="O1046" s="16"/>
      <c r="P1046" s="16"/>
      <c r="Q1046" s="16">
        <f t="shared" si="84"/>
        <v>-0.32431992098747181</v>
      </c>
    </row>
    <row r="1047" spans="4:17" ht="15" thickBot="1" x14ac:dyDescent="0.35">
      <c r="D1047" s="20">
        <f t="shared" si="80"/>
        <v>1041</v>
      </c>
      <c r="E1047" s="20">
        <f t="shared" si="81"/>
        <v>3350</v>
      </c>
      <c r="F1047" s="20">
        <f t="shared" si="82"/>
        <v>1950</v>
      </c>
      <c r="G1047" s="20">
        <v>0.3252759540659943</v>
      </c>
      <c r="H1047" s="50"/>
      <c r="I1047" s="16"/>
      <c r="J1047" s="16"/>
      <c r="K1047" s="16"/>
      <c r="L1047" s="16"/>
      <c r="M1047" s="16">
        <v>1041</v>
      </c>
      <c r="N1047" s="16">
        <f t="shared" si="83"/>
        <v>0.37320659971305598</v>
      </c>
      <c r="O1047" s="16"/>
      <c r="P1047" s="16"/>
      <c r="Q1047" s="16">
        <f t="shared" si="84"/>
        <v>-0.32337243937824589</v>
      </c>
    </row>
    <row r="1048" spans="4:17" ht="15" thickBot="1" x14ac:dyDescent="0.35">
      <c r="D1048" s="20">
        <f t="shared" si="80"/>
        <v>1042</v>
      </c>
      <c r="E1048" s="20">
        <f t="shared" si="81"/>
        <v>3450</v>
      </c>
      <c r="F1048" s="20">
        <f t="shared" si="82"/>
        <v>1950</v>
      </c>
      <c r="G1048" s="20">
        <v>0.32535944591676769</v>
      </c>
      <c r="H1048" s="50"/>
      <c r="I1048" s="16"/>
      <c r="J1048" s="16"/>
      <c r="K1048" s="16"/>
      <c r="L1048" s="16"/>
      <c r="M1048" s="16">
        <v>1042</v>
      </c>
      <c r="N1048" s="16">
        <f t="shared" si="83"/>
        <v>0.37356527977044474</v>
      </c>
      <c r="O1048" s="16"/>
      <c r="P1048" s="16"/>
      <c r="Q1048" s="16">
        <f t="shared" si="84"/>
        <v>-0.32242524797852934</v>
      </c>
    </row>
    <row r="1049" spans="4:17" ht="15" thickBot="1" x14ac:dyDescent="0.35">
      <c r="D1049" s="20">
        <f t="shared" si="80"/>
        <v>1043</v>
      </c>
      <c r="E1049" s="20">
        <f t="shared" si="81"/>
        <v>3550</v>
      </c>
      <c r="F1049" s="20">
        <f t="shared" si="82"/>
        <v>1950</v>
      </c>
      <c r="G1049" s="20">
        <v>0.32538871942026515</v>
      </c>
      <c r="H1049" s="50"/>
      <c r="I1049" s="16"/>
      <c r="J1049" s="16"/>
      <c r="K1049" s="16"/>
      <c r="L1049" s="16"/>
      <c r="M1049" s="16">
        <v>1043</v>
      </c>
      <c r="N1049" s="16">
        <f t="shared" si="83"/>
        <v>0.37392395982783355</v>
      </c>
      <c r="O1049" s="16"/>
      <c r="P1049" s="16"/>
      <c r="Q1049" s="16">
        <f t="shared" si="84"/>
        <v>-0.32147834576132267</v>
      </c>
    </row>
    <row r="1050" spans="4:17" ht="15" thickBot="1" x14ac:dyDescent="0.35">
      <c r="D1050" s="20">
        <f t="shared" si="80"/>
        <v>1044</v>
      </c>
      <c r="E1050" s="20">
        <f t="shared" si="81"/>
        <v>3650</v>
      </c>
      <c r="F1050" s="20">
        <f t="shared" si="82"/>
        <v>1950</v>
      </c>
      <c r="G1050" s="20">
        <v>0.32577887870678857</v>
      </c>
      <c r="H1050" s="50"/>
      <c r="I1050" s="16"/>
      <c r="J1050" s="16"/>
      <c r="K1050" s="16"/>
      <c r="L1050" s="16"/>
      <c r="M1050" s="16">
        <v>1044</v>
      </c>
      <c r="N1050" s="16">
        <f t="shared" si="83"/>
        <v>0.37428263988522237</v>
      </c>
      <c r="O1050" s="16"/>
      <c r="P1050" s="16"/>
      <c r="Q1050" s="16">
        <f t="shared" si="84"/>
        <v>-0.32053173170160409</v>
      </c>
    </row>
    <row r="1051" spans="4:17" ht="15" thickBot="1" x14ac:dyDescent="0.35">
      <c r="D1051" s="20">
        <f t="shared" si="80"/>
        <v>1045</v>
      </c>
      <c r="E1051" s="20">
        <f t="shared" si="81"/>
        <v>3750</v>
      </c>
      <c r="F1051" s="20">
        <f t="shared" si="82"/>
        <v>1950</v>
      </c>
      <c r="G1051" s="20">
        <v>0.32617138098819015</v>
      </c>
      <c r="H1051" s="50"/>
      <c r="I1051" s="16"/>
      <c r="J1051" s="16"/>
      <c r="K1051" s="16"/>
      <c r="L1051" s="16"/>
      <c r="M1051" s="16">
        <v>1045</v>
      </c>
      <c r="N1051" s="16">
        <f t="shared" si="83"/>
        <v>0.37464131994261118</v>
      </c>
      <c r="O1051" s="16"/>
      <c r="P1051" s="16"/>
      <c r="Q1051" s="16">
        <f t="shared" si="84"/>
        <v>-0.31958540477631975</v>
      </c>
    </row>
    <row r="1052" spans="4:17" ht="15" thickBot="1" x14ac:dyDescent="0.35">
      <c r="D1052" s="20">
        <f t="shared" si="80"/>
        <v>1046</v>
      </c>
      <c r="E1052" s="20">
        <f t="shared" si="81"/>
        <v>3850</v>
      </c>
      <c r="F1052" s="20">
        <f t="shared" si="82"/>
        <v>1950</v>
      </c>
      <c r="G1052" s="20">
        <v>0.32624334988495679</v>
      </c>
      <c r="H1052" s="50"/>
      <c r="I1052" s="16"/>
      <c r="J1052" s="16"/>
      <c r="K1052" s="16"/>
      <c r="L1052" s="16"/>
      <c r="M1052" s="16">
        <v>1046</v>
      </c>
      <c r="N1052" s="16">
        <f t="shared" si="83"/>
        <v>0.375</v>
      </c>
      <c r="O1052" s="16"/>
      <c r="P1052" s="16"/>
      <c r="Q1052" s="16">
        <f t="shared" si="84"/>
        <v>-0.3186393639643752</v>
      </c>
    </row>
    <row r="1053" spans="4:17" ht="15" thickBot="1" x14ac:dyDescent="0.35">
      <c r="D1053" s="20">
        <f t="shared" si="80"/>
        <v>1047</v>
      </c>
      <c r="E1053" s="20">
        <f t="shared" si="81"/>
        <v>3950</v>
      </c>
      <c r="F1053" s="20">
        <f t="shared" si="82"/>
        <v>1950</v>
      </c>
      <c r="G1053" s="20">
        <v>0.32638342983373814</v>
      </c>
      <c r="H1053" s="50"/>
      <c r="I1053" s="16"/>
      <c r="J1053" s="16"/>
      <c r="K1053" s="16"/>
      <c r="L1053" s="16"/>
      <c r="M1053" s="16">
        <v>1047</v>
      </c>
      <c r="N1053" s="16">
        <f t="shared" si="83"/>
        <v>0.37535868005738882</v>
      </c>
      <c r="O1053" s="16"/>
      <c r="P1053" s="16"/>
      <c r="Q1053" s="16">
        <f t="shared" si="84"/>
        <v>-0.31769360824662579</v>
      </c>
    </row>
    <row r="1054" spans="4:17" ht="15" thickBot="1" x14ac:dyDescent="0.35">
      <c r="D1054" s="20">
        <f t="shared" si="80"/>
        <v>1048</v>
      </c>
      <c r="E1054" s="20">
        <f t="shared" si="81"/>
        <v>4050</v>
      </c>
      <c r="F1054" s="20">
        <f t="shared" si="82"/>
        <v>1950</v>
      </c>
      <c r="G1054" s="20">
        <v>0.32640172852741034</v>
      </c>
      <c r="H1054" s="50"/>
      <c r="I1054" s="16"/>
      <c r="J1054" s="16"/>
      <c r="K1054" s="16"/>
      <c r="L1054" s="16"/>
      <c r="M1054" s="16">
        <v>1048</v>
      </c>
      <c r="N1054" s="16">
        <f t="shared" si="83"/>
        <v>0.37571736011477763</v>
      </c>
      <c r="O1054" s="16"/>
      <c r="P1054" s="16"/>
      <c r="Q1054" s="16">
        <f t="shared" si="84"/>
        <v>-0.31674813660586792</v>
      </c>
    </row>
    <row r="1055" spans="4:17" ht="15" thickBot="1" x14ac:dyDescent="0.35">
      <c r="D1055" s="20">
        <f t="shared" si="80"/>
        <v>1049</v>
      </c>
      <c r="E1055" s="48">
        <f t="shared" si="81"/>
        <v>4150</v>
      </c>
      <c r="F1055" s="48">
        <f t="shared" si="82"/>
        <v>1950</v>
      </c>
      <c r="G1055" s="20">
        <v>0.32645816340155143</v>
      </c>
      <c r="H1055" s="50"/>
      <c r="I1055" s="16"/>
      <c r="J1055" s="16"/>
      <c r="K1055" s="16"/>
      <c r="L1055" s="16"/>
      <c r="M1055" s="16">
        <v>1049</v>
      </c>
      <c r="N1055" s="16">
        <f t="shared" si="83"/>
        <v>0.37607604017216645</v>
      </c>
      <c r="O1055" s="16"/>
      <c r="P1055" s="16"/>
      <c r="Q1055" s="16">
        <f t="shared" si="84"/>
        <v>-0.31580294802683001</v>
      </c>
    </row>
    <row r="1056" spans="4:17" ht="15" thickBot="1" x14ac:dyDescent="0.35">
      <c r="D1056" s="20">
        <f t="shared" si="80"/>
        <v>1050</v>
      </c>
      <c r="E1056" s="20">
        <f t="shared" si="81"/>
        <v>4250</v>
      </c>
      <c r="F1056" s="20">
        <f t="shared" si="82"/>
        <v>1950</v>
      </c>
      <c r="G1056" s="20">
        <v>0.32657942112883076</v>
      </c>
      <c r="H1056" s="50"/>
      <c r="I1056" s="16"/>
      <c r="J1056" s="16"/>
      <c r="K1056" s="16"/>
      <c r="L1056" s="16"/>
      <c r="M1056" s="16">
        <v>1050</v>
      </c>
      <c r="N1056" s="16">
        <f t="shared" si="83"/>
        <v>0.37643472022955526</v>
      </c>
      <c r="O1056" s="16"/>
      <c r="P1056" s="16"/>
      <c r="Q1056" s="16">
        <f t="shared" si="84"/>
        <v>-0.31485804149616303</v>
      </c>
    </row>
    <row r="1057" spans="4:17" ht="15" thickBot="1" x14ac:dyDescent="0.35">
      <c r="D1057" s="20">
        <f t="shared" si="80"/>
        <v>1051</v>
      </c>
      <c r="E1057" s="20">
        <f t="shared" si="81"/>
        <v>4350</v>
      </c>
      <c r="F1057" s="20">
        <f t="shared" si="82"/>
        <v>1950</v>
      </c>
      <c r="G1057" s="20">
        <v>0.32674430848174091</v>
      </c>
      <c r="H1057" s="50"/>
      <c r="I1057" s="16"/>
      <c r="J1057" s="16"/>
      <c r="K1057" s="16"/>
      <c r="L1057" s="16"/>
      <c r="M1057" s="16">
        <v>1051</v>
      </c>
      <c r="N1057" s="16">
        <f t="shared" si="83"/>
        <v>0.37679340028694402</v>
      </c>
      <c r="O1057" s="16"/>
      <c r="P1057" s="16"/>
      <c r="Q1057" s="16">
        <f t="shared" si="84"/>
        <v>-0.31391341600243272</v>
      </c>
    </row>
    <row r="1058" spans="4:17" ht="15" thickBot="1" x14ac:dyDescent="0.35">
      <c r="D1058" s="20">
        <f t="shared" si="80"/>
        <v>1052</v>
      </c>
      <c r="E1058" s="20">
        <f t="shared" si="81"/>
        <v>4450</v>
      </c>
      <c r="F1058" s="20">
        <f t="shared" si="82"/>
        <v>1950</v>
      </c>
      <c r="G1058" s="20">
        <v>0.32674562110666167</v>
      </c>
      <c r="H1058" s="50"/>
      <c r="I1058" s="16"/>
      <c r="J1058" s="16"/>
      <c r="K1058" s="16"/>
      <c r="L1058" s="16"/>
      <c r="M1058" s="16">
        <v>1052</v>
      </c>
      <c r="N1058" s="16">
        <f t="shared" si="83"/>
        <v>0.37715208034433284</v>
      </c>
      <c r="O1058" s="16"/>
      <c r="P1058" s="16"/>
      <c r="Q1058" s="16">
        <f t="shared" si="84"/>
        <v>-0.31296907053610923</v>
      </c>
    </row>
    <row r="1059" spans="4:17" ht="15" thickBot="1" x14ac:dyDescent="0.35">
      <c r="D1059" s="20">
        <f t="shared" si="80"/>
        <v>1053</v>
      </c>
      <c r="E1059" s="47">
        <f t="shared" si="81"/>
        <v>4550</v>
      </c>
      <c r="F1059" s="47">
        <f t="shared" si="82"/>
        <v>1950</v>
      </c>
      <c r="G1059" s="20">
        <v>0.32681782853450503</v>
      </c>
      <c r="H1059" s="50"/>
      <c r="I1059" s="16"/>
      <c r="J1059" s="16"/>
      <c r="K1059" s="16"/>
      <c r="L1059" s="16"/>
      <c r="M1059" s="16">
        <v>1053</v>
      </c>
      <c r="N1059" s="16">
        <f t="shared" si="83"/>
        <v>0.37751076040172166</v>
      </c>
      <c r="O1059" s="16"/>
      <c r="P1059" s="16"/>
      <c r="Q1059" s="16">
        <f t="shared" si="84"/>
        <v>-0.31202500408955941</v>
      </c>
    </row>
    <row r="1060" spans="4:17" ht="15" thickBot="1" x14ac:dyDescent="0.35">
      <c r="D1060" s="20">
        <f t="shared" si="80"/>
        <v>1054</v>
      </c>
      <c r="E1060" s="20">
        <f t="shared" si="81"/>
        <v>4650</v>
      </c>
      <c r="F1060" s="20">
        <f t="shared" si="82"/>
        <v>1950</v>
      </c>
      <c r="G1060" s="20">
        <v>0.32686222426676603</v>
      </c>
      <c r="H1060" s="50"/>
      <c r="I1060" s="16"/>
      <c r="J1060" s="16"/>
      <c r="K1060" s="16"/>
      <c r="L1060" s="16"/>
      <c r="M1060" s="16">
        <v>1054</v>
      </c>
      <c r="N1060" s="16">
        <f t="shared" si="83"/>
        <v>0.37786944045911047</v>
      </c>
      <c r="O1060" s="16"/>
      <c r="P1060" s="16"/>
      <c r="Q1060" s="16">
        <f t="shared" si="84"/>
        <v>-0.31108121565703767</v>
      </c>
    </row>
    <row r="1061" spans="4:17" ht="15" thickBot="1" x14ac:dyDescent="0.35">
      <c r="D1061" s="20">
        <f t="shared" si="80"/>
        <v>1055</v>
      </c>
      <c r="E1061" s="20">
        <f t="shared" si="81"/>
        <v>4750</v>
      </c>
      <c r="F1061" s="20">
        <f t="shared" si="82"/>
        <v>1950</v>
      </c>
      <c r="G1061" s="20">
        <v>0.32690729196173068</v>
      </c>
      <c r="H1061" s="50"/>
      <c r="I1061" s="16"/>
      <c r="J1061" s="16"/>
      <c r="K1061" s="16"/>
      <c r="L1061" s="16"/>
      <c r="M1061" s="16">
        <v>1055</v>
      </c>
      <c r="N1061" s="16">
        <f t="shared" si="83"/>
        <v>0.37822812051649929</v>
      </c>
      <c r="O1061" s="16"/>
      <c r="P1061" s="16"/>
      <c r="Q1061" s="16">
        <f t="shared" si="84"/>
        <v>-0.31013770423467679</v>
      </c>
    </row>
    <row r="1062" spans="4:17" ht="15" thickBot="1" x14ac:dyDescent="0.35">
      <c r="D1062" s="20">
        <f t="shared" si="80"/>
        <v>1056</v>
      </c>
      <c r="E1062" s="20">
        <f t="shared" si="81"/>
        <v>4850</v>
      </c>
      <c r="F1062" s="20">
        <f t="shared" si="82"/>
        <v>1950</v>
      </c>
      <c r="G1062" s="20">
        <v>0.32694114595627644</v>
      </c>
      <c r="H1062" s="50"/>
      <c r="I1062" s="16"/>
      <c r="J1062" s="16"/>
      <c r="K1062" s="16"/>
      <c r="L1062" s="16"/>
      <c r="M1062" s="16">
        <v>1056</v>
      </c>
      <c r="N1062" s="16">
        <f t="shared" si="83"/>
        <v>0.3785868005738881</v>
      </c>
      <c r="O1062" s="16"/>
      <c r="P1062" s="16"/>
      <c r="Q1062" s="16">
        <f t="shared" si="84"/>
        <v>-0.30919446882047974</v>
      </c>
    </row>
    <row r="1063" spans="4:17" ht="15" thickBot="1" x14ac:dyDescent="0.35">
      <c r="D1063" s="20">
        <f t="shared" si="80"/>
        <v>1057</v>
      </c>
      <c r="E1063" s="20">
        <f t="shared" si="81"/>
        <v>4950</v>
      </c>
      <c r="F1063" s="20">
        <f t="shared" si="82"/>
        <v>1950</v>
      </c>
      <c r="G1063" s="20">
        <v>0.32697579422284706</v>
      </c>
      <c r="H1063" s="50"/>
      <c r="I1063" s="16"/>
      <c r="J1063" s="16"/>
      <c r="K1063" s="16"/>
      <c r="L1063" s="16"/>
      <c r="M1063" s="16">
        <v>1057</v>
      </c>
      <c r="N1063" s="16">
        <f t="shared" si="83"/>
        <v>0.37894548063127692</v>
      </c>
      <c r="O1063" s="16"/>
      <c r="P1063" s="16"/>
      <c r="Q1063" s="16">
        <f t="shared" si="84"/>
        <v>-0.30825150841431048</v>
      </c>
    </row>
    <row r="1064" spans="4:17" ht="15" thickBot="1" x14ac:dyDescent="0.35">
      <c r="D1064" s="20">
        <f t="shared" si="80"/>
        <v>1058</v>
      </c>
      <c r="E1064" s="20">
        <f t="shared" si="81"/>
        <v>5050</v>
      </c>
      <c r="F1064" s="20">
        <f t="shared" si="82"/>
        <v>1950</v>
      </c>
      <c r="G1064" s="20">
        <v>0.32707806913663218</v>
      </c>
      <c r="H1064" s="50"/>
      <c r="I1064" s="16"/>
      <c r="J1064" s="16"/>
      <c r="K1064" s="16"/>
      <c r="L1064" s="16"/>
      <c r="M1064" s="16">
        <v>1058</v>
      </c>
      <c r="N1064" s="16">
        <f t="shared" si="83"/>
        <v>0.37930416068866574</v>
      </c>
      <c r="O1064" s="16"/>
      <c r="P1064" s="16"/>
      <c r="Q1064" s="16">
        <f t="shared" si="84"/>
        <v>-0.30730882201788567</v>
      </c>
    </row>
    <row r="1065" spans="4:17" ht="15" thickBot="1" x14ac:dyDescent="0.35">
      <c r="D1065" s="20">
        <f t="shared" si="80"/>
        <v>1059</v>
      </c>
      <c r="E1065" s="20">
        <f t="shared" si="81"/>
        <v>5150</v>
      </c>
      <c r="F1065" s="20">
        <f t="shared" si="82"/>
        <v>1950</v>
      </c>
      <c r="G1065" s="20">
        <v>0.32711867349470997</v>
      </c>
      <c r="H1065" s="50"/>
      <c r="I1065" s="16"/>
      <c r="J1065" s="16"/>
      <c r="K1065" s="16"/>
      <c r="L1065" s="16"/>
      <c r="M1065" s="16">
        <v>1059</v>
      </c>
      <c r="N1065" s="16">
        <f t="shared" si="83"/>
        <v>0.3796628407460545</v>
      </c>
      <c r="O1065" s="16"/>
      <c r="P1065" s="16"/>
      <c r="Q1065" s="16">
        <f t="shared" si="84"/>
        <v>-0.30636640863476594</v>
      </c>
    </row>
    <row r="1066" spans="4:17" ht="15" thickBot="1" x14ac:dyDescent="0.35">
      <c r="D1066" s="20">
        <f t="shared" si="80"/>
        <v>1060</v>
      </c>
      <c r="E1066" s="20">
        <f t="shared" si="81"/>
        <v>5250</v>
      </c>
      <c r="F1066" s="20">
        <f t="shared" si="82"/>
        <v>1950</v>
      </c>
      <c r="G1066" s="20">
        <v>0.32712792364198034</v>
      </c>
      <c r="H1066" s="50"/>
      <c r="I1066" s="16"/>
      <c r="J1066" s="16"/>
      <c r="K1066" s="16"/>
      <c r="L1066" s="16"/>
      <c r="M1066" s="16">
        <v>1060</v>
      </c>
      <c r="N1066" s="16">
        <f t="shared" si="83"/>
        <v>0.38002152080344331</v>
      </c>
      <c r="O1066" s="16"/>
      <c r="P1066" s="16"/>
      <c r="Q1066" s="16">
        <f t="shared" si="84"/>
        <v>-0.30542426727034655</v>
      </c>
    </row>
    <row r="1067" spans="4:17" ht="15" thickBot="1" x14ac:dyDescent="0.35">
      <c r="D1067" s="20">
        <f t="shared" si="80"/>
        <v>1061</v>
      </c>
      <c r="E1067" s="44">
        <f t="shared" si="81"/>
        <v>50</v>
      </c>
      <c r="F1067" s="44">
        <f t="shared" si="82"/>
        <v>2050</v>
      </c>
      <c r="G1067" s="20">
        <v>0.32722965844330537</v>
      </c>
      <c r="H1067" s="50"/>
      <c r="I1067" s="16"/>
      <c r="J1067" s="16"/>
      <c r="K1067" s="16"/>
      <c r="L1067" s="16"/>
      <c r="M1067" s="16">
        <v>1061</v>
      </c>
      <c r="N1067" s="16">
        <f t="shared" si="83"/>
        <v>0.38038020086083213</v>
      </c>
      <c r="O1067" s="16"/>
      <c r="P1067" s="16"/>
      <c r="Q1067" s="16">
        <f t="shared" si="84"/>
        <v>-0.30448239693185014</v>
      </c>
    </row>
    <row r="1068" spans="4:17" ht="15" thickBot="1" x14ac:dyDescent="0.35">
      <c r="D1068" s="20">
        <f t="shared" si="80"/>
        <v>1062</v>
      </c>
      <c r="E1068" s="20">
        <f t="shared" si="81"/>
        <v>150</v>
      </c>
      <c r="F1068" s="20">
        <f t="shared" si="82"/>
        <v>2050</v>
      </c>
      <c r="G1068" s="20">
        <v>0.32741547640617424</v>
      </c>
      <c r="H1068" s="50"/>
      <c r="I1068" s="16"/>
      <c r="J1068" s="16"/>
      <c r="K1068" s="16"/>
      <c r="L1068" s="16"/>
      <c r="M1068" s="16">
        <v>1062</v>
      </c>
      <c r="N1068" s="16">
        <f t="shared" si="83"/>
        <v>0.38073888091822095</v>
      </c>
      <c r="O1068" s="16"/>
      <c r="P1068" s="16"/>
      <c r="Q1068" s="16">
        <f t="shared" si="84"/>
        <v>-0.30354079662831707</v>
      </c>
    </row>
    <row r="1069" spans="4:17" ht="15" thickBot="1" x14ac:dyDescent="0.35">
      <c r="D1069" s="20">
        <f t="shared" si="80"/>
        <v>1063</v>
      </c>
      <c r="E1069" s="20">
        <f t="shared" si="81"/>
        <v>250</v>
      </c>
      <c r="F1069" s="20">
        <f t="shared" si="82"/>
        <v>2050</v>
      </c>
      <c r="G1069" s="20">
        <v>0.32745312904214485</v>
      </c>
      <c r="H1069" s="50"/>
      <c r="I1069" s="16"/>
      <c r="J1069" s="16"/>
      <c r="K1069" s="16"/>
      <c r="L1069" s="16"/>
      <c r="M1069" s="16">
        <v>1063</v>
      </c>
      <c r="N1069" s="16">
        <f t="shared" si="83"/>
        <v>0.38109756097560976</v>
      </c>
      <c r="O1069" s="16"/>
      <c r="P1069" s="16"/>
      <c r="Q1069" s="16">
        <f t="shared" si="84"/>
        <v>-0.30259946537059762</v>
      </c>
    </row>
    <row r="1070" spans="4:17" ht="15" thickBot="1" x14ac:dyDescent="0.35">
      <c r="D1070" s="20">
        <f t="shared" si="80"/>
        <v>1064</v>
      </c>
      <c r="E1070" s="20">
        <f t="shared" si="81"/>
        <v>350</v>
      </c>
      <c r="F1070" s="20">
        <f t="shared" si="82"/>
        <v>2050</v>
      </c>
      <c r="G1070" s="20">
        <v>0.32757522324415544</v>
      </c>
      <c r="H1070" s="50"/>
      <c r="I1070" s="16"/>
      <c r="J1070" s="16"/>
      <c r="K1070" s="16"/>
      <c r="L1070" s="16"/>
      <c r="M1070" s="16">
        <v>1064</v>
      </c>
      <c r="N1070" s="16">
        <f t="shared" si="83"/>
        <v>0.38145624103299858</v>
      </c>
      <c r="O1070" s="16"/>
      <c r="P1070" s="16"/>
      <c r="Q1070" s="16">
        <f t="shared" si="84"/>
        <v>-0.30165840217134304</v>
      </c>
    </row>
    <row r="1071" spans="4:17" ht="15" thickBot="1" x14ac:dyDescent="0.35">
      <c r="D1071" s="20">
        <f t="shared" si="80"/>
        <v>1065</v>
      </c>
      <c r="E1071" s="20">
        <f t="shared" si="81"/>
        <v>450</v>
      </c>
      <c r="F1071" s="20">
        <f t="shared" si="82"/>
        <v>2050</v>
      </c>
      <c r="G1071" s="20">
        <v>0.3276817407021006</v>
      </c>
      <c r="H1071" s="50"/>
      <c r="I1071" s="16"/>
      <c r="J1071" s="16"/>
      <c r="K1071" s="16"/>
      <c r="L1071" s="16"/>
      <c r="M1071" s="16">
        <v>1065</v>
      </c>
      <c r="N1071" s="16">
        <f t="shared" si="83"/>
        <v>0.38181492109038739</v>
      </c>
      <c r="O1071" s="16"/>
      <c r="P1071" s="16"/>
      <c r="Q1071" s="16">
        <f t="shared" si="84"/>
        <v>-0.30071760604499703</v>
      </c>
    </row>
    <row r="1072" spans="4:17" ht="15" thickBot="1" x14ac:dyDescent="0.35">
      <c r="D1072" s="20">
        <f t="shared" si="80"/>
        <v>1066</v>
      </c>
      <c r="E1072" s="20">
        <f t="shared" si="81"/>
        <v>550</v>
      </c>
      <c r="F1072" s="20">
        <f t="shared" si="82"/>
        <v>2050</v>
      </c>
      <c r="G1072" s="20">
        <v>0.32768403632433046</v>
      </c>
      <c r="H1072" s="50"/>
      <c r="I1072" s="16"/>
      <c r="J1072" s="16"/>
      <c r="K1072" s="16"/>
      <c r="L1072" s="16"/>
      <c r="M1072" s="16">
        <v>1066</v>
      </c>
      <c r="N1072" s="16">
        <f t="shared" si="83"/>
        <v>0.38217360114777621</v>
      </c>
      <c r="O1072" s="16"/>
      <c r="P1072" s="16"/>
      <c r="Q1072" s="16">
        <f t="shared" si="84"/>
        <v>-0.29977707600778802</v>
      </c>
    </row>
    <row r="1073" spans="4:17" ht="15" thickBot="1" x14ac:dyDescent="0.35">
      <c r="D1073" s="20">
        <f t="shared" si="80"/>
        <v>1067</v>
      </c>
      <c r="E1073" s="20">
        <f t="shared" si="81"/>
        <v>650</v>
      </c>
      <c r="F1073" s="20">
        <f t="shared" si="82"/>
        <v>2050</v>
      </c>
      <c r="G1073" s="20">
        <v>0.3277390277148835</v>
      </c>
      <c r="H1073" s="50"/>
      <c r="I1073" s="16"/>
      <c r="J1073" s="16"/>
      <c r="K1073" s="16"/>
      <c r="L1073" s="16"/>
      <c r="M1073" s="16">
        <v>1067</v>
      </c>
      <c r="N1073" s="16">
        <f t="shared" si="83"/>
        <v>0.38253228120516497</v>
      </c>
      <c r="O1073" s="16"/>
      <c r="P1073" s="16"/>
      <c r="Q1073" s="16">
        <f t="shared" si="84"/>
        <v>-0.29883681107772014</v>
      </c>
    </row>
    <row r="1074" spans="4:17" ht="15" thickBot="1" x14ac:dyDescent="0.35">
      <c r="D1074" s="20">
        <f t="shared" si="80"/>
        <v>1068</v>
      </c>
      <c r="E1074" s="20">
        <f t="shared" si="81"/>
        <v>750</v>
      </c>
      <c r="F1074" s="20">
        <f t="shared" si="82"/>
        <v>2050</v>
      </c>
      <c r="G1074" s="20">
        <v>0.32777727520864602</v>
      </c>
      <c r="H1074" s="50"/>
      <c r="I1074" s="16"/>
      <c r="J1074" s="16"/>
      <c r="K1074" s="16"/>
      <c r="L1074" s="16"/>
      <c r="M1074" s="16">
        <v>1068</v>
      </c>
      <c r="N1074" s="16">
        <f t="shared" si="83"/>
        <v>0.38289096126255379</v>
      </c>
      <c r="O1074" s="16"/>
      <c r="P1074" s="16"/>
      <c r="Q1074" s="16">
        <f t="shared" si="84"/>
        <v>-0.29789681027456483</v>
      </c>
    </row>
    <row r="1075" spans="4:17" ht="15" thickBot="1" x14ac:dyDescent="0.35">
      <c r="D1075" s="20">
        <f t="shared" si="80"/>
        <v>1069</v>
      </c>
      <c r="E1075" s="20">
        <f t="shared" si="81"/>
        <v>850</v>
      </c>
      <c r="F1075" s="20">
        <f t="shared" si="82"/>
        <v>2050</v>
      </c>
      <c r="G1075" s="20">
        <v>0.32780130589905643</v>
      </c>
      <c r="H1075" s="50"/>
      <c r="I1075" s="16"/>
      <c r="J1075" s="16"/>
      <c r="K1075" s="16"/>
      <c r="L1075" s="16"/>
      <c r="M1075" s="16">
        <v>1069</v>
      </c>
      <c r="N1075" s="16">
        <f t="shared" si="83"/>
        <v>0.3832496413199426</v>
      </c>
      <c r="O1075" s="16"/>
      <c r="P1075" s="16"/>
      <c r="Q1075" s="16">
        <f t="shared" si="84"/>
        <v>-0.29695707261985294</v>
      </c>
    </row>
    <row r="1076" spans="4:17" ht="15" thickBot="1" x14ac:dyDescent="0.35">
      <c r="D1076" s="20">
        <f t="shared" si="80"/>
        <v>1070</v>
      </c>
      <c r="E1076" s="20">
        <f t="shared" si="81"/>
        <v>950</v>
      </c>
      <c r="F1076" s="20">
        <f t="shared" si="82"/>
        <v>2050</v>
      </c>
      <c r="G1076" s="20">
        <v>0.32791352209374774</v>
      </c>
      <c r="H1076" s="50"/>
      <c r="I1076" s="16"/>
      <c r="J1076" s="16"/>
      <c r="K1076" s="16"/>
      <c r="L1076" s="16"/>
      <c r="M1076" s="16">
        <v>1070</v>
      </c>
      <c r="N1076" s="16">
        <f t="shared" si="83"/>
        <v>0.38360832137733142</v>
      </c>
      <c r="O1076" s="16"/>
      <c r="P1076" s="16"/>
      <c r="Q1076" s="16">
        <f t="shared" si="84"/>
        <v>-0.29601759713686637</v>
      </c>
    </row>
    <row r="1077" spans="4:17" ht="15" thickBot="1" x14ac:dyDescent="0.35">
      <c r="D1077" s="20">
        <f t="shared" si="80"/>
        <v>1071</v>
      </c>
      <c r="E1077" s="20">
        <f t="shared" si="81"/>
        <v>1050</v>
      </c>
      <c r="F1077" s="20">
        <f t="shared" si="82"/>
        <v>2050</v>
      </c>
      <c r="G1077" s="20">
        <v>0.32794731989265158</v>
      </c>
      <c r="H1077" s="50"/>
      <c r="I1077" s="16"/>
      <c r="J1077" s="16"/>
      <c r="K1077" s="16"/>
      <c r="L1077" s="16"/>
      <c r="M1077" s="16">
        <v>1071</v>
      </c>
      <c r="N1077" s="16">
        <f t="shared" si="83"/>
        <v>0.38396700143472023</v>
      </c>
      <c r="O1077" s="16"/>
      <c r="P1077" s="16"/>
      <c r="Q1077" s="16">
        <f t="shared" si="84"/>
        <v>-0.29507838285062976</v>
      </c>
    </row>
    <row r="1078" spans="4:17" ht="15" thickBot="1" x14ac:dyDescent="0.35">
      <c r="D1078" s="20">
        <f t="shared" si="80"/>
        <v>1072</v>
      </c>
      <c r="E1078" s="20">
        <f t="shared" si="81"/>
        <v>1150</v>
      </c>
      <c r="F1078" s="20">
        <f t="shared" si="82"/>
        <v>2050</v>
      </c>
      <c r="G1078" s="20">
        <v>0.32800888479859197</v>
      </c>
      <c r="H1078" s="50"/>
      <c r="I1078" s="16"/>
      <c r="J1078" s="16"/>
      <c r="K1078" s="16"/>
      <c r="L1078" s="16"/>
      <c r="M1078" s="16">
        <v>1072</v>
      </c>
      <c r="N1078" s="16">
        <f t="shared" si="83"/>
        <v>0.38432568149210905</v>
      </c>
      <c r="O1078" s="16"/>
      <c r="P1078" s="16"/>
      <c r="Q1078" s="16">
        <f t="shared" si="84"/>
        <v>-0.29413942878790195</v>
      </c>
    </row>
    <row r="1079" spans="4:17" ht="15" thickBot="1" x14ac:dyDescent="0.35">
      <c r="D1079" s="20">
        <f t="shared" si="80"/>
        <v>1073</v>
      </c>
      <c r="E1079" s="20">
        <f t="shared" si="81"/>
        <v>1250</v>
      </c>
      <c r="F1079" s="20">
        <f t="shared" si="82"/>
        <v>2050</v>
      </c>
      <c r="G1079" s="20">
        <v>0.32819091763227698</v>
      </c>
      <c r="H1079" s="50"/>
      <c r="I1079" s="16"/>
      <c r="J1079" s="16"/>
      <c r="K1079" s="16"/>
      <c r="L1079" s="16"/>
      <c r="M1079" s="16">
        <v>1073</v>
      </c>
      <c r="N1079" s="16">
        <f t="shared" si="83"/>
        <v>0.38468436154949787</v>
      </c>
      <c r="O1079" s="16"/>
      <c r="P1079" s="16"/>
      <c r="Q1079" s="16">
        <f t="shared" si="84"/>
        <v>-0.29320073397716817</v>
      </c>
    </row>
    <row r="1080" spans="4:17" ht="15" thickBot="1" x14ac:dyDescent="0.35">
      <c r="D1080" s="20">
        <f t="shared" si="80"/>
        <v>1074</v>
      </c>
      <c r="E1080" s="20">
        <f t="shared" si="81"/>
        <v>1350</v>
      </c>
      <c r="F1080" s="20">
        <f t="shared" si="82"/>
        <v>2050</v>
      </c>
      <c r="G1080" s="20">
        <v>0.32827633460394895</v>
      </c>
      <c r="H1080" s="50"/>
      <c r="I1080" s="16"/>
      <c r="J1080" s="16"/>
      <c r="K1080" s="16"/>
      <c r="L1080" s="16"/>
      <c r="M1080" s="16">
        <v>1074</v>
      </c>
      <c r="N1080" s="16">
        <f t="shared" si="83"/>
        <v>0.38504304160688668</v>
      </c>
      <c r="O1080" s="16"/>
      <c r="P1080" s="16"/>
      <c r="Q1080" s="16">
        <f t="shared" si="84"/>
        <v>-0.29226229744863197</v>
      </c>
    </row>
    <row r="1081" spans="4:17" ht="15" thickBot="1" x14ac:dyDescent="0.35">
      <c r="D1081" s="20">
        <f t="shared" si="80"/>
        <v>1075</v>
      </c>
      <c r="E1081" s="20">
        <f t="shared" si="81"/>
        <v>1450</v>
      </c>
      <c r="F1081" s="20">
        <f t="shared" si="82"/>
        <v>2050</v>
      </c>
      <c r="G1081" s="20">
        <v>0.32831538321934683</v>
      </c>
      <c r="H1081" s="50"/>
      <c r="I1081" s="16"/>
      <c r="J1081" s="16"/>
      <c r="K1081" s="16"/>
      <c r="L1081" s="16"/>
      <c r="M1081" s="16">
        <v>1075</v>
      </c>
      <c r="N1081" s="16">
        <f t="shared" si="83"/>
        <v>0.38540172166427544</v>
      </c>
      <c r="O1081" s="16"/>
      <c r="P1081" s="16"/>
      <c r="Q1081" s="16">
        <f t="shared" si="84"/>
        <v>-0.29132411823420695</v>
      </c>
    </row>
    <row r="1082" spans="4:17" ht="15" thickBot="1" x14ac:dyDescent="0.35">
      <c r="D1082" s="20">
        <f t="shared" si="80"/>
        <v>1076</v>
      </c>
      <c r="E1082" s="20">
        <f t="shared" si="81"/>
        <v>1550</v>
      </c>
      <c r="F1082" s="20">
        <f t="shared" si="82"/>
        <v>2050</v>
      </c>
      <c r="G1082" s="20">
        <v>0.3283762125191938</v>
      </c>
      <c r="H1082" s="50"/>
      <c r="I1082" s="16"/>
      <c r="J1082" s="16"/>
      <c r="K1082" s="16"/>
      <c r="L1082" s="16"/>
      <c r="M1082" s="16">
        <v>1076</v>
      </c>
      <c r="N1082" s="16">
        <f t="shared" si="83"/>
        <v>0.38576040172166426</v>
      </c>
      <c r="O1082" s="16"/>
      <c r="P1082" s="16"/>
      <c r="Q1082" s="16">
        <f t="shared" si="84"/>
        <v>-0.29038619536750815</v>
      </c>
    </row>
    <row r="1083" spans="4:17" ht="15" thickBot="1" x14ac:dyDescent="0.35">
      <c r="D1083" s="20">
        <f t="shared" si="80"/>
        <v>1077</v>
      </c>
      <c r="E1083" s="20">
        <f t="shared" si="81"/>
        <v>1650</v>
      </c>
      <c r="F1083" s="20">
        <f t="shared" si="82"/>
        <v>2050</v>
      </c>
      <c r="G1083" s="20">
        <v>0.32839559489248599</v>
      </c>
      <c r="H1083" s="50"/>
      <c r="I1083" s="16"/>
      <c r="J1083" s="16"/>
      <c r="K1083" s="16"/>
      <c r="L1083" s="16"/>
      <c r="M1083" s="16">
        <v>1077</v>
      </c>
      <c r="N1083" s="16">
        <f t="shared" si="83"/>
        <v>0.38611908177905307</v>
      </c>
      <c r="O1083" s="16"/>
      <c r="P1083" s="16"/>
      <c r="Q1083" s="16">
        <f t="shared" si="84"/>
        <v>-0.28944852788384479</v>
      </c>
    </row>
    <row r="1084" spans="4:17" ht="15" thickBot="1" x14ac:dyDescent="0.35">
      <c r="D1084" s="20">
        <f t="shared" si="80"/>
        <v>1078</v>
      </c>
      <c r="E1084" s="20">
        <f t="shared" si="81"/>
        <v>1750</v>
      </c>
      <c r="F1084" s="20">
        <f t="shared" si="82"/>
        <v>2050</v>
      </c>
      <c r="G1084" s="20">
        <v>0.32872718277417107</v>
      </c>
      <c r="H1084" s="50"/>
      <c r="I1084" s="16"/>
      <c r="J1084" s="16"/>
      <c r="K1084" s="16"/>
      <c r="L1084" s="16"/>
      <c r="M1084" s="16">
        <v>1078</v>
      </c>
      <c r="N1084" s="16">
        <f t="shared" si="83"/>
        <v>0.38647776183644189</v>
      </c>
      <c r="O1084" s="16"/>
      <c r="P1084" s="16"/>
      <c r="Q1084" s="16">
        <f t="shared" si="84"/>
        <v>-0.28851111482021208</v>
      </c>
    </row>
    <row r="1085" spans="4:17" ht="15" thickBot="1" x14ac:dyDescent="0.35">
      <c r="D1085" s="20">
        <f t="shared" si="80"/>
        <v>1079</v>
      </c>
      <c r="E1085" s="20">
        <f t="shared" si="81"/>
        <v>1850</v>
      </c>
      <c r="F1085" s="20">
        <f t="shared" si="82"/>
        <v>2050</v>
      </c>
      <c r="G1085" s="20">
        <v>0.32874928839807782</v>
      </c>
      <c r="H1085" s="50"/>
      <c r="I1085" s="16"/>
      <c r="J1085" s="16"/>
      <c r="K1085" s="16"/>
      <c r="L1085" s="16"/>
      <c r="M1085" s="16">
        <v>1079</v>
      </c>
      <c r="N1085" s="16">
        <f t="shared" si="83"/>
        <v>0.38683644189383071</v>
      </c>
      <c r="O1085" s="16"/>
      <c r="P1085" s="16"/>
      <c r="Q1085" s="16">
        <f t="shared" si="84"/>
        <v>-0.28757395521528289</v>
      </c>
    </row>
    <row r="1086" spans="4:17" ht="15" thickBot="1" x14ac:dyDescent="0.35">
      <c r="D1086" s="20">
        <f t="shared" si="80"/>
        <v>1080</v>
      </c>
      <c r="E1086" s="20">
        <f t="shared" si="81"/>
        <v>1950</v>
      </c>
      <c r="F1086" s="20">
        <f t="shared" si="82"/>
        <v>2050</v>
      </c>
      <c r="G1086" s="20">
        <v>0.32886549502194751</v>
      </c>
      <c r="H1086" s="50"/>
      <c r="I1086" s="16"/>
      <c r="J1086" s="16"/>
      <c r="K1086" s="16"/>
      <c r="L1086" s="16"/>
      <c r="M1086" s="16">
        <v>1080</v>
      </c>
      <c r="N1086" s="16">
        <f t="shared" si="83"/>
        <v>0.38719512195121952</v>
      </c>
      <c r="O1086" s="16"/>
      <c r="P1086" s="16"/>
      <c r="Q1086" s="16">
        <f t="shared" si="84"/>
        <v>-0.28663704810939999</v>
      </c>
    </row>
    <row r="1087" spans="4:17" ht="15" thickBot="1" x14ac:dyDescent="0.35">
      <c r="D1087" s="20">
        <f t="shared" si="80"/>
        <v>1081</v>
      </c>
      <c r="E1087" s="20">
        <f t="shared" si="81"/>
        <v>2050</v>
      </c>
      <c r="F1087" s="20">
        <f t="shared" si="82"/>
        <v>2050</v>
      </c>
      <c r="G1087" s="20">
        <v>0.32895552881821499</v>
      </c>
      <c r="H1087" s="50"/>
      <c r="I1087" s="16"/>
      <c r="J1087" s="16"/>
      <c r="K1087" s="16"/>
      <c r="L1087" s="16"/>
      <c r="M1087" s="16">
        <v>1081</v>
      </c>
      <c r="N1087" s="16">
        <f t="shared" si="83"/>
        <v>0.38755380200860834</v>
      </c>
      <c r="O1087" s="16"/>
      <c r="P1087" s="16"/>
      <c r="Q1087" s="16">
        <f t="shared" si="84"/>
        <v>-0.28570039254456803</v>
      </c>
    </row>
    <row r="1088" spans="4:17" ht="15" thickBot="1" x14ac:dyDescent="0.35">
      <c r="D1088" s="20">
        <f t="shared" si="80"/>
        <v>1082</v>
      </c>
      <c r="E1088" s="20">
        <f t="shared" si="81"/>
        <v>2150</v>
      </c>
      <c r="F1088" s="20">
        <f t="shared" si="82"/>
        <v>2050</v>
      </c>
      <c r="G1088" s="20">
        <v>0.32897282388716453</v>
      </c>
      <c r="H1088" s="50"/>
      <c r="I1088" s="16"/>
      <c r="J1088" s="16"/>
      <c r="K1088" s="16"/>
      <c r="L1088" s="16"/>
      <c r="M1088" s="16">
        <v>1082</v>
      </c>
      <c r="N1088" s="16">
        <f t="shared" si="83"/>
        <v>0.38791248206599716</v>
      </c>
      <c r="O1088" s="16"/>
      <c r="P1088" s="16"/>
      <c r="Q1088" s="16">
        <f t="shared" si="84"/>
        <v>-0.28476398756444565</v>
      </c>
    </row>
    <row r="1089" spans="4:17" ht="15" thickBot="1" x14ac:dyDescent="0.35">
      <c r="D1089" s="20">
        <f t="shared" si="80"/>
        <v>1083</v>
      </c>
      <c r="E1089" s="20">
        <f t="shared" si="81"/>
        <v>2250</v>
      </c>
      <c r="F1089" s="20">
        <f t="shared" si="82"/>
        <v>2050</v>
      </c>
      <c r="G1089" s="20">
        <v>0.32910021578266996</v>
      </c>
      <c r="H1089" s="50"/>
      <c r="I1089" s="16"/>
      <c r="J1089" s="16"/>
      <c r="K1089" s="16"/>
      <c r="L1089" s="16"/>
      <c r="M1089" s="16">
        <v>1083</v>
      </c>
      <c r="N1089" s="16">
        <f t="shared" si="83"/>
        <v>0.38827116212338592</v>
      </c>
      <c r="O1089" s="16"/>
      <c r="P1089" s="16"/>
      <c r="Q1089" s="16">
        <f t="shared" si="84"/>
        <v>-0.28382783221433788</v>
      </c>
    </row>
    <row r="1090" spans="4:17" ht="15" thickBot="1" x14ac:dyDescent="0.35">
      <c r="D1090" s="20">
        <f t="shared" si="80"/>
        <v>1084</v>
      </c>
      <c r="E1090" s="20">
        <f t="shared" si="81"/>
        <v>2350</v>
      </c>
      <c r="F1090" s="20">
        <f t="shared" si="82"/>
        <v>2050</v>
      </c>
      <c r="G1090" s="20">
        <v>0.32925152947039282</v>
      </c>
      <c r="H1090" s="50"/>
      <c r="I1090" s="16"/>
      <c r="J1090" s="16"/>
      <c r="K1090" s="16"/>
      <c r="L1090" s="16"/>
      <c r="M1090" s="16">
        <v>1084</v>
      </c>
      <c r="N1090" s="16">
        <f t="shared" si="83"/>
        <v>0.38862984218077473</v>
      </c>
      <c r="O1090" s="16"/>
      <c r="P1090" s="16"/>
      <c r="Q1090" s="16">
        <f t="shared" si="84"/>
        <v>-0.28289192554118753</v>
      </c>
    </row>
    <row r="1091" spans="4:17" ht="15" thickBot="1" x14ac:dyDescent="0.35">
      <c r="D1091" s="20">
        <f t="shared" si="80"/>
        <v>1085</v>
      </c>
      <c r="E1091" s="20">
        <f t="shared" si="81"/>
        <v>2450</v>
      </c>
      <c r="F1091" s="20">
        <f t="shared" si="82"/>
        <v>2050</v>
      </c>
      <c r="G1091" s="20">
        <v>0.32926677253686604</v>
      </c>
      <c r="H1091" s="50"/>
      <c r="I1091" s="16"/>
      <c r="J1091" s="16"/>
      <c r="K1091" s="16"/>
      <c r="L1091" s="16"/>
      <c r="M1091" s="16">
        <v>1085</v>
      </c>
      <c r="N1091" s="16">
        <f t="shared" si="83"/>
        <v>0.38898852223816355</v>
      </c>
      <c r="O1091" s="16"/>
      <c r="P1091" s="16"/>
      <c r="Q1091" s="16">
        <f t="shared" si="84"/>
        <v>-0.28195626659356848</v>
      </c>
    </row>
    <row r="1092" spans="4:17" ht="15" thickBot="1" x14ac:dyDescent="0.35">
      <c r="D1092" s="20">
        <f t="shared" si="80"/>
        <v>1086</v>
      </c>
      <c r="E1092" s="20">
        <f t="shared" si="81"/>
        <v>2550</v>
      </c>
      <c r="F1092" s="20">
        <f t="shared" si="82"/>
        <v>2050</v>
      </c>
      <c r="G1092" s="20">
        <v>0.32935591627386346</v>
      </c>
      <c r="H1092" s="50"/>
      <c r="I1092" s="16"/>
      <c r="J1092" s="16"/>
      <c r="K1092" s="16"/>
      <c r="L1092" s="16"/>
      <c r="M1092" s="16">
        <v>1086</v>
      </c>
      <c r="N1092" s="16">
        <f t="shared" si="83"/>
        <v>0.38934720229555236</v>
      </c>
      <c r="O1092" s="16"/>
      <c r="P1092" s="16"/>
      <c r="Q1092" s="16">
        <f t="shared" si="84"/>
        <v>-0.28102085442167674</v>
      </c>
    </row>
    <row r="1093" spans="4:17" ht="15" thickBot="1" x14ac:dyDescent="0.35">
      <c r="D1093" s="20">
        <f t="shared" si="80"/>
        <v>1087</v>
      </c>
      <c r="E1093" s="20">
        <f t="shared" si="81"/>
        <v>2650</v>
      </c>
      <c r="F1093" s="20">
        <f t="shared" si="82"/>
        <v>2050</v>
      </c>
      <c r="G1093" s="20">
        <v>0.3295341848631122</v>
      </c>
      <c r="H1093" s="50"/>
      <c r="I1093" s="16"/>
      <c r="J1093" s="16"/>
      <c r="K1093" s="16"/>
      <c r="L1093" s="16"/>
      <c r="M1093" s="16">
        <v>1087</v>
      </c>
      <c r="N1093" s="16">
        <f t="shared" si="83"/>
        <v>0.38970588235294118</v>
      </c>
      <c r="O1093" s="16"/>
      <c r="P1093" s="16"/>
      <c r="Q1093" s="16">
        <f t="shared" si="84"/>
        <v>-0.2800856880773237</v>
      </c>
    </row>
    <row r="1094" spans="4:17" ht="15" thickBot="1" x14ac:dyDescent="0.35">
      <c r="D1094" s="20">
        <f t="shared" si="80"/>
        <v>1088</v>
      </c>
      <c r="E1094" s="20">
        <f t="shared" si="81"/>
        <v>2750</v>
      </c>
      <c r="F1094" s="20">
        <f t="shared" si="82"/>
        <v>2050</v>
      </c>
      <c r="G1094" s="20">
        <v>0.32966073754019071</v>
      </c>
      <c r="H1094" s="50"/>
      <c r="I1094" s="16"/>
      <c r="J1094" s="16"/>
      <c r="K1094" s="16"/>
      <c r="L1094" s="16"/>
      <c r="M1094" s="16">
        <v>1088</v>
      </c>
      <c r="N1094" s="16">
        <f t="shared" si="83"/>
        <v>0.39006456241033</v>
      </c>
      <c r="O1094" s="16"/>
      <c r="P1094" s="16"/>
      <c r="Q1094" s="16">
        <f t="shared" si="84"/>
        <v>-0.27915076661392774</v>
      </c>
    </row>
    <row r="1095" spans="4:17" ht="15" thickBot="1" x14ac:dyDescent="0.35">
      <c r="D1095" s="20">
        <f t="shared" ref="D1095:D1158" si="85">ROW()-6</f>
        <v>1089</v>
      </c>
      <c r="E1095" s="20">
        <f t="shared" ref="E1095:E1158" si="86">(MOD(D1095-1,53)*100)+50</f>
        <v>2850</v>
      </c>
      <c r="F1095" s="20">
        <f t="shared" ref="F1095:F1158" si="87">FLOOR((D1095-1)/53,1)*100+50</f>
        <v>2050</v>
      </c>
      <c r="G1095" s="20">
        <v>0.32968388004681121</v>
      </c>
      <c r="H1095" s="50"/>
      <c r="I1095" s="16"/>
      <c r="J1095" s="16"/>
      <c r="K1095" s="16"/>
      <c r="L1095" s="16"/>
      <c r="M1095" s="16">
        <v>1089</v>
      </c>
      <c r="N1095" s="16">
        <f t="shared" si="83"/>
        <v>0.39042324246771881</v>
      </c>
      <c r="O1095" s="16"/>
      <c r="P1095" s="16"/>
      <c r="Q1095" s="16">
        <f t="shared" si="84"/>
        <v>-0.27821608908650658</v>
      </c>
    </row>
    <row r="1096" spans="4:17" ht="15" thickBot="1" x14ac:dyDescent="0.35">
      <c r="D1096" s="20">
        <f t="shared" si="85"/>
        <v>1090</v>
      </c>
      <c r="E1096" s="20">
        <f t="shared" si="86"/>
        <v>2950</v>
      </c>
      <c r="F1096" s="20">
        <f t="shared" si="87"/>
        <v>2050</v>
      </c>
      <c r="G1096" s="20">
        <v>0.32973011099182048</v>
      </c>
      <c r="H1096" s="50"/>
      <c r="I1096" s="16"/>
      <c r="J1096" s="16"/>
      <c r="K1096" s="16"/>
      <c r="L1096" s="16"/>
      <c r="M1096" s="16">
        <v>1090</v>
      </c>
      <c r="N1096" s="16">
        <f t="shared" ref="N1096:N1159" si="88">(M1096-0.5)/$L$7</f>
        <v>0.39078192252510763</v>
      </c>
      <c r="O1096" s="16"/>
      <c r="P1096" s="16"/>
      <c r="Q1096" s="16">
        <f t="shared" ref="Q1096:Q1159" si="89">_xlfn.NORM.S.INV(N1096)</f>
        <v>-0.27728165455167003</v>
      </c>
    </row>
    <row r="1097" spans="4:17" ht="15" thickBot="1" x14ac:dyDescent="0.35">
      <c r="D1097" s="20">
        <f t="shared" si="85"/>
        <v>1091</v>
      </c>
      <c r="E1097" s="20">
        <f t="shared" si="86"/>
        <v>3050</v>
      </c>
      <c r="F1097" s="20">
        <f t="shared" si="87"/>
        <v>2050</v>
      </c>
      <c r="G1097" s="20">
        <v>0.3298184785275462</v>
      </c>
      <c r="H1097" s="50"/>
      <c r="I1097" s="16"/>
      <c r="J1097" s="16"/>
      <c r="K1097" s="16"/>
      <c r="L1097" s="16"/>
      <c r="M1097" s="16">
        <v>1091</v>
      </c>
      <c r="N1097" s="16">
        <f t="shared" si="88"/>
        <v>0.39114060258249639</v>
      </c>
      <c r="O1097" s="16"/>
      <c r="P1097" s="16"/>
      <c r="Q1097" s="16">
        <f t="shared" si="89"/>
        <v>-0.27634746206761213</v>
      </c>
    </row>
    <row r="1098" spans="4:17" ht="15" thickBot="1" x14ac:dyDescent="0.35">
      <c r="D1098" s="20">
        <f t="shared" si="85"/>
        <v>1092</v>
      </c>
      <c r="E1098" s="20">
        <f t="shared" si="86"/>
        <v>3150</v>
      </c>
      <c r="F1098" s="20">
        <f t="shared" si="87"/>
        <v>2050</v>
      </c>
      <c r="G1098" s="20">
        <v>0.32983615466103688</v>
      </c>
      <c r="H1098" s="50"/>
      <c r="I1098" s="16"/>
      <c r="J1098" s="16"/>
      <c r="K1098" s="16"/>
      <c r="L1098" s="16"/>
      <c r="M1098" s="16">
        <v>1092</v>
      </c>
      <c r="N1098" s="16">
        <f t="shared" si="88"/>
        <v>0.3914992826398852</v>
      </c>
      <c r="O1098" s="16"/>
      <c r="P1098" s="16"/>
      <c r="Q1098" s="16">
        <f t="shared" si="89"/>
        <v>-0.27541351069410286</v>
      </c>
    </row>
    <row r="1099" spans="4:17" ht="15" thickBot="1" x14ac:dyDescent="0.35">
      <c r="D1099" s="20">
        <f t="shared" si="85"/>
        <v>1093</v>
      </c>
      <c r="E1099" s="20">
        <f t="shared" si="86"/>
        <v>3250</v>
      </c>
      <c r="F1099" s="20">
        <f t="shared" si="87"/>
        <v>2050</v>
      </c>
      <c r="G1099" s="20">
        <v>0.33004280622094939</v>
      </c>
      <c r="H1099" s="50"/>
      <c r="I1099" s="16"/>
      <c r="J1099" s="16"/>
      <c r="K1099" s="16"/>
      <c r="L1099" s="16"/>
      <c r="M1099" s="16">
        <v>1093</v>
      </c>
      <c r="N1099" s="16">
        <f t="shared" si="88"/>
        <v>0.39185796269727402</v>
      </c>
      <c r="O1099" s="16"/>
      <c r="P1099" s="16"/>
      <c r="Q1099" s="16">
        <f t="shared" si="89"/>
        <v>-0.27447979949248175</v>
      </c>
    </row>
    <row r="1100" spans="4:17" ht="15" thickBot="1" x14ac:dyDescent="0.35">
      <c r="D1100" s="20">
        <f t="shared" si="85"/>
        <v>1094</v>
      </c>
      <c r="E1100" s="20">
        <f t="shared" si="86"/>
        <v>3350</v>
      </c>
      <c r="F1100" s="20">
        <f t="shared" si="87"/>
        <v>2050</v>
      </c>
      <c r="G1100" s="20">
        <v>0.33008102931791711</v>
      </c>
      <c r="H1100" s="50"/>
      <c r="I1100" s="16"/>
      <c r="J1100" s="16"/>
      <c r="K1100" s="16"/>
      <c r="L1100" s="16"/>
      <c r="M1100" s="16">
        <v>1094</v>
      </c>
      <c r="N1100" s="16">
        <f t="shared" si="88"/>
        <v>0.39221664275466284</v>
      </c>
      <c r="O1100" s="16"/>
      <c r="P1100" s="16"/>
      <c r="Q1100" s="16">
        <f t="shared" si="89"/>
        <v>-0.27354632752564961</v>
      </c>
    </row>
    <row r="1101" spans="4:17" ht="15" thickBot="1" x14ac:dyDescent="0.35">
      <c r="D1101" s="20">
        <f t="shared" si="85"/>
        <v>1095</v>
      </c>
      <c r="E1101" s="20">
        <f t="shared" si="86"/>
        <v>3450</v>
      </c>
      <c r="F1101" s="20">
        <f t="shared" si="87"/>
        <v>2050</v>
      </c>
      <c r="G1101" s="20">
        <v>0.33011014046399589</v>
      </c>
      <c r="H1101" s="50"/>
      <c r="I1101" s="16"/>
      <c r="J1101" s="16"/>
      <c r="K1101" s="16"/>
      <c r="L1101" s="16"/>
      <c r="M1101" s="16">
        <v>1095</v>
      </c>
      <c r="N1101" s="16">
        <f t="shared" si="88"/>
        <v>0.39257532281205165</v>
      </c>
      <c r="O1101" s="16"/>
      <c r="P1101" s="16"/>
      <c r="Q1101" s="16">
        <f t="shared" si="89"/>
        <v>-0.2726130938580611</v>
      </c>
    </row>
    <row r="1102" spans="4:17" ht="15" thickBot="1" x14ac:dyDescent="0.35">
      <c r="D1102" s="20">
        <f t="shared" si="85"/>
        <v>1096</v>
      </c>
      <c r="E1102" s="20">
        <f t="shared" si="86"/>
        <v>3550</v>
      </c>
      <c r="F1102" s="20">
        <f t="shared" si="87"/>
        <v>2050</v>
      </c>
      <c r="G1102" s="20">
        <v>0.33011894458946234</v>
      </c>
      <c r="H1102" s="50"/>
      <c r="I1102" s="16"/>
      <c r="J1102" s="16"/>
      <c r="K1102" s="16"/>
      <c r="L1102" s="16"/>
      <c r="M1102" s="16">
        <v>1096</v>
      </c>
      <c r="N1102" s="16">
        <f t="shared" si="88"/>
        <v>0.39293400286944047</v>
      </c>
      <c r="O1102" s="16"/>
      <c r="P1102" s="16"/>
      <c r="Q1102" s="16">
        <f t="shared" si="89"/>
        <v>-0.27168009755571709</v>
      </c>
    </row>
    <row r="1103" spans="4:17" ht="15" thickBot="1" x14ac:dyDescent="0.35">
      <c r="D1103" s="20">
        <f t="shared" si="85"/>
        <v>1097</v>
      </c>
      <c r="E1103" s="20">
        <f t="shared" si="86"/>
        <v>3650</v>
      </c>
      <c r="F1103" s="20">
        <f t="shared" si="87"/>
        <v>2050</v>
      </c>
      <c r="G1103" s="20">
        <v>0.3301208367604711</v>
      </c>
      <c r="H1103" s="50"/>
      <c r="I1103" s="16"/>
      <c r="J1103" s="16"/>
      <c r="K1103" s="16"/>
      <c r="L1103" s="16"/>
      <c r="M1103" s="16">
        <v>1097</v>
      </c>
      <c r="N1103" s="16">
        <f t="shared" si="88"/>
        <v>0.39329268292682928</v>
      </c>
      <c r="O1103" s="16"/>
      <c r="P1103" s="16"/>
      <c r="Q1103" s="16">
        <f t="shared" si="89"/>
        <v>-0.27074733768615755</v>
      </c>
    </row>
    <row r="1104" spans="4:17" ht="15" thickBot="1" x14ac:dyDescent="0.35">
      <c r="D1104" s="20">
        <f t="shared" si="85"/>
        <v>1098</v>
      </c>
      <c r="E1104" s="20">
        <f t="shared" si="86"/>
        <v>3750</v>
      </c>
      <c r="F1104" s="20">
        <f t="shared" si="87"/>
        <v>2050</v>
      </c>
      <c r="G1104" s="20">
        <v>0.33014137202356048</v>
      </c>
      <c r="H1104" s="50"/>
      <c r="I1104" s="16"/>
      <c r="J1104" s="16"/>
      <c r="K1104" s="16"/>
      <c r="L1104" s="16"/>
      <c r="M1104" s="16">
        <v>1098</v>
      </c>
      <c r="N1104" s="16">
        <f t="shared" si="88"/>
        <v>0.3936513629842181</v>
      </c>
      <c r="O1104" s="16"/>
      <c r="P1104" s="16"/>
      <c r="Q1104" s="16">
        <f t="shared" si="89"/>
        <v>-0.26981481331845375</v>
      </c>
    </row>
    <row r="1105" spans="4:17" ht="15" thickBot="1" x14ac:dyDescent="0.35">
      <c r="D1105" s="20">
        <f t="shared" si="85"/>
        <v>1099</v>
      </c>
      <c r="E1105" s="20">
        <f t="shared" si="86"/>
        <v>3850</v>
      </c>
      <c r="F1105" s="20">
        <f t="shared" si="87"/>
        <v>2050</v>
      </c>
      <c r="G1105" s="20">
        <v>0.33024664488933864</v>
      </c>
      <c r="H1105" s="50"/>
      <c r="I1105" s="16"/>
      <c r="J1105" s="16"/>
      <c r="K1105" s="16"/>
      <c r="L1105" s="16"/>
      <c r="M1105" s="16">
        <v>1099</v>
      </c>
      <c r="N1105" s="16">
        <f t="shared" si="88"/>
        <v>0.39401004304160686</v>
      </c>
      <c r="O1105" s="16"/>
      <c r="P1105" s="16"/>
      <c r="Q1105" s="16">
        <f t="shared" si="89"/>
        <v>-0.26888252352320119</v>
      </c>
    </row>
    <row r="1106" spans="4:17" ht="15" thickBot="1" x14ac:dyDescent="0.35">
      <c r="D1106" s="20">
        <f t="shared" si="85"/>
        <v>1100</v>
      </c>
      <c r="E1106" s="20">
        <f t="shared" si="86"/>
        <v>3950</v>
      </c>
      <c r="F1106" s="20">
        <f t="shared" si="87"/>
        <v>2050</v>
      </c>
      <c r="G1106" s="20">
        <v>0.33026241608191992</v>
      </c>
      <c r="H1106" s="50"/>
      <c r="I1106" s="16"/>
      <c r="J1106" s="16"/>
      <c r="K1106" s="16"/>
      <c r="L1106" s="16"/>
      <c r="M1106" s="16">
        <v>1100</v>
      </c>
      <c r="N1106" s="16">
        <f t="shared" si="88"/>
        <v>0.39436872309899568</v>
      </c>
      <c r="O1106" s="16"/>
      <c r="P1106" s="16"/>
      <c r="Q1106" s="16">
        <f t="shared" si="89"/>
        <v>-0.26795046737251149</v>
      </c>
    </row>
    <row r="1107" spans="4:17" ht="15" thickBot="1" x14ac:dyDescent="0.35">
      <c r="D1107" s="20">
        <f t="shared" si="85"/>
        <v>1101</v>
      </c>
      <c r="E1107" s="20">
        <f t="shared" si="86"/>
        <v>4050</v>
      </c>
      <c r="F1107" s="20">
        <f t="shared" si="87"/>
        <v>2050</v>
      </c>
      <c r="G1107" s="20">
        <v>0.33027901299276163</v>
      </c>
      <c r="H1107" s="50"/>
      <c r="I1107" s="16"/>
      <c r="J1107" s="16"/>
      <c r="K1107" s="16"/>
      <c r="L1107" s="16"/>
      <c r="M1107" s="16">
        <v>1101</v>
      </c>
      <c r="N1107" s="16">
        <f t="shared" si="88"/>
        <v>0.39472740315638449</v>
      </c>
      <c r="O1107" s="16"/>
      <c r="P1107" s="16"/>
      <c r="Q1107" s="16">
        <f t="shared" si="89"/>
        <v>-0.26701864394000596</v>
      </c>
    </row>
    <row r="1108" spans="4:17" ht="15" thickBot="1" x14ac:dyDescent="0.35">
      <c r="D1108" s="20">
        <f t="shared" si="85"/>
        <v>1102</v>
      </c>
      <c r="E1108" s="20">
        <f t="shared" si="86"/>
        <v>4150</v>
      </c>
      <c r="F1108" s="20">
        <f t="shared" si="87"/>
        <v>2050</v>
      </c>
      <c r="G1108" s="20">
        <v>0.33031015927700758</v>
      </c>
      <c r="H1108" s="50"/>
      <c r="I1108" s="16"/>
      <c r="J1108" s="16"/>
      <c r="K1108" s="16"/>
      <c r="L1108" s="16"/>
      <c r="M1108" s="16">
        <v>1102</v>
      </c>
      <c r="N1108" s="16">
        <f t="shared" si="88"/>
        <v>0.39508608321377331</v>
      </c>
      <c r="O1108" s="16"/>
      <c r="P1108" s="16"/>
      <c r="Q1108" s="16">
        <f t="shared" si="89"/>
        <v>-0.2660870523008077</v>
      </c>
    </row>
    <row r="1109" spans="4:17" ht="15" thickBot="1" x14ac:dyDescent="0.35">
      <c r="D1109" s="20">
        <f t="shared" si="85"/>
        <v>1103</v>
      </c>
      <c r="E1109" s="20">
        <f t="shared" si="86"/>
        <v>4250</v>
      </c>
      <c r="F1109" s="20">
        <f t="shared" si="87"/>
        <v>2050</v>
      </c>
      <c r="G1109" s="20">
        <v>0.33033116310552496</v>
      </c>
      <c r="H1109" s="50"/>
      <c r="I1109" s="16"/>
      <c r="J1109" s="16"/>
      <c r="K1109" s="16"/>
      <c r="L1109" s="16"/>
      <c r="M1109" s="16">
        <v>1103</v>
      </c>
      <c r="N1109" s="16">
        <f t="shared" si="88"/>
        <v>0.39544476327116213</v>
      </c>
      <c r="O1109" s="16"/>
      <c r="P1109" s="16"/>
      <c r="Q1109" s="16">
        <f t="shared" si="89"/>
        <v>-0.2651556915315344</v>
      </c>
    </row>
    <row r="1110" spans="4:17" ht="15" thickBot="1" x14ac:dyDescent="0.35">
      <c r="D1110" s="20">
        <f t="shared" si="85"/>
        <v>1104</v>
      </c>
      <c r="E1110" s="20">
        <f t="shared" si="86"/>
        <v>4350</v>
      </c>
      <c r="F1110" s="20">
        <f t="shared" si="87"/>
        <v>2050</v>
      </c>
      <c r="G1110" s="20">
        <v>0.33038959188202033</v>
      </c>
      <c r="H1110" s="50"/>
      <c r="I1110" s="16"/>
      <c r="J1110" s="16"/>
      <c r="K1110" s="16"/>
      <c r="L1110" s="16"/>
      <c r="M1110" s="16">
        <v>1104</v>
      </c>
      <c r="N1110" s="16">
        <f t="shared" si="88"/>
        <v>0.39580344332855094</v>
      </c>
      <c r="O1110" s="16"/>
      <c r="P1110" s="16"/>
      <c r="Q1110" s="16">
        <f t="shared" si="89"/>
        <v>-0.26422456071029093</v>
      </c>
    </row>
    <row r="1111" spans="4:17" ht="15" thickBot="1" x14ac:dyDescent="0.35">
      <c r="D1111" s="20">
        <f t="shared" si="85"/>
        <v>1105</v>
      </c>
      <c r="E1111" s="20">
        <f t="shared" si="86"/>
        <v>4450</v>
      </c>
      <c r="F1111" s="20">
        <f t="shared" si="87"/>
        <v>2050</v>
      </c>
      <c r="G1111" s="20">
        <v>0.33040209275405658</v>
      </c>
      <c r="H1111" s="50"/>
      <c r="I1111" s="16"/>
      <c r="J1111" s="16"/>
      <c r="K1111" s="16"/>
      <c r="L1111" s="16"/>
      <c r="M1111" s="16">
        <v>1105</v>
      </c>
      <c r="N1111" s="16">
        <f t="shared" si="88"/>
        <v>0.39616212338593976</v>
      </c>
      <c r="O1111" s="16"/>
      <c r="P1111" s="16"/>
      <c r="Q1111" s="16">
        <f t="shared" si="89"/>
        <v>-0.2632936589166624</v>
      </c>
    </row>
    <row r="1112" spans="4:17" ht="15" thickBot="1" x14ac:dyDescent="0.35">
      <c r="D1112" s="20">
        <f t="shared" si="85"/>
        <v>1106</v>
      </c>
      <c r="E1112" s="20">
        <f t="shared" si="86"/>
        <v>4550</v>
      </c>
      <c r="F1112" s="20">
        <f t="shared" si="87"/>
        <v>2050</v>
      </c>
      <c r="G1112" s="20">
        <v>0.33040637359984387</v>
      </c>
      <c r="H1112" s="50"/>
      <c r="I1112" s="16"/>
      <c r="J1112" s="16"/>
      <c r="K1112" s="16"/>
      <c r="L1112" s="16"/>
      <c r="M1112" s="16">
        <v>1106</v>
      </c>
      <c r="N1112" s="16">
        <f t="shared" si="88"/>
        <v>0.39652080344332857</v>
      </c>
      <c r="O1112" s="16"/>
      <c r="P1112" s="16"/>
      <c r="Q1112" s="16">
        <f t="shared" si="89"/>
        <v>-0.26236298523170648</v>
      </c>
    </row>
    <row r="1113" spans="4:17" ht="15" thickBot="1" x14ac:dyDescent="0.35">
      <c r="D1113" s="20">
        <f t="shared" si="85"/>
        <v>1107</v>
      </c>
      <c r="E1113" s="20">
        <f t="shared" si="86"/>
        <v>4650</v>
      </c>
      <c r="F1113" s="20">
        <f t="shared" si="87"/>
        <v>2050</v>
      </c>
      <c r="G1113" s="20">
        <v>0.33054332809387732</v>
      </c>
      <c r="H1113" s="50"/>
      <c r="I1113" s="16"/>
      <c r="J1113" s="16"/>
      <c r="K1113" s="16"/>
      <c r="L1113" s="16"/>
      <c r="M1113" s="16">
        <v>1107</v>
      </c>
      <c r="N1113" s="16">
        <f t="shared" si="88"/>
        <v>0.39687948350071733</v>
      </c>
      <c r="O1113" s="16"/>
      <c r="P1113" s="16"/>
      <c r="Q1113" s="16">
        <f t="shared" si="89"/>
        <v>-0.26143253873794686</v>
      </c>
    </row>
    <row r="1114" spans="4:17" ht="15" thickBot="1" x14ac:dyDescent="0.35">
      <c r="D1114" s="20">
        <f t="shared" si="85"/>
        <v>1108</v>
      </c>
      <c r="E1114" s="20">
        <f t="shared" si="86"/>
        <v>4750</v>
      </c>
      <c r="F1114" s="20">
        <f t="shared" si="87"/>
        <v>2050</v>
      </c>
      <c r="G1114" s="20">
        <v>0.33068447365162451</v>
      </c>
      <c r="H1114" s="50"/>
      <c r="I1114" s="16"/>
      <c r="J1114" s="16"/>
      <c r="K1114" s="16"/>
      <c r="L1114" s="16"/>
      <c r="M1114" s="16">
        <v>1108</v>
      </c>
      <c r="N1114" s="16">
        <f t="shared" si="88"/>
        <v>0.39723816355810615</v>
      </c>
      <c r="O1114" s="16"/>
      <c r="P1114" s="16"/>
      <c r="Q1114" s="16">
        <f t="shared" si="89"/>
        <v>-0.26050231851936484</v>
      </c>
    </row>
    <row r="1115" spans="4:17" ht="15" thickBot="1" x14ac:dyDescent="0.35">
      <c r="D1115" s="20">
        <f t="shared" si="85"/>
        <v>1109</v>
      </c>
      <c r="E1115" s="20">
        <f t="shared" si="86"/>
        <v>4850</v>
      </c>
      <c r="F1115" s="20">
        <f t="shared" si="87"/>
        <v>2050</v>
      </c>
      <c r="G1115" s="20">
        <v>0.33076541155777778</v>
      </c>
      <c r="H1115" s="50"/>
      <c r="I1115" s="16"/>
      <c r="J1115" s="16"/>
      <c r="K1115" s="16"/>
      <c r="L1115" s="16"/>
      <c r="M1115" s="16">
        <v>1109</v>
      </c>
      <c r="N1115" s="16">
        <f t="shared" si="88"/>
        <v>0.39759684361549497</v>
      </c>
      <c r="O1115" s="16"/>
      <c r="P1115" s="16"/>
      <c r="Q1115" s="16">
        <f t="shared" si="89"/>
        <v>-0.25957232366139366</v>
      </c>
    </row>
    <row r="1116" spans="4:17" ht="15" thickBot="1" x14ac:dyDescent="0.35">
      <c r="D1116" s="20">
        <f t="shared" si="85"/>
        <v>1110</v>
      </c>
      <c r="E1116" s="20">
        <f t="shared" si="86"/>
        <v>4950</v>
      </c>
      <c r="F1116" s="20">
        <f t="shared" si="87"/>
        <v>2050</v>
      </c>
      <c r="G1116" s="20">
        <v>0.33093544845855583</v>
      </c>
      <c r="H1116" s="50"/>
      <c r="I1116" s="16"/>
      <c r="J1116" s="16"/>
      <c r="K1116" s="16"/>
      <c r="L1116" s="16"/>
      <c r="M1116" s="16">
        <v>1110</v>
      </c>
      <c r="N1116" s="16">
        <f t="shared" si="88"/>
        <v>0.39795552367288378</v>
      </c>
      <c r="O1116" s="16"/>
      <c r="P1116" s="16"/>
      <c r="Q1116" s="16">
        <f t="shared" si="89"/>
        <v>-0.25864255325091035</v>
      </c>
    </row>
    <row r="1117" spans="4:17" ht="15" thickBot="1" x14ac:dyDescent="0.35">
      <c r="D1117" s="20">
        <f t="shared" si="85"/>
        <v>1111</v>
      </c>
      <c r="E1117" s="20">
        <f t="shared" si="86"/>
        <v>5050</v>
      </c>
      <c r="F1117" s="20">
        <f t="shared" si="87"/>
        <v>2050</v>
      </c>
      <c r="G1117" s="20">
        <v>0.3309363087733137</v>
      </c>
      <c r="H1117" s="50"/>
      <c r="I1117" s="16"/>
      <c r="J1117" s="16"/>
      <c r="K1117" s="16"/>
      <c r="L1117" s="16"/>
      <c r="M1117" s="16">
        <v>1111</v>
      </c>
      <c r="N1117" s="16">
        <f t="shared" si="88"/>
        <v>0.3983142037302726</v>
      </c>
      <c r="O1117" s="16"/>
      <c r="P1117" s="16"/>
      <c r="Q1117" s="16">
        <f t="shared" si="89"/>
        <v>-0.25771300637622913</v>
      </c>
    </row>
    <row r="1118" spans="4:17" ht="15" thickBot="1" x14ac:dyDescent="0.35">
      <c r="D1118" s="20">
        <f t="shared" si="85"/>
        <v>1112</v>
      </c>
      <c r="E1118" s="48">
        <f t="shared" si="86"/>
        <v>5150</v>
      </c>
      <c r="F1118" s="48">
        <f t="shared" si="87"/>
        <v>2050</v>
      </c>
      <c r="G1118" s="20">
        <v>0.3311907125650253</v>
      </c>
      <c r="H1118" s="50"/>
      <c r="I1118" s="16"/>
      <c r="J1118" s="16"/>
      <c r="K1118" s="16"/>
      <c r="L1118" s="16"/>
      <c r="M1118" s="16">
        <v>1112</v>
      </c>
      <c r="N1118" s="16">
        <f t="shared" si="88"/>
        <v>0.39867288378766141</v>
      </c>
      <c r="O1118" s="16"/>
      <c r="P1118" s="16"/>
      <c r="Q1118" s="16">
        <f t="shared" si="89"/>
        <v>-0.25678368212709396</v>
      </c>
    </row>
    <row r="1119" spans="4:17" ht="15" thickBot="1" x14ac:dyDescent="0.35">
      <c r="D1119" s="20">
        <f t="shared" si="85"/>
        <v>1113</v>
      </c>
      <c r="E1119" s="20">
        <f t="shared" si="86"/>
        <v>5250</v>
      </c>
      <c r="F1119" s="20">
        <f t="shared" si="87"/>
        <v>2050</v>
      </c>
      <c r="G1119" s="20">
        <v>0.33120686530506532</v>
      </c>
      <c r="H1119" s="50"/>
      <c r="I1119" s="16"/>
      <c r="J1119" s="16"/>
      <c r="K1119" s="16"/>
      <c r="L1119" s="16"/>
      <c r="M1119" s="16">
        <v>1113</v>
      </c>
      <c r="N1119" s="16">
        <f t="shared" si="88"/>
        <v>0.39903156384505023</v>
      </c>
      <c r="O1119" s="16"/>
      <c r="P1119" s="16"/>
      <c r="Q1119" s="16">
        <f t="shared" si="89"/>
        <v>-0.25585457959467156</v>
      </c>
    </row>
    <row r="1120" spans="4:17" ht="15" thickBot="1" x14ac:dyDescent="0.35">
      <c r="D1120" s="20">
        <f t="shared" si="85"/>
        <v>1114</v>
      </c>
      <c r="E1120" s="47">
        <f t="shared" si="86"/>
        <v>50</v>
      </c>
      <c r="F1120" s="47">
        <f t="shared" si="87"/>
        <v>2150</v>
      </c>
      <c r="G1120" s="20">
        <v>0.33120778569338316</v>
      </c>
      <c r="H1120" s="50"/>
      <c r="I1120" s="16"/>
      <c r="J1120" s="16"/>
      <c r="K1120" s="16"/>
      <c r="L1120" s="16"/>
      <c r="M1120" s="16">
        <v>1114</v>
      </c>
      <c r="N1120" s="16">
        <f t="shared" si="88"/>
        <v>0.39939024390243905</v>
      </c>
      <c r="O1120" s="16"/>
      <c r="P1120" s="16"/>
      <c r="Q1120" s="16">
        <f t="shared" si="89"/>
        <v>-0.25492569787154473</v>
      </c>
    </row>
    <row r="1121" spans="4:17" ht="15" thickBot="1" x14ac:dyDescent="0.35">
      <c r="D1121" s="20">
        <f t="shared" si="85"/>
        <v>1115</v>
      </c>
      <c r="E1121" s="20">
        <f t="shared" si="86"/>
        <v>150</v>
      </c>
      <c r="F1121" s="20">
        <f t="shared" si="87"/>
        <v>2150</v>
      </c>
      <c r="G1121" s="20">
        <v>0.33124662304821295</v>
      </c>
      <c r="H1121" s="50"/>
      <c r="I1121" s="16"/>
      <c r="J1121" s="16"/>
      <c r="K1121" s="16"/>
      <c r="L1121" s="16"/>
      <c r="M1121" s="16">
        <v>1115</v>
      </c>
      <c r="N1121" s="16">
        <f t="shared" si="88"/>
        <v>0.39974892395982781</v>
      </c>
      <c r="O1121" s="16"/>
      <c r="P1121" s="16"/>
      <c r="Q1121" s="16">
        <f t="shared" si="89"/>
        <v>-0.25399703605170504</v>
      </c>
    </row>
    <row r="1122" spans="4:17" ht="15" thickBot="1" x14ac:dyDescent="0.35">
      <c r="D1122" s="20">
        <f t="shared" si="85"/>
        <v>1116</v>
      </c>
      <c r="E1122" s="48">
        <f t="shared" si="86"/>
        <v>250</v>
      </c>
      <c r="F1122" s="48">
        <f t="shared" si="87"/>
        <v>2150</v>
      </c>
      <c r="G1122" s="20">
        <v>0.33136380966990409</v>
      </c>
      <c r="H1122" s="50"/>
      <c r="I1122" s="16"/>
      <c r="J1122" s="16"/>
      <c r="K1122" s="16"/>
      <c r="L1122" s="16"/>
      <c r="M1122" s="16">
        <v>1116</v>
      </c>
      <c r="N1122" s="16">
        <f t="shared" si="88"/>
        <v>0.40010760401721662</v>
      </c>
      <c r="O1122" s="16"/>
      <c r="P1122" s="16"/>
      <c r="Q1122" s="16">
        <f t="shared" si="89"/>
        <v>-0.25306859323054542</v>
      </c>
    </row>
    <row r="1123" spans="4:17" ht="15" thickBot="1" x14ac:dyDescent="0.35">
      <c r="D1123" s="20">
        <f t="shared" si="85"/>
        <v>1117</v>
      </c>
      <c r="E1123" s="20">
        <f t="shared" si="86"/>
        <v>350</v>
      </c>
      <c r="F1123" s="20">
        <f t="shared" si="87"/>
        <v>2150</v>
      </c>
      <c r="G1123" s="20">
        <v>0.33137722877524373</v>
      </c>
      <c r="H1123" s="50"/>
      <c r="I1123" s="16"/>
      <c r="J1123" s="16"/>
      <c r="K1123" s="16"/>
      <c r="L1123" s="16"/>
      <c r="M1123" s="16">
        <v>1117</v>
      </c>
      <c r="N1123" s="16">
        <f t="shared" si="88"/>
        <v>0.40046628407460544</v>
      </c>
      <c r="O1123" s="16"/>
      <c r="P1123" s="16"/>
      <c r="Q1123" s="16">
        <f t="shared" si="89"/>
        <v>-0.25214036850485422</v>
      </c>
    </row>
    <row r="1124" spans="4:17" ht="15" thickBot="1" x14ac:dyDescent="0.35">
      <c r="D1124" s="20">
        <f t="shared" si="85"/>
        <v>1118</v>
      </c>
      <c r="E1124" s="20">
        <f t="shared" si="86"/>
        <v>450</v>
      </c>
      <c r="F1124" s="20">
        <f t="shared" si="87"/>
        <v>2150</v>
      </c>
      <c r="G1124" s="20">
        <v>0.33139933213734341</v>
      </c>
      <c r="H1124" s="50"/>
      <c r="I1124" s="16"/>
      <c r="J1124" s="16"/>
      <c r="K1124" s="16"/>
      <c r="L1124" s="16"/>
      <c r="M1124" s="16">
        <v>1118</v>
      </c>
      <c r="N1124" s="16">
        <f t="shared" si="88"/>
        <v>0.40082496413199425</v>
      </c>
      <c r="O1124" s="16"/>
      <c r="P1124" s="16"/>
      <c r="Q1124" s="16">
        <f t="shared" si="89"/>
        <v>-0.25121236097280741</v>
      </c>
    </row>
    <row r="1125" spans="4:17" ht="15" thickBot="1" x14ac:dyDescent="0.35">
      <c r="D1125" s="20">
        <f t="shared" si="85"/>
        <v>1119</v>
      </c>
      <c r="E1125" s="20">
        <f t="shared" si="86"/>
        <v>550</v>
      </c>
      <c r="F1125" s="20">
        <f t="shared" si="87"/>
        <v>2150</v>
      </c>
      <c r="G1125" s="20">
        <v>0.33143158712832055</v>
      </c>
      <c r="H1125" s="50"/>
      <c r="I1125" s="16"/>
      <c r="J1125" s="16"/>
      <c r="K1125" s="16"/>
      <c r="L1125" s="16"/>
      <c r="M1125" s="16">
        <v>1119</v>
      </c>
      <c r="N1125" s="16">
        <f t="shared" si="88"/>
        <v>0.40118364418938307</v>
      </c>
      <c r="O1125" s="16"/>
      <c r="P1125" s="16"/>
      <c r="Q1125" s="16">
        <f t="shared" si="89"/>
        <v>-0.25028456973396213</v>
      </c>
    </row>
    <row r="1126" spans="4:17" ht="15" thickBot="1" x14ac:dyDescent="0.35">
      <c r="D1126" s="20">
        <f t="shared" si="85"/>
        <v>1120</v>
      </c>
      <c r="E1126" s="20">
        <f t="shared" si="86"/>
        <v>650</v>
      </c>
      <c r="F1126" s="20">
        <f t="shared" si="87"/>
        <v>2150</v>
      </c>
      <c r="G1126" s="20">
        <v>0.33143967426893101</v>
      </c>
      <c r="H1126" s="50"/>
      <c r="I1126" s="16"/>
      <c r="J1126" s="16"/>
      <c r="K1126" s="16"/>
      <c r="L1126" s="16"/>
      <c r="M1126" s="16">
        <v>1120</v>
      </c>
      <c r="N1126" s="16">
        <f t="shared" si="88"/>
        <v>0.40154232424677189</v>
      </c>
      <c r="O1126" s="16"/>
      <c r="P1126" s="16"/>
      <c r="Q1126" s="16">
        <f t="shared" si="89"/>
        <v>-0.24935699388924934</v>
      </c>
    </row>
    <row r="1127" spans="4:17" ht="15" thickBot="1" x14ac:dyDescent="0.35">
      <c r="D1127" s="20">
        <f t="shared" si="85"/>
        <v>1121</v>
      </c>
      <c r="E1127" s="20">
        <f t="shared" si="86"/>
        <v>750</v>
      </c>
      <c r="F1127" s="20">
        <f t="shared" si="87"/>
        <v>2150</v>
      </c>
      <c r="G1127" s="20">
        <v>0.33155122259047298</v>
      </c>
      <c r="H1127" s="50"/>
      <c r="I1127" s="16"/>
      <c r="J1127" s="16"/>
      <c r="K1127" s="16"/>
      <c r="L1127" s="16"/>
      <c r="M1127" s="16">
        <v>1121</v>
      </c>
      <c r="N1127" s="16">
        <f t="shared" si="88"/>
        <v>0.4019010043041607</v>
      </c>
      <c r="O1127" s="16"/>
      <c r="P1127" s="16"/>
      <c r="Q1127" s="16">
        <f t="shared" si="89"/>
        <v>-0.2484296325409677</v>
      </c>
    </row>
    <row r="1128" spans="4:17" ht="15" thickBot="1" x14ac:dyDescent="0.35">
      <c r="D1128" s="20">
        <f t="shared" si="85"/>
        <v>1122</v>
      </c>
      <c r="E1128" s="20">
        <f t="shared" si="86"/>
        <v>850</v>
      </c>
      <c r="F1128" s="20">
        <f t="shared" si="87"/>
        <v>2150</v>
      </c>
      <c r="G1128" s="20">
        <v>0.33172697022906544</v>
      </c>
      <c r="H1128" s="50"/>
      <c r="I1128" s="16"/>
      <c r="J1128" s="16"/>
      <c r="K1128" s="16"/>
      <c r="L1128" s="16"/>
      <c r="M1128" s="16">
        <v>1122</v>
      </c>
      <c r="N1128" s="16">
        <f t="shared" si="88"/>
        <v>0.40225968436154952</v>
      </c>
      <c r="O1128" s="16"/>
      <c r="P1128" s="16"/>
      <c r="Q1128" s="16">
        <f t="shared" si="89"/>
        <v>-0.24750248479277581</v>
      </c>
    </row>
    <row r="1129" spans="4:17" ht="15" thickBot="1" x14ac:dyDescent="0.35">
      <c r="D1129" s="20">
        <f t="shared" si="85"/>
        <v>1123</v>
      </c>
      <c r="E1129" s="20">
        <f t="shared" si="86"/>
        <v>950</v>
      </c>
      <c r="F1129" s="20">
        <f t="shared" si="87"/>
        <v>2150</v>
      </c>
      <c r="G1129" s="20">
        <v>0.33195779706046413</v>
      </c>
      <c r="H1129" s="50"/>
      <c r="I1129" s="16"/>
      <c r="J1129" s="16"/>
      <c r="K1129" s="16"/>
      <c r="L1129" s="16"/>
      <c r="M1129" s="16">
        <v>1123</v>
      </c>
      <c r="N1129" s="16">
        <f t="shared" si="88"/>
        <v>0.40261836441893828</v>
      </c>
      <c r="O1129" s="16"/>
      <c r="P1129" s="16"/>
      <c r="Q1129" s="16">
        <f t="shared" si="89"/>
        <v>-0.24657554974968629</v>
      </c>
    </row>
    <row r="1130" spans="4:17" ht="15" thickBot="1" x14ac:dyDescent="0.35">
      <c r="D1130" s="20">
        <f t="shared" si="85"/>
        <v>1124</v>
      </c>
      <c r="E1130" s="20">
        <f t="shared" si="86"/>
        <v>1050</v>
      </c>
      <c r="F1130" s="20">
        <f t="shared" si="87"/>
        <v>2150</v>
      </c>
      <c r="G1130" s="20">
        <v>0.3320089721421472</v>
      </c>
      <c r="H1130" s="50"/>
      <c r="I1130" s="16"/>
      <c r="J1130" s="16"/>
      <c r="K1130" s="16"/>
      <c r="L1130" s="16"/>
      <c r="M1130" s="16">
        <v>1124</v>
      </c>
      <c r="N1130" s="16">
        <f t="shared" si="88"/>
        <v>0.4029770444763271</v>
      </c>
      <c r="O1130" s="16"/>
      <c r="P1130" s="16"/>
      <c r="Q1130" s="16">
        <f t="shared" si="89"/>
        <v>-0.24564882651805803</v>
      </c>
    </row>
    <row r="1131" spans="4:17" ht="15" thickBot="1" x14ac:dyDescent="0.35">
      <c r="D1131" s="20">
        <f t="shared" si="85"/>
        <v>1125</v>
      </c>
      <c r="E1131" s="20">
        <f t="shared" si="86"/>
        <v>1150</v>
      </c>
      <c r="F1131" s="20">
        <f t="shared" si="87"/>
        <v>2150</v>
      </c>
      <c r="G1131" s="20">
        <v>0.33224848064608847</v>
      </c>
      <c r="H1131" s="50"/>
      <c r="I1131" s="16"/>
      <c r="J1131" s="16"/>
      <c r="K1131" s="16"/>
      <c r="L1131" s="16"/>
      <c r="M1131" s="16">
        <v>1125</v>
      </c>
      <c r="N1131" s="16">
        <f t="shared" si="88"/>
        <v>0.40333572453371591</v>
      </c>
      <c r="O1131" s="16"/>
      <c r="P1131" s="16"/>
      <c r="Q1131" s="16">
        <f t="shared" si="89"/>
        <v>-0.24472231420559035</v>
      </c>
    </row>
    <row r="1132" spans="4:17" ht="15" thickBot="1" x14ac:dyDescent="0.35">
      <c r="D1132" s="20">
        <f t="shared" si="85"/>
        <v>1126</v>
      </c>
      <c r="E1132" s="20">
        <f t="shared" si="86"/>
        <v>1250</v>
      </c>
      <c r="F1132" s="20">
        <f t="shared" si="87"/>
        <v>2150</v>
      </c>
      <c r="G1132" s="20">
        <v>0.3323534786612049</v>
      </c>
      <c r="H1132" s="50"/>
      <c r="I1132" s="16"/>
      <c r="J1132" s="16"/>
      <c r="K1132" s="16"/>
      <c r="L1132" s="16"/>
      <c r="M1132" s="16">
        <v>1126</v>
      </c>
      <c r="N1132" s="16">
        <f t="shared" si="88"/>
        <v>0.40369440459110473</v>
      </c>
      <c r="O1132" s="16"/>
      <c r="P1132" s="16"/>
      <c r="Q1132" s="16">
        <f t="shared" si="89"/>
        <v>-0.24379601192131575</v>
      </c>
    </row>
    <row r="1133" spans="4:17" ht="15" thickBot="1" x14ac:dyDescent="0.35">
      <c r="D1133" s="20">
        <f t="shared" si="85"/>
        <v>1127</v>
      </c>
      <c r="E1133" s="20">
        <f t="shared" si="86"/>
        <v>1350</v>
      </c>
      <c r="F1133" s="20">
        <f t="shared" si="87"/>
        <v>2150</v>
      </c>
      <c r="G1133" s="20">
        <v>0.33253530353555316</v>
      </c>
      <c r="H1133" s="50"/>
      <c r="I1133" s="16"/>
      <c r="J1133" s="16"/>
      <c r="K1133" s="16"/>
      <c r="L1133" s="16"/>
      <c r="M1133" s="16">
        <v>1127</v>
      </c>
      <c r="N1133" s="16">
        <f t="shared" si="88"/>
        <v>0.40405308464849354</v>
      </c>
      <c r="O1133" s="16"/>
      <c r="P1133" s="16"/>
      <c r="Q1133" s="16">
        <f t="shared" si="89"/>
        <v>-0.24286991877559316</v>
      </c>
    </row>
    <row r="1134" spans="4:17" ht="15" thickBot="1" x14ac:dyDescent="0.35">
      <c r="D1134" s="20">
        <f t="shared" si="85"/>
        <v>1128</v>
      </c>
      <c r="E1134" s="20">
        <f t="shared" si="86"/>
        <v>1450</v>
      </c>
      <c r="F1134" s="20">
        <f t="shared" si="87"/>
        <v>2150</v>
      </c>
      <c r="G1134" s="20">
        <v>0.33263087186018531</v>
      </c>
      <c r="H1134" s="50"/>
      <c r="I1134" s="16"/>
      <c r="J1134" s="16"/>
      <c r="K1134" s="16"/>
      <c r="L1134" s="16"/>
      <c r="M1134" s="16">
        <v>1128</v>
      </c>
      <c r="N1134" s="16">
        <f t="shared" si="88"/>
        <v>0.40441176470588236</v>
      </c>
      <c r="O1134" s="16"/>
      <c r="P1134" s="16"/>
      <c r="Q1134" s="16">
        <f t="shared" si="89"/>
        <v>-0.24194403388010158</v>
      </c>
    </row>
    <row r="1135" spans="4:17" ht="15" thickBot="1" x14ac:dyDescent="0.35">
      <c r="D1135" s="20">
        <f t="shared" si="85"/>
        <v>1129</v>
      </c>
      <c r="E1135" s="20">
        <f t="shared" si="86"/>
        <v>1550</v>
      </c>
      <c r="F1135" s="20">
        <f t="shared" si="87"/>
        <v>2150</v>
      </c>
      <c r="G1135" s="20">
        <v>0.33265210714413318</v>
      </c>
      <c r="H1135" s="50"/>
      <c r="I1135" s="16"/>
      <c r="J1135" s="16"/>
      <c r="K1135" s="16"/>
      <c r="L1135" s="16"/>
      <c r="M1135" s="16">
        <v>1129</v>
      </c>
      <c r="N1135" s="16">
        <f t="shared" si="88"/>
        <v>0.40477044476327118</v>
      </c>
      <c r="O1135" s="16"/>
      <c r="P1135" s="16"/>
      <c r="Q1135" s="16">
        <f t="shared" si="89"/>
        <v>-0.24101835634783284</v>
      </c>
    </row>
    <row r="1136" spans="4:17" ht="15" thickBot="1" x14ac:dyDescent="0.35">
      <c r="D1136" s="20">
        <f t="shared" si="85"/>
        <v>1130</v>
      </c>
      <c r="E1136" s="20">
        <f t="shared" si="86"/>
        <v>1650</v>
      </c>
      <c r="F1136" s="20">
        <f t="shared" si="87"/>
        <v>2150</v>
      </c>
      <c r="G1136" s="20">
        <v>0.33268055219174697</v>
      </c>
      <c r="H1136" s="50"/>
      <c r="I1136" s="16"/>
      <c r="J1136" s="16"/>
      <c r="K1136" s="16"/>
      <c r="L1136" s="16"/>
      <c r="M1136" s="16">
        <v>1130</v>
      </c>
      <c r="N1136" s="16">
        <f t="shared" si="88"/>
        <v>0.40512912482065999</v>
      </c>
      <c r="O1136" s="16"/>
      <c r="P1136" s="16"/>
      <c r="Q1136" s="16">
        <f t="shared" si="89"/>
        <v>-0.24009288529308548</v>
      </c>
    </row>
    <row r="1137" spans="4:17" ht="15" thickBot="1" x14ac:dyDescent="0.35">
      <c r="D1137" s="20">
        <f t="shared" si="85"/>
        <v>1131</v>
      </c>
      <c r="E1137" s="20">
        <f t="shared" si="86"/>
        <v>1750</v>
      </c>
      <c r="F1137" s="20">
        <f t="shared" si="87"/>
        <v>2150</v>
      </c>
      <c r="G1137" s="20">
        <v>0.3328261832705745</v>
      </c>
      <c r="H1137" s="50"/>
      <c r="I1137" s="16"/>
      <c r="J1137" s="16"/>
      <c r="K1137" s="16"/>
      <c r="L1137" s="16"/>
      <c r="M1137" s="16">
        <v>1131</v>
      </c>
      <c r="N1137" s="16">
        <f t="shared" si="88"/>
        <v>0.40548780487804881</v>
      </c>
      <c r="O1137" s="16"/>
      <c r="P1137" s="16"/>
      <c r="Q1137" s="16">
        <f t="shared" si="89"/>
        <v>-0.23916761983145798</v>
      </c>
    </row>
    <row r="1138" spans="4:17" ht="15" thickBot="1" x14ac:dyDescent="0.35">
      <c r="D1138" s="20">
        <f t="shared" si="85"/>
        <v>1132</v>
      </c>
      <c r="E1138" s="20">
        <f t="shared" si="86"/>
        <v>1850</v>
      </c>
      <c r="F1138" s="20">
        <f t="shared" si="87"/>
        <v>2150</v>
      </c>
      <c r="G1138" s="20">
        <v>0.33292143599220225</v>
      </c>
      <c r="H1138" s="50"/>
      <c r="I1138" s="16"/>
      <c r="J1138" s="16"/>
      <c r="K1138" s="16"/>
      <c r="L1138" s="16"/>
      <c r="M1138" s="16">
        <v>1132</v>
      </c>
      <c r="N1138" s="16">
        <f t="shared" si="88"/>
        <v>0.40584648493543757</v>
      </c>
      <c r="O1138" s="16"/>
      <c r="P1138" s="16"/>
      <c r="Q1138" s="16">
        <f t="shared" si="89"/>
        <v>-0.23824255907984196</v>
      </c>
    </row>
    <row r="1139" spans="4:17" ht="15" thickBot="1" x14ac:dyDescent="0.35">
      <c r="D1139" s="20">
        <f t="shared" si="85"/>
        <v>1133</v>
      </c>
      <c r="E1139" s="20">
        <f t="shared" si="86"/>
        <v>1950</v>
      </c>
      <c r="F1139" s="20">
        <f t="shared" si="87"/>
        <v>2150</v>
      </c>
      <c r="G1139" s="20">
        <v>0.33299009587943057</v>
      </c>
      <c r="H1139" s="50"/>
      <c r="I1139" s="16"/>
      <c r="J1139" s="16"/>
      <c r="K1139" s="16"/>
      <c r="L1139" s="16"/>
      <c r="M1139" s="16">
        <v>1133</v>
      </c>
      <c r="N1139" s="16">
        <f t="shared" si="88"/>
        <v>0.40620516499282638</v>
      </c>
      <c r="O1139" s="16"/>
      <c r="P1139" s="16"/>
      <c r="Q1139" s="16">
        <f t="shared" si="89"/>
        <v>-0.23731770215641548</v>
      </c>
    </row>
    <row r="1140" spans="4:17" ht="15" thickBot="1" x14ac:dyDescent="0.35">
      <c r="D1140" s="20">
        <f t="shared" si="85"/>
        <v>1134</v>
      </c>
      <c r="E1140" s="20">
        <f t="shared" si="86"/>
        <v>2050</v>
      </c>
      <c r="F1140" s="20">
        <f t="shared" si="87"/>
        <v>2150</v>
      </c>
      <c r="G1140" s="20">
        <v>0.33308311911174165</v>
      </c>
      <c r="H1140" s="50"/>
      <c r="I1140" s="16"/>
      <c r="J1140" s="16"/>
      <c r="K1140" s="16"/>
      <c r="L1140" s="16"/>
      <c r="M1140" s="16">
        <v>1134</v>
      </c>
      <c r="N1140" s="16">
        <f t="shared" si="88"/>
        <v>0.4065638450502152</v>
      </c>
      <c r="O1140" s="16"/>
      <c r="P1140" s="16"/>
      <c r="Q1140" s="16">
        <f t="shared" si="89"/>
        <v>-0.236393048180637</v>
      </c>
    </row>
    <row r="1141" spans="4:17" ht="15" thickBot="1" x14ac:dyDescent="0.35">
      <c r="D1141" s="20">
        <f t="shared" si="85"/>
        <v>1135</v>
      </c>
      <c r="E1141" s="20">
        <f t="shared" si="86"/>
        <v>2150</v>
      </c>
      <c r="F1141" s="20">
        <f t="shared" si="87"/>
        <v>2150</v>
      </c>
      <c r="G1141" s="20">
        <v>0.33311811356887855</v>
      </c>
      <c r="H1141" s="50"/>
      <c r="I1141" s="16"/>
      <c r="J1141" s="16"/>
      <c r="K1141" s="16"/>
      <c r="L1141" s="16"/>
      <c r="M1141" s="16">
        <v>1135</v>
      </c>
      <c r="N1141" s="16">
        <f t="shared" si="88"/>
        <v>0.40692252510760402</v>
      </c>
      <c r="O1141" s="16"/>
      <c r="P1141" s="16"/>
      <c r="Q1141" s="16">
        <f t="shared" si="89"/>
        <v>-0.23546859627323838</v>
      </c>
    </row>
    <row r="1142" spans="4:17" ht="15" thickBot="1" x14ac:dyDescent="0.35">
      <c r="D1142" s="20">
        <f t="shared" si="85"/>
        <v>1136</v>
      </c>
      <c r="E1142" s="20">
        <f t="shared" si="86"/>
        <v>2250</v>
      </c>
      <c r="F1142" s="20">
        <f t="shared" si="87"/>
        <v>2150</v>
      </c>
      <c r="G1142" s="20">
        <v>0.33314422629936491</v>
      </c>
      <c r="H1142" s="50"/>
      <c r="I1142" s="16"/>
      <c r="J1142" s="16"/>
      <c r="K1142" s="16"/>
      <c r="L1142" s="16"/>
      <c r="M1142" s="16">
        <v>1136</v>
      </c>
      <c r="N1142" s="16">
        <f t="shared" si="88"/>
        <v>0.40728120516499283</v>
      </c>
      <c r="O1142" s="16"/>
      <c r="P1142" s="16"/>
      <c r="Q1142" s="16">
        <f t="shared" si="89"/>
        <v>-0.23454434555621861</v>
      </c>
    </row>
    <row r="1143" spans="4:17" ht="15" thickBot="1" x14ac:dyDescent="0.35">
      <c r="D1143" s="20">
        <f t="shared" si="85"/>
        <v>1137</v>
      </c>
      <c r="E1143" s="20">
        <f t="shared" si="86"/>
        <v>2350</v>
      </c>
      <c r="F1143" s="20">
        <f t="shared" si="87"/>
        <v>2150</v>
      </c>
      <c r="G1143" s="20">
        <v>0.33323335595256753</v>
      </c>
      <c r="H1143" s="50"/>
      <c r="I1143" s="16"/>
      <c r="J1143" s="16"/>
      <c r="K1143" s="16"/>
      <c r="L1143" s="16"/>
      <c r="M1143" s="16">
        <v>1137</v>
      </c>
      <c r="N1143" s="16">
        <f t="shared" si="88"/>
        <v>0.40763988522238165</v>
      </c>
      <c r="O1143" s="16"/>
      <c r="P1143" s="16"/>
      <c r="Q1143" s="16">
        <f t="shared" si="89"/>
        <v>-0.233620295152837</v>
      </c>
    </row>
    <row r="1144" spans="4:17" ht="15" thickBot="1" x14ac:dyDescent="0.35">
      <c r="D1144" s="20">
        <f t="shared" si="85"/>
        <v>1138</v>
      </c>
      <c r="E1144" s="43">
        <f t="shared" si="86"/>
        <v>2450</v>
      </c>
      <c r="F1144" s="43">
        <f t="shared" si="87"/>
        <v>2150</v>
      </c>
      <c r="G1144" s="20">
        <v>0.33335958488904205</v>
      </c>
      <c r="H1144" s="50"/>
      <c r="I1144" s="16"/>
      <c r="J1144" s="16"/>
      <c r="K1144" s="16"/>
      <c r="L1144" s="16"/>
      <c r="M1144" s="16">
        <v>1138</v>
      </c>
      <c r="N1144" s="16">
        <f t="shared" si="88"/>
        <v>0.40799856527977046</v>
      </c>
      <c r="O1144" s="16"/>
      <c r="P1144" s="16"/>
      <c r="Q1144" s="16">
        <f t="shared" si="89"/>
        <v>-0.23269644418760693</v>
      </c>
    </row>
    <row r="1145" spans="4:17" ht="15" thickBot="1" x14ac:dyDescent="0.35">
      <c r="D1145" s="20">
        <f t="shared" si="85"/>
        <v>1139</v>
      </c>
      <c r="E1145" s="20">
        <f t="shared" si="86"/>
        <v>2550</v>
      </c>
      <c r="F1145" s="20">
        <f t="shared" si="87"/>
        <v>2150</v>
      </c>
      <c r="G1145" s="20">
        <v>0.33338647846456027</v>
      </c>
      <c r="H1145" s="50"/>
      <c r="I1145" s="16"/>
      <c r="J1145" s="16"/>
      <c r="K1145" s="16"/>
      <c r="L1145" s="16"/>
      <c r="M1145" s="16">
        <v>1139</v>
      </c>
      <c r="N1145" s="16">
        <f t="shared" si="88"/>
        <v>0.40835724533715928</v>
      </c>
      <c r="O1145" s="16"/>
      <c r="P1145" s="16"/>
      <c r="Q1145" s="16">
        <f t="shared" si="89"/>
        <v>-0.23177279178628954</v>
      </c>
    </row>
    <row r="1146" spans="4:17" ht="15" thickBot="1" x14ac:dyDescent="0.35">
      <c r="D1146" s="20">
        <f t="shared" si="85"/>
        <v>1140</v>
      </c>
      <c r="E1146" s="20">
        <f t="shared" si="86"/>
        <v>2650</v>
      </c>
      <c r="F1146" s="20">
        <f t="shared" si="87"/>
        <v>2150</v>
      </c>
      <c r="G1146" s="20">
        <v>0.33360622324760753</v>
      </c>
      <c r="H1146" s="50"/>
      <c r="I1146" s="16"/>
      <c r="J1146" s="16"/>
      <c r="K1146" s="16"/>
      <c r="L1146" s="16"/>
      <c r="M1146" s="16">
        <v>1140</v>
      </c>
      <c r="N1146" s="16">
        <f t="shared" si="88"/>
        <v>0.40871592539454804</v>
      </c>
      <c r="O1146" s="16"/>
      <c r="P1146" s="16"/>
      <c r="Q1146" s="16">
        <f t="shared" si="89"/>
        <v>-0.23084933707588698</v>
      </c>
    </row>
    <row r="1147" spans="4:17" ht="15" thickBot="1" x14ac:dyDescent="0.35">
      <c r="D1147" s="20">
        <f t="shared" si="85"/>
        <v>1141</v>
      </c>
      <c r="E1147" s="44">
        <f t="shared" si="86"/>
        <v>2750</v>
      </c>
      <c r="F1147" s="44">
        <f t="shared" si="87"/>
        <v>2150</v>
      </c>
      <c r="G1147" s="20">
        <v>0.33360967804679964</v>
      </c>
      <c r="H1147" s="50"/>
      <c r="I1147" s="16"/>
      <c r="J1147" s="16"/>
      <c r="K1147" s="16"/>
      <c r="L1147" s="16"/>
      <c r="M1147" s="16">
        <v>1141</v>
      </c>
      <c r="N1147" s="16">
        <f t="shared" si="88"/>
        <v>0.40907460545193686</v>
      </c>
      <c r="O1147" s="16"/>
      <c r="P1147" s="16"/>
      <c r="Q1147" s="16">
        <f t="shared" si="89"/>
        <v>-0.22992607918463584</v>
      </c>
    </row>
    <row r="1148" spans="4:17" ht="15" thickBot="1" x14ac:dyDescent="0.35">
      <c r="D1148" s="20">
        <f t="shared" si="85"/>
        <v>1142</v>
      </c>
      <c r="E1148" s="20">
        <f t="shared" si="86"/>
        <v>2850</v>
      </c>
      <c r="F1148" s="20">
        <f t="shared" si="87"/>
        <v>2150</v>
      </c>
      <c r="G1148" s="20">
        <v>0.33371205240197943</v>
      </c>
      <c r="H1148" s="50"/>
      <c r="I1148" s="16"/>
      <c r="J1148" s="16"/>
      <c r="K1148" s="16"/>
      <c r="L1148" s="16"/>
      <c r="M1148" s="16">
        <v>1142</v>
      </c>
      <c r="N1148" s="16">
        <f t="shared" si="88"/>
        <v>0.40943328550932567</v>
      </c>
      <c r="O1148" s="16"/>
      <c r="P1148" s="16"/>
      <c r="Q1148" s="16">
        <f t="shared" si="89"/>
        <v>-0.22900301724200117</v>
      </c>
    </row>
    <row r="1149" spans="4:17" ht="15" thickBot="1" x14ac:dyDescent="0.35">
      <c r="D1149" s="20">
        <f t="shared" si="85"/>
        <v>1143</v>
      </c>
      <c r="E1149" s="20">
        <f t="shared" si="86"/>
        <v>2950</v>
      </c>
      <c r="F1149" s="20">
        <f t="shared" si="87"/>
        <v>2150</v>
      </c>
      <c r="G1149" s="20">
        <v>0.33373400513146956</v>
      </c>
      <c r="H1149" s="50"/>
      <c r="I1149" s="16"/>
      <c r="J1149" s="16"/>
      <c r="K1149" s="16"/>
      <c r="L1149" s="16"/>
      <c r="M1149" s="16">
        <v>1143</v>
      </c>
      <c r="N1149" s="16">
        <f t="shared" si="88"/>
        <v>0.40979196556671449</v>
      </c>
      <c r="O1149" s="16"/>
      <c r="P1149" s="16"/>
      <c r="Q1149" s="16">
        <f t="shared" si="89"/>
        <v>-0.22808015037867016</v>
      </c>
    </row>
    <row r="1150" spans="4:17" ht="15" thickBot="1" x14ac:dyDescent="0.35">
      <c r="D1150" s="20">
        <f t="shared" si="85"/>
        <v>1144</v>
      </c>
      <c r="E1150" s="20">
        <f t="shared" si="86"/>
        <v>3050</v>
      </c>
      <c r="F1150" s="20">
        <f t="shared" si="87"/>
        <v>2150</v>
      </c>
      <c r="G1150" s="20">
        <v>0.33375728006195643</v>
      </c>
      <c r="H1150" s="50"/>
      <c r="I1150" s="16"/>
      <c r="J1150" s="16"/>
      <c r="K1150" s="16"/>
      <c r="L1150" s="16"/>
      <c r="M1150" s="16">
        <v>1144</v>
      </c>
      <c r="N1150" s="16">
        <f t="shared" si="88"/>
        <v>0.4101506456241033</v>
      </c>
      <c r="O1150" s="16"/>
      <c r="P1150" s="16"/>
      <c r="Q1150" s="16">
        <f t="shared" si="89"/>
        <v>-0.22715747772654526</v>
      </c>
    </row>
    <row r="1151" spans="4:17" ht="15" thickBot="1" x14ac:dyDescent="0.35">
      <c r="D1151" s="20">
        <f t="shared" si="85"/>
        <v>1145</v>
      </c>
      <c r="E1151" s="20">
        <f t="shared" si="86"/>
        <v>3150</v>
      </c>
      <c r="F1151" s="20">
        <f t="shared" si="87"/>
        <v>2150</v>
      </c>
      <c r="G1151" s="20">
        <v>0.33388775327221587</v>
      </c>
      <c r="H1151" s="50"/>
      <c r="I1151" s="16"/>
      <c r="J1151" s="16"/>
      <c r="K1151" s="16"/>
      <c r="L1151" s="16"/>
      <c r="M1151" s="16">
        <v>1145</v>
      </c>
      <c r="N1151" s="16">
        <f t="shared" si="88"/>
        <v>0.41050932568149212</v>
      </c>
      <c r="O1151" s="16"/>
      <c r="P1151" s="16"/>
      <c r="Q1151" s="16">
        <f t="shared" si="89"/>
        <v>-0.22623499841873837</v>
      </c>
    </row>
    <row r="1152" spans="4:17" ht="15" thickBot="1" x14ac:dyDescent="0.35">
      <c r="D1152" s="20">
        <f t="shared" si="85"/>
        <v>1146</v>
      </c>
      <c r="E1152" s="20">
        <f t="shared" si="86"/>
        <v>3250</v>
      </c>
      <c r="F1152" s="20">
        <f t="shared" si="87"/>
        <v>2150</v>
      </c>
      <c r="G1152" s="20">
        <v>0.33388810202699154</v>
      </c>
      <c r="H1152" s="50"/>
      <c r="I1152" s="16"/>
      <c r="J1152" s="16"/>
      <c r="K1152" s="16"/>
      <c r="L1152" s="16"/>
      <c r="M1152" s="16">
        <v>1146</v>
      </c>
      <c r="N1152" s="16">
        <f t="shared" si="88"/>
        <v>0.41086800573888094</v>
      </c>
      <c r="O1152" s="16"/>
      <c r="P1152" s="16"/>
      <c r="Q1152" s="16">
        <f t="shared" si="89"/>
        <v>-0.22531271158956406</v>
      </c>
    </row>
    <row r="1153" spans="4:17" ht="15" thickBot="1" x14ac:dyDescent="0.35">
      <c r="D1153" s="20">
        <f t="shared" si="85"/>
        <v>1147</v>
      </c>
      <c r="E1153" s="20">
        <f t="shared" si="86"/>
        <v>3350</v>
      </c>
      <c r="F1153" s="20">
        <f t="shared" si="87"/>
        <v>2150</v>
      </c>
      <c r="G1153" s="20">
        <v>0.3339680507193768</v>
      </c>
      <c r="H1153" s="50"/>
      <c r="I1153" s="16"/>
      <c r="J1153" s="16"/>
      <c r="K1153" s="16"/>
      <c r="L1153" s="16"/>
      <c r="M1153" s="16">
        <v>1147</v>
      </c>
      <c r="N1153" s="16">
        <f t="shared" si="88"/>
        <v>0.41122668579626975</v>
      </c>
      <c r="O1153" s="16"/>
      <c r="P1153" s="16"/>
      <c r="Q1153" s="16">
        <f t="shared" si="89"/>
        <v>-0.2243906163745337</v>
      </c>
    </row>
    <row r="1154" spans="4:17" ht="15" thickBot="1" x14ac:dyDescent="0.35">
      <c r="D1154" s="20">
        <f t="shared" si="85"/>
        <v>1148</v>
      </c>
      <c r="E1154" s="47">
        <f t="shared" si="86"/>
        <v>3450</v>
      </c>
      <c r="F1154" s="47">
        <f t="shared" si="87"/>
        <v>2150</v>
      </c>
      <c r="G1154" s="20">
        <v>0.33408404027622574</v>
      </c>
      <c r="H1154" s="50"/>
      <c r="I1154" s="16"/>
      <c r="J1154" s="16"/>
      <c r="K1154" s="16"/>
      <c r="L1154" s="16"/>
      <c r="M1154" s="16">
        <v>1148</v>
      </c>
      <c r="N1154" s="16">
        <f t="shared" si="88"/>
        <v>0.41158536585365851</v>
      </c>
      <c r="O1154" s="16"/>
      <c r="P1154" s="16"/>
      <c r="Q1154" s="16">
        <f t="shared" si="89"/>
        <v>-0.223468711910349</v>
      </c>
    </row>
    <row r="1155" spans="4:17" ht="15" thickBot="1" x14ac:dyDescent="0.35">
      <c r="D1155" s="20">
        <f t="shared" si="85"/>
        <v>1149</v>
      </c>
      <c r="E1155" s="20">
        <f t="shared" si="86"/>
        <v>3550</v>
      </c>
      <c r="F1155" s="20">
        <f t="shared" si="87"/>
        <v>2150</v>
      </c>
      <c r="G1155" s="20">
        <v>0.33412661503985797</v>
      </c>
      <c r="H1155" s="50"/>
      <c r="I1155" s="16"/>
      <c r="J1155" s="16"/>
      <c r="K1155" s="16"/>
      <c r="L1155" s="16"/>
      <c r="M1155" s="16">
        <v>1149</v>
      </c>
      <c r="N1155" s="16">
        <f t="shared" si="88"/>
        <v>0.41194404591104733</v>
      </c>
      <c r="O1155" s="16"/>
      <c r="P1155" s="16"/>
      <c r="Q1155" s="16">
        <f t="shared" si="89"/>
        <v>-0.22254699733489539</v>
      </c>
    </row>
    <row r="1156" spans="4:17" ht="15" thickBot="1" x14ac:dyDescent="0.35">
      <c r="D1156" s="20">
        <f t="shared" si="85"/>
        <v>1150</v>
      </c>
      <c r="E1156" s="20">
        <f t="shared" si="86"/>
        <v>3650</v>
      </c>
      <c r="F1156" s="20">
        <f t="shared" si="87"/>
        <v>2150</v>
      </c>
      <c r="G1156" s="20">
        <v>0.33414260179626398</v>
      </c>
      <c r="H1156" s="50"/>
      <c r="I1156" s="16"/>
      <c r="J1156" s="16"/>
      <c r="K1156" s="16"/>
      <c r="L1156" s="16"/>
      <c r="M1156" s="16">
        <v>1150</v>
      </c>
      <c r="N1156" s="16">
        <f t="shared" si="88"/>
        <v>0.41230272596843615</v>
      </c>
      <c r="O1156" s="16"/>
      <c r="P1156" s="16"/>
      <c r="Q1156" s="16">
        <f t="shared" si="89"/>
        <v>-0.22162547178723652</v>
      </c>
    </row>
    <row r="1157" spans="4:17" ht="15" thickBot="1" x14ac:dyDescent="0.35">
      <c r="D1157" s="20">
        <f t="shared" si="85"/>
        <v>1151</v>
      </c>
      <c r="E1157" s="20">
        <f t="shared" si="86"/>
        <v>3750</v>
      </c>
      <c r="F1157" s="20">
        <f t="shared" si="87"/>
        <v>2150</v>
      </c>
      <c r="G1157" s="20">
        <v>0.33418640928539989</v>
      </c>
      <c r="H1157" s="50"/>
      <c r="I1157" s="16"/>
      <c r="J1157" s="16"/>
      <c r="K1157" s="16"/>
      <c r="L1157" s="16"/>
      <c r="M1157" s="16">
        <v>1151</v>
      </c>
      <c r="N1157" s="16">
        <f t="shared" si="88"/>
        <v>0.41266140602582496</v>
      </c>
      <c r="O1157" s="16"/>
      <c r="P1157" s="16"/>
      <c r="Q1157" s="16">
        <f t="shared" si="89"/>
        <v>-0.22070413440760756</v>
      </c>
    </row>
    <row r="1158" spans="4:17" ht="15" thickBot="1" x14ac:dyDescent="0.35">
      <c r="D1158" s="20">
        <f t="shared" si="85"/>
        <v>1152</v>
      </c>
      <c r="E1158" s="20">
        <f t="shared" si="86"/>
        <v>3850</v>
      </c>
      <c r="F1158" s="20">
        <f t="shared" si="87"/>
        <v>2150</v>
      </c>
      <c r="G1158" s="20">
        <v>0.33422715161387917</v>
      </c>
      <c r="H1158" s="50"/>
      <c r="I1158" s="16"/>
      <c r="J1158" s="16"/>
      <c r="K1158" s="16"/>
      <c r="L1158" s="16"/>
      <c r="M1158" s="16">
        <v>1152</v>
      </c>
      <c r="N1158" s="16">
        <f t="shared" si="88"/>
        <v>0.41302008608321378</v>
      </c>
      <c r="O1158" s="16"/>
      <c r="P1158" s="16"/>
      <c r="Q1158" s="16">
        <f t="shared" si="89"/>
        <v>-0.21978298433740898</v>
      </c>
    </row>
    <row r="1159" spans="4:17" ht="15" thickBot="1" x14ac:dyDescent="0.35">
      <c r="D1159" s="20">
        <f t="shared" ref="D1159:D1222" si="90">ROW()-6</f>
        <v>1153</v>
      </c>
      <c r="E1159" s="20">
        <f t="shared" ref="E1159:E1222" si="91">(MOD(D1159-1,53)*100)+50</f>
        <v>3950</v>
      </c>
      <c r="F1159" s="20">
        <f t="shared" ref="F1159:F1222" si="92">FLOOR((D1159-1)/53,1)*100+50</f>
        <v>2150</v>
      </c>
      <c r="G1159" s="20">
        <v>0.33423057548308416</v>
      </c>
      <c r="H1159" s="50"/>
      <c r="I1159" s="16"/>
      <c r="J1159" s="16"/>
      <c r="K1159" s="16"/>
      <c r="L1159" s="16"/>
      <c r="M1159" s="16">
        <v>1153</v>
      </c>
      <c r="N1159" s="16">
        <f t="shared" si="88"/>
        <v>0.41337876614060259</v>
      </c>
      <c r="O1159" s="16"/>
      <c r="P1159" s="16"/>
      <c r="Q1159" s="16">
        <f t="shared" si="89"/>
        <v>-0.21886202071920072</v>
      </c>
    </row>
    <row r="1160" spans="4:17" ht="15" thickBot="1" x14ac:dyDescent="0.35">
      <c r="D1160" s="20">
        <f t="shared" si="90"/>
        <v>1154</v>
      </c>
      <c r="E1160" s="20">
        <f t="shared" si="91"/>
        <v>4050</v>
      </c>
      <c r="F1160" s="20">
        <f t="shared" si="92"/>
        <v>2150</v>
      </c>
      <c r="G1160" s="20">
        <v>0.33423501948161954</v>
      </c>
      <c r="H1160" s="50"/>
      <c r="I1160" s="16"/>
      <c r="J1160" s="16"/>
      <c r="K1160" s="16"/>
      <c r="L1160" s="16"/>
      <c r="M1160" s="16">
        <v>1154</v>
      </c>
      <c r="N1160" s="16">
        <f t="shared" ref="N1160:N1223" si="93">(M1160-0.5)/$L$7</f>
        <v>0.41373744619799141</v>
      </c>
      <c r="O1160" s="16"/>
      <c r="P1160" s="16"/>
      <c r="Q1160" s="16">
        <f t="shared" ref="Q1160:Q1223" si="94">_xlfn.NORM.S.INV(N1160)</f>
        <v>-0.21794124269669546</v>
      </c>
    </row>
    <row r="1161" spans="4:17" ht="15" thickBot="1" x14ac:dyDescent="0.35">
      <c r="D1161" s="20">
        <f t="shared" si="90"/>
        <v>1155</v>
      </c>
      <c r="E1161" s="20">
        <f t="shared" si="91"/>
        <v>4150</v>
      </c>
      <c r="F1161" s="20">
        <f t="shared" si="92"/>
        <v>2150</v>
      </c>
      <c r="G1161" s="20">
        <v>0.33444415280766066</v>
      </c>
      <c r="H1161" s="50"/>
      <c r="I1161" s="16"/>
      <c r="J1161" s="16"/>
      <c r="K1161" s="16"/>
      <c r="L1161" s="16"/>
      <c r="M1161" s="16">
        <v>1155</v>
      </c>
      <c r="N1161" s="16">
        <f t="shared" si="93"/>
        <v>0.41409612625538023</v>
      </c>
      <c r="O1161" s="16"/>
      <c r="P1161" s="16"/>
      <c r="Q1161" s="16">
        <f t="shared" si="94"/>
        <v>-0.2170206494147531</v>
      </c>
    </row>
    <row r="1162" spans="4:17" ht="15" thickBot="1" x14ac:dyDescent="0.35">
      <c r="D1162" s="20">
        <f t="shared" si="90"/>
        <v>1156</v>
      </c>
      <c r="E1162" s="20">
        <f t="shared" si="91"/>
        <v>4250</v>
      </c>
      <c r="F1162" s="20">
        <f t="shared" si="92"/>
        <v>2150</v>
      </c>
      <c r="G1162" s="20">
        <v>0.33454768087662595</v>
      </c>
      <c r="H1162" s="50"/>
      <c r="I1162" s="16"/>
      <c r="J1162" s="16"/>
      <c r="K1162" s="16"/>
      <c r="L1162" s="16"/>
      <c r="M1162" s="16">
        <v>1156</v>
      </c>
      <c r="N1162" s="16">
        <f t="shared" si="93"/>
        <v>0.41445480631276899</v>
      </c>
      <c r="O1162" s="16"/>
      <c r="P1162" s="16"/>
      <c r="Q1162" s="16">
        <f t="shared" si="94"/>
        <v>-0.21610024001937436</v>
      </c>
    </row>
    <row r="1163" spans="4:17" ht="15" thickBot="1" x14ac:dyDescent="0.35">
      <c r="D1163" s="20">
        <f t="shared" si="90"/>
        <v>1157</v>
      </c>
      <c r="E1163" s="20">
        <f t="shared" si="91"/>
        <v>4350</v>
      </c>
      <c r="F1163" s="20">
        <f t="shared" si="92"/>
        <v>2150</v>
      </c>
      <c r="G1163" s="20">
        <v>0.33460688279835454</v>
      </c>
      <c r="H1163" s="50"/>
      <c r="I1163" s="16"/>
      <c r="J1163" s="16"/>
      <c r="K1163" s="16"/>
      <c r="L1163" s="16"/>
      <c r="M1163" s="16">
        <v>1157</v>
      </c>
      <c r="N1163" s="16">
        <f t="shared" si="93"/>
        <v>0.4148134863701578</v>
      </c>
      <c r="O1163" s="16"/>
      <c r="P1163" s="16"/>
      <c r="Q1163" s="16">
        <f t="shared" si="94"/>
        <v>-0.21518001365769429</v>
      </c>
    </row>
    <row r="1164" spans="4:17" ht="15" thickBot="1" x14ac:dyDescent="0.35">
      <c r="D1164" s="20">
        <f t="shared" si="90"/>
        <v>1158</v>
      </c>
      <c r="E1164" s="20">
        <f t="shared" si="91"/>
        <v>4450</v>
      </c>
      <c r="F1164" s="20">
        <f t="shared" si="92"/>
        <v>2150</v>
      </c>
      <c r="G1164" s="20">
        <v>0.33482619202061542</v>
      </c>
      <c r="H1164" s="50"/>
      <c r="I1164" s="16"/>
      <c r="J1164" s="16"/>
      <c r="K1164" s="16"/>
      <c r="L1164" s="16"/>
      <c r="M1164" s="16">
        <v>1158</v>
      </c>
      <c r="N1164" s="16">
        <f t="shared" si="93"/>
        <v>0.41517216642754662</v>
      </c>
      <c r="O1164" s="16"/>
      <c r="P1164" s="16"/>
      <c r="Q1164" s="16">
        <f t="shared" si="94"/>
        <v>-0.21425996947797699</v>
      </c>
    </row>
    <row r="1165" spans="4:17" ht="15" thickBot="1" x14ac:dyDescent="0.35">
      <c r="D1165" s="20">
        <f t="shared" si="90"/>
        <v>1159</v>
      </c>
      <c r="E1165" s="20">
        <f t="shared" si="91"/>
        <v>4550</v>
      </c>
      <c r="F1165" s="20">
        <f t="shared" si="92"/>
        <v>2150</v>
      </c>
      <c r="G1165" s="20">
        <v>0.33485220082947886</v>
      </c>
      <c r="H1165" s="50"/>
      <c r="I1165" s="16"/>
      <c r="J1165" s="16"/>
      <c r="K1165" s="16"/>
      <c r="L1165" s="16"/>
      <c r="M1165" s="16">
        <v>1159</v>
      </c>
      <c r="N1165" s="16">
        <f t="shared" si="93"/>
        <v>0.41553084648493543</v>
      </c>
      <c r="O1165" s="16"/>
      <c r="P1165" s="16"/>
      <c r="Q1165" s="16">
        <f t="shared" si="94"/>
        <v>-0.21334010662960901</v>
      </c>
    </row>
    <row r="1166" spans="4:17" ht="15" thickBot="1" x14ac:dyDescent="0.35">
      <c r="D1166" s="20">
        <f t="shared" si="90"/>
        <v>1160</v>
      </c>
      <c r="E1166" s="20">
        <f t="shared" si="91"/>
        <v>4650</v>
      </c>
      <c r="F1166" s="20">
        <f t="shared" si="92"/>
        <v>2150</v>
      </c>
      <c r="G1166" s="20">
        <v>0.33485665352721938</v>
      </c>
      <c r="H1166" s="50"/>
      <c r="I1166" s="16"/>
      <c r="J1166" s="16"/>
      <c r="K1166" s="16"/>
      <c r="L1166" s="16"/>
      <c r="M1166" s="16">
        <v>1160</v>
      </c>
      <c r="N1166" s="16">
        <f t="shared" si="93"/>
        <v>0.41588952654232425</v>
      </c>
      <c r="O1166" s="16"/>
      <c r="P1166" s="16"/>
      <c r="Q1166" s="16">
        <f t="shared" si="94"/>
        <v>-0.21242042426309329</v>
      </c>
    </row>
    <row r="1167" spans="4:17" ht="15" thickBot="1" x14ac:dyDescent="0.35">
      <c r="D1167" s="20">
        <f t="shared" si="90"/>
        <v>1161</v>
      </c>
      <c r="E1167" s="20">
        <f t="shared" si="91"/>
        <v>4750</v>
      </c>
      <c r="F1167" s="20">
        <f t="shared" si="92"/>
        <v>2150</v>
      </c>
      <c r="G1167" s="20">
        <v>0.33491366859979244</v>
      </c>
      <c r="H1167" s="50"/>
      <c r="I1167" s="16"/>
      <c r="J1167" s="16"/>
      <c r="K1167" s="16"/>
      <c r="L1167" s="16"/>
      <c r="M1167" s="16">
        <v>1161</v>
      </c>
      <c r="N1167" s="16">
        <f t="shared" si="93"/>
        <v>0.41624820659971307</v>
      </c>
      <c r="O1167" s="16"/>
      <c r="P1167" s="16"/>
      <c r="Q1167" s="16">
        <f t="shared" si="94"/>
        <v>-0.21150092153004341</v>
      </c>
    </row>
    <row r="1168" spans="4:17" ht="15" thickBot="1" x14ac:dyDescent="0.35">
      <c r="D1168" s="20">
        <f t="shared" si="90"/>
        <v>1162</v>
      </c>
      <c r="E1168" s="20">
        <f t="shared" si="91"/>
        <v>4850</v>
      </c>
      <c r="F1168" s="20">
        <f t="shared" si="92"/>
        <v>2150</v>
      </c>
      <c r="G1168" s="20">
        <v>0.3350099076407369</v>
      </c>
      <c r="H1168" s="50"/>
      <c r="I1168" s="16"/>
      <c r="J1168" s="16"/>
      <c r="K1168" s="16"/>
      <c r="L1168" s="16"/>
      <c r="M1168" s="16">
        <v>1162</v>
      </c>
      <c r="N1168" s="16">
        <f t="shared" si="93"/>
        <v>0.41660688665710188</v>
      </c>
      <c r="O1168" s="16"/>
      <c r="P1168" s="16"/>
      <c r="Q1168" s="16">
        <f t="shared" si="94"/>
        <v>-0.21058159758317729</v>
      </c>
    </row>
    <row r="1169" spans="4:17" ht="15" thickBot="1" x14ac:dyDescent="0.35">
      <c r="D1169" s="20">
        <f t="shared" si="90"/>
        <v>1163</v>
      </c>
      <c r="E1169" s="20">
        <f t="shared" si="91"/>
        <v>4950</v>
      </c>
      <c r="F1169" s="20">
        <f t="shared" si="92"/>
        <v>2150</v>
      </c>
      <c r="G1169" s="20">
        <v>0.3350193225373938</v>
      </c>
      <c r="H1169" s="50"/>
      <c r="I1169" s="16"/>
      <c r="J1169" s="16"/>
      <c r="K1169" s="16"/>
      <c r="L1169" s="16"/>
      <c r="M1169" s="16">
        <v>1163</v>
      </c>
      <c r="N1169" s="16">
        <f t="shared" si="93"/>
        <v>0.4169655667144907</v>
      </c>
      <c r="O1169" s="16"/>
      <c r="P1169" s="16"/>
      <c r="Q1169" s="16">
        <f t="shared" si="94"/>
        <v>-0.2096624515763115</v>
      </c>
    </row>
    <row r="1170" spans="4:17" ht="15" thickBot="1" x14ac:dyDescent="0.35">
      <c r="D1170" s="20">
        <f t="shared" si="90"/>
        <v>1164</v>
      </c>
      <c r="E1170" s="20">
        <f t="shared" si="91"/>
        <v>5050</v>
      </c>
      <c r="F1170" s="20">
        <f t="shared" si="92"/>
        <v>2150</v>
      </c>
      <c r="G1170" s="20">
        <v>0.33506696772531536</v>
      </c>
      <c r="H1170" s="50"/>
      <c r="I1170" s="16"/>
      <c r="J1170" s="16"/>
      <c r="K1170" s="16"/>
      <c r="L1170" s="16"/>
      <c r="M1170" s="16">
        <v>1164</v>
      </c>
      <c r="N1170" s="16">
        <f t="shared" si="93"/>
        <v>0.41732424677187946</v>
      </c>
      <c r="O1170" s="16"/>
      <c r="P1170" s="16"/>
      <c r="Q1170" s="16">
        <f t="shared" si="94"/>
        <v>-0.20874348266435511</v>
      </c>
    </row>
    <row r="1171" spans="4:17" ht="15" thickBot="1" x14ac:dyDescent="0.35">
      <c r="D1171" s="20">
        <f t="shared" si="90"/>
        <v>1165</v>
      </c>
      <c r="E1171" s="20">
        <f t="shared" si="91"/>
        <v>5150</v>
      </c>
      <c r="F1171" s="20">
        <f t="shared" si="92"/>
        <v>2150</v>
      </c>
      <c r="G1171" s="20">
        <v>0.33518954358551195</v>
      </c>
      <c r="H1171" s="50"/>
      <c r="I1171" s="16"/>
      <c r="J1171" s="16"/>
      <c r="K1171" s="16"/>
      <c r="L1171" s="16"/>
      <c r="M1171" s="16">
        <v>1165</v>
      </c>
      <c r="N1171" s="16">
        <f t="shared" si="93"/>
        <v>0.41768292682926828</v>
      </c>
      <c r="O1171" s="16"/>
      <c r="P1171" s="16"/>
      <c r="Q1171" s="16">
        <f t="shared" si="94"/>
        <v>-0.2078246900033035</v>
      </c>
    </row>
    <row r="1172" spans="4:17" ht="15" thickBot="1" x14ac:dyDescent="0.35">
      <c r="D1172" s="20">
        <f t="shared" si="90"/>
        <v>1166</v>
      </c>
      <c r="E1172" s="20">
        <f t="shared" si="91"/>
        <v>5250</v>
      </c>
      <c r="F1172" s="20">
        <f t="shared" si="92"/>
        <v>2150</v>
      </c>
      <c r="G1172" s="20">
        <v>0.33554337800291245</v>
      </c>
      <c r="H1172" s="50"/>
      <c r="I1172" s="16"/>
      <c r="J1172" s="16"/>
      <c r="K1172" s="16"/>
      <c r="L1172" s="16"/>
      <c r="M1172" s="16">
        <v>1166</v>
      </c>
      <c r="N1172" s="16">
        <f t="shared" si="93"/>
        <v>0.41804160688665709</v>
      </c>
      <c r="O1172" s="16"/>
      <c r="P1172" s="16"/>
      <c r="Q1172" s="16">
        <f t="shared" si="94"/>
        <v>-0.2069060727502329</v>
      </c>
    </row>
    <row r="1173" spans="4:17" ht="15" thickBot="1" x14ac:dyDescent="0.35">
      <c r="D1173" s="20">
        <f t="shared" si="90"/>
        <v>1167</v>
      </c>
      <c r="E1173" s="20">
        <f t="shared" si="91"/>
        <v>50</v>
      </c>
      <c r="F1173" s="20">
        <f t="shared" si="92"/>
        <v>2250</v>
      </c>
      <c r="G1173" s="20">
        <v>0.33554403380549541</v>
      </c>
      <c r="H1173" s="50"/>
      <c r="I1173" s="16"/>
      <c r="J1173" s="16"/>
      <c r="K1173" s="16"/>
      <c r="L1173" s="16"/>
      <c r="M1173" s="16">
        <v>1167</v>
      </c>
      <c r="N1173" s="16">
        <f t="shared" si="93"/>
        <v>0.41840028694404591</v>
      </c>
      <c r="O1173" s="16"/>
      <c r="P1173" s="16"/>
      <c r="Q1173" s="16">
        <f t="shared" si="94"/>
        <v>-0.20598763006329418</v>
      </c>
    </row>
    <row r="1174" spans="4:17" ht="15" thickBot="1" x14ac:dyDescent="0.35">
      <c r="D1174" s="20">
        <f t="shared" si="90"/>
        <v>1168</v>
      </c>
      <c r="E1174" s="20">
        <f t="shared" si="91"/>
        <v>150</v>
      </c>
      <c r="F1174" s="20">
        <f t="shared" si="92"/>
        <v>2250</v>
      </c>
      <c r="G1174" s="20">
        <v>0.33560846204802819</v>
      </c>
      <c r="H1174" s="50"/>
      <c r="I1174" s="16"/>
      <c r="J1174" s="16"/>
      <c r="K1174" s="16"/>
      <c r="L1174" s="16"/>
      <c r="M1174" s="16">
        <v>1168</v>
      </c>
      <c r="N1174" s="16">
        <f t="shared" si="93"/>
        <v>0.41875896700143472</v>
      </c>
      <c r="O1174" s="16"/>
      <c r="P1174" s="16"/>
      <c r="Q1174" s="16">
        <f t="shared" si="94"/>
        <v>-0.20506936110170701</v>
      </c>
    </row>
    <row r="1175" spans="4:17" ht="15" thickBot="1" x14ac:dyDescent="0.35">
      <c r="D1175" s="20">
        <f t="shared" si="90"/>
        <v>1169</v>
      </c>
      <c r="E1175" s="20">
        <f t="shared" si="91"/>
        <v>250</v>
      </c>
      <c r="F1175" s="20">
        <f t="shared" si="92"/>
        <v>2250</v>
      </c>
      <c r="G1175" s="20">
        <v>0.33566877882953561</v>
      </c>
      <c r="H1175" s="50"/>
      <c r="I1175" s="16"/>
      <c r="J1175" s="16"/>
      <c r="K1175" s="16"/>
      <c r="L1175" s="16"/>
      <c r="M1175" s="16">
        <v>1169</v>
      </c>
      <c r="N1175" s="16">
        <f t="shared" si="93"/>
        <v>0.41911764705882354</v>
      </c>
      <c r="O1175" s="16"/>
      <c r="P1175" s="16"/>
      <c r="Q1175" s="16">
        <f t="shared" si="94"/>
        <v>-0.20415126502575404</v>
      </c>
    </row>
    <row r="1176" spans="4:17" ht="15" thickBot="1" x14ac:dyDescent="0.35">
      <c r="D1176" s="20">
        <f t="shared" si="90"/>
        <v>1170</v>
      </c>
      <c r="E1176" s="20">
        <f t="shared" si="91"/>
        <v>350</v>
      </c>
      <c r="F1176" s="20">
        <f t="shared" si="92"/>
        <v>2250</v>
      </c>
      <c r="G1176" s="20">
        <v>0.3357561796619839</v>
      </c>
      <c r="H1176" s="50"/>
      <c r="I1176" s="16"/>
      <c r="J1176" s="16"/>
      <c r="K1176" s="16"/>
      <c r="L1176" s="16"/>
      <c r="M1176" s="16">
        <v>1170</v>
      </c>
      <c r="N1176" s="16">
        <f t="shared" si="93"/>
        <v>0.41947632711621236</v>
      </c>
      <c r="O1176" s="16"/>
      <c r="P1176" s="16"/>
      <c r="Q1176" s="16">
        <f t="shared" si="94"/>
        <v>-0.2032333409967749</v>
      </c>
    </row>
    <row r="1177" spans="4:17" ht="15" thickBot="1" x14ac:dyDescent="0.35">
      <c r="D1177" s="20">
        <f t="shared" si="90"/>
        <v>1171</v>
      </c>
      <c r="E1177" s="20">
        <f t="shared" si="91"/>
        <v>450</v>
      </c>
      <c r="F1177" s="20">
        <f t="shared" si="92"/>
        <v>2250</v>
      </c>
      <c r="G1177" s="20">
        <v>0.33577493045982537</v>
      </c>
      <c r="H1177" s="50"/>
      <c r="I1177" s="16"/>
      <c r="J1177" s="16"/>
      <c r="K1177" s="16"/>
      <c r="L1177" s="16"/>
      <c r="M1177" s="16">
        <v>1171</v>
      </c>
      <c r="N1177" s="16">
        <f t="shared" si="93"/>
        <v>0.41983500717360117</v>
      </c>
      <c r="O1177" s="16"/>
      <c r="P1177" s="16"/>
      <c r="Q1177" s="16">
        <f t="shared" si="94"/>
        <v>-0.20231558817716039</v>
      </c>
    </row>
    <row r="1178" spans="4:17" ht="15" thickBot="1" x14ac:dyDescent="0.35">
      <c r="D1178" s="20">
        <f t="shared" si="90"/>
        <v>1172</v>
      </c>
      <c r="E1178" s="20">
        <f t="shared" si="91"/>
        <v>550</v>
      </c>
      <c r="F1178" s="20">
        <f t="shared" si="92"/>
        <v>2250</v>
      </c>
      <c r="G1178" s="20">
        <v>0.33580732987919043</v>
      </c>
      <c r="H1178" s="50"/>
      <c r="I1178" s="16"/>
      <c r="J1178" s="16"/>
      <c r="K1178" s="16"/>
      <c r="L1178" s="16"/>
      <c r="M1178" s="16">
        <v>1172</v>
      </c>
      <c r="N1178" s="16">
        <f t="shared" si="93"/>
        <v>0.42019368723098993</v>
      </c>
      <c r="O1178" s="16"/>
      <c r="P1178" s="16"/>
      <c r="Q1178" s="16">
        <f t="shared" si="94"/>
        <v>-0.20139800573034686</v>
      </c>
    </row>
    <row r="1179" spans="4:17" ht="15" thickBot="1" x14ac:dyDescent="0.35">
      <c r="D1179" s="20">
        <f t="shared" si="90"/>
        <v>1173</v>
      </c>
      <c r="E1179" s="20">
        <f t="shared" si="91"/>
        <v>650</v>
      </c>
      <c r="F1179" s="20">
        <f t="shared" si="92"/>
        <v>2250</v>
      </c>
      <c r="G1179" s="20">
        <v>0.33585645278495035</v>
      </c>
      <c r="H1179" s="50"/>
      <c r="I1179" s="16"/>
      <c r="J1179" s="16"/>
      <c r="K1179" s="16"/>
      <c r="L1179" s="16"/>
      <c r="M1179" s="16">
        <v>1173</v>
      </c>
      <c r="N1179" s="16">
        <f t="shared" si="93"/>
        <v>0.42055236728837875</v>
      </c>
      <c r="O1179" s="16"/>
      <c r="P1179" s="16"/>
      <c r="Q1179" s="16">
        <f t="shared" si="94"/>
        <v>-0.20048059282080985</v>
      </c>
    </row>
    <row r="1180" spans="4:17" ht="15" thickBot="1" x14ac:dyDescent="0.35">
      <c r="D1180" s="20">
        <f t="shared" si="90"/>
        <v>1174</v>
      </c>
      <c r="E1180" s="20">
        <f t="shared" si="91"/>
        <v>750</v>
      </c>
      <c r="F1180" s="20">
        <f t="shared" si="92"/>
        <v>2250</v>
      </c>
      <c r="G1180" s="20">
        <v>0.33610049035136874</v>
      </c>
      <c r="H1180" s="50"/>
      <c r="I1180" s="16"/>
      <c r="J1180" s="16"/>
      <c r="K1180" s="16"/>
      <c r="L1180" s="16"/>
      <c r="M1180" s="16">
        <v>1174</v>
      </c>
      <c r="N1180" s="16">
        <f t="shared" si="93"/>
        <v>0.42091104734576756</v>
      </c>
      <c r="O1180" s="16"/>
      <c r="P1180" s="16"/>
      <c r="Q1180" s="16">
        <f t="shared" si="94"/>
        <v>-0.19956334861405892</v>
      </c>
    </row>
    <row r="1181" spans="4:17" ht="15" thickBot="1" x14ac:dyDescent="0.35">
      <c r="D1181" s="20">
        <f t="shared" si="90"/>
        <v>1175</v>
      </c>
      <c r="E1181" s="20">
        <f t="shared" si="91"/>
        <v>850</v>
      </c>
      <c r="F1181" s="20">
        <f t="shared" si="92"/>
        <v>2250</v>
      </c>
      <c r="G1181" s="20">
        <v>0.33616862619749438</v>
      </c>
      <c r="H1181" s="50"/>
      <c r="I1181" s="16"/>
      <c r="J1181" s="16"/>
      <c r="K1181" s="16"/>
      <c r="L1181" s="16"/>
      <c r="M1181" s="16">
        <v>1175</v>
      </c>
      <c r="N1181" s="16">
        <f t="shared" si="93"/>
        <v>0.42126972740315638</v>
      </c>
      <c r="O1181" s="16"/>
      <c r="P1181" s="16"/>
      <c r="Q1181" s="16">
        <f t="shared" si="94"/>
        <v>-0.19864627227663156</v>
      </c>
    </row>
    <row r="1182" spans="4:17" ht="15" thickBot="1" x14ac:dyDescent="0.35">
      <c r="D1182" s="20">
        <f t="shared" si="90"/>
        <v>1176</v>
      </c>
      <c r="E1182" s="20">
        <f t="shared" si="91"/>
        <v>950</v>
      </c>
      <c r="F1182" s="20">
        <f t="shared" si="92"/>
        <v>2250</v>
      </c>
      <c r="G1182" s="20">
        <v>0.33626560680699352</v>
      </c>
      <c r="H1182" s="50"/>
      <c r="I1182" s="16"/>
      <c r="J1182" s="16"/>
      <c r="K1182" s="16"/>
      <c r="L1182" s="16"/>
      <c r="M1182" s="16">
        <v>1176</v>
      </c>
      <c r="N1182" s="16">
        <f t="shared" si="93"/>
        <v>0.4216284074605452</v>
      </c>
      <c r="O1182" s="16"/>
      <c r="P1182" s="16"/>
      <c r="Q1182" s="16">
        <f t="shared" si="94"/>
        <v>-0.19772936297608754</v>
      </c>
    </row>
    <row r="1183" spans="4:17" ht="15" thickBot="1" x14ac:dyDescent="0.35">
      <c r="D1183" s="20">
        <f t="shared" si="90"/>
        <v>1177</v>
      </c>
      <c r="E1183" s="20">
        <f t="shared" si="91"/>
        <v>1050</v>
      </c>
      <c r="F1183" s="20">
        <f t="shared" si="92"/>
        <v>2250</v>
      </c>
      <c r="G1183" s="20">
        <v>0.33636117939899141</v>
      </c>
      <c r="H1183" s="50"/>
      <c r="I1183" s="16"/>
      <c r="J1183" s="16"/>
      <c r="K1183" s="16"/>
      <c r="L1183" s="16"/>
      <c r="M1183" s="16">
        <v>1177</v>
      </c>
      <c r="N1183" s="16">
        <f t="shared" si="93"/>
        <v>0.42198708751793401</v>
      </c>
      <c r="O1183" s="16"/>
      <c r="P1183" s="16"/>
      <c r="Q1183" s="16">
        <f t="shared" si="94"/>
        <v>-0.19681261988100293</v>
      </c>
    </row>
    <row r="1184" spans="4:17" ht="15" thickBot="1" x14ac:dyDescent="0.35">
      <c r="D1184" s="20">
        <f t="shared" si="90"/>
        <v>1178</v>
      </c>
      <c r="E1184" s="20">
        <f t="shared" si="91"/>
        <v>1150</v>
      </c>
      <c r="F1184" s="20">
        <f t="shared" si="92"/>
        <v>2250</v>
      </c>
      <c r="G1184" s="20">
        <v>0.33643047023490763</v>
      </c>
      <c r="H1184" s="50"/>
      <c r="I1184" s="16"/>
      <c r="J1184" s="16"/>
      <c r="K1184" s="16"/>
      <c r="L1184" s="16"/>
      <c r="M1184" s="16">
        <v>1178</v>
      </c>
      <c r="N1184" s="16">
        <f t="shared" si="93"/>
        <v>0.42234576757532283</v>
      </c>
      <c r="O1184" s="16"/>
      <c r="P1184" s="16"/>
      <c r="Q1184" s="16">
        <f t="shared" si="94"/>
        <v>-0.19589604216096465</v>
      </c>
    </row>
    <row r="1185" spans="4:17" ht="15" thickBot="1" x14ac:dyDescent="0.35">
      <c r="D1185" s="20">
        <f t="shared" si="90"/>
        <v>1179</v>
      </c>
      <c r="E1185" s="20">
        <f t="shared" si="91"/>
        <v>1250</v>
      </c>
      <c r="F1185" s="20">
        <f t="shared" si="92"/>
        <v>2250</v>
      </c>
      <c r="G1185" s="20">
        <v>0.3364414648695031</v>
      </c>
      <c r="H1185" s="50"/>
      <c r="I1185" s="16"/>
      <c r="J1185" s="16"/>
      <c r="K1185" s="16"/>
      <c r="L1185" s="16"/>
      <c r="M1185" s="16">
        <v>1179</v>
      </c>
      <c r="N1185" s="16">
        <f t="shared" si="93"/>
        <v>0.42270444763271164</v>
      </c>
      <c r="O1185" s="16"/>
      <c r="P1185" s="16"/>
      <c r="Q1185" s="16">
        <f t="shared" si="94"/>
        <v>-0.19497962898656448</v>
      </c>
    </row>
    <row r="1186" spans="4:17" ht="15" thickBot="1" x14ac:dyDescent="0.35">
      <c r="D1186" s="20">
        <f t="shared" si="90"/>
        <v>1180</v>
      </c>
      <c r="E1186" s="20">
        <f t="shared" si="91"/>
        <v>1350</v>
      </c>
      <c r="F1186" s="20">
        <f t="shared" si="92"/>
        <v>2250</v>
      </c>
      <c r="G1186" s="20">
        <v>0.33654886165652614</v>
      </c>
      <c r="H1186" s="50"/>
      <c r="I1186" s="16"/>
      <c r="J1186" s="16"/>
      <c r="K1186" s="16"/>
      <c r="L1186" s="16"/>
      <c r="M1186" s="16">
        <v>1180</v>
      </c>
      <c r="N1186" s="16">
        <f t="shared" si="93"/>
        <v>0.4230631276901004</v>
      </c>
      <c r="O1186" s="16"/>
      <c r="P1186" s="16"/>
      <c r="Q1186" s="16">
        <f t="shared" si="94"/>
        <v>-0.19406337952939384</v>
      </c>
    </row>
    <row r="1187" spans="4:17" ht="15" thickBot="1" x14ac:dyDescent="0.35">
      <c r="D1187" s="20">
        <f t="shared" si="90"/>
        <v>1181</v>
      </c>
      <c r="E1187" s="20">
        <f t="shared" si="91"/>
        <v>1450</v>
      </c>
      <c r="F1187" s="20">
        <f t="shared" si="92"/>
        <v>2250</v>
      </c>
      <c r="G1187" s="20">
        <v>0.33674163452356409</v>
      </c>
      <c r="H1187" s="50"/>
      <c r="I1187" s="16"/>
      <c r="J1187" s="16"/>
      <c r="K1187" s="16"/>
      <c r="L1187" s="16"/>
      <c r="M1187" s="16">
        <v>1181</v>
      </c>
      <c r="N1187" s="16">
        <f t="shared" si="93"/>
        <v>0.42342180774748922</v>
      </c>
      <c r="O1187" s="16"/>
      <c r="P1187" s="16"/>
      <c r="Q1187" s="16">
        <f t="shared" si="94"/>
        <v>-0.19314729296203723</v>
      </c>
    </row>
    <row r="1188" spans="4:17" ht="15" thickBot="1" x14ac:dyDescent="0.35">
      <c r="D1188" s="20">
        <f t="shared" si="90"/>
        <v>1182</v>
      </c>
      <c r="E1188" s="20">
        <f t="shared" si="91"/>
        <v>1550</v>
      </c>
      <c r="F1188" s="20">
        <f t="shared" si="92"/>
        <v>2250</v>
      </c>
      <c r="G1188" s="20">
        <v>0.33674240923784554</v>
      </c>
      <c r="H1188" s="50"/>
      <c r="I1188" s="16"/>
      <c r="J1188" s="16"/>
      <c r="K1188" s="16"/>
      <c r="L1188" s="16"/>
      <c r="M1188" s="16">
        <v>1182</v>
      </c>
      <c r="N1188" s="16">
        <f t="shared" si="93"/>
        <v>0.42378048780487804</v>
      </c>
      <c r="O1188" s="16"/>
      <c r="P1188" s="16"/>
      <c r="Q1188" s="16">
        <f t="shared" si="94"/>
        <v>-0.19223136845806757</v>
      </c>
    </row>
    <row r="1189" spans="4:17" ht="15" thickBot="1" x14ac:dyDescent="0.35">
      <c r="D1189" s="20">
        <f t="shared" si="90"/>
        <v>1183</v>
      </c>
      <c r="E1189" s="44">
        <f t="shared" si="91"/>
        <v>1650</v>
      </c>
      <c r="F1189" s="44">
        <f t="shared" si="92"/>
        <v>2250</v>
      </c>
      <c r="G1189" s="20">
        <v>0.336918887539159</v>
      </c>
      <c r="H1189" s="50"/>
      <c r="I1189" s="16"/>
      <c r="J1189" s="16"/>
      <c r="K1189" s="16"/>
      <c r="L1189" s="16"/>
      <c r="M1189" s="16">
        <v>1183</v>
      </c>
      <c r="N1189" s="16">
        <f t="shared" si="93"/>
        <v>0.42413916786226685</v>
      </c>
      <c r="O1189" s="16"/>
      <c r="P1189" s="16"/>
      <c r="Q1189" s="16">
        <f t="shared" si="94"/>
        <v>-0.19131560519204002</v>
      </c>
    </row>
    <row r="1190" spans="4:17" ht="15" thickBot="1" x14ac:dyDescent="0.35">
      <c r="D1190" s="20">
        <f t="shared" si="90"/>
        <v>1184</v>
      </c>
      <c r="E1190" s="20">
        <f t="shared" si="91"/>
        <v>1750</v>
      </c>
      <c r="F1190" s="20">
        <f t="shared" si="92"/>
        <v>2250</v>
      </c>
      <c r="G1190" s="20">
        <v>0.33695819451102238</v>
      </c>
      <c r="H1190" s="50"/>
      <c r="I1190" s="16"/>
      <c r="J1190" s="16"/>
      <c r="K1190" s="16"/>
      <c r="L1190" s="16"/>
      <c r="M1190" s="16">
        <v>1184</v>
      </c>
      <c r="N1190" s="16">
        <f t="shared" si="93"/>
        <v>0.42449784791965567</v>
      </c>
      <c r="O1190" s="16"/>
      <c r="P1190" s="16"/>
      <c r="Q1190" s="16">
        <f t="shared" si="94"/>
        <v>-0.19040000233948629</v>
      </c>
    </row>
    <row r="1191" spans="4:17" ht="15" thickBot="1" x14ac:dyDescent="0.35">
      <c r="D1191" s="20">
        <f t="shared" si="90"/>
        <v>1185</v>
      </c>
      <c r="E1191" s="20">
        <f t="shared" si="91"/>
        <v>1850</v>
      </c>
      <c r="F1191" s="20">
        <f t="shared" si="92"/>
        <v>2250</v>
      </c>
      <c r="G1191" s="20">
        <v>0.33698116796897776</v>
      </c>
      <c r="H1191" s="50"/>
      <c r="I1191" s="16"/>
      <c r="J1191" s="16"/>
      <c r="K1191" s="16"/>
      <c r="L1191" s="16"/>
      <c r="M1191" s="16">
        <v>1185</v>
      </c>
      <c r="N1191" s="16">
        <f t="shared" si="93"/>
        <v>0.42485652797704448</v>
      </c>
      <c r="O1191" s="16"/>
      <c r="P1191" s="16"/>
      <c r="Q1191" s="16">
        <f t="shared" si="94"/>
        <v>-0.18948455907690923</v>
      </c>
    </row>
    <row r="1192" spans="4:17" ht="15" thickBot="1" x14ac:dyDescent="0.35">
      <c r="D1192" s="20">
        <f t="shared" si="90"/>
        <v>1186</v>
      </c>
      <c r="E1192" s="20">
        <f t="shared" si="91"/>
        <v>1950</v>
      </c>
      <c r="F1192" s="20">
        <f t="shared" si="92"/>
        <v>2250</v>
      </c>
      <c r="G1192" s="20">
        <v>0.33702498294018368</v>
      </c>
      <c r="H1192" s="50"/>
      <c r="I1192" s="16"/>
      <c r="J1192" s="16"/>
      <c r="K1192" s="16"/>
      <c r="L1192" s="16"/>
      <c r="M1192" s="16">
        <v>1186</v>
      </c>
      <c r="N1192" s="16">
        <f t="shared" si="93"/>
        <v>0.4252152080344333</v>
      </c>
      <c r="O1192" s="16"/>
      <c r="P1192" s="16"/>
      <c r="Q1192" s="16">
        <f t="shared" si="94"/>
        <v>-0.18856927458177719</v>
      </c>
    </row>
    <row r="1193" spans="4:17" ht="15" thickBot="1" x14ac:dyDescent="0.35">
      <c r="D1193" s="20">
        <f t="shared" si="90"/>
        <v>1187</v>
      </c>
      <c r="E1193" s="20">
        <f t="shared" si="91"/>
        <v>2050</v>
      </c>
      <c r="F1193" s="20">
        <f t="shared" si="92"/>
        <v>2250</v>
      </c>
      <c r="G1193" s="20">
        <v>0.33704779815281521</v>
      </c>
      <c r="H1193" s="50"/>
      <c r="I1193" s="16"/>
      <c r="J1193" s="16"/>
      <c r="K1193" s="16"/>
      <c r="L1193" s="16"/>
      <c r="M1193" s="16">
        <v>1187</v>
      </c>
      <c r="N1193" s="16">
        <f t="shared" si="93"/>
        <v>0.42557388809182212</v>
      </c>
      <c r="O1193" s="16"/>
      <c r="P1193" s="16"/>
      <c r="Q1193" s="16">
        <f t="shared" si="94"/>
        <v>-0.18765414803251823</v>
      </c>
    </row>
    <row r="1194" spans="4:17" ht="15" thickBot="1" x14ac:dyDescent="0.35">
      <c r="D1194" s="20">
        <f t="shared" si="90"/>
        <v>1188</v>
      </c>
      <c r="E1194" s="20">
        <f t="shared" si="91"/>
        <v>2150</v>
      </c>
      <c r="F1194" s="20">
        <f t="shared" si="92"/>
        <v>2250</v>
      </c>
      <c r="G1194" s="20">
        <v>0.33705602742689356</v>
      </c>
      <c r="H1194" s="50"/>
      <c r="I1194" s="16"/>
      <c r="J1194" s="16"/>
      <c r="K1194" s="16"/>
      <c r="L1194" s="16"/>
      <c r="M1194" s="16">
        <v>1188</v>
      </c>
      <c r="N1194" s="16">
        <f t="shared" si="93"/>
        <v>0.42593256814921088</v>
      </c>
      <c r="O1194" s="16"/>
      <c r="P1194" s="16"/>
      <c r="Q1194" s="16">
        <f t="shared" si="94"/>
        <v>-0.18673917860851502</v>
      </c>
    </row>
    <row r="1195" spans="4:17" ht="15" thickBot="1" x14ac:dyDescent="0.35">
      <c r="D1195" s="20">
        <f t="shared" si="90"/>
        <v>1189</v>
      </c>
      <c r="E1195" s="20">
        <f t="shared" si="91"/>
        <v>2250</v>
      </c>
      <c r="F1195" s="20">
        <f t="shared" si="92"/>
        <v>2250</v>
      </c>
      <c r="G1195" s="20">
        <v>0.33706840283688655</v>
      </c>
      <c r="H1195" s="50"/>
      <c r="I1195" s="16"/>
      <c r="J1195" s="16"/>
      <c r="K1195" s="16"/>
      <c r="L1195" s="16"/>
      <c r="M1195" s="16">
        <v>1189</v>
      </c>
      <c r="N1195" s="16">
        <f t="shared" si="93"/>
        <v>0.42629124820659969</v>
      </c>
      <c r="O1195" s="16"/>
      <c r="P1195" s="16"/>
      <c r="Q1195" s="16">
        <f t="shared" si="94"/>
        <v>-0.18582436549009843</v>
      </c>
    </row>
    <row r="1196" spans="4:17" ht="15" thickBot="1" x14ac:dyDescent="0.35">
      <c r="D1196" s="20">
        <f t="shared" si="90"/>
        <v>1190</v>
      </c>
      <c r="E1196" s="20">
        <f t="shared" si="91"/>
        <v>2350</v>
      </c>
      <c r="F1196" s="20">
        <f t="shared" si="92"/>
        <v>2250</v>
      </c>
      <c r="G1196" s="20">
        <v>0.33717135469902049</v>
      </c>
      <c r="H1196" s="50"/>
      <c r="I1196" s="16"/>
      <c r="J1196" s="16"/>
      <c r="K1196" s="16"/>
      <c r="L1196" s="16"/>
      <c r="M1196" s="16">
        <v>1190</v>
      </c>
      <c r="N1196" s="16">
        <f t="shared" si="93"/>
        <v>0.42664992826398851</v>
      </c>
      <c r="O1196" s="16"/>
      <c r="P1196" s="16"/>
      <c r="Q1196" s="16">
        <f t="shared" si="94"/>
        <v>-0.18490970785854305</v>
      </c>
    </row>
    <row r="1197" spans="4:17" ht="15" thickBot="1" x14ac:dyDescent="0.35">
      <c r="D1197" s="20">
        <f t="shared" si="90"/>
        <v>1191</v>
      </c>
      <c r="E1197" s="20">
        <f t="shared" si="91"/>
        <v>2450</v>
      </c>
      <c r="F1197" s="20">
        <f t="shared" si="92"/>
        <v>2250</v>
      </c>
      <c r="G1197" s="20">
        <v>0.33719644834270995</v>
      </c>
      <c r="H1197" s="50"/>
      <c r="I1197" s="16"/>
      <c r="J1197" s="16"/>
      <c r="K1197" s="16"/>
      <c r="L1197" s="16"/>
      <c r="M1197" s="16">
        <v>1191</v>
      </c>
      <c r="N1197" s="16">
        <f t="shared" si="93"/>
        <v>0.42700860832137733</v>
      </c>
      <c r="O1197" s="16"/>
      <c r="P1197" s="16"/>
      <c r="Q1197" s="16">
        <f t="shared" si="94"/>
        <v>-0.18399520489606094</v>
      </c>
    </row>
    <row r="1198" spans="4:17" ht="15" thickBot="1" x14ac:dyDescent="0.35">
      <c r="D1198" s="20">
        <f t="shared" si="90"/>
        <v>1192</v>
      </c>
      <c r="E1198" s="20">
        <f t="shared" si="91"/>
        <v>2550</v>
      </c>
      <c r="F1198" s="20">
        <f t="shared" si="92"/>
        <v>2250</v>
      </c>
      <c r="G1198" s="20">
        <v>0.33732842574943683</v>
      </c>
      <c r="H1198" s="50"/>
      <c r="I1198" s="16"/>
      <c r="J1198" s="16"/>
      <c r="K1198" s="16"/>
      <c r="L1198" s="16"/>
      <c r="M1198" s="16">
        <v>1192</v>
      </c>
      <c r="N1198" s="16">
        <f t="shared" si="93"/>
        <v>0.42736728837876614</v>
      </c>
      <c r="O1198" s="16"/>
      <c r="P1198" s="16"/>
      <c r="Q1198" s="16">
        <f t="shared" si="94"/>
        <v>-0.18308085578579619</v>
      </c>
    </row>
    <row r="1199" spans="4:17" ht="15" thickBot="1" x14ac:dyDescent="0.35">
      <c r="D1199" s="20">
        <f t="shared" si="90"/>
        <v>1193</v>
      </c>
      <c r="E1199" s="20">
        <f t="shared" si="91"/>
        <v>2650</v>
      </c>
      <c r="F1199" s="20">
        <f t="shared" si="92"/>
        <v>2250</v>
      </c>
      <c r="G1199" s="20">
        <v>0.33732982384799626</v>
      </c>
      <c r="H1199" s="50"/>
      <c r="I1199" s="16"/>
      <c r="J1199" s="16"/>
      <c r="K1199" s="16"/>
      <c r="L1199" s="16"/>
      <c r="M1199" s="16">
        <v>1193</v>
      </c>
      <c r="N1199" s="16">
        <f t="shared" si="93"/>
        <v>0.42772596843615496</v>
      </c>
      <c r="O1199" s="16"/>
      <c r="P1199" s="16"/>
      <c r="Q1199" s="16">
        <f t="shared" si="94"/>
        <v>-0.18216665971181992</v>
      </c>
    </row>
    <row r="1200" spans="4:17" ht="15" thickBot="1" x14ac:dyDescent="0.35">
      <c r="D1200" s="20">
        <f t="shared" si="90"/>
        <v>1194</v>
      </c>
      <c r="E1200" s="20">
        <f t="shared" si="91"/>
        <v>2750</v>
      </c>
      <c r="F1200" s="20">
        <f t="shared" si="92"/>
        <v>2250</v>
      </c>
      <c r="G1200" s="20">
        <v>0.33735714889940521</v>
      </c>
      <c r="H1200" s="50"/>
      <c r="I1200" s="16"/>
      <c r="J1200" s="16"/>
      <c r="K1200" s="16"/>
      <c r="L1200" s="16"/>
      <c r="M1200" s="16">
        <v>1194</v>
      </c>
      <c r="N1200" s="16">
        <f t="shared" si="93"/>
        <v>0.42808464849354377</v>
      </c>
      <c r="O1200" s="16"/>
      <c r="P1200" s="16"/>
      <c r="Q1200" s="16">
        <f t="shared" si="94"/>
        <v>-0.18125261585912403</v>
      </c>
    </row>
    <row r="1201" spans="4:17" ht="15" thickBot="1" x14ac:dyDescent="0.35">
      <c r="D1201" s="20">
        <f t="shared" si="90"/>
        <v>1195</v>
      </c>
      <c r="E1201" s="20">
        <f t="shared" si="91"/>
        <v>2850</v>
      </c>
      <c r="F1201" s="20">
        <f t="shared" si="92"/>
        <v>2250</v>
      </c>
      <c r="G1201" s="20">
        <v>0.33740171658116741</v>
      </c>
      <c r="H1201" s="50"/>
      <c r="I1201" s="16"/>
      <c r="J1201" s="16"/>
      <c r="K1201" s="16"/>
      <c r="L1201" s="16"/>
      <c r="M1201" s="16">
        <v>1195</v>
      </c>
      <c r="N1201" s="16">
        <f t="shared" si="93"/>
        <v>0.42844332855093259</v>
      </c>
      <c r="O1201" s="16"/>
      <c r="P1201" s="16"/>
      <c r="Q1201" s="16">
        <f t="shared" si="94"/>
        <v>-0.18033872341361643</v>
      </c>
    </row>
    <row r="1202" spans="4:17" ht="15" thickBot="1" x14ac:dyDescent="0.35">
      <c r="D1202" s="20">
        <f t="shared" si="90"/>
        <v>1196</v>
      </c>
      <c r="E1202" s="20">
        <f t="shared" si="91"/>
        <v>2950</v>
      </c>
      <c r="F1202" s="20">
        <f t="shared" si="92"/>
        <v>2250</v>
      </c>
      <c r="G1202" s="20">
        <v>0.33756524039168267</v>
      </c>
      <c r="H1202" s="50"/>
      <c r="I1202" s="16"/>
      <c r="J1202" s="16"/>
      <c r="K1202" s="16"/>
      <c r="L1202" s="16"/>
      <c r="M1202" s="16">
        <v>1196</v>
      </c>
      <c r="N1202" s="16">
        <f t="shared" si="93"/>
        <v>0.42880200860832135</v>
      </c>
      <c r="O1202" s="16"/>
      <c r="P1202" s="16"/>
      <c r="Q1202" s="16">
        <f t="shared" si="94"/>
        <v>-0.17942498156211523</v>
      </c>
    </row>
    <row r="1203" spans="4:17" ht="15" thickBot="1" x14ac:dyDescent="0.35">
      <c r="D1203" s="20">
        <f t="shared" si="90"/>
        <v>1197</v>
      </c>
      <c r="E1203" s="20">
        <f t="shared" si="91"/>
        <v>3050</v>
      </c>
      <c r="F1203" s="20">
        <f t="shared" si="92"/>
        <v>2250</v>
      </c>
      <c r="G1203" s="20">
        <v>0.3375899959771208</v>
      </c>
      <c r="H1203" s="50"/>
      <c r="I1203" s="16"/>
      <c r="J1203" s="16"/>
      <c r="K1203" s="16"/>
      <c r="L1203" s="16"/>
      <c r="M1203" s="16">
        <v>1197</v>
      </c>
      <c r="N1203" s="16">
        <f t="shared" si="93"/>
        <v>0.42916068866571017</v>
      </c>
      <c r="O1203" s="16"/>
      <c r="P1203" s="16"/>
      <c r="Q1203" s="16">
        <f t="shared" si="94"/>
        <v>-0.17851138949234308</v>
      </c>
    </row>
    <row r="1204" spans="4:17" ht="15" thickBot="1" x14ac:dyDescent="0.35">
      <c r="D1204" s="20">
        <f t="shared" si="90"/>
        <v>1198</v>
      </c>
      <c r="E1204" s="45">
        <f t="shared" si="91"/>
        <v>3150</v>
      </c>
      <c r="F1204" s="45">
        <f t="shared" si="92"/>
        <v>2250</v>
      </c>
      <c r="G1204" s="20">
        <v>0.33771823908361182</v>
      </c>
      <c r="H1204" s="50"/>
      <c r="I1204" s="16"/>
      <c r="J1204" s="16"/>
      <c r="K1204" s="16"/>
      <c r="L1204" s="16"/>
      <c r="M1204" s="16">
        <v>1198</v>
      </c>
      <c r="N1204" s="16">
        <f t="shared" si="93"/>
        <v>0.42951936872309898</v>
      </c>
      <c r="O1204" s="16"/>
      <c r="P1204" s="16"/>
      <c r="Q1204" s="16">
        <f t="shared" si="94"/>
        <v>-0.17759794639292242</v>
      </c>
    </row>
    <row r="1205" spans="4:17" ht="15" thickBot="1" x14ac:dyDescent="0.35">
      <c r="D1205" s="20">
        <f t="shared" si="90"/>
        <v>1199</v>
      </c>
      <c r="E1205" s="20">
        <f t="shared" si="91"/>
        <v>3250</v>
      </c>
      <c r="F1205" s="20">
        <f t="shared" si="92"/>
        <v>2250</v>
      </c>
      <c r="G1205" s="20">
        <v>0.33773392527075191</v>
      </c>
      <c r="H1205" s="50"/>
      <c r="I1205" s="16"/>
      <c r="J1205" s="16"/>
      <c r="K1205" s="16"/>
      <c r="L1205" s="16"/>
      <c r="M1205" s="16">
        <v>1199</v>
      </c>
      <c r="N1205" s="16">
        <f t="shared" si="93"/>
        <v>0.4298780487804878</v>
      </c>
      <c r="O1205" s="16"/>
      <c r="P1205" s="16"/>
      <c r="Q1205" s="16">
        <f t="shared" si="94"/>
        <v>-0.17668465145336951</v>
      </c>
    </row>
    <row r="1206" spans="4:17" ht="15" thickBot="1" x14ac:dyDescent="0.35">
      <c r="D1206" s="20">
        <f t="shared" si="90"/>
        <v>1200</v>
      </c>
      <c r="E1206" s="48">
        <f t="shared" si="91"/>
        <v>3350</v>
      </c>
      <c r="F1206" s="48">
        <f t="shared" si="92"/>
        <v>2250</v>
      </c>
      <c r="G1206" s="20">
        <v>0.33777928002213498</v>
      </c>
      <c r="H1206" s="50"/>
      <c r="I1206" s="16"/>
      <c r="J1206" s="16"/>
      <c r="K1206" s="16"/>
      <c r="L1206" s="16"/>
      <c r="M1206" s="16">
        <v>1200</v>
      </c>
      <c r="N1206" s="16">
        <f t="shared" si="93"/>
        <v>0.43023672883787661</v>
      </c>
      <c r="O1206" s="16"/>
      <c r="P1206" s="16"/>
      <c r="Q1206" s="16">
        <f t="shared" si="94"/>
        <v>-0.17577150386408924</v>
      </c>
    </row>
    <row r="1207" spans="4:17" ht="15" thickBot="1" x14ac:dyDescent="0.35">
      <c r="D1207" s="20">
        <f t="shared" si="90"/>
        <v>1201</v>
      </c>
      <c r="E1207" s="20">
        <f t="shared" si="91"/>
        <v>3450</v>
      </c>
      <c r="F1207" s="20">
        <f t="shared" si="92"/>
        <v>2250</v>
      </c>
      <c r="G1207" s="20">
        <v>0.3378194769059073</v>
      </c>
      <c r="H1207" s="50"/>
      <c r="I1207" s="16"/>
      <c r="J1207" s="16"/>
      <c r="K1207" s="16"/>
      <c r="L1207" s="16"/>
      <c r="M1207" s="16">
        <v>1201</v>
      </c>
      <c r="N1207" s="16">
        <f t="shared" si="93"/>
        <v>0.43059540889526543</v>
      </c>
      <c r="O1207" s="16"/>
      <c r="P1207" s="16"/>
      <c r="Q1207" s="16">
        <f t="shared" si="94"/>
        <v>-0.17485850281636975</v>
      </c>
    </row>
    <row r="1208" spans="4:17" ht="15" thickBot="1" x14ac:dyDescent="0.35">
      <c r="D1208" s="20">
        <f t="shared" si="90"/>
        <v>1202</v>
      </c>
      <c r="E1208" s="20">
        <f t="shared" si="91"/>
        <v>3550</v>
      </c>
      <c r="F1208" s="20">
        <f t="shared" si="92"/>
        <v>2250</v>
      </c>
      <c r="G1208" s="20">
        <v>0.3378425293763454</v>
      </c>
      <c r="H1208" s="50"/>
      <c r="I1208" s="16"/>
      <c r="J1208" s="16"/>
      <c r="K1208" s="16"/>
      <c r="L1208" s="16"/>
      <c r="M1208" s="16">
        <v>1202</v>
      </c>
      <c r="N1208" s="16">
        <f t="shared" si="93"/>
        <v>0.43095408895265425</v>
      </c>
      <c r="O1208" s="16"/>
      <c r="P1208" s="16"/>
      <c r="Q1208" s="16">
        <f t="shared" si="94"/>
        <v>-0.17394564750237698</v>
      </c>
    </row>
    <row r="1209" spans="4:17" ht="15" thickBot="1" x14ac:dyDescent="0.35">
      <c r="D1209" s="20">
        <f t="shared" si="90"/>
        <v>1203</v>
      </c>
      <c r="E1209" s="20">
        <f t="shared" si="91"/>
        <v>3650</v>
      </c>
      <c r="F1209" s="20">
        <f t="shared" si="92"/>
        <v>2250</v>
      </c>
      <c r="G1209" s="20">
        <v>0.33786940523081171</v>
      </c>
      <c r="H1209" s="50"/>
      <c r="I1209" s="16"/>
      <c r="J1209" s="16"/>
      <c r="K1209" s="16"/>
      <c r="L1209" s="16"/>
      <c r="M1209" s="16">
        <v>1203</v>
      </c>
      <c r="N1209" s="16">
        <f t="shared" si="93"/>
        <v>0.43131276901004306</v>
      </c>
      <c r="O1209" s="16"/>
      <c r="P1209" s="16"/>
      <c r="Q1209" s="16">
        <f t="shared" si="94"/>
        <v>-0.17303293711514944</v>
      </c>
    </row>
    <row r="1210" spans="4:17" ht="15" thickBot="1" x14ac:dyDescent="0.35">
      <c r="D1210" s="20">
        <f t="shared" si="90"/>
        <v>1204</v>
      </c>
      <c r="E1210" s="20">
        <f t="shared" si="91"/>
        <v>3750</v>
      </c>
      <c r="F1210" s="20">
        <f t="shared" si="92"/>
        <v>2250</v>
      </c>
      <c r="G1210" s="20">
        <v>0.33788711495677187</v>
      </c>
      <c r="H1210" s="50"/>
      <c r="I1210" s="16"/>
      <c r="J1210" s="16"/>
      <c r="K1210" s="16"/>
      <c r="L1210" s="16"/>
      <c r="M1210" s="16">
        <v>1204</v>
      </c>
      <c r="N1210" s="16">
        <f t="shared" si="93"/>
        <v>0.43167144906743188</v>
      </c>
      <c r="O1210" s="16"/>
      <c r="P1210" s="16"/>
      <c r="Q1210" s="16">
        <f t="shared" si="94"/>
        <v>-0.17212037084859269</v>
      </c>
    </row>
    <row r="1211" spans="4:17" ht="15" thickBot="1" x14ac:dyDescent="0.35">
      <c r="D1211" s="20">
        <f t="shared" si="90"/>
        <v>1205</v>
      </c>
      <c r="E1211" s="20">
        <f t="shared" si="91"/>
        <v>3850</v>
      </c>
      <c r="F1211" s="20">
        <f t="shared" si="92"/>
        <v>2250</v>
      </c>
      <c r="G1211" s="20">
        <v>0.33788936297259381</v>
      </c>
      <c r="H1211" s="50"/>
      <c r="I1211" s="16"/>
      <c r="J1211" s="16"/>
      <c r="K1211" s="16"/>
      <c r="L1211" s="16"/>
      <c r="M1211" s="16">
        <v>1205</v>
      </c>
      <c r="N1211" s="16">
        <f t="shared" si="93"/>
        <v>0.43203012912482064</v>
      </c>
      <c r="O1211" s="16"/>
      <c r="P1211" s="16"/>
      <c r="Q1211" s="16">
        <f t="shared" si="94"/>
        <v>-0.17120794789747446</v>
      </c>
    </row>
    <row r="1212" spans="4:17" ht="15" thickBot="1" x14ac:dyDescent="0.35">
      <c r="D1212" s="20">
        <f t="shared" si="90"/>
        <v>1206</v>
      </c>
      <c r="E1212" s="20">
        <f t="shared" si="91"/>
        <v>3950</v>
      </c>
      <c r="F1212" s="20">
        <f t="shared" si="92"/>
        <v>2250</v>
      </c>
      <c r="G1212" s="20">
        <v>0.33793337525537764</v>
      </c>
      <c r="H1212" s="50"/>
      <c r="I1212" s="16"/>
      <c r="J1212" s="16"/>
      <c r="K1212" s="16"/>
      <c r="L1212" s="16"/>
      <c r="M1212" s="16">
        <v>1206</v>
      </c>
      <c r="N1212" s="16">
        <f t="shared" si="93"/>
        <v>0.43238880918220945</v>
      </c>
      <c r="O1212" s="16"/>
      <c r="P1212" s="16"/>
      <c r="Q1212" s="16">
        <f t="shared" si="94"/>
        <v>-0.17029566745741836</v>
      </c>
    </row>
    <row r="1213" spans="4:17" ht="15" thickBot="1" x14ac:dyDescent="0.35">
      <c r="D1213" s="20">
        <f t="shared" si="90"/>
        <v>1207</v>
      </c>
      <c r="E1213" s="20">
        <f t="shared" si="91"/>
        <v>4050</v>
      </c>
      <c r="F1213" s="20">
        <f t="shared" si="92"/>
        <v>2250</v>
      </c>
      <c r="G1213" s="20">
        <v>0.33824552083579723</v>
      </c>
      <c r="H1213" s="50"/>
      <c r="I1213" s="16"/>
      <c r="J1213" s="16"/>
      <c r="K1213" s="16"/>
      <c r="L1213" s="16"/>
      <c r="M1213" s="16">
        <v>1207</v>
      </c>
      <c r="N1213" s="16">
        <f t="shared" si="93"/>
        <v>0.43274748923959827</v>
      </c>
      <c r="O1213" s="16"/>
      <c r="P1213" s="16"/>
      <c r="Q1213" s="16">
        <f t="shared" si="94"/>
        <v>-0.16938352872489987</v>
      </c>
    </row>
    <row r="1214" spans="4:17" ht="15" thickBot="1" x14ac:dyDescent="0.35">
      <c r="D1214" s="20">
        <f t="shared" si="90"/>
        <v>1208</v>
      </c>
      <c r="E1214" s="20">
        <f t="shared" si="91"/>
        <v>4150</v>
      </c>
      <c r="F1214" s="20">
        <f t="shared" si="92"/>
        <v>2250</v>
      </c>
      <c r="G1214" s="20">
        <v>0.33834000358537347</v>
      </c>
      <c r="H1214" s="50"/>
      <c r="I1214" s="16"/>
      <c r="J1214" s="16"/>
      <c r="K1214" s="16"/>
      <c r="L1214" s="16"/>
      <c r="M1214" s="16">
        <v>1208</v>
      </c>
      <c r="N1214" s="16">
        <f t="shared" si="93"/>
        <v>0.43310616929698709</v>
      </c>
      <c r="O1214" s="16"/>
      <c r="P1214" s="16"/>
      <c r="Q1214" s="16">
        <f t="shared" si="94"/>
        <v>-0.1684715308972401</v>
      </c>
    </row>
    <row r="1215" spans="4:17" ht="15" thickBot="1" x14ac:dyDescent="0.35">
      <c r="D1215" s="20">
        <f t="shared" si="90"/>
        <v>1209</v>
      </c>
      <c r="E1215" s="20">
        <f t="shared" si="91"/>
        <v>4250</v>
      </c>
      <c r="F1215" s="20">
        <f t="shared" si="92"/>
        <v>2250</v>
      </c>
      <c r="G1215" s="20">
        <v>0.33834904083509953</v>
      </c>
      <c r="H1215" s="50"/>
      <c r="I1215" s="16"/>
      <c r="J1215" s="16"/>
      <c r="K1215" s="16"/>
      <c r="L1215" s="16"/>
      <c r="M1215" s="16">
        <v>1209</v>
      </c>
      <c r="N1215" s="16">
        <f t="shared" si="93"/>
        <v>0.4334648493543759</v>
      </c>
      <c r="O1215" s="16"/>
      <c r="P1215" s="16"/>
      <c r="Q1215" s="16">
        <f t="shared" si="94"/>
        <v>-0.16755967317260098</v>
      </c>
    </row>
    <row r="1216" spans="4:17" ht="15" thickBot="1" x14ac:dyDescent="0.35">
      <c r="D1216" s="20">
        <f t="shared" si="90"/>
        <v>1210</v>
      </c>
      <c r="E1216" s="44">
        <f t="shared" si="91"/>
        <v>4350</v>
      </c>
      <c r="F1216" s="44">
        <f t="shared" si="92"/>
        <v>2250</v>
      </c>
      <c r="G1216" s="20">
        <v>0.33851985467187673</v>
      </c>
      <c r="H1216" s="50"/>
      <c r="I1216" s="16"/>
      <c r="J1216" s="16"/>
      <c r="K1216" s="16"/>
      <c r="L1216" s="16"/>
      <c r="M1216" s="16">
        <v>1210</v>
      </c>
      <c r="N1216" s="16">
        <f t="shared" si="93"/>
        <v>0.43382352941176472</v>
      </c>
      <c r="O1216" s="16"/>
      <c r="P1216" s="16"/>
      <c r="Q1216" s="16">
        <f t="shared" si="94"/>
        <v>-0.16664795474997979</v>
      </c>
    </row>
    <row r="1217" spans="4:17" ht="15" thickBot="1" x14ac:dyDescent="0.35">
      <c r="D1217" s="20">
        <f t="shared" si="90"/>
        <v>1211</v>
      </c>
      <c r="E1217" s="20">
        <f t="shared" si="91"/>
        <v>4450</v>
      </c>
      <c r="F1217" s="20">
        <f t="shared" si="92"/>
        <v>2250</v>
      </c>
      <c r="G1217" s="20">
        <v>0.33856815555868042</v>
      </c>
      <c r="H1217" s="50"/>
      <c r="I1217" s="16"/>
      <c r="J1217" s="16"/>
      <c r="K1217" s="16"/>
      <c r="L1217" s="16"/>
      <c r="M1217" s="16">
        <v>1211</v>
      </c>
      <c r="N1217" s="16">
        <f t="shared" si="93"/>
        <v>0.43418220946915353</v>
      </c>
      <c r="O1217" s="16"/>
      <c r="P1217" s="16"/>
      <c r="Q1217" s="16">
        <f t="shared" si="94"/>
        <v>-0.165736374829204</v>
      </c>
    </row>
    <row r="1218" spans="4:17" ht="15" thickBot="1" x14ac:dyDescent="0.35">
      <c r="D1218" s="20">
        <f t="shared" si="90"/>
        <v>1212</v>
      </c>
      <c r="E1218" s="20">
        <f t="shared" si="91"/>
        <v>4550</v>
      </c>
      <c r="F1218" s="20">
        <f t="shared" si="92"/>
        <v>2250</v>
      </c>
      <c r="G1218" s="20">
        <v>0.33860596197871207</v>
      </c>
      <c r="H1218" s="50"/>
      <c r="I1218" s="16"/>
      <c r="J1218" s="16"/>
      <c r="K1218" s="16"/>
      <c r="L1218" s="16"/>
      <c r="M1218" s="16">
        <v>1212</v>
      </c>
      <c r="N1218" s="16">
        <f t="shared" si="93"/>
        <v>0.43454088952654235</v>
      </c>
      <c r="O1218" s="16"/>
      <c r="P1218" s="16"/>
      <c r="Q1218" s="16">
        <f t="shared" si="94"/>
        <v>-0.16482493261092604</v>
      </c>
    </row>
    <row r="1219" spans="4:17" ht="15" thickBot="1" x14ac:dyDescent="0.35">
      <c r="D1219" s="20">
        <f t="shared" si="90"/>
        <v>1213</v>
      </c>
      <c r="E1219" s="20">
        <f t="shared" si="91"/>
        <v>4650</v>
      </c>
      <c r="F1219" s="20">
        <f t="shared" si="92"/>
        <v>2250</v>
      </c>
      <c r="G1219" s="20">
        <v>0.33878394488990105</v>
      </c>
      <c r="H1219" s="50"/>
      <c r="I1219" s="16"/>
      <c r="J1219" s="16"/>
      <c r="K1219" s="16"/>
      <c r="L1219" s="16"/>
      <c r="M1219" s="16">
        <v>1213</v>
      </c>
      <c r="N1219" s="16">
        <f t="shared" si="93"/>
        <v>0.43489956958393111</v>
      </c>
      <c r="O1219" s="16"/>
      <c r="P1219" s="16"/>
      <c r="Q1219" s="16">
        <f t="shared" si="94"/>
        <v>-0.16391362729661821</v>
      </c>
    </row>
    <row r="1220" spans="4:17" ht="15" thickBot="1" x14ac:dyDescent="0.35">
      <c r="D1220" s="20">
        <f t="shared" si="90"/>
        <v>1214</v>
      </c>
      <c r="E1220" s="20">
        <f t="shared" si="91"/>
        <v>4750</v>
      </c>
      <c r="F1220" s="20">
        <f t="shared" si="92"/>
        <v>2250</v>
      </c>
      <c r="G1220" s="20">
        <v>0.33880968179177245</v>
      </c>
      <c r="H1220" s="50"/>
      <c r="I1220" s="16"/>
      <c r="J1220" s="16"/>
      <c r="K1220" s="16"/>
      <c r="L1220" s="16"/>
      <c r="M1220" s="16">
        <v>1214</v>
      </c>
      <c r="N1220" s="16">
        <f t="shared" si="93"/>
        <v>0.43525824964131993</v>
      </c>
      <c r="O1220" s="16"/>
      <c r="P1220" s="16"/>
      <c r="Q1220" s="16">
        <f t="shared" si="94"/>
        <v>-0.16300245808856689</v>
      </c>
    </row>
    <row r="1221" spans="4:17" ht="15" thickBot="1" x14ac:dyDescent="0.35">
      <c r="D1221" s="20">
        <f t="shared" si="90"/>
        <v>1215</v>
      </c>
      <c r="E1221" s="20">
        <f t="shared" si="91"/>
        <v>4850</v>
      </c>
      <c r="F1221" s="20">
        <f t="shared" si="92"/>
        <v>2250</v>
      </c>
      <c r="G1221" s="20">
        <v>0.33897435828242373</v>
      </c>
      <c r="H1221" s="50"/>
      <c r="I1221" s="16"/>
      <c r="J1221" s="16"/>
      <c r="K1221" s="16"/>
      <c r="L1221" s="16"/>
      <c r="M1221" s="16">
        <v>1215</v>
      </c>
      <c r="N1221" s="16">
        <f t="shared" si="93"/>
        <v>0.43561692969870874</v>
      </c>
      <c r="O1221" s="16"/>
      <c r="P1221" s="16"/>
      <c r="Q1221" s="16">
        <f t="shared" si="94"/>
        <v>-0.16209142418986822</v>
      </c>
    </row>
    <row r="1222" spans="4:17" ht="15" thickBot="1" x14ac:dyDescent="0.35">
      <c r="D1222" s="20">
        <f t="shared" si="90"/>
        <v>1216</v>
      </c>
      <c r="E1222" s="20">
        <f t="shared" si="91"/>
        <v>4950</v>
      </c>
      <c r="F1222" s="20">
        <f t="shared" si="92"/>
        <v>2250</v>
      </c>
      <c r="G1222" s="20">
        <v>0.33905701331404398</v>
      </c>
      <c r="H1222" s="50"/>
      <c r="I1222" s="16"/>
      <c r="J1222" s="16"/>
      <c r="K1222" s="16"/>
      <c r="L1222" s="16"/>
      <c r="M1222" s="16">
        <v>1216</v>
      </c>
      <c r="N1222" s="16">
        <f t="shared" si="93"/>
        <v>0.43597560975609756</v>
      </c>
      <c r="O1222" s="16"/>
      <c r="P1222" s="16"/>
      <c r="Q1222" s="16">
        <f t="shared" si="94"/>
        <v>-0.16118052480442238</v>
      </c>
    </row>
    <row r="1223" spans="4:17" ht="15" thickBot="1" x14ac:dyDescent="0.35">
      <c r="D1223" s="20">
        <f t="shared" ref="D1223:D1286" si="95">ROW()-6</f>
        <v>1217</v>
      </c>
      <c r="E1223" s="20">
        <f t="shared" ref="E1223:E1286" si="96">(MOD(D1223-1,53)*100)+50</f>
        <v>5050</v>
      </c>
      <c r="F1223" s="20">
        <f t="shared" ref="F1223:F1286" si="97">FLOOR((D1223-1)/53,1)*100+50</f>
        <v>2250</v>
      </c>
      <c r="G1223" s="20">
        <v>0.33916633182030353</v>
      </c>
      <c r="H1223" s="50"/>
      <c r="I1223" s="16"/>
      <c r="J1223" s="16"/>
      <c r="K1223" s="16"/>
      <c r="L1223" s="16"/>
      <c r="M1223" s="16">
        <v>1217</v>
      </c>
      <c r="N1223" s="16">
        <f t="shared" si="93"/>
        <v>0.43633428981348638</v>
      </c>
      <c r="O1223" s="16"/>
      <c r="P1223" s="16"/>
      <c r="Q1223" s="16">
        <f t="shared" si="94"/>
        <v>-0.16026975913692856</v>
      </c>
    </row>
    <row r="1224" spans="4:17" ht="15" thickBot="1" x14ac:dyDescent="0.35">
      <c r="D1224" s="20">
        <f t="shared" si="95"/>
        <v>1218</v>
      </c>
      <c r="E1224" s="20">
        <f t="shared" si="96"/>
        <v>5150</v>
      </c>
      <c r="F1224" s="20">
        <f t="shared" si="97"/>
        <v>2250</v>
      </c>
      <c r="G1224" s="20">
        <v>0.3392087108107667</v>
      </c>
      <c r="H1224" s="50"/>
      <c r="I1224" s="16"/>
      <c r="J1224" s="16"/>
      <c r="K1224" s="16"/>
      <c r="L1224" s="16"/>
      <c r="M1224" s="16">
        <v>1218</v>
      </c>
      <c r="N1224" s="16">
        <f t="shared" ref="N1224:N1287" si="98">(M1224-0.5)/$L$7</f>
        <v>0.43669296987087519</v>
      </c>
      <c r="O1224" s="16"/>
      <c r="P1224" s="16"/>
      <c r="Q1224" s="16">
        <f t="shared" ref="Q1224:Q1287" si="99">_xlfn.NORM.S.INV(N1224)</f>
        <v>-0.15935912639287972</v>
      </c>
    </row>
    <row r="1225" spans="4:17" ht="15" thickBot="1" x14ac:dyDescent="0.35">
      <c r="D1225" s="20">
        <f t="shared" si="95"/>
        <v>1219</v>
      </c>
      <c r="E1225" s="44">
        <f t="shared" si="96"/>
        <v>5250</v>
      </c>
      <c r="F1225" s="44">
        <f t="shared" si="97"/>
        <v>2250</v>
      </c>
      <c r="G1225" s="20">
        <v>0.33924358528652343</v>
      </c>
      <c r="H1225" s="50"/>
      <c r="I1225" s="16"/>
      <c r="J1225" s="16"/>
      <c r="K1225" s="16"/>
      <c r="L1225" s="16"/>
      <c r="M1225" s="16">
        <v>1219</v>
      </c>
      <c r="N1225" s="16">
        <f t="shared" si="98"/>
        <v>0.43705164992826401</v>
      </c>
      <c r="O1225" s="16"/>
      <c r="P1225" s="16"/>
      <c r="Q1225" s="16">
        <f t="shared" si="99"/>
        <v>-0.15844862577855756</v>
      </c>
    </row>
    <row r="1226" spans="4:17" ht="15" thickBot="1" x14ac:dyDescent="0.35">
      <c r="D1226" s="20">
        <f t="shared" si="95"/>
        <v>1220</v>
      </c>
      <c r="E1226" s="20">
        <f t="shared" si="96"/>
        <v>50</v>
      </c>
      <c r="F1226" s="20">
        <f t="shared" si="97"/>
        <v>2350</v>
      </c>
      <c r="G1226" s="20">
        <v>0.33932082415063897</v>
      </c>
      <c r="H1226" s="50"/>
      <c r="I1226" s="16"/>
      <c r="J1226" s="16"/>
      <c r="K1226" s="16"/>
      <c r="L1226" s="16"/>
      <c r="M1226" s="16">
        <v>1220</v>
      </c>
      <c r="N1226" s="16">
        <f t="shared" si="98"/>
        <v>0.43741032998565282</v>
      </c>
      <c r="O1226" s="16"/>
      <c r="P1226" s="16"/>
      <c r="Q1226" s="16">
        <f t="shared" si="99"/>
        <v>-0.15753825650102732</v>
      </c>
    </row>
    <row r="1227" spans="4:17" ht="15" thickBot="1" x14ac:dyDescent="0.35">
      <c r="D1227" s="20">
        <f t="shared" si="95"/>
        <v>1221</v>
      </c>
      <c r="E1227" s="20">
        <f t="shared" si="96"/>
        <v>150</v>
      </c>
      <c r="F1227" s="20">
        <f t="shared" si="97"/>
        <v>2350</v>
      </c>
      <c r="G1227" s="20">
        <v>0.33935002476496373</v>
      </c>
      <c r="H1227" s="50"/>
      <c r="I1227" s="16"/>
      <c r="J1227" s="16"/>
      <c r="K1227" s="16"/>
      <c r="L1227" s="16"/>
      <c r="M1227" s="16">
        <v>1221</v>
      </c>
      <c r="N1227" s="16">
        <f t="shared" si="98"/>
        <v>0.43776901004304158</v>
      </c>
      <c r="O1227" s="16"/>
      <c r="P1227" s="16"/>
      <c r="Q1227" s="16">
        <f t="shared" si="99"/>
        <v>-0.15662801776813282</v>
      </c>
    </row>
    <row r="1228" spans="4:17" ht="15" thickBot="1" x14ac:dyDescent="0.35">
      <c r="D1228" s="20">
        <f t="shared" si="95"/>
        <v>1222</v>
      </c>
      <c r="E1228" s="20">
        <f t="shared" si="96"/>
        <v>250</v>
      </c>
      <c r="F1228" s="20">
        <f t="shared" si="97"/>
        <v>2350</v>
      </c>
      <c r="G1228" s="20">
        <v>0.33942394413151933</v>
      </c>
      <c r="H1228" s="50"/>
      <c r="I1228" s="16"/>
      <c r="J1228" s="16"/>
      <c r="K1228" s="16"/>
      <c r="L1228" s="16"/>
      <c r="M1228" s="16">
        <v>1222</v>
      </c>
      <c r="N1228" s="16">
        <f t="shared" si="98"/>
        <v>0.4381276901004304</v>
      </c>
      <c r="O1228" s="16"/>
      <c r="P1228" s="16"/>
      <c r="Q1228" s="16">
        <f t="shared" si="99"/>
        <v>-0.1557179087884909</v>
      </c>
    </row>
    <row r="1229" spans="4:17" ht="15" thickBot="1" x14ac:dyDescent="0.35">
      <c r="D1229" s="20">
        <f t="shared" si="95"/>
        <v>1223</v>
      </c>
      <c r="E1229" s="20">
        <f t="shared" si="96"/>
        <v>350</v>
      </c>
      <c r="F1229" s="20">
        <f t="shared" si="97"/>
        <v>2350</v>
      </c>
      <c r="G1229" s="20">
        <v>0.33975794308762375</v>
      </c>
      <c r="H1229" s="50"/>
      <c r="I1229" s="16"/>
      <c r="J1229" s="16"/>
      <c r="K1229" s="16"/>
      <c r="L1229" s="16"/>
      <c r="M1229" s="16">
        <v>1223</v>
      </c>
      <c r="N1229" s="16">
        <f t="shared" si="98"/>
        <v>0.43848637015781922</v>
      </c>
      <c r="O1229" s="16"/>
      <c r="P1229" s="16"/>
      <c r="Q1229" s="16">
        <f t="shared" si="99"/>
        <v>-0.15480792877148691</v>
      </c>
    </row>
    <row r="1230" spans="4:17" ht="15" thickBot="1" x14ac:dyDescent="0.35">
      <c r="D1230" s="20">
        <f t="shared" si="95"/>
        <v>1224</v>
      </c>
      <c r="E1230" s="20">
        <f t="shared" si="96"/>
        <v>450</v>
      </c>
      <c r="F1230" s="20">
        <f t="shared" si="97"/>
        <v>2350</v>
      </c>
      <c r="G1230" s="20">
        <v>0.33978486399651459</v>
      </c>
      <c r="H1230" s="50"/>
      <c r="I1230" s="16"/>
      <c r="J1230" s="16"/>
      <c r="K1230" s="16"/>
      <c r="L1230" s="16"/>
      <c r="M1230" s="16">
        <v>1224</v>
      </c>
      <c r="N1230" s="16">
        <f t="shared" si="98"/>
        <v>0.43884505021520803</v>
      </c>
      <c r="O1230" s="16"/>
      <c r="P1230" s="16"/>
      <c r="Q1230" s="16">
        <f t="shared" si="99"/>
        <v>-0.15389807692726934</v>
      </c>
    </row>
    <row r="1231" spans="4:17" ht="15" thickBot="1" x14ac:dyDescent="0.35">
      <c r="D1231" s="20">
        <f t="shared" si="95"/>
        <v>1225</v>
      </c>
      <c r="E1231" s="20">
        <f t="shared" si="96"/>
        <v>550</v>
      </c>
      <c r="F1231" s="20">
        <f t="shared" si="97"/>
        <v>2350</v>
      </c>
      <c r="G1231" s="20">
        <v>0.33982013306059267</v>
      </c>
      <c r="H1231" s="50"/>
      <c r="I1231" s="16"/>
      <c r="J1231" s="16"/>
      <c r="K1231" s="16"/>
      <c r="L1231" s="16"/>
      <c r="M1231" s="16">
        <v>1225</v>
      </c>
      <c r="N1231" s="16">
        <f t="shared" si="98"/>
        <v>0.43920373027259685</v>
      </c>
      <c r="O1231" s="16"/>
      <c r="P1231" s="16"/>
      <c r="Q1231" s="16">
        <f t="shared" si="99"/>
        <v>-0.1529883524667448</v>
      </c>
    </row>
    <row r="1232" spans="4:17" ht="15" thickBot="1" x14ac:dyDescent="0.35">
      <c r="D1232" s="20">
        <f t="shared" si="95"/>
        <v>1226</v>
      </c>
      <c r="E1232" s="20">
        <f t="shared" si="96"/>
        <v>650</v>
      </c>
      <c r="F1232" s="20">
        <f t="shared" si="97"/>
        <v>2350</v>
      </c>
      <c r="G1232" s="20">
        <v>0.33983117708294741</v>
      </c>
      <c r="H1232" s="50"/>
      <c r="I1232" s="16"/>
      <c r="J1232" s="16"/>
      <c r="K1232" s="16"/>
      <c r="L1232" s="16"/>
      <c r="M1232" s="16">
        <v>1226</v>
      </c>
      <c r="N1232" s="16">
        <f t="shared" si="98"/>
        <v>0.43956241032998566</v>
      </c>
      <c r="O1232" s="16"/>
      <c r="P1232" s="16"/>
      <c r="Q1232" s="16">
        <f t="shared" si="99"/>
        <v>-0.15207875460157286</v>
      </c>
    </row>
    <row r="1233" spans="4:17" ht="15" thickBot="1" x14ac:dyDescent="0.35">
      <c r="D1233" s="20">
        <f t="shared" si="95"/>
        <v>1227</v>
      </c>
      <c r="E1233" s="20">
        <f t="shared" si="96"/>
        <v>750</v>
      </c>
      <c r="F1233" s="20">
        <f t="shared" si="97"/>
        <v>2350</v>
      </c>
      <c r="G1233" s="20">
        <v>0.33985375217707919</v>
      </c>
      <c r="H1233" s="50"/>
      <c r="I1233" s="16"/>
      <c r="J1233" s="16"/>
      <c r="K1233" s="16"/>
      <c r="L1233" s="16"/>
      <c r="M1233" s="16">
        <v>1227</v>
      </c>
      <c r="N1233" s="16">
        <f t="shared" si="98"/>
        <v>0.43992109038737448</v>
      </c>
      <c r="O1233" s="16"/>
      <c r="P1233" s="16"/>
      <c r="Q1233" s="16">
        <f t="shared" si="99"/>
        <v>-0.15116928254416112</v>
      </c>
    </row>
    <row r="1234" spans="4:17" ht="15" thickBot="1" x14ac:dyDescent="0.35">
      <c r="D1234" s="20">
        <f t="shared" si="95"/>
        <v>1228</v>
      </c>
      <c r="E1234" s="20">
        <f t="shared" si="96"/>
        <v>850</v>
      </c>
      <c r="F1234" s="20">
        <f t="shared" si="97"/>
        <v>2350</v>
      </c>
      <c r="G1234" s="20">
        <v>0.33987913607028436</v>
      </c>
      <c r="H1234" s="50"/>
      <c r="I1234" s="16"/>
      <c r="J1234" s="16"/>
      <c r="K1234" s="16"/>
      <c r="L1234" s="16"/>
      <c r="M1234" s="16">
        <v>1228</v>
      </c>
      <c r="N1234" s="16">
        <f t="shared" si="98"/>
        <v>0.4402797704447633</v>
      </c>
      <c r="O1234" s="16"/>
      <c r="P1234" s="16"/>
      <c r="Q1234" s="16">
        <f t="shared" si="99"/>
        <v>-0.15025993550766026</v>
      </c>
    </row>
    <row r="1235" spans="4:17" ht="15" thickBot="1" x14ac:dyDescent="0.35">
      <c r="D1235" s="20">
        <f t="shared" si="95"/>
        <v>1229</v>
      </c>
      <c r="E1235" s="20">
        <f t="shared" si="96"/>
        <v>950</v>
      </c>
      <c r="F1235" s="20">
        <f t="shared" si="97"/>
        <v>2350</v>
      </c>
      <c r="G1235" s="20">
        <v>0.34006971920246459</v>
      </c>
      <c r="H1235" s="50"/>
      <c r="I1235" s="16"/>
      <c r="J1235" s="16"/>
      <c r="K1235" s="16"/>
      <c r="L1235" s="16"/>
      <c r="M1235" s="16">
        <v>1229</v>
      </c>
      <c r="N1235" s="16">
        <f t="shared" si="98"/>
        <v>0.44063845050215206</v>
      </c>
      <c r="O1235" s="16"/>
      <c r="P1235" s="16"/>
      <c r="Q1235" s="16">
        <f t="shared" si="99"/>
        <v>-0.14935071270595882</v>
      </c>
    </row>
    <row r="1236" spans="4:17" ht="15" thickBot="1" x14ac:dyDescent="0.35">
      <c r="D1236" s="20">
        <f t="shared" si="95"/>
        <v>1230</v>
      </c>
      <c r="E1236" s="20">
        <f t="shared" si="96"/>
        <v>1050</v>
      </c>
      <c r="F1236" s="20">
        <f t="shared" si="97"/>
        <v>2350</v>
      </c>
      <c r="G1236" s="20">
        <v>0.34018654594511732</v>
      </c>
      <c r="H1236" s="50"/>
      <c r="I1236" s="16"/>
      <c r="J1236" s="16"/>
      <c r="K1236" s="16"/>
      <c r="L1236" s="16"/>
      <c r="M1236" s="16">
        <v>1230</v>
      </c>
      <c r="N1236" s="16">
        <f t="shared" si="98"/>
        <v>0.44099713055954087</v>
      </c>
      <c r="O1236" s="16"/>
      <c r="P1236" s="16"/>
      <c r="Q1236" s="16">
        <f t="shared" si="99"/>
        <v>-0.14844161335367809</v>
      </c>
    </row>
    <row r="1237" spans="4:17" ht="15" thickBot="1" x14ac:dyDescent="0.35">
      <c r="D1237" s="20">
        <f t="shared" si="95"/>
        <v>1231</v>
      </c>
      <c r="E1237" s="20">
        <f t="shared" si="96"/>
        <v>1150</v>
      </c>
      <c r="F1237" s="20">
        <f t="shared" si="97"/>
        <v>2350</v>
      </c>
      <c r="G1237" s="20">
        <v>0.34025389851501192</v>
      </c>
      <c r="H1237" s="50"/>
      <c r="I1237" s="16"/>
      <c r="J1237" s="16"/>
      <c r="K1237" s="16"/>
      <c r="L1237" s="16"/>
      <c r="M1237" s="16">
        <v>1231</v>
      </c>
      <c r="N1237" s="16">
        <f t="shared" si="98"/>
        <v>0.44135581061692969</v>
      </c>
      <c r="O1237" s="16"/>
      <c r="P1237" s="16"/>
      <c r="Q1237" s="16">
        <f t="shared" si="99"/>
        <v>-0.14753263666616753</v>
      </c>
    </row>
    <row r="1238" spans="4:17" ht="15" thickBot="1" x14ac:dyDescent="0.35">
      <c r="D1238" s="20">
        <f t="shared" si="95"/>
        <v>1232</v>
      </c>
      <c r="E1238" s="20">
        <f t="shared" si="96"/>
        <v>1250</v>
      </c>
      <c r="F1238" s="20">
        <f t="shared" si="97"/>
        <v>2350</v>
      </c>
      <c r="G1238" s="20">
        <v>0.34035518513063939</v>
      </c>
      <c r="H1238" s="50"/>
      <c r="I1238" s="16"/>
      <c r="J1238" s="16"/>
      <c r="K1238" s="16"/>
      <c r="L1238" s="16"/>
      <c r="M1238" s="16">
        <v>1232</v>
      </c>
      <c r="N1238" s="16">
        <f t="shared" si="98"/>
        <v>0.44171449067431851</v>
      </c>
      <c r="O1238" s="16"/>
      <c r="P1238" s="16"/>
      <c r="Q1238" s="16">
        <f t="shared" si="99"/>
        <v>-0.14662378185949959</v>
      </c>
    </row>
    <row r="1239" spans="4:17" ht="15" thickBot="1" x14ac:dyDescent="0.35">
      <c r="D1239" s="20">
        <f t="shared" si="95"/>
        <v>1233</v>
      </c>
      <c r="E1239" s="20">
        <f t="shared" si="96"/>
        <v>1350</v>
      </c>
      <c r="F1239" s="20">
        <f t="shared" si="97"/>
        <v>2350</v>
      </c>
      <c r="G1239" s="20">
        <v>0.34037931140671557</v>
      </c>
      <c r="H1239" s="50"/>
      <c r="I1239" s="16"/>
      <c r="J1239" s="16"/>
      <c r="K1239" s="16"/>
      <c r="L1239" s="16"/>
      <c r="M1239" s="16">
        <v>1233</v>
      </c>
      <c r="N1239" s="16">
        <f t="shared" si="98"/>
        <v>0.44207317073170732</v>
      </c>
      <c r="O1239" s="16"/>
      <c r="P1239" s="16"/>
      <c r="Q1239" s="16">
        <f t="shared" si="99"/>
        <v>-0.14571504815046454</v>
      </c>
    </row>
    <row r="1240" spans="4:17" ht="15" thickBot="1" x14ac:dyDescent="0.35">
      <c r="D1240" s="20">
        <f t="shared" si="95"/>
        <v>1234</v>
      </c>
      <c r="E1240" s="20">
        <f t="shared" si="96"/>
        <v>1450</v>
      </c>
      <c r="F1240" s="20">
        <f t="shared" si="97"/>
        <v>2350</v>
      </c>
      <c r="G1240" s="20">
        <v>0.34038767810295922</v>
      </c>
      <c r="H1240" s="50"/>
      <c r="I1240" s="16"/>
      <c r="J1240" s="16"/>
      <c r="K1240" s="16"/>
      <c r="L1240" s="16"/>
      <c r="M1240" s="16">
        <v>1234</v>
      </c>
      <c r="N1240" s="16">
        <f t="shared" si="98"/>
        <v>0.44243185078909614</v>
      </c>
      <c r="O1240" s="16"/>
      <c r="P1240" s="16"/>
      <c r="Q1240" s="16">
        <f t="shared" si="99"/>
        <v>-0.14480643475656571</v>
      </c>
    </row>
    <row r="1241" spans="4:17" ht="15" thickBot="1" x14ac:dyDescent="0.35">
      <c r="D1241" s="20">
        <f t="shared" si="95"/>
        <v>1235</v>
      </c>
      <c r="E1241" s="20">
        <f t="shared" si="96"/>
        <v>1550</v>
      </c>
      <c r="F1241" s="20">
        <f t="shared" si="97"/>
        <v>2350</v>
      </c>
      <c r="G1241" s="20">
        <v>0.34040734112051846</v>
      </c>
      <c r="H1241" s="50"/>
      <c r="I1241" s="16"/>
      <c r="J1241" s="16"/>
      <c r="K1241" s="16"/>
      <c r="L1241" s="16"/>
      <c r="M1241" s="16">
        <v>1235</v>
      </c>
      <c r="N1241" s="16">
        <f t="shared" si="98"/>
        <v>0.44279053084648495</v>
      </c>
      <c r="O1241" s="16"/>
      <c r="P1241" s="16"/>
      <c r="Q1241" s="16">
        <f t="shared" si="99"/>
        <v>-0.14389794089601454</v>
      </c>
    </row>
    <row r="1242" spans="4:17" ht="15" thickBot="1" x14ac:dyDescent="0.35">
      <c r="D1242" s="20">
        <f t="shared" si="95"/>
        <v>1236</v>
      </c>
      <c r="E1242" s="20">
        <f t="shared" si="96"/>
        <v>1650</v>
      </c>
      <c r="F1242" s="20">
        <f t="shared" si="97"/>
        <v>2350</v>
      </c>
      <c r="G1242" s="20">
        <v>0.34041523949785663</v>
      </c>
      <c r="H1242" s="50"/>
      <c r="I1242" s="16"/>
      <c r="J1242" s="16"/>
      <c r="K1242" s="16"/>
      <c r="L1242" s="16"/>
      <c r="M1242" s="16">
        <v>1236</v>
      </c>
      <c r="N1242" s="16">
        <f t="shared" si="98"/>
        <v>0.44314921090387377</v>
      </c>
      <c r="O1242" s="16"/>
      <c r="P1242" s="16"/>
      <c r="Q1242" s="16">
        <f t="shared" si="99"/>
        <v>-0.14298956578772556</v>
      </c>
    </row>
    <row r="1243" spans="4:17" ht="15" thickBot="1" x14ac:dyDescent="0.35">
      <c r="D1243" s="20">
        <f t="shared" si="95"/>
        <v>1237</v>
      </c>
      <c r="E1243" s="20">
        <f t="shared" si="96"/>
        <v>1750</v>
      </c>
      <c r="F1243" s="20">
        <f t="shared" si="97"/>
        <v>2350</v>
      </c>
      <c r="G1243" s="20">
        <v>0.34050066164351195</v>
      </c>
      <c r="H1243" s="50"/>
      <c r="I1243" s="16"/>
      <c r="J1243" s="16"/>
      <c r="K1243" s="16"/>
      <c r="L1243" s="16"/>
      <c r="M1243" s="16">
        <v>1237</v>
      </c>
      <c r="N1243" s="16">
        <f t="shared" si="98"/>
        <v>0.44350789096126253</v>
      </c>
      <c r="O1243" s="16"/>
      <c r="P1243" s="16"/>
      <c r="Q1243" s="16">
        <f t="shared" si="99"/>
        <v>-0.14208130865131152</v>
      </c>
    </row>
    <row r="1244" spans="4:17" ht="15" thickBot="1" x14ac:dyDescent="0.35">
      <c r="D1244" s="20">
        <f t="shared" si="95"/>
        <v>1238</v>
      </c>
      <c r="E1244" s="20">
        <f t="shared" si="96"/>
        <v>1850</v>
      </c>
      <c r="F1244" s="20">
        <f t="shared" si="97"/>
        <v>2350</v>
      </c>
      <c r="G1244" s="20">
        <v>0.34057649635391024</v>
      </c>
      <c r="H1244" s="50"/>
      <c r="I1244" s="16"/>
      <c r="J1244" s="16"/>
      <c r="K1244" s="16"/>
      <c r="L1244" s="16"/>
      <c r="M1244" s="16">
        <v>1238</v>
      </c>
      <c r="N1244" s="16">
        <f t="shared" si="98"/>
        <v>0.44386657101865135</v>
      </c>
      <c r="O1244" s="16"/>
      <c r="P1244" s="16"/>
      <c r="Q1244" s="16">
        <f t="shared" si="99"/>
        <v>-0.14117316870707819</v>
      </c>
    </row>
    <row r="1245" spans="4:17" ht="15" thickBot="1" x14ac:dyDescent="0.35">
      <c r="D1245" s="20">
        <f t="shared" si="95"/>
        <v>1239</v>
      </c>
      <c r="E1245" s="20">
        <f t="shared" si="96"/>
        <v>1950</v>
      </c>
      <c r="F1245" s="20">
        <f t="shared" si="97"/>
        <v>2350</v>
      </c>
      <c r="G1245" s="20">
        <v>0.34062122425294039</v>
      </c>
      <c r="H1245" s="50"/>
      <c r="I1245" s="16"/>
      <c r="J1245" s="16"/>
      <c r="K1245" s="16"/>
      <c r="L1245" s="16"/>
      <c r="M1245" s="16">
        <v>1239</v>
      </c>
      <c r="N1245" s="16">
        <f t="shared" si="98"/>
        <v>0.44422525107604016</v>
      </c>
      <c r="O1245" s="16"/>
      <c r="P1245" s="16"/>
      <c r="Q1245" s="16">
        <f t="shared" si="99"/>
        <v>-0.14026514517601993</v>
      </c>
    </row>
    <row r="1246" spans="4:17" ht="15" thickBot="1" x14ac:dyDescent="0.35">
      <c r="D1246" s="20">
        <f t="shared" si="95"/>
        <v>1240</v>
      </c>
      <c r="E1246" s="48">
        <f t="shared" si="96"/>
        <v>2050</v>
      </c>
      <c r="F1246" s="48">
        <f t="shared" si="97"/>
        <v>2350</v>
      </c>
      <c r="G1246" s="20">
        <v>0.34079816041647887</v>
      </c>
      <c r="H1246" s="50"/>
      <c r="I1246" s="16"/>
      <c r="J1246" s="16"/>
      <c r="K1246" s="16"/>
      <c r="L1246" s="16"/>
      <c r="M1246" s="16">
        <v>1240</v>
      </c>
      <c r="N1246" s="16">
        <f t="shared" si="98"/>
        <v>0.44458393113342898</v>
      </c>
      <c r="O1246" s="16"/>
      <c r="P1246" s="16"/>
      <c r="Q1246" s="16">
        <f t="shared" si="99"/>
        <v>-0.13935723727981456</v>
      </c>
    </row>
    <row r="1247" spans="4:17" ht="15" thickBot="1" x14ac:dyDescent="0.35">
      <c r="D1247" s="20">
        <f t="shared" si="95"/>
        <v>1241</v>
      </c>
      <c r="E1247" s="20">
        <f t="shared" si="96"/>
        <v>2150</v>
      </c>
      <c r="F1247" s="20">
        <f t="shared" si="97"/>
        <v>2350</v>
      </c>
      <c r="G1247" s="20">
        <v>0.34119766299046433</v>
      </c>
      <c r="H1247" s="50"/>
      <c r="I1247" s="16"/>
      <c r="J1247" s="16"/>
      <c r="K1247" s="16"/>
      <c r="L1247" s="16"/>
      <c r="M1247" s="16">
        <v>1241</v>
      </c>
      <c r="N1247" s="16">
        <f t="shared" si="98"/>
        <v>0.44494261119081779</v>
      </c>
      <c r="O1247" s="16"/>
      <c r="P1247" s="16"/>
      <c r="Q1247" s="16">
        <f t="shared" si="99"/>
        <v>-0.13844944424081834</v>
      </c>
    </row>
    <row r="1248" spans="4:17" ht="15" thickBot="1" x14ac:dyDescent="0.35">
      <c r="D1248" s="20">
        <f t="shared" si="95"/>
        <v>1242</v>
      </c>
      <c r="E1248" s="43">
        <f t="shared" si="96"/>
        <v>2250</v>
      </c>
      <c r="F1248" s="43">
        <f t="shared" si="97"/>
        <v>2350</v>
      </c>
      <c r="G1248" s="20">
        <v>0.34119836897789535</v>
      </c>
      <c r="H1248" s="50"/>
      <c r="I1248" s="16"/>
      <c r="J1248" s="16"/>
      <c r="K1248" s="16"/>
      <c r="L1248" s="16"/>
      <c r="M1248" s="16">
        <v>1242</v>
      </c>
      <c r="N1248" s="16">
        <f t="shared" si="98"/>
        <v>0.44530129124820661</v>
      </c>
      <c r="O1248" s="16"/>
      <c r="P1248" s="16"/>
      <c r="Q1248" s="16">
        <f t="shared" si="99"/>
        <v>-0.13754176528206133</v>
      </c>
    </row>
    <row r="1249" spans="4:17" ht="15" thickBot="1" x14ac:dyDescent="0.35">
      <c r="D1249" s="20">
        <f t="shared" si="95"/>
        <v>1243</v>
      </c>
      <c r="E1249" s="20">
        <f t="shared" si="96"/>
        <v>2350</v>
      </c>
      <c r="F1249" s="20">
        <f t="shared" si="97"/>
        <v>2350</v>
      </c>
      <c r="G1249" s="20">
        <v>0.34123063939883358</v>
      </c>
      <c r="H1249" s="50"/>
      <c r="I1249" s="16"/>
      <c r="J1249" s="16"/>
      <c r="K1249" s="16"/>
      <c r="L1249" s="16"/>
      <c r="M1249" s="16">
        <v>1243</v>
      </c>
      <c r="N1249" s="16">
        <f t="shared" si="98"/>
        <v>0.44565997130559543</v>
      </c>
      <c r="O1249" s="16"/>
      <c r="P1249" s="16"/>
      <c r="Q1249" s="16">
        <f t="shared" si="99"/>
        <v>-0.13663419962724227</v>
      </c>
    </row>
    <row r="1250" spans="4:17" ht="15" thickBot="1" x14ac:dyDescent="0.35">
      <c r="D1250" s="20">
        <f t="shared" si="95"/>
        <v>1244</v>
      </c>
      <c r="E1250" s="20">
        <f t="shared" si="96"/>
        <v>2450</v>
      </c>
      <c r="F1250" s="20">
        <f t="shared" si="97"/>
        <v>2350</v>
      </c>
      <c r="G1250" s="20">
        <v>0.34131837097635015</v>
      </c>
      <c r="H1250" s="50"/>
      <c r="I1250" s="16"/>
      <c r="J1250" s="16"/>
      <c r="K1250" s="16"/>
      <c r="L1250" s="16"/>
      <c r="M1250" s="16">
        <v>1244</v>
      </c>
      <c r="N1250" s="16">
        <f t="shared" si="98"/>
        <v>0.44601865136298424</v>
      </c>
      <c r="O1250" s="16"/>
      <c r="P1250" s="16"/>
      <c r="Q1250" s="16">
        <f t="shared" si="99"/>
        <v>-0.135726746500724</v>
      </c>
    </row>
    <row r="1251" spans="4:17" ht="15" thickBot="1" x14ac:dyDescent="0.35">
      <c r="D1251" s="20">
        <f t="shared" si="95"/>
        <v>1245</v>
      </c>
      <c r="E1251" s="20">
        <f t="shared" si="96"/>
        <v>2550</v>
      </c>
      <c r="F1251" s="20">
        <f t="shared" si="97"/>
        <v>2350</v>
      </c>
      <c r="G1251" s="20">
        <v>0.34134420873981519</v>
      </c>
      <c r="H1251" s="50"/>
      <c r="I1251" s="16"/>
      <c r="J1251" s="16"/>
      <c r="K1251" s="16"/>
      <c r="L1251" s="16"/>
      <c r="M1251" s="16">
        <v>1245</v>
      </c>
      <c r="N1251" s="16">
        <f t="shared" si="98"/>
        <v>0.446377331420373</v>
      </c>
      <c r="O1251" s="16"/>
      <c r="P1251" s="16"/>
      <c r="Q1251" s="16">
        <f t="shared" si="99"/>
        <v>-0.13481940512752849</v>
      </c>
    </row>
    <row r="1252" spans="4:17" ht="15" thickBot="1" x14ac:dyDescent="0.35">
      <c r="D1252" s="20">
        <f t="shared" si="95"/>
        <v>1246</v>
      </c>
      <c r="E1252" s="20">
        <f t="shared" si="96"/>
        <v>2650</v>
      </c>
      <c r="F1252" s="20">
        <f t="shared" si="97"/>
        <v>2350</v>
      </c>
      <c r="G1252" s="20">
        <v>0.34138426364442898</v>
      </c>
      <c r="H1252" s="50"/>
      <c r="I1252" s="16"/>
      <c r="J1252" s="16"/>
      <c r="K1252" s="16"/>
      <c r="L1252" s="16"/>
      <c r="M1252" s="16">
        <v>1246</v>
      </c>
      <c r="N1252" s="16">
        <f t="shared" si="98"/>
        <v>0.44673601147776182</v>
      </c>
      <c r="O1252" s="16"/>
      <c r="P1252" s="16"/>
      <c r="Q1252" s="16">
        <f t="shared" si="99"/>
        <v>-0.13391217473333164</v>
      </c>
    </row>
    <row r="1253" spans="4:17" ht="15" thickBot="1" x14ac:dyDescent="0.35">
      <c r="D1253" s="20">
        <f t="shared" si="95"/>
        <v>1247</v>
      </c>
      <c r="E1253" s="20">
        <f t="shared" si="96"/>
        <v>2750</v>
      </c>
      <c r="F1253" s="20">
        <f t="shared" si="97"/>
        <v>2350</v>
      </c>
      <c r="G1253" s="20">
        <v>0.34144996712154146</v>
      </c>
      <c r="H1253" s="50"/>
      <c r="I1253" s="16"/>
      <c r="J1253" s="16"/>
      <c r="K1253" s="16"/>
      <c r="L1253" s="16"/>
      <c r="M1253" s="16">
        <v>1247</v>
      </c>
      <c r="N1253" s="16">
        <f t="shared" si="98"/>
        <v>0.44709469153515063</v>
      </c>
      <c r="O1253" s="16"/>
      <c r="P1253" s="16"/>
      <c r="Q1253" s="16">
        <f t="shared" si="99"/>
        <v>-0.13300505454445918</v>
      </c>
    </row>
    <row r="1254" spans="4:17" ht="15" thickBot="1" x14ac:dyDescent="0.35">
      <c r="D1254" s="20">
        <f t="shared" si="95"/>
        <v>1248</v>
      </c>
      <c r="E1254" s="43">
        <f t="shared" si="96"/>
        <v>2850</v>
      </c>
      <c r="F1254" s="43">
        <f t="shared" si="97"/>
        <v>2350</v>
      </c>
      <c r="G1254" s="20">
        <v>0.34145240340387112</v>
      </c>
      <c r="H1254" s="50"/>
      <c r="I1254" s="16"/>
      <c r="J1254" s="16"/>
      <c r="K1254" s="16"/>
      <c r="L1254" s="16"/>
      <c r="M1254" s="16">
        <v>1248</v>
      </c>
      <c r="N1254" s="16">
        <f t="shared" si="98"/>
        <v>0.44745337159253945</v>
      </c>
      <c r="O1254" s="16"/>
      <c r="P1254" s="16"/>
      <c r="Q1254" s="16">
        <f t="shared" si="99"/>
        <v>-0.13209804378788134</v>
      </c>
    </row>
    <row r="1255" spans="4:17" ht="15" thickBot="1" x14ac:dyDescent="0.35">
      <c r="D1255" s="20">
        <f t="shared" si="95"/>
        <v>1249</v>
      </c>
      <c r="E1255" s="20">
        <f t="shared" si="96"/>
        <v>2950</v>
      </c>
      <c r="F1255" s="20">
        <f t="shared" si="97"/>
        <v>2350</v>
      </c>
      <c r="G1255" s="20">
        <v>0.34145286006100034</v>
      </c>
      <c r="H1255" s="50"/>
      <c r="I1255" s="16"/>
      <c r="J1255" s="16"/>
      <c r="K1255" s="16"/>
      <c r="L1255" s="16"/>
      <c r="M1255" s="16">
        <v>1249</v>
      </c>
      <c r="N1255" s="16">
        <f t="shared" si="98"/>
        <v>0.44781205164992827</v>
      </c>
      <c r="O1255" s="16"/>
      <c r="P1255" s="16"/>
      <c r="Q1255" s="16">
        <f t="shared" si="99"/>
        <v>-0.13119114169120816</v>
      </c>
    </row>
    <row r="1256" spans="4:17" ht="15" thickBot="1" x14ac:dyDescent="0.35">
      <c r="D1256" s="20">
        <f t="shared" si="95"/>
        <v>1250</v>
      </c>
      <c r="E1256" s="20">
        <f t="shared" si="96"/>
        <v>3050</v>
      </c>
      <c r="F1256" s="20">
        <f t="shared" si="97"/>
        <v>2350</v>
      </c>
      <c r="G1256" s="20">
        <v>0.3414552325456548</v>
      </c>
      <c r="H1256" s="50"/>
      <c r="I1256" s="16"/>
      <c r="J1256" s="16"/>
      <c r="K1256" s="16"/>
      <c r="L1256" s="16"/>
      <c r="M1256" s="16">
        <v>1250</v>
      </c>
      <c r="N1256" s="16">
        <f t="shared" si="98"/>
        <v>0.44817073170731708</v>
      </c>
      <c r="O1256" s="16"/>
      <c r="P1256" s="16"/>
      <c r="Q1256" s="16">
        <f t="shared" si="99"/>
        <v>-0.13028434748268469</v>
      </c>
    </row>
    <row r="1257" spans="4:17" ht="15" thickBot="1" x14ac:dyDescent="0.35">
      <c r="D1257" s="20">
        <f t="shared" si="95"/>
        <v>1251</v>
      </c>
      <c r="E1257" s="47">
        <f t="shared" si="96"/>
        <v>3150</v>
      </c>
      <c r="F1257" s="47">
        <f t="shared" si="97"/>
        <v>2350</v>
      </c>
      <c r="G1257" s="20">
        <v>0.34146086560557076</v>
      </c>
      <c r="H1257" s="50"/>
      <c r="I1257" s="16"/>
      <c r="J1257" s="16"/>
      <c r="K1257" s="16"/>
      <c r="L1257" s="16"/>
      <c r="M1257" s="16">
        <v>1251</v>
      </c>
      <c r="N1257" s="16">
        <f t="shared" si="98"/>
        <v>0.4485294117647059</v>
      </c>
      <c r="O1257" s="16"/>
      <c r="P1257" s="16"/>
      <c r="Q1257" s="16">
        <f t="shared" si="99"/>
        <v>-0.1293776603911862</v>
      </c>
    </row>
    <row r="1258" spans="4:17" ht="15" thickBot="1" x14ac:dyDescent="0.35">
      <c r="D1258" s="20">
        <f t="shared" si="95"/>
        <v>1252</v>
      </c>
      <c r="E1258" s="20">
        <f t="shared" si="96"/>
        <v>3250</v>
      </c>
      <c r="F1258" s="20">
        <f t="shared" si="97"/>
        <v>2350</v>
      </c>
      <c r="G1258" s="20">
        <v>0.34167886092529987</v>
      </c>
      <c r="H1258" s="50"/>
      <c r="I1258" s="16"/>
      <c r="J1258" s="16"/>
      <c r="K1258" s="16"/>
      <c r="L1258" s="16"/>
      <c r="M1258" s="16">
        <v>1252</v>
      </c>
      <c r="N1258" s="16">
        <f t="shared" si="98"/>
        <v>0.44888809182209471</v>
      </c>
      <c r="O1258" s="16"/>
      <c r="P1258" s="16"/>
      <c r="Q1258" s="16">
        <f t="shared" si="99"/>
        <v>-0.12847107964621352</v>
      </c>
    </row>
    <row r="1259" spans="4:17" ht="15" thickBot="1" x14ac:dyDescent="0.35">
      <c r="D1259" s="20">
        <f t="shared" si="95"/>
        <v>1253</v>
      </c>
      <c r="E1259" s="20">
        <f t="shared" si="96"/>
        <v>3350</v>
      </c>
      <c r="F1259" s="20">
        <f t="shared" si="97"/>
        <v>2350</v>
      </c>
      <c r="G1259" s="20">
        <v>0.34173098636684823</v>
      </c>
      <c r="H1259" s="50"/>
      <c r="I1259" s="16"/>
      <c r="J1259" s="16"/>
      <c r="K1259" s="16"/>
      <c r="L1259" s="16"/>
      <c r="M1259" s="16">
        <v>1253</v>
      </c>
      <c r="N1259" s="16">
        <f t="shared" si="98"/>
        <v>0.44924677187948348</v>
      </c>
      <c r="O1259" s="16"/>
      <c r="P1259" s="16"/>
      <c r="Q1259" s="16">
        <f t="shared" si="99"/>
        <v>-0.12756460447788817</v>
      </c>
    </row>
    <row r="1260" spans="4:17" ht="15" thickBot="1" x14ac:dyDescent="0.35">
      <c r="D1260" s="20">
        <f t="shared" si="95"/>
        <v>1254</v>
      </c>
      <c r="E1260" s="20">
        <f t="shared" si="96"/>
        <v>3450</v>
      </c>
      <c r="F1260" s="20">
        <f t="shared" si="97"/>
        <v>2350</v>
      </c>
      <c r="G1260" s="20">
        <v>0.34199143234942603</v>
      </c>
      <c r="H1260" s="50"/>
      <c r="I1260" s="16"/>
      <c r="J1260" s="16"/>
      <c r="K1260" s="16"/>
      <c r="L1260" s="16"/>
      <c r="M1260" s="16">
        <v>1254</v>
      </c>
      <c r="N1260" s="16">
        <f t="shared" si="98"/>
        <v>0.44960545193687229</v>
      </c>
      <c r="O1260" s="16"/>
      <c r="P1260" s="16"/>
      <c r="Q1260" s="16">
        <f t="shared" si="99"/>
        <v>-0.12665823411694727</v>
      </c>
    </row>
    <row r="1261" spans="4:17" ht="15" thickBot="1" x14ac:dyDescent="0.35">
      <c r="D1261" s="20">
        <f t="shared" si="95"/>
        <v>1255</v>
      </c>
      <c r="E1261" s="20">
        <f t="shared" si="96"/>
        <v>3550</v>
      </c>
      <c r="F1261" s="20">
        <f t="shared" si="97"/>
        <v>2350</v>
      </c>
      <c r="G1261" s="20">
        <v>0.34220379284927693</v>
      </c>
      <c r="H1261" s="50"/>
      <c r="I1261" s="16"/>
      <c r="J1261" s="16"/>
      <c r="K1261" s="16"/>
      <c r="L1261" s="16"/>
      <c r="M1261" s="16">
        <v>1255</v>
      </c>
      <c r="N1261" s="16">
        <f t="shared" si="98"/>
        <v>0.44996413199426111</v>
      </c>
      <c r="O1261" s="16"/>
      <c r="P1261" s="16"/>
      <c r="Q1261" s="16">
        <f t="shared" si="99"/>
        <v>-0.12575196779473949</v>
      </c>
    </row>
    <row r="1262" spans="4:17" ht="15" thickBot="1" x14ac:dyDescent="0.35">
      <c r="D1262" s="20">
        <f t="shared" si="95"/>
        <v>1256</v>
      </c>
      <c r="E1262" s="20">
        <f t="shared" si="96"/>
        <v>3650</v>
      </c>
      <c r="F1262" s="20">
        <f t="shared" si="97"/>
        <v>2350</v>
      </c>
      <c r="G1262" s="20">
        <v>0.34220872183220008</v>
      </c>
      <c r="H1262" s="50"/>
      <c r="I1262" s="16"/>
      <c r="J1262" s="16"/>
      <c r="K1262" s="16"/>
      <c r="L1262" s="16"/>
      <c r="M1262" s="16">
        <v>1256</v>
      </c>
      <c r="N1262" s="16">
        <f t="shared" si="98"/>
        <v>0.45032281205164992</v>
      </c>
      <c r="O1262" s="16"/>
      <c r="P1262" s="16"/>
      <c r="Q1262" s="16">
        <f t="shared" si="99"/>
        <v>-0.12484580474321984</v>
      </c>
    </row>
    <row r="1263" spans="4:17" ht="15" thickBot="1" x14ac:dyDescent="0.35">
      <c r="D1263" s="20">
        <f t="shared" si="95"/>
        <v>1257</v>
      </c>
      <c r="E1263" s="20">
        <f t="shared" si="96"/>
        <v>3750</v>
      </c>
      <c r="F1263" s="20">
        <f t="shared" si="97"/>
        <v>2350</v>
      </c>
      <c r="G1263" s="20">
        <v>0.34225137062385036</v>
      </c>
      <c r="H1263" s="50"/>
      <c r="I1263" s="16"/>
      <c r="J1263" s="16"/>
      <c r="K1263" s="16"/>
      <c r="L1263" s="16"/>
      <c r="M1263" s="16">
        <v>1257</v>
      </c>
      <c r="N1263" s="16">
        <f t="shared" si="98"/>
        <v>0.45068149210903874</v>
      </c>
      <c r="O1263" s="16"/>
      <c r="P1263" s="16"/>
      <c r="Q1263" s="16">
        <f t="shared" si="99"/>
        <v>-0.12393974419494497</v>
      </c>
    </row>
    <row r="1264" spans="4:17" ht="15" thickBot="1" x14ac:dyDescent="0.35">
      <c r="D1264" s="20">
        <f t="shared" si="95"/>
        <v>1258</v>
      </c>
      <c r="E1264" s="47">
        <f t="shared" si="96"/>
        <v>3850</v>
      </c>
      <c r="F1264" s="47">
        <f t="shared" si="97"/>
        <v>2350</v>
      </c>
      <c r="G1264" s="20">
        <v>0.34230074725213266</v>
      </c>
      <c r="H1264" s="50"/>
      <c r="I1264" s="16"/>
      <c r="J1264" s="16"/>
      <c r="K1264" s="16"/>
      <c r="L1264" s="16"/>
      <c r="M1264" s="16">
        <v>1258</v>
      </c>
      <c r="N1264" s="16">
        <f t="shared" si="98"/>
        <v>0.45104017216642756</v>
      </c>
      <c r="O1264" s="16"/>
      <c r="P1264" s="16"/>
      <c r="Q1264" s="16">
        <f t="shared" si="99"/>
        <v>-0.12303378538306858</v>
      </c>
    </row>
    <row r="1265" spans="4:17" ht="15" thickBot="1" x14ac:dyDescent="0.35">
      <c r="D1265" s="20">
        <f t="shared" si="95"/>
        <v>1259</v>
      </c>
      <c r="E1265" s="20">
        <f t="shared" si="96"/>
        <v>3950</v>
      </c>
      <c r="F1265" s="20">
        <f t="shared" si="97"/>
        <v>2350</v>
      </c>
      <c r="G1265" s="20">
        <v>0.34231529828357865</v>
      </c>
      <c r="H1265" s="50"/>
      <c r="I1265" s="16"/>
      <c r="J1265" s="16"/>
      <c r="K1265" s="16"/>
      <c r="L1265" s="16"/>
      <c r="M1265" s="16">
        <v>1259</v>
      </c>
      <c r="N1265" s="16">
        <f t="shared" si="98"/>
        <v>0.45139885222381637</v>
      </c>
      <c r="O1265" s="16"/>
      <c r="P1265" s="16"/>
      <c r="Q1265" s="16">
        <f t="shared" si="99"/>
        <v>-0.12212792754133663</v>
      </c>
    </row>
    <row r="1266" spans="4:17" ht="15" thickBot="1" x14ac:dyDescent="0.35">
      <c r="D1266" s="20">
        <f t="shared" si="95"/>
        <v>1260</v>
      </c>
      <c r="E1266" s="20">
        <f t="shared" si="96"/>
        <v>4050</v>
      </c>
      <c r="F1266" s="20">
        <f t="shared" si="97"/>
        <v>2350</v>
      </c>
      <c r="G1266" s="20">
        <v>0.34236109127865794</v>
      </c>
      <c r="H1266" s="50"/>
      <c r="I1266" s="16"/>
      <c r="J1266" s="16"/>
      <c r="K1266" s="16"/>
      <c r="L1266" s="16"/>
      <c r="M1266" s="16">
        <v>1260</v>
      </c>
      <c r="N1266" s="16">
        <f t="shared" si="98"/>
        <v>0.45175753228120519</v>
      </c>
      <c r="O1266" s="16"/>
      <c r="P1266" s="16"/>
      <c r="Q1266" s="16">
        <f t="shared" si="99"/>
        <v>-0.12122216990408262</v>
      </c>
    </row>
    <row r="1267" spans="4:17" ht="15" thickBot="1" x14ac:dyDescent="0.35">
      <c r="D1267" s="20">
        <f t="shared" si="95"/>
        <v>1261</v>
      </c>
      <c r="E1267" s="20">
        <f t="shared" si="96"/>
        <v>4150</v>
      </c>
      <c r="F1267" s="20">
        <f t="shared" si="97"/>
        <v>2350</v>
      </c>
      <c r="G1267" s="20">
        <v>0.34241967519541783</v>
      </c>
      <c r="H1267" s="50"/>
      <c r="I1267" s="16"/>
      <c r="J1267" s="16"/>
      <c r="K1267" s="16"/>
      <c r="L1267" s="16"/>
      <c r="M1267" s="16">
        <v>1261</v>
      </c>
      <c r="N1267" s="16">
        <f t="shared" si="98"/>
        <v>0.45211621233859395</v>
      </c>
      <c r="O1267" s="16"/>
      <c r="P1267" s="16"/>
      <c r="Q1267" s="16">
        <f t="shared" si="99"/>
        <v>-0.12031651170622312</v>
      </c>
    </row>
    <row r="1268" spans="4:17" ht="15" thickBot="1" x14ac:dyDescent="0.35">
      <c r="D1268" s="20">
        <f t="shared" si="95"/>
        <v>1262</v>
      </c>
      <c r="E1268" s="20">
        <f t="shared" si="96"/>
        <v>4250</v>
      </c>
      <c r="F1268" s="20">
        <f t="shared" si="97"/>
        <v>2350</v>
      </c>
      <c r="G1268" s="20">
        <v>0.34242077148938638</v>
      </c>
      <c r="H1268" s="50"/>
      <c r="I1268" s="16"/>
      <c r="J1268" s="16"/>
      <c r="K1268" s="16"/>
      <c r="L1268" s="16"/>
      <c r="M1268" s="16">
        <v>1262</v>
      </c>
      <c r="N1268" s="16">
        <f t="shared" si="98"/>
        <v>0.45247489239598276</v>
      </c>
      <c r="O1268" s="16"/>
      <c r="P1268" s="16"/>
      <c r="Q1268" s="16">
        <f t="shared" si="99"/>
        <v>-0.11941095218325239</v>
      </c>
    </row>
    <row r="1269" spans="4:17" ht="15" thickBot="1" x14ac:dyDescent="0.35">
      <c r="D1269" s="20">
        <f t="shared" si="95"/>
        <v>1263</v>
      </c>
      <c r="E1269" s="20">
        <f t="shared" si="96"/>
        <v>4350</v>
      </c>
      <c r="F1269" s="20">
        <f t="shared" si="97"/>
        <v>2350</v>
      </c>
      <c r="G1269" s="20">
        <v>0.34244264418849929</v>
      </c>
      <c r="H1269" s="50"/>
      <c r="I1269" s="16"/>
      <c r="J1269" s="16"/>
      <c r="K1269" s="16"/>
      <c r="L1269" s="16"/>
      <c r="M1269" s="16">
        <v>1263</v>
      </c>
      <c r="N1269" s="16">
        <f t="shared" si="98"/>
        <v>0.45283357245337158</v>
      </c>
      <c r="O1269" s="16"/>
      <c r="P1269" s="16"/>
      <c r="Q1269" s="16">
        <f t="shared" si="99"/>
        <v>-0.1185054905712387</v>
      </c>
    </row>
    <row r="1270" spans="4:17" ht="15" thickBot="1" x14ac:dyDescent="0.35">
      <c r="D1270" s="20">
        <f t="shared" si="95"/>
        <v>1264</v>
      </c>
      <c r="E1270" s="48">
        <f t="shared" si="96"/>
        <v>4450</v>
      </c>
      <c r="F1270" s="48">
        <f t="shared" si="97"/>
        <v>2350</v>
      </c>
      <c r="G1270" s="20">
        <v>0.34259257847408009</v>
      </c>
      <c r="H1270" s="50"/>
      <c r="I1270" s="16"/>
      <c r="J1270" s="16"/>
      <c r="K1270" s="16"/>
      <c r="L1270" s="16"/>
      <c r="M1270" s="16">
        <v>1264</v>
      </c>
      <c r="N1270" s="16">
        <f t="shared" si="98"/>
        <v>0.4531922525107604</v>
      </c>
      <c r="O1270" s="16"/>
      <c r="P1270" s="16"/>
      <c r="Q1270" s="16">
        <f t="shared" si="99"/>
        <v>-0.11760012610681894</v>
      </c>
    </row>
    <row r="1271" spans="4:17" ht="15" thickBot="1" x14ac:dyDescent="0.35">
      <c r="D1271" s="20">
        <f t="shared" si="95"/>
        <v>1265</v>
      </c>
      <c r="E1271" s="20">
        <f t="shared" si="96"/>
        <v>4550</v>
      </c>
      <c r="F1271" s="20">
        <f t="shared" si="97"/>
        <v>2350</v>
      </c>
      <c r="G1271" s="20">
        <v>0.34275990488901675</v>
      </c>
      <c r="H1271" s="50"/>
      <c r="I1271" s="16"/>
      <c r="J1271" s="16"/>
      <c r="K1271" s="16"/>
      <c r="L1271" s="16"/>
      <c r="M1271" s="16">
        <v>1265</v>
      </c>
      <c r="N1271" s="16">
        <f t="shared" si="98"/>
        <v>0.45355093256814921</v>
      </c>
      <c r="O1271" s="16"/>
      <c r="P1271" s="16"/>
      <c r="Q1271" s="16">
        <f t="shared" si="99"/>
        <v>-0.11669485802719427</v>
      </c>
    </row>
    <row r="1272" spans="4:17" ht="15" thickBot="1" x14ac:dyDescent="0.35">
      <c r="D1272" s="20">
        <f t="shared" si="95"/>
        <v>1266</v>
      </c>
      <c r="E1272" s="20">
        <f t="shared" si="96"/>
        <v>4650</v>
      </c>
      <c r="F1272" s="20">
        <f t="shared" si="97"/>
        <v>2350</v>
      </c>
      <c r="G1272" s="20">
        <v>0.34320665023846708</v>
      </c>
      <c r="H1272" s="50"/>
      <c r="I1272" s="16"/>
      <c r="J1272" s="16"/>
      <c r="K1272" s="16"/>
      <c r="L1272" s="16"/>
      <c r="M1272" s="16">
        <v>1266</v>
      </c>
      <c r="N1272" s="16">
        <f t="shared" si="98"/>
        <v>0.45390961262553803</v>
      </c>
      <c r="O1272" s="16"/>
      <c r="P1272" s="16"/>
      <c r="Q1272" s="16">
        <f t="shared" si="99"/>
        <v>-0.11578968557012537</v>
      </c>
    </row>
    <row r="1273" spans="4:17" ht="15" thickBot="1" x14ac:dyDescent="0.35">
      <c r="D1273" s="20">
        <f t="shared" si="95"/>
        <v>1267</v>
      </c>
      <c r="E1273" s="20">
        <f t="shared" si="96"/>
        <v>4750</v>
      </c>
      <c r="F1273" s="20">
        <f t="shared" si="97"/>
        <v>2350</v>
      </c>
      <c r="G1273" s="20">
        <v>0.34326945920345725</v>
      </c>
      <c r="H1273" s="50"/>
      <c r="I1273" s="16"/>
      <c r="J1273" s="16"/>
      <c r="K1273" s="16"/>
      <c r="L1273" s="16"/>
      <c r="M1273" s="16">
        <v>1267</v>
      </c>
      <c r="N1273" s="16">
        <f t="shared" si="98"/>
        <v>0.45426829268292684</v>
      </c>
      <c r="O1273" s="16"/>
      <c r="P1273" s="16"/>
      <c r="Q1273" s="16">
        <f t="shared" si="99"/>
        <v>-0.11488460797392776</v>
      </c>
    </row>
    <row r="1274" spans="4:17" ht="15" thickBot="1" x14ac:dyDescent="0.35">
      <c r="D1274" s="20">
        <f t="shared" si="95"/>
        <v>1268</v>
      </c>
      <c r="E1274" s="20">
        <f t="shared" si="96"/>
        <v>4850</v>
      </c>
      <c r="F1274" s="20">
        <f t="shared" si="97"/>
        <v>2350</v>
      </c>
      <c r="G1274" s="20">
        <v>0.34329480246493393</v>
      </c>
      <c r="H1274" s="50"/>
      <c r="I1274" s="16"/>
      <c r="J1274" s="16"/>
      <c r="K1274" s="16"/>
      <c r="L1274" s="16"/>
      <c r="M1274" s="16">
        <v>1268</v>
      </c>
      <c r="N1274" s="16">
        <f t="shared" si="98"/>
        <v>0.45462697274031566</v>
      </c>
      <c r="O1274" s="16"/>
      <c r="P1274" s="16"/>
      <c r="Q1274" s="16">
        <f t="shared" si="99"/>
        <v>-0.11397962447746723</v>
      </c>
    </row>
    <row r="1275" spans="4:17" ht="15" thickBot="1" x14ac:dyDescent="0.35">
      <c r="D1275" s="20">
        <f t="shared" si="95"/>
        <v>1269</v>
      </c>
      <c r="E1275" s="20">
        <f t="shared" si="96"/>
        <v>4950</v>
      </c>
      <c r="F1275" s="20">
        <f t="shared" si="97"/>
        <v>2350</v>
      </c>
      <c r="G1275" s="20">
        <v>0.3433740136887089</v>
      </c>
      <c r="H1275" s="50"/>
      <c r="I1275" s="16"/>
      <c r="J1275" s="16"/>
      <c r="K1275" s="16"/>
      <c r="L1275" s="16"/>
      <c r="M1275" s="16">
        <v>1269</v>
      </c>
      <c r="N1275" s="16">
        <f t="shared" si="98"/>
        <v>0.45498565279770442</v>
      </c>
      <c r="O1275" s="16"/>
      <c r="P1275" s="16"/>
      <c r="Q1275" s="16">
        <f t="shared" si="99"/>
        <v>-0.11307473432015534</v>
      </c>
    </row>
    <row r="1276" spans="4:17" ht="15" thickBot="1" x14ac:dyDescent="0.35">
      <c r="D1276" s="20">
        <f t="shared" si="95"/>
        <v>1270</v>
      </c>
      <c r="E1276" s="20">
        <f t="shared" si="96"/>
        <v>5050</v>
      </c>
      <c r="F1276" s="20">
        <f t="shared" si="97"/>
        <v>2350</v>
      </c>
      <c r="G1276" s="20">
        <v>0.34349861976775981</v>
      </c>
      <c r="H1276" s="50"/>
      <c r="I1276" s="16"/>
      <c r="J1276" s="16"/>
      <c r="K1276" s="16"/>
      <c r="L1276" s="16"/>
      <c r="M1276" s="16">
        <v>1270</v>
      </c>
      <c r="N1276" s="16">
        <f t="shared" si="98"/>
        <v>0.45534433285509324</v>
      </c>
      <c r="O1276" s="16"/>
      <c r="P1276" s="16"/>
      <c r="Q1276" s="16">
        <f t="shared" si="99"/>
        <v>-0.11216993674194431</v>
      </c>
    </row>
    <row r="1277" spans="4:17" ht="15" thickBot="1" x14ac:dyDescent="0.35">
      <c r="D1277" s="20">
        <f t="shared" si="95"/>
        <v>1271</v>
      </c>
      <c r="E1277" s="20">
        <f t="shared" si="96"/>
        <v>5150</v>
      </c>
      <c r="F1277" s="20">
        <f t="shared" si="97"/>
        <v>2350</v>
      </c>
      <c r="G1277" s="20">
        <v>0.34351221534467252</v>
      </c>
      <c r="H1277" s="50"/>
      <c r="I1277" s="16"/>
      <c r="J1277" s="16"/>
      <c r="K1277" s="16"/>
      <c r="L1277" s="16"/>
      <c r="M1277" s="16">
        <v>1271</v>
      </c>
      <c r="N1277" s="16">
        <f t="shared" si="98"/>
        <v>0.45570301291248205</v>
      </c>
      <c r="O1277" s="16"/>
      <c r="P1277" s="16"/>
      <c r="Q1277" s="16">
        <f t="shared" si="99"/>
        <v>-0.11126523098332312</v>
      </c>
    </row>
    <row r="1278" spans="4:17" ht="15" thickBot="1" x14ac:dyDescent="0.35">
      <c r="D1278" s="20">
        <f t="shared" si="95"/>
        <v>1272</v>
      </c>
      <c r="E1278" s="20">
        <f t="shared" si="96"/>
        <v>5250</v>
      </c>
      <c r="F1278" s="20">
        <f t="shared" si="97"/>
        <v>2350</v>
      </c>
      <c r="G1278" s="20">
        <v>0.34360438507776564</v>
      </c>
      <c r="H1278" s="50"/>
      <c r="I1278" s="16"/>
      <c r="J1278" s="16"/>
      <c r="K1278" s="16"/>
      <c r="L1278" s="16"/>
      <c r="M1278" s="16">
        <v>1272</v>
      </c>
      <c r="N1278" s="16">
        <f t="shared" si="98"/>
        <v>0.45606169296987087</v>
      </c>
      <c r="O1278" s="16"/>
      <c r="P1278" s="16"/>
      <c r="Q1278" s="16">
        <f t="shared" si="99"/>
        <v>-0.11036061628531239</v>
      </c>
    </row>
    <row r="1279" spans="4:17" ht="15" thickBot="1" x14ac:dyDescent="0.35">
      <c r="D1279" s="20">
        <f t="shared" si="95"/>
        <v>1273</v>
      </c>
      <c r="E1279" s="20">
        <f t="shared" si="96"/>
        <v>50</v>
      </c>
      <c r="F1279" s="20">
        <f t="shared" si="97"/>
        <v>2450</v>
      </c>
      <c r="G1279" s="20">
        <v>0.34367829083788776</v>
      </c>
      <c r="H1279" s="50"/>
      <c r="I1279" s="16"/>
      <c r="J1279" s="16"/>
      <c r="K1279" s="16"/>
      <c r="L1279" s="16"/>
      <c r="M1279" s="16">
        <v>1273</v>
      </c>
      <c r="N1279" s="16">
        <f t="shared" si="98"/>
        <v>0.45642037302725968</v>
      </c>
      <c r="O1279" s="16"/>
      <c r="P1279" s="16"/>
      <c r="Q1279" s="16">
        <f t="shared" si="99"/>
        <v>-0.10945609188946001</v>
      </c>
    </row>
    <row r="1280" spans="4:17" ht="15" thickBot="1" x14ac:dyDescent="0.35">
      <c r="D1280" s="20">
        <f t="shared" si="95"/>
        <v>1274</v>
      </c>
      <c r="E1280" s="20">
        <f t="shared" si="96"/>
        <v>150</v>
      </c>
      <c r="F1280" s="20">
        <f t="shared" si="97"/>
        <v>2450</v>
      </c>
      <c r="G1280" s="20">
        <v>0.34384393770518634</v>
      </c>
      <c r="H1280" s="50"/>
      <c r="I1280" s="16"/>
      <c r="J1280" s="16"/>
      <c r="K1280" s="16"/>
      <c r="L1280" s="16"/>
      <c r="M1280" s="16">
        <v>1274</v>
      </c>
      <c r="N1280" s="16">
        <f t="shared" si="98"/>
        <v>0.4567790530846485</v>
      </c>
      <c r="O1280" s="16"/>
      <c r="P1280" s="16"/>
      <c r="Q1280" s="16">
        <f t="shared" si="99"/>
        <v>-0.10855165703783649</v>
      </c>
    </row>
    <row r="1281" spans="4:17" ht="15" thickBot="1" x14ac:dyDescent="0.35">
      <c r="D1281" s="20">
        <f t="shared" si="95"/>
        <v>1275</v>
      </c>
      <c r="E1281" s="20">
        <f t="shared" si="96"/>
        <v>250</v>
      </c>
      <c r="F1281" s="20">
        <f t="shared" si="97"/>
        <v>2450</v>
      </c>
      <c r="G1281" s="20">
        <v>0.34387650113382212</v>
      </c>
      <c r="H1281" s="50"/>
      <c r="I1281" s="16"/>
      <c r="J1281" s="16"/>
      <c r="K1281" s="16"/>
      <c r="L1281" s="16"/>
      <c r="M1281" s="16">
        <v>1275</v>
      </c>
      <c r="N1281" s="16">
        <f t="shared" si="98"/>
        <v>0.45713773314203732</v>
      </c>
      <c r="O1281" s="16"/>
      <c r="P1281" s="16"/>
      <c r="Q1281" s="16">
        <f t="shared" si="99"/>
        <v>-0.10764731097303037</v>
      </c>
    </row>
    <row r="1282" spans="4:17" ht="15" thickBot="1" x14ac:dyDescent="0.35">
      <c r="D1282" s="20">
        <f t="shared" si="95"/>
        <v>1276</v>
      </c>
      <c r="E1282" s="20">
        <f t="shared" si="96"/>
        <v>350</v>
      </c>
      <c r="F1282" s="20">
        <f t="shared" si="97"/>
        <v>2450</v>
      </c>
      <c r="G1282" s="20">
        <v>0.34387709120116799</v>
      </c>
      <c r="H1282" s="50"/>
      <c r="I1282" s="16"/>
      <c r="J1282" s="16"/>
      <c r="K1282" s="16"/>
      <c r="L1282" s="16"/>
      <c r="M1282" s="16">
        <v>1276</v>
      </c>
      <c r="N1282" s="16">
        <f t="shared" si="98"/>
        <v>0.45749641319942613</v>
      </c>
      <c r="O1282" s="16"/>
      <c r="P1282" s="16"/>
      <c r="Q1282" s="16">
        <f t="shared" si="99"/>
        <v>-0.10674305293814368</v>
      </c>
    </row>
    <row r="1283" spans="4:17" ht="15" thickBot="1" x14ac:dyDescent="0.35">
      <c r="D1283" s="20">
        <f t="shared" si="95"/>
        <v>1277</v>
      </c>
      <c r="E1283" s="20">
        <f t="shared" si="96"/>
        <v>450</v>
      </c>
      <c r="F1283" s="20">
        <f t="shared" si="97"/>
        <v>2450</v>
      </c>
      <c r="G1283" s="20">
        <v>0.34397279679624254</v>
      </c>
      <c r="H1283" s="50"/>
      <c r="I1283" s="16"/>
      <c r="J1283" s="16"/>
      <c r="K1283" s="16"/>
      <c r="L1283" s="16"/>
      <c r="M1283" s="16">
        <v>1277</v>
      </c>
      <c r="N1283" s="16">
        <f t="shared" si="98"/>
        <v>0.45785509325681489</v>
      </c>
      <c r="O1283" s="16"/>
      <c r="P1283" s="16"/>
      <c r="Q1283" s="16">
        <f t="shared" si="99"/>
        <v>-0.10583888217678747</v>
      </c>
    </row>
    <row r="1284" spans="4:17" ht="15" thickBot="1" x14ac:dyDescent="0.35">
      <c r="D1284" s="20">
        <f t="shared" si="95"/>
        <v>1278</v>
      </c>
      <c r="E1284" s="20">
        <f t="shared" si="96"/>
        <v>550</v>
      </c>
      <c r="F1284" s="20">
        <f t="shared" si="97"/>
        <v>2450</v>
      </c>
      <c r="G1284" s="20">
        <v>0.34399464463520396</v>
      </c>
      <c r="H1284" s="50"/>
      <c r="I1284" s="16"/>
      <c r="J1284" s="16"/>
      <c r="K1284" s="16"/>
      <c r="L1284" s="16"/>
      <c r="M1284" s="16">
        <v>1278</v>
      </c>
      <c r="N1284" s="16">
        <f t="shared" si="98"/>
        <v>0.45821377331420371</v>
      </c>
      <c r="O1284" s="16"/>
      <c r="P1284" s="16"/>
      <c r="Q1284" s="16">
        <f t="shared" si="99"/>
        <v>-0.10493479793307681</v>
      </c>
    </row>
    <row r="1285" spans="4:17" ht="15" thickBot="1" x14ac:dyDescent="0.35">
      <c r="D1285" s="20">
        <f t="shared" si="95"/>
        <v>1279</v>
      </c>
      <c r="E1285" s="20">
        <f t="shared" si="96"/>
        <v>650</v>
      </c>
      <c r="F1285" s="20">
        <f t="shared" si="97"/>
        <v>2450</v>
      </c>
      <c r="G1285" s="20">
        <v>0.34408565557039117</v>
      </c>
      <c r="H1285" s="50"/>
      <c r="I1285" s="16"/>
      <c r="J1285" s="16"/>
      <c r="K1285" s="16"/>
      <c r="L1285" s="16"/>
      <c r="M1285" s="16">
        <v>1279</v>
      </c>
      <c r="N1285" s="16">
        <f t="shared" si="98"/>
        <v>0.45857245337159253</v>
      </c>
      <c r="O1285" s="16"/>
      <c r="P1285" s="16"/>
      <c r="Q1285" s="16">
        <f t="shared" si="99"/>
        <v>-0.10403079945162692</v>
      </c>
    </row>
    <row r="1286" spans="4:17" ht="15" thickBot="1" x14ac:dyDescent="0.35">
      <c r="D1286" s="20">
        <f t="shared" si="95"/>
        <v>1280</v>
      </c>
      <c r="E1286" s="20">
        <f t="shared" si="96"/>
        <v>750</v>
      </c>
      <c r="F1286" s="20">
        <f t="shared" si="97"/>
        <v>2450</v>
      </c>
      <c r="G1286" s="20">
        <v>0.34436810719187527</v>
      </c>
      <c r="H1286" s="50"/>
      <c r="I1286" s="16"/>
      <c r="J1286" s="16"/>
      <c r="K1286" s="16"/>
      <c r="L1286" s="16"/>
      <c r="M1286" s="16">
        <v>1280</v>
      </c>
      <c r="N1286" s="16">
        <f t="shared" si="98"/>
        <v>0.45893113342898134</v>
      </c>
      <c r="O1286" s="16"/>
      <c r="P1286" s="16"/>
      <c r="Q1286" s="16">
        <f t="shared" si="99"/>
        <v>-0.10312688597754827</v>
      </c>
    </row>
    <row r="1287" spans="4:17" ht="15" thickBot="1" x14ac:dyDescent="0.35">
      <c r="D1287" s="20">
        <f t="shared" ref="D1287:D1350" si="100">ROW()-6</f>
        <v>1281</v>
      </c>
      <c r="E1287" s="20">
        <f t="shared" ref="E1287:E1350" si="101">(MOD(D1287-1,53)*100)+50</f>
        <v>850</v>
      </c>
      <c r="F1287" s="20">
        <f t="shared" ref="F1287:F1350" si="102">FLOOR((D1287-1)/53,1)*100+50</f>
        <v>2450</v>
      </c>
      <c r="G1287" s="20">
        <v>0.34439269944469841</v>
      </c>
      <c r="H1287" s="50"/>
      <c r="I1287" s="16"/>
      <c r="J1287" s="16"/>
      <c r="K1287" s="16"/>
      <c r="L1287" s="16"/>
      <c r="M1287" s="16">
        <v>1281</v>
      </c>
      <c r="N1287" s="16">
        <f t="shared" si="98"/>
        <v>0.45928981348637016</v>
      </c>
      <c r="O1287" s="16"/>
      <c r="P1287" s="16"/>
      <c r="Q1287" s="16">
        <f t="shared" si="99"/>
        <v>-0.10222305675644197</v>
      </c>
    </row>
    <row r="1288" spans="4:17" ht="15" thickBot="1" x14ac:dyDescent="0.35">
      <c r="D1288" s="20">
        <f t="shared" si="100"/>
        <v>1282</v>
      </c>
      <c r="E1288" s="20">
        <f t="shared" si="101"/>
        <v>950</v>
      </c>
      <c r="F1288" s="20">
        <f t="shared" si="102"/>
        <v>2450</v>
      </c>
      <c r="G1288" s="20">
        <v>0.34446669417832554</v>
      </c>
      <c r="H1288" s="50"/>
      <c r="I1288" s="16"/>
      <c r="J1288" s="16"/>
      <c r="K1288" s="16"/>
      <c r="L1288" s="16"/>
      <c r="M1288" s="16">
        <v>1282</v>
      </c>
      <c r="N1288" s="16">
        <f t="shared" ref="N1288:N1351" si="103">(M1288-0.5)/$L$7</f>
        <v>0.45964849354375897</v>
      </c>
      <c r="O1288" s="16"/>
      <c r="P1288" s="16"/>
      <c r="Q1288" s="16">
        <f t="shared" ref="Q1288:Q1351" si="104">_xlfn.NORM.S.INV(N1288)</f>
        <v>-0.10131931103439541</v>
      </c>
    </row>
    <row r="1289" spans="4:17" ht="15" thickBot="1" x14ac:dyDescent="0.35">
      <c r="D1289" s="20">
        <f t="shared" si="100"/>
        <v>1283</v>
      </c>
      <c r="E1289" s="20">
        <f t="shared" si="101"/>
        <v>1050</v>
      </c>
      <c r="F1289" s="20">
        <f t="shared" si="102"/>
        <v>2450</v>
      </c>
      <c r="G1289" s="20">
        <v>0.34447456345532496</v>
      </c>
      <c r="H1289" s="50"/>
      <c r="I1289" s="16"/>
      <c r="J1289" s="16"/>
      <c r="K1289" s="16"/>
      <c r="L1289" s="16"/>
      <c r="M1289" s="16">
        <v>1283</v>
      </c>
      <c r="N1289" s="16">
        <f t="shared" si="103"/>
        <v>0.46000717360114779</v>
      </c>
      <c r="O1289" s="16"/>
      <c r="P1289" s="16"/>
      <c r="Q1289" s="16">
        <f t="shared" si="104"/>
        <v>-0.10041564805797769</v>
      </c>
    </row>
    <row r="1290" spans="4:17" ht="15" thickBot="1" x14ac:dyDescent="0.35">
      <c r="D1290" s="20">
        <f t="shared" si="100"/>
        <v>1284</v>
      </c>
      <c r="E1290" s="48">
        <f t="shared" si="101"/>
        <v>1150</v>
      </c>
      <c r="F1290" s="48">
        <f t="shared" si="102"/>
        <v>2450</v>
      </c>
      <c r="G1290" s="20">
        <v>0.34458285202170752</v>
      </c>
      <c r="H1290" s="50"/>
      <c r="I1290" s="16"/>
      <c r="J1290" s="16"/>
      <c r="K1290" s="16"/>
      <c r="L1290" s="16"/>
      <c r="M1290" s="16">
        <v>1284</v>
      </c>
      <c r="N1290" s="16">
        <f t="shared" si="103"/>
        <v>0.46036585365853661</v>
      </c>
      <c r="O1290" s="16"/>
      <c r="P1290" s="16"/>
      <c r="Q1290" s="16">
        <f t="shared" si="104"/>
        <v>-9.9512067074235114E-2</v>
      </c>
    </row>
    <row r="1291" spans="4:17" ht="15" thickBot="1" x14ac:dyDescent="0.35">
      <c r="D1291" s="20">
        <f t="shared" si="100"/>
        <v>1285</v>
      </c>
      <c r="E1291" s="20">
        <f t="shared" si="101"/>
        <v>1250</v>
      </c>
      <c r="F1291" s="20">
        <f t="shared" si="102"/>
        <v>2450</v>
      </c>
      <c r="G1291" s="20">
        <v>0.34469993809680899</v>
      </c>
      <c r="H1291" s="50"/>
      <c r="I1291" s="16"/>
      <c r="J1291" s="16"/>
      <c r="K1291" s="16"/>
      <c r="L1291" s="16"/>
      <c r="M1291" s="16">
        <v>1285</v>
      </c>
      <c r="N1291" s="16">
        <f t="shared" si="103"/>
        <v>0.46072453371592542</v>
      </c>
      <c r="O1291" s="16"/>
      <c r="P1291" s="16"/>
      <c r="Q1291" s="16">
        <f t="shared" si="104"/>
        <v>-9.8608567330686667E-2</v>
      </c>
    </row>
    <row r="1292" spans="4:17" ht="15" thickBot="1" x14ac:dyDescent="0.35">
      <c r="D1292" s="20">
        <f t="shared" si="100"/>
        <v>1286</v>
      </c>
      <c r="E1292" s="20">
        <f t="shared" si="101"/>
        <v>1350</v>
      </c>
      <c r="F1292" s="20">
        <f t="shared" si="102"/>
        <v>2450</v>
      </c>
      <c r="G1292" s="20">
        <v>0.34475659613999504</v>
      </c>
      <c r="H1292" s="50"/>
      <c r="I1292" s="16"/>
      <c r="J1292" s="16"/>
      <c r="K1292" s="16"/>
      <c r="L1292" s="16"/>
      <c r="M1292" s="16">
        <v>1286</v>
      </c>
      <c r="N1292" s="16">
        <f t="shared" si="103"/>
        <v>0.46108321377331418</v>
      </c>
      <c r="O1292" s="16"/>
      <c r="P1292" s="16"/>
      <c r="Q1292" s="16">
        <f t="shared" si="104"/>
        <v>-9.77051480753197E-2</v>
      </c>
    </row>
    <row r="1293" spans="4:17" ht="15" thickBot="1" x14ac:dyDescent="0.35">
      <c r="D1293" s="20">
        <f t="shared" si="100"/>
        <v>1287</v>
      </c>
      <c r="E1293" s="20">
        <f t="shared" si="101"/>
        <v>1450</v>
      </c>
      <c r="F1293" s="20">
        <f t="shared" si="102"/>
        <v>2450</v>
      </c>
      <c r="G1293" s="20">
        <v>0.34480071497507148</v>
      </c>
      <c r="H1293" s="50"/>
      <c r="I1293" s="16"/>
      <c r="J1293" s="16"/>
      <c r="K1293" s="16"/>
      <c r="L1293" s="16"/>
      <c r="M1293" s="16">
        <v>1287</v>
      </c>
      <c r="N1293" s="16">
        <f t="shared" si="103"/>
        <v>0.461441893830703</v>
      </c>
      <c r="O1293" s="16"/>
      <c r="P1293" s="16"/>
      <c r="Q1293" s="16">
        <f t="shared" si="104"/>
        <v>-9.6801808556584823E-2</v>
      </c>
    </row>
    <row r="1294" spans="4:17" ht="15" thickBot="1" x14ac:dyDescent="0.35">
      <c r="D1294" s="20">
        <f t="shared" si="100"/>
        <v>1288</v>
      </c>
      <c r="E1294" s="20">
        <f t="shared" si="101"/>
        <v>1550</v>
      </c>
      <c r="F1294" s="20">
        <f t="shared" si="102"/>
        <v>2450</v>
      </c>
      <c r="G1294" s="20">
        <v>0.34510692641818169</v>
      </c>
      <c r="H1294" s="50"/>
      <c r="I1294" s="16"/>
      <c r="J1294" s="16"/>
      <c r="K1294" s="16"/>
      <c r="L1294" s="16"/>
      <c r="M1294" s="16">
        <v>1288</v>
      </c>
      <c r="N1294" s="16">
        <f t="shared" si="103"/>
        <v>0.46180057388809181</v>
      </c>
      <c r="O1294" s="16"/>
      <c r="P1294" s="16"/>
      <c r="Q1294" s="16">
        <f t="shared" si="104"/>
        <v>-9.5898548023392344E-2</v>
      </c>
    </row>
    <row r="1295" spans="4:17" ht="15" thickBot="1" x14ac:dyDescent="0.35">
      <c r="D1295" s="20">
        <f t="shared" si="100"/>
        <v>1289</v>
      </c>
      <c r="E1295" s="20">
        <f t="shared" si="101"/>
        <v>1650</v>
      </c>
      <c r="F1295" s="20">
        <f t="shared" si="102"/>
        <v>2450</v>
      </c>
      <c r="G1295" s="20">
        <v>0.34514019400014029</v>
      </c>
      <c r="H1295" s="50"/>
      <c r="I1295" s="16"/>
      <c r="J1295" s="16"/>
      <c r="K1295" s="16"/>
      <c r="L1295" s="16"/>
      <c r="M1295" s="16">
        <v>1289</v>
      </c>
      <c r="N1295" s="16">
        <f t="shared" si="103"/>
        <v>0.46215925394548063</v>
      </c>
      <c r="O1295" s="16"/>
      <c r="P1295" s="16"/>
      <c r="Q1295" s="16">
        <f t="shared" si="104"/>
        <v>-9.4995365725107195E-2</v>
      </c>
    </row>
    <row r="1296" spans="4:17" ht="15" thickBot="1" x14ac:dyDescent="0.35">
      <c r="D1296" s="20">
        <f t="shared" si="100"/>
        <v>1290</v>
      </c>
      <c r="E1296" s="20">
        <f t="shared" si="101"/>
        <v>1750</v>
      </c>
      <c r="F1296" s="20">
        <f t="shared" si="102"/>
        <v>2450</v>
      </c>
      <c r="G1296" s="20">
        <v>0.34515877336601591</v>
      </c>
      <c r="H1296" s="50"/>
      <c r="I1296" s="16"/>
      <c r="J1296" s="16"/>
      <c r="K1296" s="16"/>
      <c r="L1296" s="16"/>
      <c r="M1296" s="16">
        <v>1290</v>
      </c>
      <c r="N1296" s="16">
        <f t="shared" si="103"/>
        <v>0.46251793400286945</v>
      </c>
      <c r="O1296" s="16"/>
      <c r="P1296" s="16"/>
      <c r="Q1296" s="16">
        <f t="shared" si="104"/>
        <v>-9.4092260911544559E-2</v>
      </c>
    </row>
    <row r="1297" spans="4:17" ht="15" thickBot="1" x14ac:dyDescent="0.35">
      <c r="D1297" s="20">
        <f t="shared" si="100"/>
        <v>1291</v>
      </c>
      <c r="E1297" s="20">
        <f t="shared" si="101"/>
        <v>1850</v>
      </c>
      <c r="F1297" s="20">
        <f t="shared" si="102"/>
        <v>2450</v>
      </c>
      <c r="G1297" s="20">
        <v>0.34522003696844705</v>
      </c>
      <c r="H1297" s="50"/>
      <c r="I1297" s="16"/>
      <c r="J1297" s="16"/>
      <c r="K1297" s="16"/>
      <c r="L1297" s="16"/>
      <c r="M1297" s="16">
        <v>1291</v>
      </c>
      <c r="N1297" s="16">
        <f t="shared" si="103"/>
        <v>0.46287661406025826</v>
      </c>
      <c r="O1297" s="16"/>
      <c r="P1297" s="16"/>
      <c r="Q1297" s="16">
        <f t="shared" si="104"/>
        <v>-9.3189232832965499E-2</v>
      </c>
    </row>
    <row r="1298" spans="4:17" ht="15" thickBot="1" x14ac:dyDescent="0.35">
      <c r="D1298" s="20">
        <f t="shared" si="100"/>
        <v>1292</v>
      </c>
      <c r="E1298" s="20">
        <f t="shared" si="101"/>
        <v>1950</v>
      </c>
      <c r="F1298" s="20">
        <f t="shared" si="102"/>
        <v>2450</v>
      </c>
      <c r="G1298" s="20">
        <v>0.34526042721310868</v>
      </c>
      <c r="H1298" s="50"/>
      <c r="I1298" s="16"/>
      <c r="J1298" s="16"/>
      <c r="K1298" s="16"/>
      <c r="L1298" s="16"/>
      <c r="M1298" s="16">
        <v>1292</v>
      </c>
      <c r="N1298" s="16">
        <f t="shared" si="103"/>
        <v>0.46323529411764708</v>
      </c>
      <c r="O1298" s="16"/>
      <c r="P1298" s="16"/>
      <c r="Q1298" s="16">
        <f t="shared" si="104"/>
        <v>-9.2286280740072404E-2</v>
      </c>
    </row>
    <row r="1299" spans="4:17" ht="15" thickBot="1" x14ac:dyDescent="0.35">
      <c r="D1299" s="20">
        <f t="shared" si="100"/>
        <v>1293</v>
      </c>
      <c r="E1299" s="20">
        <f t="shared" si="101"/>
        <v>2050</v>
      </c>
      <c r="F1299" s="20">
        <f t="shared" si="102"/>
        <v>2450</v>
      </c>
      <c r="G1299" s="20">
        <v>0.34531239295380245</v>
      </c>
      <c r="H1299" s="50"/>
      <c r="I1299" s="16"/>
      <c r="J1299" s="16"/>
      <c r="K1299" s="16"/>
      <c r="L1299" s="16"/>
      <c r="M1299" s="16">
        <v>1293</v>
      </c>
      <c r="N1299" s="16">
        <f t="shared" si="103"/>
        <v>0.46359397417503589</v>
      </c>
      <c r="O1299" s="16"/>
      <c r="P1299" s="16"/>
      <c r="Q1299" s="16">
        <f t="shared" si="104"/>
        <v>-9.1383403884004691E-2</v>
      </c>
    </row>
    <row r="1300" spans="4:17" ht="15" thickBot="1" x14ac:dyDescent="0.35">
      <c r="D1300" s="20">
        <f t="shared" si="100"/>
        <v>1294</v>
      </c>
      <c r="E1300" s="20">
        <f t="shared" si="101"/>
        <v>2150</v>
      </c>
      <c r="F1300" s="20">
        <f t="shared" si="102"/>
        <v>2450</v>
      </c>
      <c r="G1300" s="20">
        <v>0.3453320669003212</v>
      </c>
      <c r="H1300" s="50"/>
      <c r="I1300" s="16"/>
      <c r="J1300" s="16"/>
      <c r="K1300" s="16"/>
      <c r="L1300" s="16"/>
      <c r="M1300" s="16">
        <v>1294</v>
      </c>
      <c r="N1300" s="16">
        <f t="shared" si="103"/>
        <v>0.46395265423242465</v>
      </c>
      <c r="O1300" s="16"/>
      <c r="P1300" s="16"/>
      <c r="Q1300" s="16">
        <f t="shared" si="104"/>
        <v>-9.0480601516334358E-2</v>
      </c>
    </row>
    <row r="1301" spans="4:17" ht="15" thickBot="1" x14ac:dyDescent="0.35">
      <c r="D1301" s="20">
        <f t="shared" si="100"/>
        <v>1295</v>
      </c>
      <c r="E1301" s="20">
        <f t="shared" si="101"/>
        <v>2250</v>
      </c>
      <c r="F1301" s="20">
        <f t="shared" si="102"/>
        <v>2450</v>
      </c>
      <c r="G1301" s="20">
        <v>0.34547246838651707</v>
      </c>
      <c r="H1301" s="50"/>
      <c r="I1301" s="16"/>
      <c r="J1301" s="16"/>
      <c r="K1301" s="16"/>
      <c r="L1301" s="16"/>
      <c r="M1301" s="16">
        <v>1295</v>
      </c>
      <c r="N1301" s="16">
        <f t="shared" si="103"/>
        <v>0.46431133428981347</v>
      </c>
      <c r="O1301" s="16"/>
      <c r="P1301" s="16"/>
      <c r="Q1301" s="16">
        <f t="shared" si="104"/>
        <v>-8.957787288906098E-2</v>
      </c>
    </row>
    <row r="1302" spans="4:17" ht="15" thickBot="1" x14ac:dyDescent="0.35">
      <c r="D1302" s="20">
        <f t="shared" si="100"/>
        <v>1296</v>
      </c>
      <c r="E1302" s="20">
        <f t="shared" si="101"/>
        <v>2350</v>
      </c>
      <c r="F1302" s="20">
        <f t="shared" si="102"/>
        <v>2450</v>
      </c>
      <c r="G1302" s="20">
        <v>0.34555233771557797</v>
      </c>
      <c r="H1302" s="50"/>
      <c r="I1302" s="16"/>
      <c r="J1302" s="16"/>
      <c r="K1302" s="16"/>
      <c r="L1302" s="16"/>
      <c r="M1302" s="16">
        <v>1296</v>
      </c>
      <c r="N1302" s="16">
        <f t="shared" si="103"/>
        <v>0.46467001434720229</v>
      </c>
      <c r="O1302" s="16"/>
      <c r="P1302" s="16"/>
      <c r="Q1302" s="16">
        <f t="shared" si="104"/>
        <v>-8.8675217254608321E-2</v>
      </c>
    </row>
    <row r="1303" spans="4:17" ht="15" thickBot="1" x14ac:dyDescent="0.35">
      <c r="D1303" s="20">
        <f t="shared" si="100"/>
        <v>1297</v>
      </c>
      <c r="E1303" s="20">
        <f t="shared" si="101"/>
        <v>2450</v>
      </c>
      <c r="F1303" s="20">
        <f t="shared" si="102"/>
        <v>2450</v>
      </c>
      <c r="G1303" s="20">
        <v>0.34561128517925416</v>
      </c>
      <c r="H1303" s="50"/>
      <c r="I1303" s="16"/>
      <c r="J1303" s="16"/>
      <c r="K1303" s="16"/>
      <c r="L1303" s="16"/>
      <c r="M1303" s="16">
        <v>1297</v>
      </c>
      <c r="N1303" s="16">
        <f t="shared" si="103"/>
        <v>0.4650286944045911</v>
      </c>
      <c r="O1303" s="16"/>
      <c r="P1303" s="16"/>
      <c r="Q1303" s="16">
        <f t="shared" si="104"/>
        <v>-8.7772633865819127E-2</v>
      </c>
    </row>
    <row r="1304" spans="4:17" ht="15" thickBot="1" x14ac:dyDescent="0.35">
      <c r="D1304" s="20">
        <f t="shared" si="100"/>
        <v>1298</v>
      </c>
      <c r="E1304" s="20">
        <f t="shared" si="101"/>
        <v>2550</v>
      </c>
      <c r="F1304" s="20">
        <f t="shared" si="102"/>
        <v>2450</v>
      </c>
      <c r="G1304" s="20">
        <v>0.345630839146087</v>
      </c>
      <c r="H1304" s="50"/>
      <c r="I1304" s="16"/>
      <c r="J1304" s="16"/>
      <c r="K1304" s="16"/>
      <c r="L1304" s="16"/>
      <c r="M1304" s="16">
        <v>1298</v>
      </c>
      <c r="N1304" s="16">
        <f t="shared" si="103"/>
        <v>0.46538737446197992</v>
      </c>
      <c r="O1304" s="16"/>
      <c r="P1304" s="16"/>
      <c r="Q1304" s="16">
        <f t="shared" si="104"/>
        <v>-8.687012197595094E-2</v>
      </c>
    </row>
    <row r="1305" spans="4:17" ht="15" thickBot="1" x14ac:dyDescent="0.35">
      <c r="D1305" s="20">
        <f t="shared" si="100"/>
        <v>1299</v>
      </c>
      <c r="E1305" s="20">
        <f t="shared" si="101"/>
        <v>2650</v>
      </c>
      <c r="F1305" s="20">
        <f t="shared" si="102"/>
        <v>2450</v>
      </c>
      <c r="G1305" s="20">
        <v>0.34566408568481694</v>
      </c>
      <c r="H1305" s="50"/>
      <c r="I1305" s="16"/>
      <c r="J1305" s="16"/>
      <c r="K1305" s="16"/>
      <c r="L1305" s="16"/>
      <c r="M1305" s="16">
        <v>1299</v>
      </c>
      <c r="N1305" s="16">
        <f t="shared" si="103"/>
        <v>0.46574605451936874</v>
      </c>
      <c r="O1305" s="16"/>
      <c r="P1305" s="16"/>
      <c r="Q1305" s="16">
        <f t="shared" si="104"/>
        <v>-8.5967680838671762E-2</v>
      </c>
    </row>
    <row r="1306" spans="4:17" ht="15" thickBot="1" x14ac:dyDescent="0.35">
      <c r="D1306" s="20">
        <f t="shared" si="100"/>
        <v>1300</v>
      </c>
      <c r="E1306" s="20">
        <f t="shared" si="101"/>
        <v>2750</v>
      </c>
      <c r="F1306" s="20">
        <f t="shared" si="102"/>
        <v>2450</v>
      </c>
      <c r="G1306" s="20">
        <v>0.34570172874653876</v>
      </c>
      <c r="H1306" s="50"/>
      <c r="I1306" s="16"/>
      <c r="J1306" s="16"/>
      <c r="K1306" s="16"/>
      <c r="L1306" s="16"/>
      <c r="M1306" s="16">
        <v>1300</v>
      </c>
      <c r="N1306" s="16">
        <f t="shared" si="103"/>
        <v>0.46610473457675755</v>
      </c>
      <c r="O1306" s="16"/>
      <c r="P1306" s="16"/>
      <c r="Q1306" s="16">
        <f t="shared" si="104"/>
        <v>-8.5065309708055509E-2</v>
      </c>
    </row>
    <row r="1307" spans="4:17" ht="15" thickBot="1" x14ac:dyDescent="0.35">
      <c r="D1307" s="20">
        <f t="shared" si="100"/>
        <v>1301</v>
      </c>
      <c r="E1307" s="20">
        <f t="shared" si="101"/>
        <v>2850</v>
      </c>
      <c r="F1307" s="20">
        <f t="shared" si="102"/>
        <v>2450</v>
      </c>
      <c r="G1307" s="20">
        <v>0.34570496306177795</v>
      </c>
      <c r="H1307" s="50"/>
      <c r="I1307" s="16"/>
      <c r="J1307" s="16"/>
      <c r="K1307" s="16"/>
      <c r="L1307" s="16"/>
      <c r="M1307" s="16">
        <v>1301</v>
      </c>
      <c r="N1307" s="16">
        <f t="shared" si="103"/>
        <v>0.46646341463414637</v>
      </c>
      <c r="O1307" s="16"/>
      <c r="P1307" s="16"/>
      <c r="Q1307" s="16">
        <f t="shared" si="104"/>
        <v>-8.4163007838577705E-2</v>
      </c>
    </row>
    <row r="1308" spans="4:17" ht="15" thickBot="1" x14ac:dyDescent="0.35">
      <c r="D1308" s="20">
        <f t="shared" si="100"/>
        <v>1302</v>
      </c>
      <c r="E1308" s="20">
        <f t="shared" si="101"/>
        <v>2950</v>
      </c>
      <c r="F1308" s="20">
        <f t="shared" si="102"/>
        <v>2450</v>
      </c>
      <c r="G1308" s="20">
        <v>0.34580211771751768</v>
      </c>
      <c r="H1308" s="50"/>
      <c r="I1308" s="16"/>
      <c r="J1308" s="16"/>
      <c r="K1308" s="16"/>
      <c r="L1308" s="16"/>
      <c r="M1308" s="16">
        <v>1302</v>
      </c>
      <c r="N1308" s="16">
        <f t="shared" si="103"/>
        <v>0.46682209469153513</v>
      </c>
      <c r="O1308" s="16"/>
      <c r="P1308" s="16"/>
      <c r="Q1308" s="16">
        <f t="shared" si="104"/>
        <v>-8.3260774485111239E-2</v>
      </c>
    </row>
    <row r="1309" spans="4:17" ht="15" thickBot="1" x14ac:dyDescent="0.35">
      <c r="D1309" s="20">
        <f t="shared" si="100"/>
        <v>1303</v>
      </c>
      <c r="E1309" s="20">
        <f t="shared" si="101"/>
        <v>3050</v>
      </c>
      <c r="F1309" s="20">
        <f t="shared" si="102"/>
        <v>2450</v>
      </c>
      <c r="G1309" s="20">
        <v>0.34580779959295882</v>
      </c>
      <c r="H1309" s="50"/>
      <c r="I1309" s="16"/>
      <c r="J1309" s="16"/>
      <c r="K1309" s="16"/>
      <c r="L1309" s="16"/>
      <c r="M1309" s="16">
        <v>1303</v>
      </c>
      <c r="N1309" s="16">
        <f t="shared" si="103"/>
        <v>0.46718077474892394</v>
      </c>
      <c r="O1309" s="16"/>
      <c r="P1309" s="16"/>
      <c r="Q1309" s="16">
        <f t="shared" si="104"/>
        <v>-8.2358608902921418E-2</v>
      </c>
    </row>
    <row r="1310" spans="4:17" ht="15" thickBot="1" x14ac:dyDescent="0.35">
      <c r="D1310" s="20">
        <f t="shared" si="100"/>
        <v>1304</v>
      </c>
      <c r="E1310" s="20">
        <f t="shared" si="101"/>
        <v>3150</v>
      </c>
      <c r="F1310" s="20">
        <f t="shared" si="102"/>
        <v>2450</v>
      </c>
      <c r="G1310" s="20">
        <v>0.34581574638088558</v>
      </c>
      <c r="H1310" s="50"/>
      <c r="I1310" s="16"/>
      <c r="J1310" s="16"/>
      <c r="K1310" s="16"/>
      <c r="L1310" s="16"/>
      <c r="M1310" s="16">
        <v>1304</v>
      </c>
      <c r="N1310" s="16">
        <f t="shared" si="103"/>
        <v>0.46753945480631276</v>
      </c>
      <c r="O1310" s="16"/>
      <c r="P1310" s="16"/>
      <c r="Q1310" s="16">
        <f t="shared" si="104"/>
        <v>-8.1456510347662325E-2</v>
      </c>
    </row>
    <row r="1311" spans="4:17" ht="15" thickBot="1" x14ac:dyDescent="0.35">
      <c r="D1311" s="20">
        <f t="shared" si="100"/>
        <v>1305</v>
      </c>
      <c r="E1311" s="20">
        <f t="shared" si="101"/>
        <v>3250</v>
      </c>
      <c r="F1311" s="20">
        <f t="shared" si="102"/>
        <v>2450</v>
      </c>
      <c r="G1311" s="20">
        <v>0.34596363685780218</v>
      </c>
      <c r="H1311" s="50"/>
      <c r="I1311" s="16"/>
      <c r="J1311" s="16"/>
      <c r="K1311" s="16"/>
      <c r="L1311" s="16"/>
      <c r="M1311" s="16">
        <v>1305</v>
      </c>
      <c r="N1311" s="16">
        <f t="shared" si="103"/>
        <v>0.46789813486370158</v>
      </c>
      <c r="O1311" s="16"/>
      <c r="P1311" s="16"/>
      <c r="Q1311" s="16">
        <f t="shared" si="104"/>
        <v>-8.0554478075372055E-2</v>
      </c>
    </row>
    <row r="1312" spans="4:17" ht="15" thickBot="1" x14ac:dyDescent="0.35">
      <c r="D1312" s="20">
        <f t="shared" si="100"/>
        <v>1306</v>
      </c>
      <c r="E1312" s="20">
        <f t="shared" si="101"/>
        <v>3350</v>
      </c>
      <c r="F1312" s="20">
        <f t="shared" si="102"/>
        <v>2450</v>
      </c>
      <c r="G1312" s="20">
        <v>0.34604835815148588</v>
      </c>
      <c r="H1312" s="50"/>
      <c r="I1312" s="16"/>
      <c r="J1312" s="16"/>
      <c r="K1312" s="16"/>
      <c r="L1312" s="16"/>
      <c r="M1312" s="16">
        <v>1306</v>
      </c>
      <c r="N1312" s="16">
        <f t="shared" si="103"/>
        <v>0.46825681492109039</v>
      </c>
      <c r="O1312" s="16"/>
      <c r="P1312" s="16"/>
      <c r="Q1312" s="16">
        <f t="shared" si="104"/>
        <v>-7.9652511342468355E-2</v>
      </c>
    </row>
    <row r="1313" spans="4:17" ht="15" thickBot="1" x14ac:dyDescent="0.35">
      <c r="D1313" s="20">
        <f t="shared" si="100"/>
        <v>1307</v>
      </c>
      <c r="E1313" s="43">
        <f t="shared" si="101"/>
        <v>3450</v>
      </c>
      <c r="F1313" s="43">
        <f t="shared" si="102"/>
        <v>2450</v>
      </c>
      <c r="G1313" s="20">
        <v>0.34604961687826463</v>
      </c>
      <c r="H1313" s="50"/>
      <c r="I1313" s="16"/>
      <c r="J1313" s="16"/>
      <c r="K1313" s="16"/>
      <c r="L1313" s="16"/>
      <c r="M1313" s="16">
        <v>1307</v>
      </c>
      <c r="N1313" s="16">
        <f t="shared" si="103"/>
        <v>0.46861549497847921</v>
      </c>
      <c r="O1313" s="16"/>
      <c r="P1313" s="16"/>
      <c r="Q1313" s="16">
        <f t="shared" si="104"/>
        <v>-7.8750609405744326E-2</v>
      </c>
    </row>
    <row r="1314" spans="4:17" ht="15" thickBot="1" x14ac:dyDescent="0.35">
      <c r="D1314" s="20">
        <f t="shared" si="100"/>
        <v>1308</v>
      </c>
      <c r="E1314" s="44">
        <f t="shared" si="101"/>
        <v>3550</v>
      </c>
      <c r="F1314" s="44">
        <f t="shared" si="102"/>
        <v>2450</v>
      </c>
      <c r="G1314" s="20">
        <v>0.34619028870355589</v>
      </c>
      <c r="H1314" s="50"/>
      <c r="I1314" s="16"/>
      <c r="J1314" s="16"/>
      <c r="K1314" s="16"/>
      <c r="L1314" s="16"/>
      <c r="M1314" s="16">
        <v>1308</v>
      </c>
      <c r="N1314" s="16">
        <f t="shared" si="103"/>
        <v>0.46897417503586802</v>
      </c>
      <c r="O1314" s="16"/>
      <c r="P1314" s="16"/>
      <c r="Q1314" s="16">
        <f t="shared" si="104"/>
        <v>-7.7848771522364024E-2</v>
      </c>
    </row>
    <row r="1315" spans="4:17" ht="15" thickBot="1" x14ac:dyDescent="0.35">
      <c r="D1315" s="20">
        <f t="shared" si="100"/>
        <v>1309</v>
      </c>
      <c r="E1315" s="20">
        <f t="shared" si="101"/>
        <v>3650</v>
      </c>
      <c r="F1315" s="20">
        <f t="shared" si="102"/>
        <v>2450</v>
      </c>
      <c r="G1315" s="20">
        <v>0.3462412991418769</v>
      </c>
      <c r="H1315" s="50"/>
      <c r="I1315" s="16"/>
      <c r="J1315" s="16"/>
      <c r="K1315" s="16"/>
      <c r="L1315" s="16"/>
      <c r="M1315" s="16">
        <v>1309</v>
      </c>
      <c r="N1315" s="16">
        <f t="shared" si="103"/>
        <v>0.46933285509325684</v>
      </c>
      <c r="O1315" s="16"/>
      <c r="P1315" s="16"/>
      <c r="Q1315" s="16">
        <f t="shared" si="104"/>
        <v>-7.694699694985821E-2</v>
      </c>
    </row>
    <row r="1316" spans="4:17" ht="15" thickBot="1" x14ac:dyDescent="0.35">
      <c r="D1316" s="20">
        <f t="shared" si="100"/>
        <v>1310</v>
      </c>
      <c r="E1316" s="20">
        <f t="shared" si="101"/>
        <v>3750</v>
      </c>
      <c r="F1316" s="20">
        <f t="shared" si="102"/>
        <v>2450</v>
      </c>
      <c r="G1316" s="20">
        <v>0.34649037672687644</v>
      </c>
      <c r="H1316" s="50"/>
      <c r="I1316" s="16"/>
      <c r="J1316" s="16"/>
      <c r="K1316" s="16"/>
      <c r="L1316" s="16"/>
      <c r="M1316" s="16">
        <v>1310</v>
      </c>
      <c r="N1316" s="16">
        <f t="shared" si="103"/>
        <v>0.4696915351506456</v>
      </c>
      <c r="O1316" s="16"/>
      <c r="P1316" s="16"/>
      <c r="Q1316" s="16">
        <f t="shared" si="104"/>
        <v>-7.6045284946119993E-2</v>
      </c>
    </row>
    <row r="1317" spans="4:17" ht="15" thickBot="1" x14ac:dyDescent="0.35">
      <c r="D1317" s="20">
        <f t="shared" si="100"/>
        <v>1311</v>
      </c>
      <c r="E1317" s="20">
        <f t="shared" si="101"/>
        <v>3850</v>
      </c>
      <c r="F1317" s="20">
        <f t="shared" si="102"/>
        <v>2450</v>
      </c>
      <c r="G1317" s="20">
        <v>0.34653474754635216</v>
      </c>
      <c r="H1317" s="50"/>
      <c r="I1317" s="16"/>
      <c r="J1317" s="16"/>
      <c r="K1317" s="16"/>
      <c r="L1317" s="16"/>
      <c r="M1317" s="16">
        <v>1311</v>
      </c>
      <c r="N1317" s="16">
        <f t="shared" si="103"/>
        <v>0.47005021520803442</v>
      </c>
      <c r="O1317" s="16"/>
      <c r="P1317" s="16"/>
      <c r="Q1317" s="16">
        <f t="shared" si="104"/>
        <v>-7.5143634769400031E-2</v>
      </c>
    </row>
    <row r="1318" spans="4:17" ht="15" thickBot="1" x14ac:dyDescent="0.35">
      <c r="D1318" s="20">
        <f t="shared" si="100"/>
        <v>1312</v>
      </c>
      <c r="E1318" s="20">
        <f t="shared" si="101"/>
        <v>3950</v>
      </c>
      <c r="F1318" s="20">
        <f t="shared" si="102"/>
        <v>2450</v>
      </c>
      <c r="G1318" s="20">
        <v>0.34653533330980896</v>
      </c>
      <c r="H1318" s="50"/>
      <c r="I1318" s="16"/>
      <c r="J1318" s="16"/>
      <c r="K1318" s="16"/>
      <c r="L1318" s="16"/>
      <c r="M1318" s="16">
        <v>1312</v>
      </c>
      <c r="N1318" s="16">
        <f t="shared" si="103"/>
        <v>0.47040889526542323</v>
      </c>
      <c r="O1318" s="16"/>
      <c r="P1318" s="16"/>
      <c r="Q1318" s="16">
        <f t="shared" si="104"/>
        <v>-7.4242045678303031E-2</v>
      </c>
    </row>
    <row r="1319" spans="4:17" ht="15" thickBot="1" x14ac:dyDescent="0.35">
      <c r="D1319" s="20">
        <f t="shared" si="100"/>
        <v>1313</v>
      </c>
      <c r="E1319" s="43">
        <f t="shared" si="101"/>
        <v>4050</v>
      </c>
      <c r="F1319" s="43">
        <f t="shared" si="102"/>
        <v>2450</v>
      </c>
      <c r="G1319" s="20">
        <v>0.34654354885530581</v>
      </c>
      <c r="H1319" s="50"/>
      <c r="I1319" s="16"/>
      <c r="J1319" s="16"/>
      <c r="K1319" s="16"/>
      <c r="L1319" s="16"/>
      <c r="M1319" s="16">
        <v>1313</v>
      </c>
      <c r="N1319" s="16">
        <f t="shared" si="103"/>
        <v>0.47076757532281205</v>
      </c>
      <c r="O1319" s="16"/>
      <c r="P1319" s="16"/>
      <c r="Q1319" s="16">
        <f t="shared" si="104"/>
        <v>-7.3340516931782854E-2</v>
      </c>
    </row>
    <row r="1320" spans="4:17" ht="15" thickBot="1" x14ac:dyDescent="0.35">
      <c r="D1320" s="20">
        <f t="shared" si="100"/>
        <v>1314</v>
      </c>
      <c r="E1320" s="48">
        <f t="shared" si="101"/>
        <v>4150</v>
      </c>
      <c r="F1320" s="48">
        <f t="shared" si="102"/>
        <v>2450</v>
      </c>
      <c r="G1320" s="20">
        <v>0.34655797674087524</v>
      </c>
      <c r="H1320" s="50"/>
      <c r="I1320" s="16"/>
      <c r="J1320" s="16"/>
      <c r="K1320" s="16"/>
      <c r="L1320" s="16"/>
      <c r="M1320" s="16">
        <v>1314</v>
      </c>
      <c r="N1320" s="16">
        <f t="shared" si="103"/>
        <v>0.47112625538020086</v>
      </c>
      <c r="O1320" s="16"/>
      <c r="P1320" s="16"/>
      <c r="Q1320" s="16">
        <f t="shared" si="104"/>
        <v>-7.2439047789138317E-2</v>
      </c>
    </row>
    <row r="1321" spans="4:17" ht="15" thickBot="1" x14ac:dyDescent="0.35">
      <c r="D1321" s="20">
        <f t="shared" si="100"/>
        <v>1315</v>
      </c>
      <c r="E1321" s="20">
        <f t="shared" si="101"/>
        <v>4250</v>
      </c>
      <c r="F1321" s="20">
        <f t="shared" si="102"/>
        <v>2450</v>
      </c>
      <c r="G1321" s="20">
        <v>0.34668914319913319</v>
      </c>
      <c r="H1321" s="50"/>
      <c r="I1321" s="16"/>
      <c r="J1321" s="16"/>
      <c r="K1321" s="16"/>
      <c r="L1321" s="16"/>
      <c r="M1321" s="16">
        <v>1315</v>
      </c>
      <c r="N1321" s="16">
        <f t="shared" si="103"/>
        <v>0.47148493543758968</v>
      </c>
      <c r="O1321" s="16"/>
      <c r="P1321" s="16"/>
      <c r="Q1321" s="16">
        <f t="shared" si="104"/>
        <v>-7.153763751000887E-2</v>
      </c>
    </row>
    <row r="1322" spans="4:17" ht="15" thickBot="1" x14ac:dyDescent="0.35">
      <c r="D1322" s="20">
        <f t="shared" si="100"/>
        <v>1316</v>
      </c>
      <c r="E1322" s="20">
        <f t="shared" si="101"/>
        <v>4350</v>
      </c>
      <c r="F1322" s="20">
        <f t="shared" si="102"/>
        <v>2450</v>
      </c>
      <c r="G1322" s="20">
        <v>0.34675127619284368</v>
      </c>
      <c r="H1322" s="50"/>
      <c r="I1322" s="16"/>
      <c r="J1322" s="16"/>
      <c r="K1322" s="16"/>
      <c r="L1322" s="16"/>
      <c r="M1322" s="16">
        <v>1316</v>
      </c>
      <c r="N1322" s="16">
        <f t="shared" si="103"/>
        <v>0.4718436154949785</v>
      </c>
      <c r="O1322" s="16"/>
      <c r="P1322" s="16"/>
      <c r="Q1322" s="16">
        <f t="shared" si="104"/>
        <v>-7.063628535437029E-2</v>
      </c>
    </row>
    <row r="1323" spans="4:17" ht="15" thickBot="1" x14ac:dyDescent="0.35">
      <c r="D1323" s="20">
        <f t="shared" si="100"/>
        <v>1317</v>
      </c>
      <c r="E1323" s="20">
        <f t="shared" si="101"/>
        <v>4450</v>
      </c>
      <c r="F1323" s="20">
        <f t="shared" si="102"/>
        <v>2450</v>
      </c>
      <c r="G1323" s="20">
        <v>0.34687015088957662</v>
      </c>
      <c r="H1323" s="50"/>
      <c r="I1323" s="16"/>
      <c r="J1323" s="16"/>
      <c r="K1323" s="16"/>
      <c r="L1323" s="16"/>
      <c r="M1323" s="16">
        <v>1317</v>
      </c>
      <c r="N1323" s="16">
        <f t="shared" si="103"/>
        <v>0.47220229555236731</v>
      </c>
      <c r="O1323" s="16"/>
      <c r="P1323" s="16"/>
      <c r="Q1323" s="16">
        <f t="shared" si="104"/>
        <v>-6.9734990582530409E-2</v>
      </c>
    </row>
    <row r="1324" spans="4:17" ht="15" thickBot="1" x14ac:dyDescent="0.35">
      <c r="D1324" s="20">
        <f t="shared" si="100"/>
        <v>1318</v>
      </c>
      <c r="E1324" s="20">
        <f t="shared" si="101"/>
        <v>4550</v>
      </c>
      <c r="F1324" s="20">
        <f t="shared" si="102"/>
        <v>2450</v>
      </c>
      <c r="G1324" s="20">
        <v>0.34688595176418213</v>
      </c>
      <c r="H1324" s="50"/>
      <c r="I1324" s="16"/>
      <c r="J1324" s="16"/>
      <c r="K1324" s="16"/>
      <c r="L1324" s="16"/>
      <c r="M1324" s="16">
        <v>1318</v>
      </c>
      <c r="N1324" s="16">
        <f t="shared" si="103"/>
        <v>0.47256097560975607</v>
      </c>
      <c r="O1324" s="16"/>
      <c r="P1324" s="16"/>
      <c r="Q1324" s="16">
        <f t="shared" si="104"/>
        <v>-6.883375245512488E-2</v>
      </c>
    </row>
    <row r="1325" spans="4:17" ht="15" thickBot="1" x14ac:dyDescent="0.35">
      <c r="D1325" s="20">
        <f t="shared" si="100"/>
        <v>1319</v>
      </c>
      <c r="E1325" s="20">
        <f t="shared" si="101"/>
        <v>4650</v>
      </c>
      <c r="F1325" s="20">
        <f t="shared" si="102"/>
        <v>2450</v>
      </c>
      <c r="G1325" s="20">
        <v>0.34709926934347102</v>
      </c>
      <c r="H1325" s="50"/>
      <c r="I1325" s="16"/>
      <c r="J1325" s="16"/>
      <c r="K1325" s="16"/>
      <c r="L1325" s="16"/>
      <c r="M1325" s="16">
        <v>1319</v>
      </c>
      <c r="N1325" s="16">
        <f t="shared" si="103"/>
        <v>0.47291965566714489</v>
      </c>
      <c r="O1325" s="16"/>
      <c r="P1325" s="16"/>
      <c r="Q1325" s="16">
        <f t="shared" si="104"/>
        <v>-6.7932570233112402E-2</v>
      </c>
    </row>
    <row r="1326" spans="4:17" ht="15" thickBot="1" x14ac:dyDescent="0.35">
      <c r="D1326" s="20">
        <f t="shared" si="100"/>
        <v>1320</v>
      </c>
      <c r="E1326" s="20">
        <f t="shared" si="101"/>
        <v>4750</v>
      </c>
      <c r="F1326" s="20">
        <f t="shared" si="102"/>
        <v>2450</v>
      </c>
      <c r="G1326" s="20">
        <v>0.34715854409013669</v>
      </c>
      <c r="H1326" s="50"/>
      <c r="I1326" s="16"/>
      <c r="J1326" s="16"/>
      <c r="K1326" s="16"/>
      <c r="L1326" s="16"/>
      <c r="M1326" s="16">
        <v>1320</v>
      </c>
      <c r="N1326" s="16">
        <f t="shared" si="103"/>
        <v>0.47327833572453371</v>
      </c>
      <c r="O1326" s="16"/>
      <c r="P1326" s="16"/>
      <c r="Q1326" s="16">
        <f t="shared" si="104"/>
        <v>-6.7031443177771141E-2</v>
      </c>
    </row>
    <row r="1327" spans="4:17" ht="15" thickBot="1" x14ac:dyDescent="0.35">
      <c r="D1327" s="20">
        <f t="shared" si="100"/>
        <v>1321</v>
      </c>
      <c r="E1327" s="20">
        <f t="shared" si="101"/>
        <v>4850</v>
      </c>
      <c r="F1327" s="20">
        <f t="shared" si="102"/>
        <v>2450</v>
      </c>
      <c r="G1327" s="20">
        <v>0.34731101440522394</v>
      </c>
      <c r="H1327" s="50"/>
      <c r="I1327" s="16"/>
      <c r="J1327" s="16"/>
      <c r="K1327" s="16"/>
      <c r="L1327" s="16"/>
      <c r="M1327" s="16">
        <v>1321</v>
      </c>
      <c r="N1327" s="16">
        <f t="shared" si="103"/>
        <v>0.47363701578192252</v>
      </c>
      <c r="O1327" s="16"/>
      <c r="P1327" s="16"/>
      <c r="Q1327" s="16">
        <f t="shared" si="104"/>
        <v>-6.6130370550694081E-2</v>
      </c>
    </row>
    <row r="1328" spans="4:17" ht="15" thickBot="1" x14ac:dyDescent="0.35">
      <c r="D1328" s="20">
        <f t="shared" si="100"/>
        <v>1322</v>
      </c>
      <c r="E1328" s="20">
        <f t="shared" si="101"/>
        <v>4950</v>
      </c>
      <c r="F1328" s="20">
        <f t="shared" si="102"/>
        <v>2450</v>
      </c>
      <c r="G1328" s="20">
        <v>0.34737509158133434</v>
      </c>
      <c r="H1328" s="50"/>
      <c r="I1328" s="16"/>
      <c r="J1328" s="16"/>
      <c r="K1328" s="16"/>
      <c r="L1328" s="16"/>
      <c r="M1328" s="16">
        <v>1322</v>
      </c>
      <c r="N1328" s="16">
        <f t="shared" si="103"/>
        <v>0.47399569583931134</v>
      </c>
      <c r="O1328" s="16"/>
      <c r="P1328" s="16"/>
      <c r="Q1328" s="16">
        <f t="shared" si="104"/>
        <v>-6.5229351613784667E-2</v>
      </c>
    </row>
    <row r="1329" spans="4:17" ht="15" thickBot="1" x14ac:dyDescent="0.35">
      <c r="D1329" s="20">
        <f t="shared" si="100"/>
        <v>1323</v>
      </c>
      <c r="E1329" s="20">
        <f t="shared" si="101"/>
        <v>5050</v>
      </c>
      <c r="F1329" s="20">
        <f t="shared" si="102"/>
        <v>2450</v>
      </c>
      <c r="G1329" s="20">
        <v>0.34743333339933552</v>
      </c>
      <c r="H1329" s="50"/>
      <c r="I1329" s="16"/>
      <c r="J1329" s="16"/>
      <c r="K1329" s="16"/>
      <c r="L1329" s="16"/>
      <c r="M1329" s="16">
        <v>1323</v>
      </c>
      <c r="N1329" s="16">
        <f t="shared" si="103"/>
        <v>0.47435437589670015</v>
      </c>
      <c r="O1329" s="16"/>
      <c r="P1329" s="16"/>
      <c r="Q1329" s="16">
        <f t="shared" si="104"/>
        <v>-6.4328385629252652E-2</v>
      </c>
    </row>
    <row r="1330" spans="4:17" ht="15" thickBot="1" x14ac:dyDescent="0.35">
      <c r="D1330" s="20">
        <f t="shared" si="100"/>
        <v>1324</v>
      </c>
      <c r="E1330" s="20">
        <f t="shared" si="101"/>
        <v>5150</v>
      </c>
      <c r="F1330" s="20">
        <f t="shared" si="102"/>
        <v>2450</v>
      </c>
      <c r="G1330" s="20">
        <v>0.34746123663616457</v>
      </c>
      <c r="H1330" s="50"/>
      <c r="I1330" s="16"/>
      <c r="J1330" s="16"/>
      <c r="K1330" s="16"/>
      <c r="L1330" s="16"/>
      <c r="M1330" s="16">
        <v>1324</v>
      </c>
      <c r="N1330" s="16">
        <f t="shared" si="103"/>
        <v>0.47471305595408897</v>
      </c>
      <c r="O1330" s="16"/>
      <c r="P1330" s="16"/>
      <c r="Q1330" s="16">
        <f t="shared" si="104"/>
        <v>-6.3427471859609771E-2</v>
      </c>
    </row>
    <row r="1331" spans="4:17" ht="15" thickBot="1" x14ac:dyDescent="0.35">
      <c r="D1331" s="20">
        <f t="shared" si="100"/>
        <v>1325</v>
      </c>
      <c r="E1331" s="20">
        <f t="shared" si="101"/>
        <v>5250</v>
      </c>
      <c r="F1331" s="20">
        <f t="shared" si="102"/>
        <v>2450</v>
      </c>
      <c r="G1331" s="20">
        <v>0.34749208869485171</v>
      </c>
      <c r="H1331" s="50"/>
      <c r="I1331" s="16"/>
      <c r="J1331" s="16"/>
      <c r="K1331" s="16"/>
      <c r="L1331" s="16"/>
      <c r="M1331" s="16">
        <v>1325</v>
      </c>
      <c r="N1331" s="16">
        <f t="shared" si="103"/>
        <v>0.47507173601147779</v>
      </c>
      <c r="O1331" s="16"/>
      <c r="P1331" s="16"/>
      <c r="Q1331" s="16">
        <f t="shared" si="104"/>
        <v>-6.2526609567665523E-2</v>
      </c>
    </row>
    <row r="1332" spans="4:17" ht="15" thickBot="1" x14ac:dyDescent="0.35">
      <c r="D1332" s="20">
        <f t="shared" si="100"/>
        <v>1326</v>
      </c>
      <c r="E1332" s="20">
        <f t="shared" si="101"/>
        <v>50</v>
      </c>
      <c r="F1332" s="20">
        <f t="shared" si="102"/>
        <v>2550</v>
      </c>
      <c r="G1332" s="20">
        <v>0.34750339548432818</v>
      </c>
      <c r="H1332" s="50"/>
      <c r="I1332" s="16"/>
      <c r="J1332" s="16"/>
      <c r="K1332" s="16"/>
      <c r="L1332" s="16"/>
      <c r="M1332" s="16">
        <v>1326</v>
      </c>
      <c r="N1332" s="16">
        <f t="shared" si="103"/>
        <v>0.47543041606886655</v>
      </c>
      <c r="O1332" s="16"/>
      <c r="P1332" s="16"/>
      <c r="Q1332" s="16">
        <f t="shared" si="104"/>
        <v>-6.1625798016522994E-2</v>
      </c>
    </row>
    <row r="1333" spans="4:17" ht="15" thickBot="1" x14ac:dyDescent="0.35">
      <c r="D1333" s="20">
        <f t="shared" si="100"/>
        <v>1327</v>
      </c>
      <c r="E1333" s="44">
        <f t="shared" si="101"/>
        <v>150</v>
      </c>
      <c r="F1333" s="44">
        <f t="shared" si="102"/>
        <v>2550</v>
      </c>
      <c r="G1333" s="20">
        <v>0.34754578593741187</v>
      </c>
      <c r="H1333" s="50"/>
      <c r="I1333" s="16"/>
      <c r="J1333" s="16"/>
      <c r="K1333" s="16"/>
      <c r="L1333" s="16"/>
      <c r="M1333" s="16">
        <v>1327</v>
      </c>
      <c r="N1333" s="16">
        <f t="shared" si="103"/>
        <v>0.47578909612625536</v>
      </c>
      <c r="O1333" s="16"/>
      <c r="P1333" s="16"/>
      <c r="Q1333" s="16">
        <f t="shared" si="104"/>
        <v>-6.0725036469574042E-2</v>
      </c>
    </row>
    <row r="1334" spans="4:17" ht="15" thickBot="1" x14ac:dyDescent="0.35">
      <c r="D1334" s="20">
        <f t="shared" si="100"/>
        <v>1328</v>
      </c>
      <c r="E1334" s="20">
        <f t="shared" si="101"/>
        <v>250</v>
      </c>
      <c r="F1334" s="20">
        <f t="shared" si="102"/>
        <v>2550</v>
      </c>
      <c r="G1334" s="20">
        <v>0.34756778895538853</v>
      </c>
      <c r="H1334" s="50"/>
      <c r="I1334" s="16"/>
      <c r="J1334" s="16"/>
      <c r="K1334" s="16"/>
      <c r="L1334" s="16"/>
      <c r="M1334" s="16">
        <v>1328</v>
      </c>
      <c r="N1334" s="16">
        <f t="shared" si="103"/>
        <v>0.47614777618364418</v>
      </c>
      <c r="O1334" s="16"/>
      <c r="P1334" s="16"/>
      <c r="Q1334" s="16">
        <f t="shared" si="104"/>
        <v>-5.9824324190495902E-2</v>
      </c>
    </row>
    <row r="1335" spans="4:17" ht="15" thickBot="1" x14ac:dyDescent="0.35">
      <c r="D1335" s="20">
        <f t="shared" si="100"/>
        <v>1329</v>
      </c>
      <c r="E1335" s="20">
        <f t="shared" si="101"/>
        <v>350</v>
      </c>
      <c r="F1335" s="20">
        <f t="shared" si="102"/>
        <v>2550</v>
      </c>
      <c r="G1335" s="20">
        <v>0.34757762296979455</v>
      </c>
      <c r="H1335" s="50"/>
      <c r="I1335" s="16"/>
      <c r="J1335" s="16"/>
      <c r="K1335" s="16"/>
      <c r="L1335" s="16"/>
      <c r="M1335" s="16">
        <v>1329</v>
      </c>
      <c r="N1335" s="16">
        <f t="shared" si="103"/>
        <v>0.47650645624103299</v>
      </c>
      <c r="O1335" s="16"/>
      <c r="P1335" s="16"/>
      <c r="Q1335" s="16">
        <f t="shared" si="104"/>
        <v>-5.8923660443246345E-2</v>
      </c>
    </row>
    <row r="1336" spans="4:17" ht="15" thickBot="1" x14ac:dyDescent="0.35">
      <c r="D1336" s="20">
        <f t="shared" si="100"/>
        <v>1330</v>
      </c>
      <c r="E1336" s="20">
        <f t="shared" si="101"/>
        <v>450</v>
      </c>
      <c r="F1336" s="20">
        <f t="shared" si="102"/>
        <v>2550</v>
      </c>
      <c r="G1336" s="20">
        <v>0.34769994228763806</v>
      </c>
      <c r="H1336" s="50"/>
      <c r="I1336" s="16"/>
      <c r="J1336" s="16"/>
      <c r="K1336" s="16"/>
      <c r="L1336" s="16"/>
      <c r="M1336" s="16">
        <v>1330</v>
      </c>
      <c r="N1336" s="16">
        <f t="shared" si="103"/>
        <v>0.47686513629842181</v>
      </c>
      <c r="O1336" s="16"/>
      <c r="P1336" s="16"/>
      <c r="Q1336" s="16">
        <f t="shared" si="104"/>
        <v>-5.8023044492059625E-2</v>
      </c>
    </row>
    <row r="1337" spans="4:17" ht="15" thickBot="1" x14ac:dyDescent="0.35">
      <c r="D1337" s="20">
        <f t="shared" si="100"/>
        <v>1331</v>
      </c>
      <c r="E1337" s="20">
        <f t="shared" si="101"/>
        <v>550</v>
      </c>
      <c r="F1337" s="20">
        <f t="shared" si="102"/>
        <v>2550</v>
      </c>
      <c r="G1337" s="20">
        <v>0.34779197297243042</v>
      </c>
      <c r="H1337" s="50"/>
      <c r="I1337" s="16"/>
      <c r="J1337" s="16"/>
      <c r="K1337" s="16"/>
      <c r="L1337" s="16"/>
      <c r="M1337" s="16">
        <v>1331</v>
      </c>
      <c r="N1337" s="16">
        <f t="shared" si="103"/>
        <v>0.47722381635581063</v>
      </c>
      <c r="O1337" s="16"/>
      <c r="P1337" s="16"/>
      <c r="Q1337" s="16">
        <f t="shared" si="104"/>
        <v>-5.7122475601442124E-2</v>
      </c>
    </row>
    <row r="1338" spans="4:17" ht="15" thickBot="1" x14ac:dyDescent="0.35">
      <c r="D1338" s="20">
        <f t="shared" si="100"/>
        <v>1332</v>
      </c>
      <c r="E1338" s="20">
        <f t="shared" si="101"/>
        <v>650</v>
      </c>
      <c r="F1338" s="20">
        <f t="shared" si="102"/>
        <v>2550</v>
      </c>
      <c r="G1338" s="20">
        <v>0.3479690527029794</v>
      </c>
      <c r="H1338" s="50"/>
      <c r="I1338" s="16"/>
      <c r="J1338" s="16"/>
      <c r="K1338" s="16"/>
      <c r="L1338" s="16"/>
      <c r="M1338" s="16">
        <v>1332</v>
      </c>
      <c r="N1338" s="16">
        <f t="shared" si="103"/>
        <v>0.47758249641319944</v>
      </c>
      <c r="O1338" s="16"/>
      <c r="P1338" s="16"/>
      <c r="Q1338" s="16">
        <f t="shared" si="104"/>
        <v>-5.6221953036168233E-2</v>
      </c>
    </row>
    <row r="1339" spans="4:17" ht="15" thickBot="1" x14ac:dyDescent="0.35">
      <c r="D1339" s="20">
        <f t="shared" si="100"/>
        <v>1333</v>
      </c>
      <c r="E1339" s="20">
        <f t="shared" si="101"/>
        <v>750</v>
      </c>
      <c r="F1339" s="20">
        <f t="shared" si="102"/>
        <v>2550</v>
      </c>
      <c r="G1339" s="20">
        <v>0.34820648370039275</v>
      </c>
      <c r="H1339" s="50"/>
      <c r="I1339" s="16"/>
      <c r="J1339" s="16"/>
      <c r="K1339" s="16"/>
      <c r="L1339" s="16"/>
      <c r="M1339" s="16">
        <v>1333</v>
      </c>
      <c r="N1339" s="16">
        <f t="shared" si="103"/>
        <v>0.47794117647058826</v>
      </c>
      <c r="O1339" s="16"/>
      <c r="P1339" s="16"/>
      <c r="Q1339" s="16">
        <f t="shared" si="104"/>
        <v>-5.532147606127609E-2</v>
      </c>
    </row>
    <row r="1340" spans="4:17" ht="15" thickBot="1" x14ac:dyDescent="0.35">
      <c r="D1340" s="20">
        <f t="shared" si="100"/>
        <v>1334</v>
      </c>
      <c r="E1340" s="45">
        <f t="shared" si="101"/>
        <v>850</v>
      </c>
      <c r="F1340" s="45">
        <f t="shared" si="102"/>
        <v>2550</v>
      </c>
      <c r="G1340" s="20">
        <v>0.34826188534869562</v>
      </c>
      <c r="H1340" s="50"/>
      <c r="I1340" s="16"/>
      <c r="J1340" s="16"/>
      <c r="K1340" s="16"/>
      <c r="L1340" s="16"/>
      <c r="M1340" s="16">
        <v>1334</v>
      </c>
      <c r="N1340" s="16">
        <f t="shared" si="103"/>
        <v>0.47829985652797702</v>
      </c>
      <c r="O1340" s="16"/>
      <c r="P1340" s="16"/>
      <c r="Q1340" s="16">
        <f t="shared" si="104"/>
        <v>-5.442104394206336E-2</v>
      </c>
    </row>
    <row r="1341" spans="4:17" ht="15" thickBot="1" x14ac:dyDescent="0.35">
      <c r="D1341" s="20">
        <f t="shared" si="100"/>
        <v>1335</v>
      </c>
      <c r="E1341" s="20">
        <f t="shared" si="101"/>
        <v>950</v>
      </c>
      <c r="F1341" s="20">
        <f t="shared" si="102"/>
        <v>2550</v>
      </c>
      <c r="G1341" s="20">
        <v>0.34827819320869779</v>
      </c>
      <c r="H1341" s="50"/>
      <c r="I1341" s="16"/>
      <c r="J1341" s="16"/>
      <c r="K1341" s="16"/>
      <c r="L1341" s="16"/>
      <c r="M1341" s="16">
        <v>1335</v>
      </c>
      <c r="N1341" s="16">
        <f t="shared" si="103"/>
        <v>0.47865853658536583</v>
      </c>
      <c r="O1341" s="16"/>
      <c r="P1341" s="16"/>
      <c r="Q1341" s="16">
        <f t="shared" si="104"/>
        <v>-5.3520655944082639E-2</v>
      </c>
    </row>
    <row r="1342" spans="4:17" ht="15" thickBot="1" x14ac:dyDescent="0.35">
      <c r="D1342" s="20">
        <f t="shared" si="100"/>
        <v>1336</v>
      </c>
      <c r="E1342" s="20">
        <f t="shared" si="101"/>
        <v>1050</v>
      </c>
      <c r="F1342" s="20">
        <f t="shared" si="102"/>
        <v>2550</v>
      </c>
      <c r="G1342" s="20">
        <v>0.34835864593446642</v>
      </c>
      <c r="H1342" s="50"/>
      <c r="I1342" s="16"/>
      <c r="J1342" s="16"/>
      <c r="K1342" s="16"/>
      <c r="L1342" s="16"/>
      <c r="M1342" s="16">
        <v>1336</v>
      </c>
      <c r="N1342" s="16">
        <f t="shared" si="103"/>
        <v>0.47901721664275465</v>
      </c>
      <c r="O1342" s="16"/>
      <c r="P1342" s="16"/>
      <c r="Q1342" s="16">
        <f t="shared" si="104"/>
        <v>-5.2620311333137923E-2</v>
      </c>
    </row>
    <row r="1343" spans="4:17" ht="15" thickBot="1" x14ac:dyDescent="0.35">
      <c r="D1343" s="20">
        <f t="shared" si="100"/>
        <v>1337</v>
      </c>
      <c r="E1343" s="20">
        <f t="shared" si="101"/>
        <v>1150</v>
      </c>
      <c r="F1343" s="20">
        <f t="shared" si="102"/>
        <v>2550</v>
      </c>
      <c r="G1343" s="20">
        <v>0.34837530843323938</v>
      </c>
      <c r="H1343" s="50"/>
      <c r="I1343" s="16"/>
      <c r="J1343" s="16"/>
      <c r="K1343" s="16"/>
      <c r="L1343" s="16"/>
      <c r="M1343" s="16">
        <v>1337</v>
      </c>
      <c r="N1343" s="16">
        <f t="shared" si="103"/>
        <v>0.47937589670014347</v>
      </c>
      <c r="O1343" s="16"/>
      <c r="P1343" s="16"/>
      <c r="Q1343" s="16">
        <f t="shared" si="104"/>
        <v>-5.1720009375279902E-2</v>
      </c>
    </row>
    <row r="1344" spans="4:17" ht="15" thickBot="1" x14ac:dyDescent="0.35">
      <c r="D1344" s="20">
        <f t="shared" si="100"/>
        <v>1338</v>
      </c>
      <c r="E1344" s="20">
        <f t="shared" si="101"/>
        <v>1250</v>
      </c>
      <c r="F1344" s="20">
        <f t="shared" si="102"/>
        <v>2550</v>
      </c>
      <c r="G1344" s="20">
        <v>0.34838235132618406</v>
      </c>
      <c r="H1344" s="50"/>
      <c r="I1344" s="16"/>
      <c r="J1344" s="16"/>
      <c r="K1344" s="16"/>
      <c r="L1344" s="16"/>
      <c r="M1344" s="16">
        <v>1338</v>
      </c>
      <c r="N1344" s="16">
        <f t="shared" si="103"/>
        <v>0.47973457675753228</v>
      </c>
      <c r="O1344" s="16"/>
      <c r="P1344" s="16"/>
      <c r="Q1344" s="16">
        <f t="shared" si="104"/>
        <v>-5.0819749336801848E-2</v>
      </c>
    </row>
    <row r="1345" spans="4:17" ht="15" thickBot="1" x14ac:dyDescent="0.35">
      <c r="D1345" s="20">
        <f t="shared" si="100"/>
        <v>1339</v>
      </c>
      <c r="E1345" s="20">
        <f t="shared" si="101"/>
        <v>1350</v>
      </c>
      <c r="F1345" s="20">
        <f t="shared" si="102"/>
        <v>2550</v>
      </c>
      <c r="G1345" s="20">
        <v>0.34845619325962573</v>
      </c>
      <c r="H1345" s="50"/>
      <c r="I1345" s="16"/>
      <c r="J1345" s="16"/>
      <c r="K1345" s="16"/>
      <c r="L1345" s="16"/>
      <c r="M1345" s="16">
        <v>1339</v>
      </c>
      <c r="N1345" s="16">
        <f t="shared" si="103"/>
        <v>0.4800932568149211</v>
      </c>
      <c r="O1345" s="16"/>
      <c r="P1345" s="16"/>
      <c r="Q1345" s="16">
        <f t="shared" si="104"/>
        <v>-4.9919530484235419E-2</v>
      </c>
    </row>
    <row r="1346" spans="4:17" ht="15" thickBot="1" x14ac:dyDescent="0.35">
      <c r="D1346" s="20">
        <f t="shared" si="100"/>
        <v>1340</v>
      </c>
      <c r="E1346" s="20">
        <f t="shared" si="101"/>
        <v>1450</v>
      </c>
      <c r="F1346" s="20">
        <f t="shared" si="102"/>
        <v>2550</v>
      </c>
      <c r="G1346" s="20">
        <v>0.3485855367378668</v>
      </c>
      <c r="H1346" s="50"/>
      <c r="I1346" s="16"/>
      <c r="J1346" s="16"/>
      <c r="K1346" s="16"/>
      <c r="L1346" s="16"/>
      <c r="M1346" s="16">
        <v>1340</v>
      </c>
      <c r="N1346" s="16">
        <f t="shared" si="103"/>
        <v>0.48045193687230991</v>
      </c>
      <c r="O1346" s="16"/>
      <c r="P1346" s="16"/>
      <c r="Q1346" s="16">
        <f t="shared" si="104"/>
        <v>-4.9019352084346428E-2</v>
      </c>
    </row>
    <row r="1347" spans="4:17" ht="15" thickBot="1" x14ac:dyDescent="0.35">
      <c r="D1347" s="20">
        <f t="shared" si="100"/>
        <v>1341</v>
      </c>
      <c r="E1347" s="20">
        <f t="shared" si="101"/>
        <v>1550</v>
      </c>
      <c r="F1347" s="20">
        <f t="shared" si="102"/>
        <v>2550</v>
      </c>
      <c r="G1347" s="20">
        <v>0.3486217222541797</v>
      </c>
      <c r="H1347" s="50"/>
      <c r="I1347" s="16"/>
      <c r="J1347" s="16"/>
      <c r="K1347" s="16"/>
      <c r="L1347" s="16"/>
      <c r="M1347" s="16">
        <v>1341</v>
      </c>
      <c r="N1347" s="16">
        <f t="shared" si="103"/>
        <v>0.48081061692969873</v>
      </c>
      <c r="O1347" s="16"/>
      <c r="P1347" s="16"/>
      <c r="Q1347" s="16">
        <f t="shared" si="104"/>
        <v>-4.8119213404130633E-2</v>
      </c>
    </row>
    <row r="1348" spans="4:17" ht="15" thickBot="1" x14ac:dyDescent="0.35">
      <c r="D1348" s="20">
        <f t="shared" si="100"/>
        <v>1342</v>
      </c>
      <c r="E1348" s="20">
        <f t="shared" si="101"/>
        <v>1650</v>
      </c>
      <c r="F1348" s="20">
        <f t="shared" si="102"/>
        <v>2550</v>
      </c>
      <c r="G1348" s="20">
        <v>0.3487466800985346</v>
      </c>
      <c r="H1348" s="50"/>
      <c r="I1348" s="16"/>
      <c r="J1348" s="16"/>
      <c r="K1348" s="16"/>
      <c r="L1348" s="16"/>
      <c r="M1348" s="16">
        <v>1342</v>
      </c>
      <c r="N1348" s="16">
        <f t="shared" si="103"/>
        <v>0.48116929698708749</v>
      </c>
      <c r="O1348" s="16"/>
      <c r="P1348" s="16"/>
      <c r="Q1348" s="16">
        <f t="shared" si="104"/>
        <v>-4.7219113710809717E-2</v>
      </c>
    </row>
    <row r="1349" spans="4:17" ht="15" thickBot="1" x14ac:dyDescent="0.35">
      <c r="D1349" s="20">
        <f t="shared" si="100"/>
        <v>1343</v>
      </c>
      <c r="E1349" s="20">
        <f t="shared" si="101"/>
        <v>1750</v>
      </c>
      <c r="F1349" s="20">
        <f t="shared" si="102"/>
        <v>2550</v>
      </c>
      <c r="G1349" s="20">
        <v>0.34877238938174843</v>
      </c>
      <c r="H1349" s="50"/>
      <c r="I1349" s="16"/>
      <c r="J1349" s="16"/>
      <c r="K1349" s="16"/>
      <c r="L1349" s="16"/>
      <c r="M1349" s="16">
        <v>1343</v>
      </c>
      <c r="N1349" s="16">
        <f t="shared" si="103"/>
        <v>0.48152797704447631</v>
      </c>
      <c r="O1349" s="16"/>
      <c r="P1349" s="16"/>
      <c r="Q1349" s="16">
        <f t="shared" si="104"/>
        <v>-4.6319052271826484E-2</v>
      </c>
    </row>
    <row r="1350" spans="4:17" ht="15" thickBot="1" x14ac:dyDescent="0.35">
      <c r="D1350" s="20">
        <f t="shared" si="100"/>
        <v>1344</v>
      </c>
      <c r="E1350" s="20">
        <f t="shared" si="101"/>
        <v>1850</v>
      </c>
      <c r="F1350" s="20">
        <f t="shared" si="102"/>
        <v>2550</v>
      </c>
      <c r="G1350" s="20">
        <v>0.34879440343874929</v>
      </c>
      <c r="H1350" s="50"/>
      <c r="I1350" s="16"/>
      <c r="J1350" s="16"/>
      <c r="K1350" s="16"/>
      <c r="L1350" s="16"/>
      <c r="M1350" s="16">
        <v>1344</v>
      </c>
      <c r="N1350" s="16">
        <f t="shared" si="103"/>
        <v>0.48188665710186512</v>
      </c>
      <c r="O1350" s="16"/>
      <c r="P1350" s="16"/>
      <c r="Q1350" s="16">
        <f t="shared" si="104"/>
        <v>-4.5419028354841511E-2</v>
      </c>
    </row>
    <row r="1351" spans="4:17" ht="15" thickBot="1" x14ac:dyDescent="0.35">
      <c r="D1351" s="20">
        <f t="shared" ref="D1351:D1414" si="105">ROW()-6</f>
        <v>1345</v>
      </c>
      <c r="E1351" s="20">
        <f t="shared" ref="E1351:E1414" si="106">(MOD(D1351-1,53)*100)+50</f>
        <v>1950</v>
      </c>
      <c r="F1351" s="20">
        <f t="shared" ref="F1351:F1414" si="107">FLOOR((D1351-1)/53,1)*100+50</f>
        <v>2550</v>
      </c>
      <c r="G1351" s="20">
        <v>0.34882415102923897</v>
      </c>
      <c r="H1351" s="50"/>
      <c r="I1351" s="16"/>
      <c r="J1351" s="16"/>
      <c r="K1351" s="16"/>
      <c r="L1351" s="16"/>
      <c r="M1351" s="16">
        <v>1345</v>
      </c>
      <c r="N1351" s="16">
        <f t="shared" si="103"/>
        <v>0.48224533715925394</v>
      </c>
      <c r="O1351" s="16"/>
      <c r="P1351" s="16"/>
      <c r="Q1351" s="16">
        <f t="shared" si="104"/>
        <v>-4.4519041227728401E-2</v>
      </c>
    </row>
    <row r="1352" spans="4:17" ht="15" thickBot="1" x14ac:dyDescent="0.35">
      <c r="D1352" s="20">
        <f t="shared" si="105"/>
        <v>1346</v>
      </c>
      <c r="E1352" s="20">
        <f t="shared" si="106"/>
        <v>2050</v>
      </c>
      <c r="F1352" s="20">
        <f t="shared" si="107"/>
        <v>2550</v>
      </c>
      <c r="G1352" s="20">
        <v>0.34884558201142357</v>
      </c>
      <c r="H1352" s="50"/>
      <c r="I1352" s="16"/>
      <c r="J1352" s="16"/>
      <c r="K1352" s="16"/>
      <c r="L1352" s="16"/>
      <c r="M1352" s="16">
        <v>1346</v>
      </c>
      <c r="N1352" s="16">
        <f t="shared" ref="N1352:N1415" si="108">(M1352-0.5)/$L$7</f>
        <v>0.48260401721664276</v>
      </c>
      <c r="O1352" s="16"/>
      <c r="P1352" s="16"/>
      <c r="Q1352" s="16">
        <f t="shared" ref="Q1352:Q1415" si="109">_xlfn.NORM.S.INV(N1352)</f>
        <v>-4.3619090158569712E-2</v>
      </c>
    </row>
    <row r="1353" spans="4:17" ht="15" thickBot="1" x14ac:dyDescent="0.35">
      <c r="D1353" s="20">
        <f t="shared" si="105"/>
        <v>1347</v>
      </c>
      <c r="E1353" s="20">
        <f t="shared" si="106"/>
        <v>2150</v>
      </c>
      <c r="F1353" s="20">
        <f t="shared" si="107"/>
        <v>2550</v>
      </c>
      <c r="G1353" s="20">
        <v>0.34886106990213284</v>
      </c>
      <c r="H1353" s="50"/>
      <c r="I1353" s="16"/>
      <c r="J1353" s="16"/>
      <c r="K1353" s="16"/>
      <c r="L1353" s="16"/>
      <c r="M1353" s="16">
        <v>1347</v>
      </c>
      <c r="N1353" s="16">
        <f t="shared" si="108"/>
        <v>0.48296269727403157</v>
      </c>
      <c r="O1353" s="16"/>
      <c r="P1353" s="16"/>
      <c r="Q1353" s="16">
        <f t="shared" si="109"/>
        <v>-4.2719174415652802E-2</v>
      </c>
    </row>
    <row r="1354" spans="4:17" ht="15" thickBot="1" x14ac:dyDescent="0.35">
      <c r="D1354" s="20">
        <f t="shared" si="105"/>
        <v>1348</v>
      </c>
      <c r="E1354" s="20">
        <f t="shared" si="106"/>
        <v>2250</v>
      </c>
      <c r="F1354" s="20">
        <f t="shared" si="107"/>
        <v>2550</v>
      </c>
      <c r="G1354" s="20">
        <v>0.34889353497100806</v>
      </c>
      <c r="H1354" s="50"/>
      <c r="I1354" s="16"/>
      <c r="J1354" s="16"/>
      <c r="K1354" s="16"/>
      <c r="L1354" s="16"/>
      <c r="M1354" s="16">
        <v>1348</v>
      </c>
      <c r="N1354" s="16">
        <f t="shared" si="108"/>
        <v>0.48332137733142039</v>
      </c>
      <c r="O1354" s="16"/>
      <c r="P1354" s="16"/>
      <c r="Q1354" s="16">
        <f t="shared" si="109"/>
        <v>-4.181929326746564E-2</v>
      </c>
    </row>
    <row r="1355" spans="4:17" ht="15" thickBot="1" x14ac:dyDescent="0.35">
      <c r="D1355" s="20">
        <f t="shared" si="105"/>
        <v>1349</v>
      </c>
      <c r="E1355" s="20">
        <f t="shared" si="106"/>
        <v>2350</v>
      </c>
      <c r="F1355" s="20">
        <f t="shared" si="107"/>
        <v>2550</v>
      </c>
      <c r="G1355" s="20">
        <v>0.34903868013918754</v>
      </c>
      <c r="H1355" s="50"/>
      <c r="I1355" s="16"/>
      <c r="J1355" s="16"/>
      <c r="K1355" s="16"/>
      <c r="L1355" s="16"/>
      <c r="M1355" s="16">
        <v>1349</v>
      </c>
      <c r="N1355" s="16">
        <f t="shared" si="108"/>
        <v>0.4836800573888092</v>
      </c>
      <c r="O1355" s="16"/>
      <c r="P1355" s="16"/>
      <c r="Q1355" s="16">
        <f t="shared" si="109"/>
        <v>-4.0919445982692572E-2</v>
      </c>
    </row>
    <row r="1356" spans="4:17" ht="15" thickBot="1" x14ac:dyDescent="0.35">
      <c r="D1356" s="20">
        <f t="shared" si="105"/>
        <v>1350</v>
      </c>
      <c r="E1356" s="20">
        <f t="shared" si="106"/>
        <v>2450</v>
      </c>
      <c r="F1356" s="20">
        <f t="shared" si="107"/>
        <v>2550</v>
      </c>
      <c r="G1356" s="20">
        <v>0.34907999329216566</v>
      </c>
      <c r="H1356" s="50"/>
      <c r="I1356" s="16"/>
      <c r="J1356" s="16"/>
      <c r="K1356" s="16"/>
      <c r="L1356" s="16"/>
      <c r="M1356" s="16">
        <v>1350</v>
      </c>
      <c r="N1356" s="16">
        <f t="shared" si="108"/>
        <v>0.48403873744619796</v>
      </c>
      <c r="O1356" s="16"/>
      <c r="P1356" s="16"/>
      <c r="Q1356" s="16">
        <f t="shared" si="109"/>
        <v>-4.0019631830210331E-2</v>
      </c>
    </row>
    <row r="1357" spans="4:17" ht="15" thickBot="1" x14ac:dyDescent="0.35">
      <c r="D1357" s="20">
        <f t="shared" si="105"/>
        <v>1351</v>
      </c>
      <c r="E1357" s="20">
        <f t="shared" si="106"/>
        <v>2550</v>
      </c>
      <c r="F1357" s="20">
        <f t="shared" si="107"/>
        <v>2550</v>
      </c>
      <c r="G1357" s="20">
        <v>0.34910258714576115</v>
      </c>
      <c r="H1357" s="50"/>
      <c r="I1357" s="16"/>
      <c r="J1357" s="16"/>
      <c r="K1357" s="16"/>
      <c r="L1357" s="16"/>
      <c r="M1357" s="16">
        <v>1351</v>
      </c>
      <c r="N1357" s="16">
        <f t="shared" si="108"/>
        <v>0.48439741750358678</v>
      </c>
      <c r="O1357" s="16"/>
      <c r="P1357" s="16"/>
      <c r="Q1357" s="16">
        <f t="shared" si="109"/>
        <v>-3.9119850079083321E-2</v>
      </c>
    </row>
    <row r="1358" spans="4:17" ht="15" thickBot="1" x14ac:dyDescent="0.35">
      <c r="D1358" s="20">
        <f t="shared" si="105"/>
        <v>1352</v>
      </c>
      <c r="E1358" s="20">
        <f t="shared" si="106"/>
        <v>2650</v>
      </c>
      <c r="F1358" s="20">
        <f t="shared" si="107"/>
        <v>2550</v>
      </c>
      <c r="G1358" s="20">
        <v>0.34913397547850872</v>
      </c>
      <c r="H1358" s="50"/>
      <c r="I1358" s="16"/>
      <c r="J1358" s="16"/>
      <c r="K1358" s="16"/>
      <c r="L1358" s="16"/>
      <c r="M1358" s="16">
        <v>1352</v>
      </c>
      <c r="N1358" s="16">
        <f t="shared" si="108"/>
        <v>0.4847560975609756</v>
      </c>
      <c r="O1358" s="16"/>
      <c r="P1358" s="16"/>
      <c r="Q1358" s="16">
        <f t="shared" si="109"/>
        <v>-3.82200999985602E-2</v>
      </c>
    </row>
    <row r="1359" spans="4:17" ht="15" thickBot="1" x14ac:dyDescent="0.35">
      <c r="D1359" s="20">
        <f t="shared" si="105"/>
        <v>1353</v>
      </c>
      <c r="E1359" s="44">
        <f t="shared" si="106"/>
        <v>2750</v>
      </c>
      <c r="F1359" s="44">
        <f t="shared" si="107"/>
        <v>2550</v>
      </c>
      <c r="G1359" s="20">
        <v>0.34914198387823348</v>
      </c>
      <c r="H1359" s="50"/>
      <c r="I1359" s="16"/>
      <c r="J1359" s="16"/>
      <c r="K1359" s="16"/>
      <c r="L1359" s="16"/>
      <c r="M1359" s="16">
        <v>1353</v>
      </c>
      <c r="N1359" s="16">
        <f t="shared" si="108"/>
        <v>0.48511477761836441</v>
      </c>
      <c r="O1359" s="16"/>
      <c r="P1359" s="16"/>
      <c r="Q1359" s="16">
        <f t="shared" si="109"/>
        <v>-3.7320380858069255E-2</v>
      </c>
    </row>
    <row r="1360" spans="4:17" ht="15" thickBot="1" x14ac:dyDescent="0.35">
      <c r="D1360" s="20">
        <f t="shared" si="105"/>
        <v>1354</v>
      </c>
      <c r="E1360" s="43">
        <f t="shared" si="106"/>
        <v>2850</v>
      </c>
      <c r="F1360" s="43">
        <f t="shared" si="107"/>
        <v>2550</v>
      </c>
      <c r="G1360" s="20">
        <v>0.34920710300340008</v>
      </c>
      <c r="H1360" s="50"/>
      <c r="I1360" s="16"/>
      <c r="J1360" s="16"/>
      <c r="K1360" s="16"/>
      <c r="L1360" s="16"/>
      <c r="M1360" s="16">
        <v>1354</v>
      </c>
      <c r="N1360" s="16">
        <f t="shared" si="108"/>
        <v>0.48547345767575323</v>
      </c>
      <c r="O1360" s="16"/>
      <c r="P1360" s="16"/>
      <c r="Q1360" s="16">
        <f t="shared" si="109"/>
        <v>-3.6420691927214283E-2</v>
      </c>
    </row>
    <row r="1361" spans="4:17" ht="15" thickBot="1" x14ac:dyDescent="0.35">
      <c r="D1361" s="20">
        <f t="shared" si="105"/>
        <v>1355</v>
      </c>
      <c r="E1361" s="20">
        <f t="shared" si="106"/>
        <v>2950</v>
      </c>
      <c r="F1361" s="20">
        <f t="shared" si="107"/>
        <v>2550</v>
      </c>
      <c r="G1361" s="20">
        <v>0.3492231198591092</v>
      </c>
      <c r="H1361" s="50"/>
      <c r="I1361" s="16"/>
      <c r="J1361" s="16"/>
      <c r="K1361" s="16"/>
      <c r="L1361" s="16"/>
      <c r="M1361" s="16">
        <v>1355</v>
      </c>
      <c r="N1361" s="16">
        <f t="shared" si="108"/>
        <v>0.48583213773314204</v>
      </c>
      <c r="O1361" s="16"/>
      <c r="P1361" s="16"/>
      <c r="Q1361" s="16">
        <f t="shared" si="109"/>
        <v>-3.5521032475770452E-2</v>
      </c>
    </row>
    <row r="1362" spans="4:17" ht="15" thickBot="1" x14ac:dyDescent="0.35">
      <c r="D1362" s="20">
        <f t="shared" si="105"/>
        <v>1356</v>
      </c>
      <c r="E1362" s="20">
        <f t="shared" si="106"/>
        <v>3050</v>
      </c>
      <c r="F1362" s="20">
        <f t="shared" si="107"/>
        <v>2550</v>
      </c>
      <c r="G1362" s="20">
        <v>0.34923482185694327</v>
      </c>
      <c r="H1362" s="50"/>
      <c r="I1362" s="16"/>
      <c r="J1362" s="16"/>
      <c r="K1362" s="16"/>
      <c r="L1362" s="16"/>
      <c r="M1362" s="16">
        <v>1356</v>
      </c>
      <c r="N1362" s="16">
        <f t="shared" si="108"/>
        <v>0.48619081779053086</v>
      </c>
      <c r="O1362" s="16"/>
      <c r="P1362" s="16"/>
      <c r="Q1362" s="16">
        <f t="shared" si="109"/>
        <v>-3.4621401773680185E-2</v>
      </c>
    </row>
    <row r="1363" spans="4:17" ht="15" thickBot="1" x14ac:dyDescent="0.35">
      <c r="D1363" s="20">
        <f t="shared" si="105"/>
        <v>1357</v>
      </c>
      <c r="E1363" s="20">
        <f t="shared" si="106"/>
        <v>3150</v>
      </c>
      <c r="F1363" s="20">
        <f t="shared" si="107"/>
        <v>2550</v>
      </c>
      <c r="G1363" s="20">
        <v>0.34923761209404419</v>
      </c>
      <c r="H1363" s="50"/>
      <c r="I1363" s="16"/>
      <c r="J1363" s="16"/>
      <c r="K1363" s="16"/>
      <c r="L1363" s="16"/>
      <c r="M1363" s="16">
        <v>1357</v>
      </c>
      <c r="N1363" s="16">
        <f t="shared" si="108"/>
        <v>0.48654949784791968</v>
      </c>
      <c r="O1363" s="16"/>
      <c r="P1363" s="16"/>
      <c r="Q1363" s="16">
        <f t="shared" si="109"/>
        <v>-3.372179909104895E-2</v>
      </c>
    </row>
    <row r="1364" spans="4:17" ht="15" thickBot="1" x14ac:dyDescent="0.35">
      <c r="D1364" s="20">
        <f t="shared" si="105"/>
        <v>1358</v>
      </c>
      <c r="E1364" s="20">
        <f t="shared" si="106"/>
        <v>3250</v>
      </c>
      <c r="F1364" s="20">
        <f t="shared" si="107"/>
        <v>2550</v>
      </c>
      <c r="G1364" s="20">
        <v>0.34926417389581244</v>
      </c>
      <c r="H1364" s="50"/>
      <c r="I1364" s="16"/>
      <c r="J1364" s="16"/>
      <c r="K1364" s="16"/>
      <c r="L1364" s="16"/>
      <c r="M1364" s="16">
        <v>1358</v>
      </c>
      <c r="N1364" s="16">
        <f t="shared" si="108"/>
        <v>0.48690817790530849</v>
      </c>
      <c r="O1364" s="16"/>
      <c r="P1364" s="16"/>
      <c r="Q1364" s="16">
        <f t="shared" si="109"/>
        <v>-3.2822223698141084E-2</v>
      </c>
    </row>
    <row r="1365" spans="4:17" ht="15" thickBot="1" x14ac:dyDescent="0.35">
      <c r="D1365" s="20">
        <f t="shared" si="105"/>
        <v>1359</v>
      </c>
      <c r="E1365" s="20">
        <f t="shared" si="106"/>
        <v>3350</v>
      </c>
      <c r="F1365" s="20">
        <f t="shared" si="107"/>
        <v>2550</v>
      </c>
      <c r="G1365" s="20">
        <v>0.34926652685983323</v>
      </c>
      <c r="H1365" s="50"/>
      <c r="I1365" s="16"/>
      <c r="J1365" s="16"/>
      <c r="K1365" s="16"/>
      <c r="L1365" s="16"/>
      <c r="M1365" s="16">
        <v>1359</v>
      </c>
      <c r="N1365" s="16">
        <f t="shared" si="108"/>
        <v>0.48726685796269725</v>
      </c>
      <c r="O1365" s="16"/>
      <c r="P1365" s="16"/>
      <c r="Q1365" s="16">
        <f t="shared" si="109"/>
        <v>-3.1922674865375852E-2</v>
      </c>
    </row>
    <row r="1366" spans="4:17" ht="15" thickBot="1" x14ac:dyDescent="0.35">
      <c r="D1366" s="20">
        <f t="shared" si="105"/>
        <v>1360</v>
      </c>
      <c r="E1366" s="20">
        <f t="shared" si="106"/>
        <v>3450</v>
      </c>
      <c r="F1366" s="20">
        <f t="shared" si="107"/>
        <v>2550</v>
      </c>
      <c r="G1366" s="20">
        <v>0.34932678303973957</v>
      </c>
      <c r="H1366" s="50"/>
      <c r="I1366" s="16"/>
      <c r="J1366" s="16"/>
      <c r="K1366" s="16"/>
      <c r="L1366" s="16"/>
      <c r="M1366" s="16">
        <v>1360</v>
      </c>
      <c r="N1366" s="16">
        <f t="shared" si="108"/>
        <v>0.48762553802008607</v>
      </c>
      <c r="O1366" s="16"/>
      <c r="P1366" s="16"/>
      <c r="Q1366" s="16">
        <f t="shared" si="109"/>
        <v>-3.1023151863322655E-2</v>
      </c>
    </row>
    <row r="1367" spans="4:17" ht="15" thickBot="1" x14ac:dyDescent="0.35">
      <c r="D1367" s="20">
        <f t="shared" si="105"/>
        <v>1361</v>
      </c>
      <c r="E1367" s="20">
        <f t="shared" si="106"/>
        <v>3550</v>
      </c>
      <c r="F1367" s="20">
        <f t="shared" si="107"/>
        <v>2550</v>
      </c>
      <c r="G1367" s="20">
        <v>0.3493395030511095</v>
      </c>
      <c r="H1367" s="50"/>
      <c r="I1367" s="16"/>
      <c r="J1367" s="16"/>
      <c r="K1367" s="16"/>
      <c r="L1367" s="16"/>
      <c r="M1367" s="16">
        <v>1361</v>
      </c>
      <c r="N1367" s="16">
        <f t="shared" si="108"/>
        <v>0.48798421807747488</v>
      </c>
      <c r="O1367" s="16"/>
      <c r="P1367" s="16"/>
      <c r="Q1367" s="16">
        <f t="shared" si="109"/>
        <v>-3.0123653962697755E-2</v>
      </c>
    </row>
    <row r="1368" spans="4:17" ht="15" thickBot="1" x14ac:dyDescent="0.35">
      <c r="D1368" s="20">
        <f t="shared" si="105"/>
        <v>1362</v>
      </c>
      <c r="E1368" s="20">
        <f t="shared" si="106"/>
        <v>3650</v>
      </c>
      <c r="F1368" s="20">
        <f t="shared" si="107"/>
        <v>2550</v>
      </c>
      <c r="G1368" s="20">
        <v>0.34944896706452705</v>
      </c>
      <c r="H1368" s="50"/>
      <c r="I1368" s="16"/>
      <c r="J1368" s="16"/>
      <c r="K1368" s="16"/>
      <c r="L1368" s="16"/>
      <c r="M1368" s="16">
        <v>1362</v>
      </c>
      <c r="N1368" s="16">
        <f t="shared" si="108"/>
        <v>0.4883428981348637</v>
      </c>
      <c r="O1368" s="16"/>
      <c r="P1368" s="16"/>
      <c r="Q1368" s="16">
        <f t="shared" si="109"/>
        <v>-2.9224180434359572E-2</v>
      </c>
    </row>
    <row r="1369" spans="4:17" ht="15" thickBot="1" x14ac:dyDescent="0.35">
      <c r="D1369" s="20">
        <f t="shared" si="105"/>
        <v>1363</v>
      </c>
      <c r="E1369" s="20">
        <f t="shared" si="106"/>
        <v>3750</v>
      </c>
      <c r="F1369" s="20">
        <f t="shared" si="107"/>
        <v>2550</v>
      </c>
      <c r="G1369" s="20">
        <v>0.34947212120955662</v>
      </c>
      <c r="H1369" s="50"/>
      <c r="I1369" s="16"/>
      <c r="J1369" s="16"/>
      <c r="K1369" s="16"/>
      <c r="L1369" s="16"/>
      <c r="M1369" s="16">
        <v>1363</v>
      </c>
      <c r="N1369" s="16">
        <f t="shared" si="108"/>
        <v>0.48870157819225252</v>
      </c>
      <c r="O1369" s="16"/>
      <c r="P1369" s="16"/>
      <c r="Q1369" s="16">
        <f t="shared" si="109"/>
        <v>-2.832473054930466E-2</v>
      </c>
    </row>
    <row r="1370" spans="4:17" ht="15" thickBot="1" x14ac:dyDescent="0.35">
      <c r="D1370" s="20">
        <f t="shared" si="105"/>
        <v>1364</v>
      </c>
      <c r="E1370" s="20">
        <f t="shared" si="106"/>
        <v>3850</v>
      </c>
      <c r="F1370" s="20">
        <f t="shared" si="107"/>
        <v>2550</v>
      </c>
      <c r="G1370" s="20">
        <v>0.34959427287501477</v>
      </c>
      <c r="H1370" s="50"/>
      <c r="I1370" s="16"/>
      <c r="J1370" s="16"/>
      <c r="K1370" s="16"/>
      <c r="L1370" s="16"/>
      <c r="M1370" s="16">
        <v>1364</v>
      </c>
      <c r="N1370" s="16">
        <f t="shared" si="108"/>
        <v>0.48906025824964133</v>
      </c>
      <c r="O1370" s="16"/>
      <c r="P1370" s="16"/>
      <c r="Q1370" s="16">
        <f t="shared" si="109"/>
        <v>-2.742530357866358E-2</v>
      </c>
    </row>
    <row r="1371" spans="4:17" ht="15" thickBot="1" x14ac:dyDescent="0.35">
      <c r="D1371" s="20">
        <f t="shared" si="105"/>
        <v>1365</v>
      </c>
      <c r="E1371" s="20">
        <f t="shared" si="106"/>
        <v>3950</v>
      </c>
      <c r="F1371" s="20">
        <f t="shared" si="107"/>
        <v>2550</v>
      </c>
      <c r="G1371" s="20">
        <v>0.34962603180903246</v>
      </c>
      <c r="H1371" s="50"/>
      <c r="I1371" s="16"/>
      <c r="J1371" s="16"/>
      <c r="K1371" s="16"/>
      <c r="L1371" s="16"/>
      <c r="M1371" s="16">
        <v>1365</v>
      </c>
      <c r="N1371" s="16">
        <f t="shared" si="108"/>
        <v>0.48941893830703015</v>
      </c>
      <c r="O1371" s="16"/>
      <c r="P1371" s="16"/>
      <c r="Q1371" s="16">
        <f t="shared" si="109"/>
        <v>-2.6525898793696732E-2</v>
      </c>
    </row>
    <row r="1372" spans="4:17" ht="15" thickBot="1" x14ac:dyDescent="0.35">
      <c r="D1372" s="20">
        <f t="shared" si="105"/>
        <v>1366</v>
      </c>
      <c r="E1372" s="20">
        <f t="shared" si="106"/>
        <v>4050</v>
      </c>
      <c r="F1372" s="20">
        <f t="shared" si="107"/>
        <v>2550</v>
      </c>
      <c r="G1372" s="20">
        <v>0.34964356116519563</v>
      </c>
      <c r="H1372" s="50"/>
      <c r="I1372" s="16"/>
      <c r="J1372" s="16"/>
      <c r="K1372" s="16"/>
      <c r="L1372" s="16"/>
      <c r="M1372" s="16">
        <v>1366</v>
      </c>
      <c r="N1372" s="16">
        <f t="shared" si="108"/>
        <v>0.48977761836441897</v>
      </c>
      <c r="O1372" s="16"/>
      <c r="P1372" s="16"/>
      <c r="Q1372" s="16">
        <f t="shared" si="109"/>
        <v>-2.5626515465790221E-2</v>
      </c>
    </row>
    <row r="1373" spans="4:17" ht="15" thickBot="1" x14ac:dyDescent="0.35">
      <c r="D1373" s="20">
        <f t="shared" si="105"/>
        <v>1367</v>
      </c>
      <c r="E1373" s="20">
        <f t="shared" si="106"/>
        <v>4150</v>
      </c>
      <c r="F1373" s="20">
        <f t="shared" si="107"/>
        <v>2550</v>
      </c>
      <c r="G1373" s="20">
        <v>0.34977764803121092</v>
      </c>
      <c r="H1373" s="50"/>
      <c r="I1373" s="16"/>
      <c r="J1373" s="16"/>
      <c r="K1373" s="16"/>
      <c r="L1373" s="16"/>
      <c r="M1373" s="16">
        <v>1367</v>
      </c>
      <c r="N1373" s="16">
        <f t="shared" si="108"/>
        <v>0.49013629842180773</v>
      </c>
      <c r="O1373" s="16"/>
      <c r="P1373" s="16"/>
      <c r="Q1373" s="16">
        <f t="shared" si="109"/>
        <v>-2.4727152866451878E-2</v>
      </c>
    </row>
    <row r="1374" spans="4:17" ht="15" thickBot="1" x14ac:dyDescent="0.35">
      <c r="D1374" s="20">
        <f t="shared" si="105"/>
        <v>1368</v>
      </c>
      <c r="E1374" s="20">
        <f t="shared" si="106"/>
        <v>4250</v>
      </c>
      <c r="F1374" s="20">
        <f t="shared" si="107"/>
        <v>2550</v>
      </c>
      <c r="G1374" s="20">
        <v>0.34981095908348814</v>
      </c>
      <c r="H1374" s="50"/>
      <c r="I1374" s="16"/>
      <c r="J1374" s="16"/>
      <c r="K1374" s="16"/>
      <c r="L1374" s="16"/>
      <c r="M1374" s="16">
        <v>1368</v>
      </c>
      <c r="N1374" s="16">
        <f t="shared" si="108"/>
        <v>0.49049497847919654</v>
      </c>
      <c r="O1374" s="16"/>
      <c r="P1374" s="16"/>
      <c r="Q1374" s="16">
        <f t="shared" si="109"/>
        <v>-2.3827810267306546E-2</v>
      </c>
    </row>
    <row r="1375" spans="4:17" ht="15" thickBot="1" x14ac:dyDescent="0.35">
      <c r="D1375" s="20">
        <f t="shared" si="105"/>
        <v>1369</v>
      </c>
      <c r="E1375" s="20">
        <f t="shared" si="106"/>
        <v>4350</v>
      </c>
      <c r="F1375" s="20">
        <f t="shared" si="107"/>
        <v>2550</v>
      </c>
      <c r="G1375" s="20">
        <v>0.34982941528850148</v>
      </c>
      <c r="H1375" s="50"/>
      <c r="I1375" s="16"/>
      <c r="J1375" s="16"/>
      <c r="K1375" s="16"/>
      <c r="L1375" s="16"/>
      <c r="M1375" s="16">
        <v>1369</v>
      </c>
      <c r="N1375" s="16">
        <f t="shared" si="108"/>
        <v>0.49085365853658536</v>
      </c>
      <c r="O1375" s="16"/>
      <c r="P1375" s="16"/>
      <c r="Q1375" s="16">
        <f t="shared" si="109"/>
        <v>-2.2928486940092779E-2</v>
      </c>
    </row>
    <row r="1376" spans="4:17" ht="15" thickBot="1" x14ac:dyDescent="0.35">
      <c r="D1376" s="20">
        <f t="shared" si="105"/>
        <v>1370</v>
      </c>
      <c r="E1376" s="20">
        <f t="shared" si="106"/>
        <v>4450</v>
      </c>
      <c r="F1376" s="20">
        <f t="shared" si="107"/>
        <v>2550</v>
      </c>
      <c r="G1376" s="20">
        <v>0.34985272125000855</v>
      </c>
      <c r="H1376" s="50"/>
      <c r="I1376" s="16"/>
      <c r="J1376" s="16"/>
      <c r="K1376" s="16"/>
      <c r="L1376" s="16"/>
      <c r="M1376" s="16">
        <v>1370</v>
      </c>
      <c r="N1376" s="16">
        <f t="shared" si="108"/>
        <v>0.49121233859397417</v>
      </c>
      <c r="O1376" s="16"/>
      <c r="P1376" s="16"/>
      <c r="Q1376" s="16">
        <f t="shared" si="109"/>
        <v>-2.2029182156658163E-2</v>
      </c>
    </row>
    <row r="1377" spans="4:17" ht="15" thickBot="1" x14ac:dyDescent="0.35">
      <c r="D1377" s="20">
        <f t="shared" si="105"/>
        <v>1371</v>
      </c>
      <c r="E1377" s="20">
        <f t="shared" si="106"/>
        <v>4550</v>
      </c>
      <c r="F1377" s="20">
        <f t="shared" si="107"/>
        <v>2550</v>
      </c>
      <c r="G1377" s="20">
        <v>0.34986438530427816</v>
      </c>
      <c r="H1377" s="50"/>
      <c r="I1377" s="16"/>
      <c r="J1377" s="16"/>
      <c r="K1377" s="16"/>
      <c r="L1377" s="16"/>
      <c r="M1377" s="16">
        <v>1371</v>
      </c>
      <c r="N1377" s="16">
        <f t="shared" si="108"/>
        <v>0.49157101865136299</v>
      </c>
      <c r="O1377" s="16"/>
      <c r="P1377" s="16"/>
      <c r="Q1377" s="16">
        <f t="shared" si="109"/>
        <v>-2.1129895188955299E-2</v>
      </c>
    </row>
    <row r="1378" spans="4:17" ht="15" thickBot="1" x14ac:dyDescent="0.35">
      <c r="D1378" s="20">
        <f t="shared" si="105"/>
        <v>1372</v>
      </c>
      <c r="E1378" s="20">
        <f t="shared" si="106"/>
        <v>4650</v>
      </c>
      <c r="F1378" s="20">
        <f t="shared" si="107"/>
        <v>2550</v>
      </c>
      <c r="G1378" s="20">
        <v>0.3498738607590936</v>
      </c>
      <c r="H1378" s="50"/>
      <c r="I1378" s="16"/>
      <c r="J1378" s="16"/>
      <c r="K1378" s="16"/>
      <c r="L1378" s="16"/>
      <c r="M1378" s="16">
        <v>1372</v>
      </c>
      <c r="N1378" s="16">
        <f t="shared" si="108"/>
        <v>0.49192969870875181</v>
      </c>
      <c r="O1378" s="16"/>
      <c r="P1378" s="16"/>
      <c r="Q1378" s="16">
        <f t="shared" si="109"/>
        <v>-2.02306253090377E-2</v>
      </c>
    </row>
    <row r="1379" spans="4:17" ht="15" thickBot="1" x14ac:dyDescent="0.35">
      <c r="D1379" s="20">
        <f t="shared" si="105"/>
        <v>1373</v>
      </c>
      <c r="E1379" s="20">
        <f t="shared" si="106"/>
        <v>4750</v>
      </c>
      <c r="F1379" s="20">
        <f t="shared" si="107"/>
        <v>2550</v>
      </c>
      <c r="G1379" s="20">
        <v>0.34994401044170048</v>
      </c>
      <c r="H1379" s="50"/>
      <c r="I1379" s="16"/>
      <c r="J1379" s="16"/>
      <c r="K1379" s="16"/>
      <c r="L1379" s="16"/>
      <c r="M1379" s="16">
        <v>1373</v>
      </c>
      <c r="N1379" s="16">
        <f t="shared" si="108"/>
        <v>0.49228837876614062</v>
      </c>
      <c r="O1379" s="16"/>
      <c r="P1379" s="16"/>
      <c r="Q1379" s="16">
        <f t="shared" si="109"/>
        <v>-1.9331371789055647E-2</v>
      </c>
    </row>
    <row r="1380" spans="4:17" ht="15" thickBot="1" x14ac:dyDescent="0.35">
      <c r="D1380" s="20">
        <f t="shared" si="105"/>
        <v>1374</v>
      </c>
      <c r="E1380" s="20">
        <f t="shared" si="106"/>
        <v>4850</v>
      </c>
      <c r="F1380" s="20">
        <f t="shared" si="107"/>
        <v>2550</v>
      </c>
      <c r="G1380" s="20">
        <v>0.35000595615847846</v>
      </c>
      <c r="H1380" s="50"/>
      <c r="I1380" s="16"/>
      <c r="J1380" s="16"/>
      <c r="K1380" s="16"/>
      <c r="L1380" s="16"/>
      <c r="M1380" s="16">
        <v>1374</v>
      </c>
      <c r="N1380" s="16">
        <f t="shared" si="108"/>
        <v>0.49264705882352944</v>
      </c>
      <c r="O1380" s="16"/>
      <c r="P1380" s="16"/>
      <c r="Q1380" s="16">
        <f t="shared" si="109"/>
        <v>-1.8432133901252059E-2</v>
      </c>
    </row>
    <row r="1381" spans="4:17" ht="15" thickBot="1" x14ac:dyDescent="0.35">
      <c r="D1381" s="20">
        <f t="shared" si="105"/>
        <v>1375</v>
      </c>
      <c r="E1381" s="20">
        <f t="shared" si="106"/>
        <v>4950</v>
      </c>
      <c r="F1381" s="20">
        <f t="shared" si="107"/>
        <v>2550</v>
      </c>
      <c r="G1381" s="20">
        <v>0.35001782573006002</v>
      </c>
      <c r="H1381" s="50"/>
      <c r="I1381" s="16"/>
      <c r="J1381" s="16"/>
      <c r="K1381" s="16"/>
      <c r="L1381" s="16"/>
      <c r="M1381" s="16">
        <v>1375</v>
      </c>
      <c r="N1381" s="16">
        <f t="shared" si="108"/>
        <v>0.4930057388809182</v>
      </c>
      <c r="O1381" s="16"/>
      <c r="P1381" s="16"/>
      <c r="Q1381" s="16">
        <f t="shared" si="109"/>
        <v>-1.7532910917958514E-2</v>
      </c>
    </row>
    <row r="1382" spans="4:17" ht="15" thickBot="1" x14ac:dyDescent="0.35">
      <c r="D1382" s="20">
        <f t="shared" si="105"/>
        <v>1376</v>
      </c>
      <c r="E1382" s="47">
        <f t="shared" si="106"/>
        <v>5050</v>
      </c>
      <c r="F1382" s="47">
        <f t="shared" si="107"/>
        <v>2550</v>
      </c>
      <c r="G1382" s="20">
        <v>0.35002143558698601</v>
      </c>
      <c r="H1382" s="50"/>
      <c r="I1382" s="16"/>
      <c r="J1382" s="16"/>
      <c r="K1382" s="16"/>
      <c r="L1382" s="16"/>
      <c r="M1382" s="16">
        <v>1376</v>
      </c>
      <c r="N1382" s="16">
        <f t="shared" si="108"/>
        <v>0.49336441893830701</v>
      </c>
      <c r="O1382" s="16"/>
      <c r="P1382" s="16"/>
      <c r="Q1382" s="16">
        <f t="shared" si="109"/>
        <v>-1.6633702111590556E-2</v>
      </c>
    </row>
    <row r="1383" spans="4:17" ht="15" thickBot="1" x14ac:dyDescent="0.35">
      <c r="D1383" s="20">
        <f t="shared" si="105"/>
        <v>1377</v>
      </c>
      <c r="E1383" s="44">
        <f t="shared" si="106"/>
        <v>5150</v>
      </c>
      <c r="F1383" s="44">
        <f t="shared" si="107"/>
        <v>2550</v>
      </c>
      <c r="G1383" s="20">
        <v>0.35010623237387872</v>
      </c>
      <c r="H1383" s="50"/>
      <c r="I1383" s="16"/>
      <c r="J1383" s="16"/>
      <c r="K1383" s="16"/>
      <c r="L1383" s="16"/>
      <c r="M1383" s="16">
        <v>1377</v>
      </c>
      <c r="N1383" s="16">
        <f t="shared" si="108"/>
        <v>0.49372309899569583</v>
      </c>
      <c r="O1383" s="16"/>
      <c r="P1383" s="16"/>
      <c r="Q1383" s="16">
        <f t="shared" si="109"/>
        <v>-1.5734506754644405E-2</v>
      </c>
    </row>
    <row r="1384" spans="4:17" ht="15" thickBot="1" x14ac:dyDescent="0.35">
      <c r="D1384" s="20">
        <f t="shared" si="105"/>
        <v>1378</v>
      </c>
      <c r="E1384" s="20">
        <f t="shared" si="106"/>
        <v>5250</v>
      </c>
      <c r="F1384" s="20">
        <f t="shared" si="107"/>
        <v>2550</v>
      </c>
      <c r="G1384" s="20">
        <v>0.35011660029307651</v>
      </c>
      <c r="H1384" s="50"/>
      <c r="I1384" s="16"/>
      <c r="J1384" s="16"/>
      <c r="K1384" s="16"/>
      <c r="L1384" s="16"/>
      <c r="M1384" s="16">
        <v>1378</v>
      </c>
      <c r="N1384" s="16">
        <f t="shared" si="108"/>
        <v>0.49408177905308465</v>
      </c>
      <c r="O1384" s="16"/>
      <c r="P1384" s="16"/>
      <c r="Q1384" s="16">
        <f t="shared" si="109"/>
        <v>-1.483532411969231E-2</v>
      </c>
    </row>
    <row r="1385" spans="4:17" ht="15" thickBot="1" x14ac:dyDescent="0.35">
      <c r="D1385" s="20">
        <f t="shared" si="105"/>
        <v>1379</v>
      </c>
      <c r="E1385" s="20">
        <f t="shared" si="106"/>
        <v>50</v>
      </c>
      <c r="F1385" s="20">
        <f t="shared" si="107"/>
        <v>2650</v>
      </c>
      <c r="G1385" s="20">
        <v>0.35012190729888709</v>
      </c>
      <c r="H1385" s="50"/>
      <c r="I1385" s="16"/>
      <c r="J1385" s="16"/>
      <c r="K1385" s="16"/>
      <c r="L1385" s="16"/>
      <c r="M1385" s="16">
        <v>1379</v>
      </c>
      <c r="N1385" s="16">
        <f t="shared" si="108"/>
        <v>0.49444045911047346</v>
      </c>
      <c r="O1385" s="16"/>
      <c r="P1385" s="16"/>
      <c r="Q1385" s="16">
        <f t="shared" si="109"/>
        <v>-1.3936153479378498E-2</v>
      </c>
    </row>
    <row r="1386" spans="4:17" ht="15" thickBot="1" x14ac:dyDescent="0.35">
      <c r="D1386" s="20">
        <f t="shared" si="105"/>
        <v>1380</v>
      </c>
      <c r="E1386" s="20">
        <f t="shared" si="106"/>
        <v>150</v>
      </c>
      <c r="F1386" s="20">
        <f t="shared" si="107"/>
        <v>2650</v>
      </c>
      <c r="G1386" s="20">
        <v>0.35044380106305778</v>
      </c>
      <c r="H1386" s="50"/>
      <c r="I1386" s="16"/>
      <c r="J1386" s="16"/>
      <c r="K1386" s="16"/>
      <c r="L1386" s="16"/>
      <c r="M1386" s="16">
        <v>1380</v>
      </c>
      <c r="N1386" s="16">
        <f t="shared" si="108"/>
        <v>0.49479913916786228</v>
      </c>
      <c r="O1386" s="16"/>
      <c r="P1386" s="16"/>
      <c r="Q1386" s="16">
        <f t="shared" si="109"/>
        <v>-1.3036994106415128E-2</v>
      </c>
    </row>
    <row r="1387" spans="4:17" ht="15" thickBot="1" x14ac:dyDescent="0.35">
      <c r="D1387" s="20">
        <f t="shared" si="105"/>
        <v>1381</v>
      </c>
      <c r="E1387" s="20">
        <f t="shared" si="106"/>
        <v>250</v>
      </c>
      <c r="F1387" s="20">
        <f t="shared" si="107"/>
        <v>2650</v>
      </c>
      <c r="G1387" s="20">
        <v>0.3505328022455656</v>
      </c>
      <c r="H1387" s="50"/>
      <c r="I1387" s="16"/>
      <c r="J1387" s="16"/>
      <c r="K1387" s="16"/>
      <c r="L1387" s="16"/>
      <c r="M1387" s="16">
        <v>1381</v>
      </c>
      <c r="N1387" s="16">
        <f t="shared" si="108"/>
        <v>0.49515781922525109</v>
      </c>
      <c r="O1387" s="16"/>
      <c r="P1387" s="16"/>
      <c r="Q1387" s="16">
        <f t="shared" si="109"/>
        <v>-1.2137845273578125E-2</v>
      </c>
    </row>
    <row r="1388" spans="4:17" ht="15" thickBot="1" x14ac:dyDescent="0.35">
      <c r="D1388" s="20">
        <f t="shared" si="105"/>
        <v>1382</v>
      </c>
      <c r="E1388" s="20">
        <f t="shared" si="106"/>
        <v>350</v>
      </c>
      <c r="F1388" s="20">
        <f t="shared" si="107"/>
        <v>2650</v>
      </c>
      <c r="G1388" s="20">
        <v>0.35056773433852856</v>
      </c>
      <c r="H1388" s="50"/>
      <c r="I1388" s="16"/>
      <c r="J1388" s="16"/>
      <c r="K1388" s="16"/>
      <c r="L1388" s="16"/>
      <c r="M1388" s="16">
        <v>1382</v>
      </c>
      <c r="N1388" s="16">
        <f t="shared" si="108"/>
        <v>0.49551649928263991</v>
      </c>
      <c r="O1388" s="16"/>
      <c r="P1388" s="16"/>
      <c r="Q1388" s="16">
        <f t="shared" si="109"/>
        <v>-1.1238706253703067E-2</v>
      </c>
    </row>
    <row r="1389" spans="4:17" ht="15" thickBot="1" x14ac:dyDescent="0.35">
      <c r="D1389" s="20">
        <f t="shared" si="105"/>
        <v>1383</v>
      </c>
      <c r="E1389" s="20">
        <f t="shared" si="106"/>
        <v>450</v>
      </c>
      <c r="F1389" s="20">
        <f t="shared" si="107"/>
        <v>2650</v>
      </c>
      <c r="G1389" s="20">
        <v>0.35058695010407814</v>
      </c>
      <c r="H1389" s="50"/>
      <c r="I1389" s="16"/>
      <c r="J1389" s="16"/>
      <c r="K1389" s="16"/>
      <c r="L1389" s="16"/>
      <c r="M1389" s="16">
        <v>1383</v>
      </c>
      <c r="N1389" s="16">
        <f t="shared" si="108"/>
        <v>0.49587517934002867</v>
      </c>
      <c r="O1389" s="16"/>
      <c r="P1389" s="16"/>
      <c r="Q1389" s="16">
        <f t="shared" si="109"/>
        <v>-1.0339576319681224E-2</v>
      </c>
    </row>
    <row r="1390" spans="4:17" ht="15" thickBot="1" x14ac:dyDescent="0.35">
      <c r="D1390" s="20">
        <f t="shared" si="105"/>
        <v>1384</v>
      </c>
      <c r="E1390" s="20">
        <f t="shared" si="106"/>
        <v>550</v>
      </c>
      <c r="F1390" s="20">
        <f t="shared" si="107"/>
        <v>2650</v>
      </c>
      <c r="G1390" s="20">
        <v>0.35060252228433475</v>
      </c>
      <c r="H1390" s="50"/>
      <c r="I1390" s="16"/>
      <c r="J1390" s="16"/>
      <c r="K1390" s="16"/>
      <c r="L1390" s="16"/>
      <c r="M1390" s="16">
        <v>1384</v>
      </c>
      <c r="N1390" s="16">
        <f t="shared" si="108"/>
        <v>0.49623385939741749</v>
      </c>
      <c r="O1390" s="16"/>
      <c r="P1390" s="16"/>
      <c r="Q1390" s="16">
        <f t="shared" si="109"/>
        <v>-9.4404547444548667E-3</v>
      </c>
    </row>
    <row r="1391" spans="4:17" ht="15" thickBot="1" x14ac:dyDescent="0.35">
      <c r="D1391" s="20">
        <f t="shared" si="105"/>
        <v>1385</v>
      </c>
      <c r="E1391" s="20">
        <f t="shared" si="106"/>
        <v>650</v>
      </c>
      <c r="F1391" s="20">
        <f t="shared" si="107"/>
        <v>2650</v>
      </c>
      <c r="G1391" s="20">
        <v>0.35064201893131397</v>
      </c>
      <c r="H1391" s="50"/>
      <c r="I1391" s="16"/>
      <c r="J1391" s="16"/>
      <c r="K1391" s="16"/>
      <c r="L1391" s="16"/>
      <c r="M1391" s="16">
        <v>1385</v>
      </c>
      <c r="N1391" s="16">
        <f t="shared" si="108"/>
        <v>0.4965925394548063</v>
      </c>
      <c r="O1391" s="16"/>
      <c r="P1391" s="16"/>
      <c r="Q1391" s="16">
        <f t="shared" si="109"/>
        <v>-8.541340801013984E-3</v>
      </c>
    </row>
    <row r="1392" spans="4:17" ht="15" thickBot="1" x14ac:dyDescent="0.35">
      <c r="D1392" s="20">
        <f t="shared" si="105"/>
        <v>1386</v>
      </c>
      <c r="E1392" s="20">
        <f t="shared" si="106"/>
        <v>750</v>
      </c>
      <c r="F1392" s="20">
        <f t="shared" si="107"/>
        <v>2650</v>
      </c>
      <c r="G1392" s="20">
        <v>0.3506765381653339</v>
      </c>
      <c r="H1392" s="50"/>
      <c r="I1392" s="16"/>
      <c r="J1392" s="16"/>
      <c r="K1392" s="16"/>
      <c r="L1392" s="16"/>
      <c r="M1392" s="16">
        <v>1386</v>
      </c>
      <c r="N1392" s="16">
        <f t="shared" si="108"/>
        <v>0.49695121951219512</v>
      </c>
      <c r="O1392" s="16"/>
      <c r="P1392" s="16"/>
      <c r="Q1392" s="16">
        <f t="shared" si="109"/>
        <v>-7.6422337623916273E-3</v>
      </c>
    </row>
    <row r="1393" spans="4:17" ht="15" thickBot="1" x14ac:dyDescent="0.35">
      <c r="D1393" s="20">
        <f t="shared" si="105"/>
        <v>1387</v>
      </c>
      <c r="E1393" s="20">
        <f t="shared" si="106"/>
        <v>850</v>
      </c>
      <c r="F1393" s="20">
        <f t="shared" si="107"/>
        <v>2650</v>
      </c>
      <c r="G1393" s="20">
        <v>0.35091810287481523</v>
      </c>
      <c r="H1393" s="50"/>
      <c r="I1393" s="16"/>
      <c r="J1393" s="16"/>
      <c r="K1393" s="16"/>
      <c r="L1393" s="16"/>
      <c r="M1393" s="16">
        <v>1387</v>
      </c>
      <c r="N1393" s="16">
        <f t="shared" si="108"/>
        <v>0.49730989956958394</v>
      </c>
      <c r="O1393" s="16"/>
      <c r="P1393" s="16"/>
      <c r="Q1393" s="16">
        <f t="shared" si="109"/>
        <v>-6.743132901659914E-3</v>
      </c>
    </row>
    <row r="1394" spans="4:17" ht="15" thickBot="1" x14ac:dyDescent="0.35">
      <c r="D1394" s="20">
        <f t="shared" si="105"/>
        <v>1388</v>
      </c>
      <c r="E1394" s="20">
        <f t="shared" si="106"/>
        <v>950</v>
      </c>
      <c r="F1394" s="20">
        <f t="shared" si="107"/>
        <v>2650</v>
      </c>
      <c r="G1394" s="20">
        <v>0.35100825029294608</v>
      </c>
      <c r="H1394" s="50"/>
      <c r="I1394" s="16"/>
      <c r="J1394" s="16"/>
      <c r="K1394" s="16"/>
      <c r="L1394" s="16"/>
      <c r="M1394" s="16">
        <v>1388</v>
      </c>
      <c r="N1394" s="16">
        <f t="shared" si="108"/>
        <v>0.49766857962697275</v>
      </c>
      <c r="O1394" s="16"/>
      <c r="P1394" s="16"/>
      <c r="Q1394" s="16">
        <f t="shared" si="109"/>
        <v>-5.8440374919259287E-3</v>
      </c>
    </row>
    <row r="1395" spans="4:17" ht="15" thickBot="1" x14ac:dyDescent="0.35">
      <c r="D1395" s="20">
        <f t="shared" si="105"/>
        <v>1389</v>
      </c>
      <c r="E1395" s="20">
        <f t="shared" si="106"/>
        <v>1050</v>
      </c>
      <c r="F1395" s="20">
        <f t="shared" si="107"/>
        <v>2650</v>
      </c>
      <c r="G1395" s="20">
        <v>0.3511047156575266</v>
      </c>
      <c r="H1395" s="50"/>
      <c r="I1395" s="16"/>
      <c r="J1395" s="16"/>
      <c r="K1395" s="16"/>
      <c r="L1395" s="16"/>
      <c r="M1395" s="16">
        <v>1389</v>
      </c>
      <c r="N1395" s="16">
        <f t="shared" si="108"/>
        <v>0.49802725968436157</v>
      </c>
      <c r="O1395" s="16"/>
      <c r="P1395" s="16"/>
      <c r="Q1395" s="16">
        <f t="shared" si="109"/>
        <v>-4.9449468063276015E-3</v>
      </c>
    </row>
    <row r="1396" spans="4:17" ht="15" thickBot="1" x14ac:dyDescent="0.35">
      <c r="D1396" s="20">
        <f t="shared" si="105"/>
        <v>1390</v>
      </c>
      <c r="E1396" s="20">
        <f t="shared" si="106"/>
        <v>1150</v>
      </c>
      <c r="F1396" s="20">
        <f t="shared" si="107"/>
        <v>2650</v>
      </c>
      <c r="G1396" s="20">
        <v>0.35114418562993266</v>
      </c>
      <c r="H1396" s="50"/>
      <c r="I1396" s="16"/>
      <c r="J1396" s="16"/>
      <c r="K1396" s="16"/>
      <c r="L1396" s="16"/>
      <c r="M1396" s="16">
        <v>1390</v>
      </c>
      <c r="N1396" s="16">
        <f t="shared" si="108"/>
        <v>0.49838593974175038</v>
      </c>
      <c r="O1396" s="16"/>
      <c r="P1396" s="16"/>
      <c r="Q1396" s="16">
        <f t="shared" si="109"/>
        <v>-4.0458601180295897E-3</v>
      </c>
    </row>
    <row r="1397" spans="4:17" ht="15" thickBot="1" x14ac:dyDescent="0.35">
      <c r="D1397" s="20">
        <f t="shared" si="105"/>
        <v>1391</v>
      </c>
      <c r="E1397" s="20">
        <f t="shared" si="106"/>
        <v>1250</v>
      </c>
      <c r="F1397" s="20">
        <f t="shared" si="107"/>
        <v>2650</v>
      </c>
      <c r="G1397" s="20">
        <v>0.35117372179140788</v>
      </c>
      <c r="H1397" s="50"/>
      <c r="I1397" s="16"/>
      <c r="J1397" s="16"/>
      <c r="K1397" s="16"/>
      <c r="L1397" s="16"/>
      <c r="M1397" s="16">
        <v>1391</v>
      </c>
      <c r="N1397" s="16">
        <f t="shared" si="108"/>
        <v>0.49874461979913914</v>
      </c>
      <c r="O1397" s="16"/>
      <c r="P1397" s="16"/>
      <c r="Q1397" s="16">
        <f t="shared" si="109"/>
        <v>-3.1467767002193153E-3</v>
      </c>
    </row>
    <row r="1398" spans="4:17" ht="15" thickBot="1" x14ac:dyDescent="0.35">
      <c r="D1398" s="20">
        <f t="shared" si="105"/>
        <v>1392</v>
      </c>
      <c r="E1398" s="20">
        <f t="shared" si="106"/>
        <v>1350</v>
      </c>
      <c r="F1398" s="20">
        <f t="shared" si="107"/>
        <v>2650</v>
      </c>
      <c r="G1398" s="20">
        <v>0.35130261490800674</v>
      </c>
      <c r="H1398" s="50"/>
      <c r="I1398" s="16"/>
      <c r="J1398" s="16"/>
      <c r="K1398" s="16"/>
      <c r="L1398" s="16"/>
      <c r="M1398" s="16">
        <v>1392</v>
      </c>
      <c r="N1398" s="16">
        <f t="shared" si="108"/>
        <v>0.49910329985652796</v>
      </c>
      <c r="O1398" s="16"/>
      <c r="P1398" s="16"/>
      <c r="Q1398" s="16">
        <f t="shared" si="109"/>
        <v>-2.2476958261022869E-3</v>
      </c>
    </row>
    <row r="1399" spans="4:17" ht="15" thickBot="1" x14ac:dyDescent="0.35">
      <c r="D1399" s="20">
        <f t="shared" si="105"/>
        <v>1393</v>
      </c>
      <c r="E1399" s="20">
        <f t="shared" si="106"/>
        <v>1450</v>
      </c>
      <c r="F1399" s="20">
        <f t="shared" si="107"/>
        <v>2650</v>
      </c>
      <c r="G1399" s="20">
        <v>0.35142108205339057</v>
      </c>
      <c r="H1399" s="50"/>
      <c r="I1399" s="16"/>
      <c r="J1399" s="16"/>
      <c r="K1399" s="16"/>
      <c r="L1399" s="16"/>
      <c r="M1399" s="16">
        <v>1393</v>
      </c>
      <c r="N1399" s="16">
        <f t="shared" si="108"/>
        <v>0.49946197991391678</v>
      </c>
      <c r="O1399" s="16"/>
      <c r="P1399" s="16"/>
      <c r="Q1399" s="16">
        <f t="shared" si="109"/>
        <v>-1.3486167688988246E-3</v>
      </c>
    </row>
    <row r="1400" spans="4:17" ht="15" thickBot="1" x14ac:dyDescent="0.35">
      <c r="D1400" s="20">
        <f t="shared" si="105"/>
        <v>1394</v>
      </c>
      <c r="E1400" s="20">
        <f t="shared" si="106"/>
        <v>1550</v>
      </c>
      <c r="F1400" s="20">
        <f t="shared" si="107"/>
        <v>2650</v>
      </c>
      <c r="G1400" s="20">
        <v>0.35150172053451484</v>
      </c>
      <c r="H1400" s="50"/>
      <c r="I1400" s="16"/>
      <c r="J1400" s="16"/>
      <c r="K1400" s="16"/>
      <c r="L1400" s="16"/>
      <c r="M1400" s="16">
        <v>1394</v>
      </c>
      <c r="N1400" s="16">
        <f t="shared" si="108"/>
        <v>0.49982065997130559</v>
      </c>
      <c r="O1400" s="16"/>
      <c r="P1400" s="16"/>
      <c r="Q1400" s="16">
        <f t="shared" si="109"/>
        <v>-4.4953880183938924E-4</v>
      </c>
    </row>
    <row r="1401" spans="4:17" ht="15" thickBot="1" x14ac:dyDescent="0.35">
      <c r="D1401" s="20">
        <f t="shared" si="105"/>
        <v>1395</v>
      </c>
      <c r="E1401" s="20">
        <f t="shared" si="106"/>
        <v>1650</v>
      </c>
      <c r="F1401" s="20">
        <f t="shared" si="107"/>
        <v>2650</v>
      </c>
      <c r="G1401" s="20">
        <v>0.3515120708128755</v>
      </c>
      <c r="H1401" s="50"/>
      <c r="I1401" s="16"/>
      <c r="J1401" s="16"/>
      <c r="K1401" s="16"/>
      <c r="L1401" s="16"/>
      <c r="M1401" s="16">
        <v>1395</v>
      </c>
      <c r="N1401" s="16">
        <f t="shared" si="108"/>
        <v>0.50017934002869435</v>
      </c>
      <c r="O1401" s="16"/>
      <c r="P1401" s="16"/>
      <c r="Q1401" s="16">
        <f t="shared" si="109"/>
        <v>4.4953880183925009E-4</v>
      </c>
    </row>
    <row r="1402" spans="4:17" ht="15" thickBot="1" x14ac:dyDescent="0.35">
      <c r="D1402" s="20">
        <f t="shared" si="105"/>
        <v>1396</v>
      </c>
      <c r="E1402" s="20">
        <f t="shared" si="106"/>
        <v>1750</v>
      </c>
      <c r="F1402" s="20">
        <f t="shared" si="107"/>
        <v>2650</v>
      </c>
      <c r="G1402" s="20">
        <v>0.3518230344350563</v>
      </c>
      <c r="H1402" s="50"/>
      <c r="I1402" s="16"/>
      <c r="J1402" s="16"/>
      <c r="K1402" s="16"/>
      <c r="L1402" s="16"/>
      <c r="M1402" s="16">
        <v>1396</v>
      </c>
      <c r="N1402" s="16">
        <f t="shared" si="108"/>
        <v>0.50053802008608317</v>
      </c>
      <c r="O1402" s="16"/>
      <c r="P1402" s="16"/>
      <c r="Q1402" s="16">
        <f t="shared" si="109"/>
        <v>1.3486167688986854E-3</v>
      </c>
    </row>
    <row r="1403" spans="4:17" ht="15" thickBot="1" x14ac:dyDescent="0.35">
      <c r="D1403" s="20">
        <f t="shared" si="105"/>
        <v>1397</v>
      </c>
      <c r="E1403" s="20">
        <f t="shared" si="106"/>
        <v>1850</v>
      </c>
      <c r="F1403" s="20">
        <f t="shared" si="107"/>
        <v>2650</v>
      </c>
      <c r="G1403" s="20">
        <v>0.35209633261683515</v>
      </c>
      <c r="H1403" s="50"/>
      <c r="I1403" s="16"/>
      <c r="J1403" s="16"/>
      <c r="K1403" s="16"/>
      <c r="L1403" s="16"/>
      <c r="M1403" s="16">
        <v>1397</v>
      </c>
      <c r="N1403" s="16">
        <f t="shared" si="108"/>
        <v>0.50089670014347198</v>
      </c>
      <c r="O1403" s="16"/>
      <c r="P1403" s="16"/>
      <c r="Q1403" s="16">
        <f t="shared" si="109"/>
        <v>2.2476958261021477E-3</v>
      </c>
    </row>
    <row r="1404" spans="4:17" ht="15" thickBot="1" x14ac:dyDescent="0.35">
      <c r="D1404" s="20">
        <f t="shared" si="105"/>
        <v>1398</v>
      </c>
      <c r="E1404" s="20">
        <f t="shared" si="106"/>
        <v>1950</v>
      </c>
      <c r="F1404" s="20">
        <f t="shared" si="107"/>
        <v>2650</v>
      </c>
      <c r="G1404" s="20">
        <v>0.35213629707483135</v>
      </c>
      <c r="H1404" s="50"/>
      <c r="I1404" s="16"/>
      <c r="J1404" s="16"/>
      <c r="K1404" s="16"/>
      <c r="L1404" s="16"/>
      <c r="M1404" s="16">
        <v>1398</v>
      </c>
      <c r="N1404" s="16">
        <f t="shared" si="108"/>
        <v>0.5012553802008608</v>
      </c>
      <c r="O1404" s="16"/>
      <c r="P1404" s="16"/>
      <c r="Q1404" s="16">
        <f t="shared" si="109"/>
        <v>3.146776700219176E-3</v>
      </c>
    </row>
    <row r="1405" spans="4:17" ht="15" thickBot="1" x14ac:dyDescent="0.35">
      <c r="D1405" s="20">
        <f t="shared" si="105"/>
        <v>1399</v>
      </c>
      <c r="E1405" s="20">
        <f t="shared" si="106"/>
        <v>2050</v>
      </c>
      <c r="F1405" s="20">
        <f t="shared" si="107"/>
        <v>2650</v>
      </c>
      <c r="G1405" s="20">
        <v>0.35216957676404287</v>
      </c>
      <c r="H1405" s="50"/>
      <c r="I1405" s="16"/>
      <c r="J1405" s="16"/>
      <c r="K1405" s="16"/>
      <c r="L1405" s="16"/>
      <c r="M1405" s="16">
        <v>1399</v>
      </c>
      <c r="N1405" s="16">
        <f t="shared" si="108"/>
        <v>0.50161406025824962</v>
      </c>
      <c r="O1405" s="16"/>
      <c r="P1405" s="16"/>
      <c r="Q1405" s="16">
        <f t="shared" si="109"/>
        <v>4.0458601180295897E-3</v>
      </c>
    </row>
    <row r="1406" spans="4:17" ht="15" thickBot="1" x14ac:dyDescent="0.35">
      <c r="D1406" s="20">
        <f t="shared" si="105"/>
        <v>1400</v>
      </c>
      <c r="E1406" s="20">
        <f t="shared" si="106"/>
        <v>2150</v>
      </c>
      <c r="F1406" s="20">
        <f t="shared" si="107"/>
        <v>2650</v>
      </c>
      <c r="G1406" s="20">
        <v>0.35244727286113658</v>
      </c>
      <c r="H1406" s="50"/>
      <c r="I1406" s="16"/>
      <c r="J1406" s="16"/>
      <c r="K1406" s="16"/>
      <c r="L1406" s="16"/>
      <c r="M1406" s="16">
        <v>1400</v>
      </c>
      <c r="N1406" s="16">
        <f t="shared" si="108"/>
        <v>0.50197274031563843</v>
      </c>
      <c r="O1406" s="16"/>
      <c r="P1406" s="16"/>
      <c r="Q1406" s="16">
        <f t="shared" si="109"/>
        <v>4.9449468063276015E-3</v>
      </c>
    </row>
    <row r="1407" spans="4:17" ht="15" thickBot="1" x14ac:dyDescent="0.35">
      <c r="D1407" s="20">
        <f t="shared" si="105"/>
        <v>1401</v>
      </c>
      <c r="E1407" s="20">
        <f t="shared" si="106"/>
        <v>2250</v>
      </c>
      <c r="F1407" s="20">
        <f t="shared" si="107"/>
        <v>2650</v>
      </c>
      <c r="G1407" s="20">
        <v>0.35288529574083699</v>
      </c>
      <c r="H1407" s="50"/>
      <c r="I1407" s="16"/>
      <c r="J1407" s="16"/>
      <c r="K1407" s="16"/>
      <c r="L1407" s="16"/>
      <c r="M1407" s="16">
        <v>1401</v>
      </c>
      <c r="N1407" s="16">
        <f t="shared" si="108"/>
        <v>0.50233142037302725</v>
      </c>
      <c r="O1407" s="16"/>
      <c r="P1407" s="16"/>
      <c r="Q1407" s="16">
        <f t="shared" si="109"/>
        <v>5.8440374919259287E-3</v>
      </c>
    </row>
    <row r="1408" spans="4:17" ht="15" thickBot="1" x14ac:dyDescent="0.35">
      <c r="D1408" s="20">
        <f t="shared" si="105"/>
        <v>1402</v>
      </c>
      <c r="E1408" s="20">
        <f t="shared" si="106"/>
        <v>2350</v>
      </c>
      <c r="F1408" s="20">
        <f t="shared" si="107"/>
        <v>2650</v>
      </c>
      <c r="G1408" s="20">
        <v>0.35288940372018651</v>
      </c>
      <c r="H1408" s="50"/>
      <c r="I1408" s="16"/>
      <c r="J1408" s="16"/>
      <c r="K1408" s="16"/>
      <c r="L1408" s="16"/>
      <c r="M1408" s="16">
        <v>1402</v>
      </c>
      <c r="N1408" s="16">
        <f t="shared" si="108"/>
        <v>0.50269010043041606</v>
      </c>
      <c r="O1408" s="16"/>
      <c r="P1408" s="16"/>
      <c r="Q1408" s="16">
        <f t="shared" si="109"/>
        <v>6.743132901659914E-3</v>
      </c>
    </row>
    <row r="1409" spans="4:17" ht="15" thickBot="1" x14ac:dyDescent="0.35">
      <c r="D1409" s="20">
        <f t="shared" si="105"/>
        <v>1403</v>
      </c>
      <c r="E1409" s="20">
        <f t="shared" si="106"/>
        <v>2450</v>
      </c>
      <c r="F1409" s="20">
        <f t="shared" si="107"/>
        <v>2650</v>
      </c>
      <c r="G1409" s="20">
        <v>0.35294756812328065</v>
      </c>
      <c r="H1409" s="50"/>
      <c r="I1409" s="16"/>
      <c r="J1409" s="16"/>
      <c r="K1409" s="16"/>
      <c r="L1409" s="16"/>
      <c r="M1409" s="16">
        <v>1403</v>
      </c>
      <c r="N1409" s="16">
        <f t="shared" si="108"/>
        <v>0.50304878048780488</v>
      </c>
      <c r="O1409" s="16"/>
      <c r="P1409" s="16"/>
      <c r="Q1409" s="16">
        <f t="shared" si="109"/>
        <v>7.6422337623916273E-3</v>
      </c>
    </row>
    <row r="1410" spans="4:17" ht="15" thickBot="1" x14ac:dyDescent="0.35">
      <c r="D1410" s="20">
        <f t="shared" si="105"/>
        <v>1404</v>
      </c>
      <c r="E1410" s="20">
        <f t="shared" si="106"/>
        <v>2550</v>
      </c>
      <c r="F1410" s="20">
        <f t="shared" si="107"/>
        <v>2650</v>
      </c>
      <c r="G1410" s="20">
        <v>0.35296117767525342</v>
      </c>
      <c r="H1410" s="50"/>
      <c r="I1410" s="16"/>
      <c r="J1410" s="16"/>
      <c r="K1410" s="16"/>
      <c r="L1410" s="16"/>
      <c r="M1410" s="16">
        <v>1404</v>
      </c>
      <c r="N1410" s="16">
        <f t="shared" si="108"/>
        <v>0.5034074605451937</v>
      </c>
      <c r="O1410" s="16"/>
      <c r="P1410" s="16"/>
      <c r="Q1410" s="16">
        <f t="shared" si="109"/>
        <v>8.541340801013984E-3</v>
      </c>
    </row>
    <row r="1411" spans="4:17" ht="15" thickBot="1" x14ac:dyDescent="0.35">
      <c r="D1411" s="20">
        <f t="shared" si="105"/>
        <v>1405</v>
      </c>
      <c r="E1411" s="20">
        <f t="shared" si="106"/>
        <v>2650</v>
      </c>
      <c r="F1411" s="20">
        <f t="shared" si="107"/>
        <v>2650</v>
      </c>
      <c r="G1411" s="20">
        <v>0.3530594961293948</v>
      </c>
      <c r="H1411" s="50"/>
      <c r="I1411" s="16"/>
      <c r="J1411" s="16"/>
      <c r="K1411" s="16"/>
      <c r="L1411" s="16"/>
      <c r="M1411" s="16">
        <v>1405</v>
      </c>
      <c r="N1411" s="16">
        <f t="shared" si="108"/>
        <v>0.50376614060258251</v>
      </c>
      <c r="O1411" s="16"/>
      <c r="P1411" s="16"/>
      <c r="Q1411" s="16">
        <f t="shared" si="109"/>
        <v>9.4404547444548667E-3</v>
      </c>
    </row>
    <row r="1412" spans="4:17" ht="15" thickBot="1" x14ac:dyDescent="0.35">
      <c r="D1412" s="20">
        <f t="shared" si="105"/>
        <v>1406</v>
      </c>
      <c r="E1412" s="20">
        <f t="shared" si="106"/>
        <v>2750</v>
      </c>
      <c r="F1412" s="20">
        <f t="shared" si="107"/>
        <v>2650</v>
      </c>
      <c r="G1412" s="20">
        <v>0.3531042553322063</v>
      </c>
      <c r="H1412" s="50"/>
      <c r="I1412" s="16"/>
      <c r="J1412" s="16"/>
      <c r="K1412" s="16"/>
      <c r="L1412" s="16"/>
      <c r="M1412" s="16">
        <v>1406</v>
      </c>
      <c r="N1412" s="16">
        <f t="shared" si="108"/>
        <v>0.50412482065997133</v>
      </c>
      <c r="O1412" s="16"/>
      <c r="P1412" s="16"/>
      <c r="Q1412" s="16">
        <f t="shared" si="109"/>
        <v>1.0339576319681224E-2</v>
      </c>
    </row>
    <row r="1413" spans="4:17" ht="15" thickBot="1" x14ac:dyDescent="0.35">
      <c r="D1413" s="20">
        <f t="shared" si="105"/>
        <v>1407</v>
      </c>
      <c r="E1413" s="20">
        <f t="shared" si="106"/>
        <v>2850</v>
      </c>
      <c r="F1413" s="20">
        <f t="shared" si="107"/>
        <v>2650</v>
      </c>
      <c r="G1413" s="20">
        <v>0.35314317032837111</v>
      </c>
      <c r="H1413" s="50"/>
      <c r="I1413" s="16"/>
      <c r="J1413" s="16"/>
      <c r="K1413" s="16"/>
      <c r="L1413" s="16"/>
      <c r="M1413" s="16">
        <v>1407</v>
      </c>
      <c r="N1413" s="16">
        <f t="shared" si="108"/>
        <v>0.50448350071736014</v>
      </c>
      <c r="O1413" s="16"/>
      <c r="P1413" s="16"/>
      <c r="Q1413" s="16">
        <f t="shared" si="109"/>
        <v>1.1238706253703207E-2</v>
      </c>
    </row>
    <row r="1414" spans="4:17" ht="15" thickBot="1" x14ac:dyDescent="0.35">
      <c r="D1414" s="20">
        <f t="shared" si="105"/>
        <v>1408</v>
      </c>
      <c r="E1414" s="20">
        <f t="shared" si="106"/>
        <v>2950</v>
      </c>
      <c r="F1414" s="20">
        <f t="shared" si="107"/>
        <v>2650</v>
      </c>
      <c r="G1414" s="20">
        <v>0.3532715882884937</v>
      </c>
      <c r="H1414" s="50"/>
      <c r="I1414" s="16"/>
      <c r="J1414" s="16"/>
      <c r="K1414" s="16"/>
      <c r="L1414" s="16"/>
      <c r="M1414" s="16">
        <v>1408</v>
      </c>
      <c r="N1414" s="16">
        <f t="shared" si="108"/>
        <v>0.50484218077474896</v>
      </c>
      <c r="O1414" s="16"/>
      <c r="P1414" s="16"/>
      <c r="Q1414" s="16">
        <f t="shared" si="109"/>
        <v>1.2137845273578262E-2</v>
      </c>
    </row>
    <row r="1415" spans="4:17" ht="15" thickBot="1" x14ac:dyDescent="0.35">
      <c r="D1415" s="20">
        <f t="shared" ref="D1415:D1478" si="110">ROW()-6</f>
        <v>1409</v>
      </c>
      <c r="E1415" s="20">
        <f t="shared" ref="E1415:E1478" si="111">(MOD(D1415-1,53)*100)+50</f>
        <v>3050</v>
      </c>
      <c r="F1415" s="20">
        <f t="shared" ref="F1415:F1478" si="112">FLOOR((D1415-1)/53,1)*100+50</f>
        <v>2650</v>
      </c>
      <c r="G1415" s="20">
        <v>0.35334079975916399</v>
      </c>
      <c r="H1415" s="50"/>
      <c r="I1415" s="16"/>
      <c r="J1415" s="16"/>
      <c r="K1415" s="16"/>
      <c r="L1415" s="16"/>
      <c r="M1415" s="16">
        <v>1409</v>
      </c>
      <c r="N1415" s="16">
        <f t="shared" si="108"/>
        <v>0.50520086083213778</v>
      </c>
      <c r="O1415" s="16"/>
      <c r="P1415" s="16"/>
      <c r="Q1415" s="16">
        <f t="shared" si="109"/>
        <v>1.3036994106415269E-2</v>
      </c>
    </row>
    <row r="1416" spans="4:17" ht="15" thickBot="1" x14ac:dyDescent="0.35">
      <c r="D1416" s="20">
        <f t="shared" si="110"/>
        <v>1410</v>
      </c>
      <c r="E1416" s="20">
        <f t="shared" si="111"/>
        <v>3150</v>
      </c>
      <c r="F1416" s="20">
        <f t="shared" si="112"/>
        <v>2650</v>
      </c>
      <c r="G1416" s="20">
        <v>0.35334200120211912</v>
      </c>
      <c r="H1416" s="50"/>
      <c r="I1416" s="16"/>
      <c r="J1416" s="16"/>
      <c r="K1416" s="16"/>
      <c r="L1416" s="16"/>
      <c r="M1416" s="16">
        <v>1410</v>
      </c>
      <c r="N1416" s="16">
        <f t="shared" ref="N1416:N1479" si="113">(M1416-0.5)/$L$7</f>
        <v>0.50555954088952659</v>
      </c>
      <c r="O1416" s="16"/>
      <c r="P1416" s="16"/>
      <c r="Q1416" s="16">
        <f t="shared" ref="Q1416:Q1479" si="114">_xlfn.NORM.S.INV(N1416)</f>
        <v>1.3936153479378639E-2</v>
      </c>
    </row>
    <row r="1417" spans="4:17" ht="15" thickBot="1" x14ac:dyDescent="0.35">
      <c r="D1417" s="20">
        <f t="shared" si="110"/>
        <v>1411</v>
      </c>
      <c r="E1417" s="20">
        <f t="shared" si="111"/>
        <v>3250</v>
      </c>
      <c r="F1417" s="20">
        <f t="shared" si="112"/>
        <v>2650</v>
      </c>
      <c r="G1417" s="20">
        <v>0.35342648490068213</v>
      </c>
      <c r="H1417" s="50"/>
      <c r="I1417" s="16"/>
      <c r="J1417" s="16"/>
      <c r="K1417" s="16"/>
      <c r="L1417" s="16"/>
      <c r="M1417" s="16">
        <v>1411</v>
      </c>
      <c r="N1417" s="16">
        <f t="shared" si="113"/>
        <v>0.5059182209469153</v>
      </c>
      <c r="O1417" s="16"/>
      <c r="P1417" s="16"/>
      <c r="Q1417" s="16">
        <f t="shared" si="114"/>
        <v>1.4835324119692168E-2</v>
      </c>
    </row>
    <row r="1418" spans="4:17" ht="15" thickBot="1" x14ac:dyDescent="0.35">
      <c r="D1418" s="20">
        <f t="shared" si="110"/>
        <v>1412</v>
      </c>
      <c r="E1418" s="20">
        <f t="shared" si="111"/>
        <v>3350</v>
      </c>
      <c r="F1418" s="20">
        <f t="shared" si="112"/>
        <v>2650</v>
      </c>
      <c r="G1418" s="20">
        <v>0.35347770320017058</v>
      </c>
      <c r="H1418" s="50"/>
      <c r="I1418" s="16"/>
      <c r="J1418" s="16"/>
      <c r="K1418" s="16"/>
      <c r="L1418" s="16"/>
      <c r="M1418" s="16">
        <v>1412</v>
      </c>
      <c r="N1418" s="16">
        <f t="shared" si="113"/>
        <v>0.50627690100430411</v>
      </c>
      <c r="O1418" s="16"/>
      <c r="P1418" s="16"/>
      <c r="Q1418" s="16">
        <f t="shared" si="114"/>
        <v>1.5734506754644269E-2</v>
      </c>
    </row>
    <row r="1419" spans="4:17" ht="15" thickBot="1" x14ac:dyDescent="0.35">
      <c r="D1419" s="20">
        <f t="shared" si="110"/>
        <v>1413</v>
      </c>
      <c r="E1419" s="20">
        <f t="shared" si="111"/>
        <v>3450</v>
      </c>
      <c r="F1419" s="20">
        <f t="shared" si="112"/>
        <v>2650</v>
      </c>
      <c r="G1419" s="20">
        <v>0.35358155780756334</v>
      </c>
      <c r="H1419" s="50"/>
      <c r="I1419" s="16"/>
      <c r="J1419" s="16"/>
      <c r="K1419" s="16"/>
      <c r="L1419" s="16"/>
      <c r="M1419" s="16">
        <v>1413</v>
      </c>
      <c r="N1419" s="16">
        <f t="shared" si="113"/>
        <v>0.50663558106169293</v>
      </c>
      <c r="O1419" s="16"/>
      <c r="P1419" s="16"/>
      <c r="Q1419" s="16">
        <f t="shared" si="114"/>
        <v>1.6633702111590414E-2</v>
      </c>
    </row>
    <row r="1420" spans="4:17" ht="15" thickBot="1" x14ac:dyDescent="0.35">
      <c r="D1420" s="20">
        <f t="shared" si="110"/>
        <v>1414</v>
      </c>
      <c r="E1420" s="20">
        <f t="shared" si="111"/>
        <v>3550</v>
      </c>
      <c r="F1420" s="20">
        <f t="shared" si="112"/>
        <v>2650</v>
      </c>
      <c r="G1420" s="20">
        <v>0.35366507427721489</v>
      </c>
      <c r="H1420" s="50"/>
      <c r="I1420" s="16"/>
      <c r="J1420" s="16"/>
      <c r="K1420" s="16"/>
      <c r="L1420" s="16"/>
      <c r="M1420" s="16">
        <v>1414</v>
      </c>
      <c r="N1420" s="16">
        <f t="shared" si="113"/>
        <v>0.50699426111908175</v>
      </c>
      <c r="O1420" s="16"/>
      <c r="P1420" s="16"/>
      <c r="Q1420" s="16">
        <f t="shared" si="114"/>
        <v>1.7532910917958378E-2</v>
      </c>
    </row>
    <row r="1421" spans="4:17" ht="15" thickBot="1" x14ac:dyDescent="0.35">
      <c r="D1421" s="20">
        <f t="shared" si="110"/>
        <v>1415</v>
      </c>
      <c r="E1421" s="20">
        <f t="shared" si="111"/>
        <v>3650</v>
      </c>
      <c r="F1421" s="20">
        <f t="shared" si="112"/>
        <v>2650</v>
      </c>
      <c r="G1421" s="20">
        <v>0.35381854863312573</v>
      </c>
      <c r="H1421" s="50"/>
      <c r="I1421" s="16"/>
      <c r="J1421" s="16"/>
      <c r="K1421" s="16"/>
      <c r="L1421" s="16"/>
      <c r="M1421" s="16">
        <v>1415</v>
      </c>
      <c r="N1421" s="16">
        <f t="shared" si="113"/>
        <v>0.50735294117647056</v>
      </c>
      <c r="O1421" s="16"/>
      <c r="P1421" s="16"/>
      <c r="Q1421" s="16">
        <f t="shared" si="114"/>
        <v>1.8432133901252059E-2</v>
      </c>
    </row>
    <row r="1422" spans="4:17" ht="15" thickBot="1" x14ac:dyDescent="0.35">
      <c r="D1422" s="20">
        <f t="shared" si="110"/>
        <v>1416</v>
      </c>
      <c r="E1422" s="20">
        <f t="shared" si="111"/>
        <v>3750</v>
      </c>
      <c r="F1422" s="20">
        <f t="shared" si="112"/>
        <v>2650</v>
      </c>
      <c r="G1422" s="20">
        <v>0.35389506698743461</v>
      </c>
      <c r="H1422" s="50"/>
      <c r="I1422" s="16"/>
      <c r="J1422" s="16"/>
      <c r="K1422" s="16"/>
      <c r="L1422" s="16"/>
      <c r="M1422" s="16">
        <v>1416</v>
      </c>
      <c r="N1422" s="16">
        <f t="shared" si="113"/>
        <v>0.50771162123385938</v>
      </c>
      <c r="O1422" s="16"/>
      <c r="P1422" s="16"/>
      <c r="Q1422" s="16">
        <f t="shared" si="114"/>
        <v>1.9331371789055647E-2</v>
      </c>
    </row>
    <row r="1423" spans="4:17" ht="15" thickBot="1" x14ac:dyDescent="0.35">
      <c r="D1423" s="20">
        <f t="shared" si="110"/>
        <v>1417</v>
      </c>
      <c r="E1423" s="20">
        <f t="shared" si="111"/>
        <v>3850</v>
      </c>
      <c r="F1423" s="20">
        <f t="shared" si="112"/>
        <v>2650</v>
      </c>
      <c r="G1423" s="20">
        <v>0.35398905878696202</v>
      </c>
      <c r="H1423" s="50"/>
      <c r="I1423" s="16"/>
      <c r="J1423" s="16"/>
      <c r="K1423" s="16"/>
      <c r="L1423" s="16"/>
      <c r="M1423" s="16">
        <v>1417</v>
      </c>
      <c r="N1423" s="16">
        <f t="shared" si="113"/>
        <v>0.50807030129124819</v>
      </c>
      <c r="O1423" s="16"/>
      <c r="P1423" s="16"/>
      <c r="Q1423" s="16">
        <f t="shared" si="114"/>
        <v>2.02306253090377E-2</v>
      </c>
    </row>
    <row r="1424" spans="4:17" ht="15" thickBot="1" x14ac:dyDescent="0.35">
      <c r="D1424" s="20">
        <f t="shared" si="110"/>
        <v>1418</v>
      </c>
      <c r="E1424" s="20">
        <f t="shared" si="111"/>
        <v>3950</v>
      </c>
      <c r="F1424" s="20">
        <f t="shared" si="112"/>
        <v>2650</v>
      </c>
      <c r="G1424" s="20">
        <v>0.35426155069431442</v>
      </c>
      <c r="H1424" s="50"/>
      <c r="I1424" s="16"/>
      <c r="J1424" s="16"/>
      <c r="K1424" s="16"/>
      <c r="L1424" s="16"/>
      <c r="M1424" s="16">
        <v>1418</v>
      </c>
      <c r="N1424" s="16">
        <f t="shared" si="113"/>
        <v>0.50842898134863701</v>
      </c>
      <c r="O1424" s="16"/>
      <c r="P1424" s="16"/>
      <c r="Q1424" s="16">
        <f t="shared" si="114"/>
        <v>2.1129895188955299E-2</v>
      </c>
    </row>
    <row r="1425" spans="4:17" ht="15" thickBot="1" x14ac:dyDescent="0.35">
      <c r="D1425" s="20">
        <f t="shared" si="110"/>
        <v>1419</v>
      </c>
      <c r="E1425" s="20">
        <f t="shared" si="111"/>
        <v>4050</v>
      </c>
      <c r="F1425" s="20">
        <f t="shared" si="112"/>
        <v>2650</v>
      </c>
      <c r="G1425" s="20">
        <v>0.35433898242454764</v>
      </c>
      <c r="H1425" s="50"/>
      <c r="I1425" s="16"/>
      <c r="J1425" s="16"/>
      <c r="K1425" s="16"/>
      <c r="L1425" s="16"/>
      <c r="M1425" s="16">
        <v>1419</v>
      </c>
      <c r="N1425" s="16">
        <f t="shared" si="113"/>
        <v>0.50878766140602583</v>
      </c>
      <c r="O1425" s="16"/>
      <c r="P1425" s="16"/>
      <c r="Q1425" s="16">
        <f t="shared" si="114"/>
        <v>2.2029182156658163E-2</v>
      </c>
    </row>
    <row r="1426" spans="4:17" ht="15" thickBot="1" x14ac:dyDescent="0.35">
      <c r="D1426" s="20">
        <f t="shared" si="110"/>
        <v>1420</v>
      </c>
      <c r="E1426" s="20">
        <f t="shared" si="111"/>
        <v>4150</v>
      </c>
      <c r="F1426" s="20">
        <f t="shared" si="112"/>
        <v>2650</v>
      </c>
      <c r="G1426" s="20">
        <v>0.35439162081612557</v>
      </c>
      <c r="H1426" s="50"/>
      <c r="I1426" s="16"/>
      <c r="J1426" s="16"/>
      <c r="K1426" s="16"/>
      <c r="L1426" s="16"/>
      <c r="M1426" s="16">
        <v>1420</v>
      </c>
      <c r="N1426" s="16">
        <f t="shared" si="113"/>
        <v>0.50914634146341464</v>
      </c>
      <c r="O1426" s="16"/>
      <c r="P1426" s="16"/>
      <c r="Q1426" s="16">
        <f t="shared" si="114"/>
        <v>2.2928486940092779E-2</v>
      </c>
    </row>
    <row r="1427" spans="4:17" ht="15" thickBot="1" x14ac:dyDescent="0.35">
      <c r="D1427" s="20">
        <f t="shared" si="110"/>
        <v>1421</v>
      </c>
      <c r="E1427" s="20">
        <f t="shared" si="111"/>
        <v>4250</v>
      </c>
      <c r="F1427" s="20">
        <f t="shared" si="112"/>
        <v>2650</v>
      </c>
      <c r="G1427" s="20">
        <v>0.35439892554985214</v>
      </c>
      <c r="H1427" s="50"/>
      <c r="I1427" s="16"/>
      <c r="J1427" s="16"/>
      <c r="K1427" s="16"/>
      <c r="L1427" s="16"/>
      <c r="M1427" s="16">
        <v>1421</v>
      </c>
      <c r="N1427" s="16">
        <f t="shared" si="113"/>
        <v>0.50950502152080346</v>
      </c>
      <c r="O1427" s="16"/>
      <c r="P1427" s="16"/>
      <c r="Q1427" s="16">
        <f t="shared" si="114"/>
        <v>2.3827810267306546E-2</v>
      </c>
    </row>
    <row r="1428" spans="4:17" ht="15" thickBot="1" x14ac:dyDescent="0.35">
      <c r="D1428" s="20">
        <f t="shared" si="110"/>
        <v>1422</v>
      </c>
      <c r="E1428" s="20">
        <f t="shared" si="111"/>
        <v>4350</v>
      </c>
      <c r="F1428" s="20">
        <f t="shared" si="112"/>
        <v>2650</v>
      </c>
      <c r="G1428" s="20">
        <v>0.35448642436270694</v>
      </c>
      <c r="H1428" s="50"/>
      <c r="I1428" s="16"/>
      <c r="J1428" s="16"/>
      <c r="K1428" s="16"/>
      <c r="L1428" s="16"/>
      <c r="M1428" s="16">
        <v>1422</v>
      </c>
      <c r="N1428" s="16">
        <f t="shared" si="113"/>
        <v>0.50986370157819227</v>
      </c>
      <c r="O1428" s="16"/>
      <c r="P1428" s="16"/>
      <c r="Q1428" s="16">
        <f t="shared" si="114"/>
        <v>2.4727152866451878E-2</v>
      </c>
    </row>
    <row r="1429" spans="4:17" ht="15" thickBot="1" x14ac:dyDescent="0.35">
      <c r="D1429" s="20">
        <f t="shared" si="110"/>
        <v>1423</v>
      </c>
      <c r="E1429" s="20">
        <f t="shared" si="111"/>
        <v>4450</v>
      </c>
      <c r="F1429" s="20">
        <f t="shared" si="112"/>
        <v>2650</v>
      </c>
      <c r="G1429" s="20">
        <v>0.35449385523936078</v>
      </c>
      <c r="H1429" s="50"/>
      <c r="I1429" s="16"/>
      <c r="J1429" s="16"/>
      <c r="K1429" s="16"/>
      <c r="L1429" s="16"/>
      <c r="M1429" s="16">
        <v>1423</v>
      </c>
      <c r="N1429" s="16">
        <f t="shared" si="113"/>
        <v>0.51022238163558109</v>
      </c>
      <c r="O1429" s="16"/>
      <c r="P1429" s="16"/>
      <c r="Q1429" s="16">
        <f t="shared" si="114"/>
        <v>2.562651546579036E-2</v>
      </c>
    </row>
    <row r="1430" spans="4:17" ht="15" thickBot="1" x14ac:dyDescent="0.35">
      <c r="D1430" s="20">
        <f t="shared" si="110"/>
        <v>1424</v>
      </c>
      <c r="E1430" s="20">
        <f t="shared" si="111"/>
        <v>4550</v>
      </c>
      <c r="F1430" s="20">
        <f t="shared" si="112"/>
        <v>2650</v>
      </c>
      <c r="G1430" s="20">
        <v>0.35451397404186913</v>
      </c>
      <c r="H1430" s="50"/>
      <c r="I1430" s="16"/>
      <c r="J1430" s="16"/>
      <c r="K1430" s="16"/>
      <c r="L1430" s="16"/>
      <c r="M1430" s="16">
        <v>1424</v>
      </c>
      <c r="N1430" s="16">
        <f t="shared" si="113"/>
        <v>0.51058106169296991</v>
      </c>
      <c r="O1430" s="16"/>
      <c r="P1430" s="16"/>
      <c r="Q1430" s="16">
        <f t="shared" si="114"/>
        <v>2.6525898793696868E-2</v>
      </c>
    </row>
    <row r="1431" spans="4:17" ht="15" thickBot="1" x14ac:dyDescent="0.35">
      <c r="D1431" s="20">
        <f t="shared" si="110"/>
        <v>1425</v>
      </c>
      <c r="E1431" s="20">
        <f t="shared" si="111"/>
        <v>4650</v>
      </c>
      <c r="F1431" s="20">
        <f t="shared" si="112"/>
        <v>2650</v>
      </c>
      <c r="G1431" s="20">
        <v>0.35460890030235837</v>
      </c>
      <c r="H1431" s="50"/>
      <c r="I1431" s="16"/>
      <c r="J1431" s="16"/>
      <c r="K1431" s="16"/>
      <c r="L1431" s="16"/>
      <c r="M1431" s="16">
        <v>1425</v>
      </c>
      <c r="N1431" s="16">
        <f t="shared" si="113"/>
        <v>0.51093974175035872</v>
      </c>
      <c r="O1431" s="16"/>
      <c r="P1431" s="16"/>
      <c r="Q1431" s="16">
        <f t="shared" si="114"/>
        <v>2.7425303578663723E-2</v>
      </c>
    </row>
    <row r="1432" spans="4:17" ht="15" thickBot="1" x14ac:dyDescent="0.35">
      <c r="D1432" s="20">
        <f t="shared" si="110"/>
        <v>1426</v>
      </c>
      <c r="E1432" s="20">
        <f t="shared" si="111"/>
        <v>4750</v>
      </c>
      <c r="F1432" s="20">
        <f t="shared" si="112"/>
        <v>2650</v>
      </c>
      <c r="G1432" s="20">
        <v>0.35463756452303852</v>
      </c>
      <c r="H1432" s="50"/>
      <c r="I1432" s="16"/>
      <c r="J1432" s="16"/>
      <c r="K1432" s="16"/>
      <c r="L1432" s="16"/>
      <c r="M1432" s="16">
        <v>1426</v>
      </c>
      <c r="N1432" s="16">
        <f t="shared" si="113"/>
        <v>0.51129842180774754</v>
      </c>
      <c r="O1432" s="16"/>
      <c r="P1432" s="16"/>
      <c r="Q1432" s="16">
        <f t="shared" si="114"/>
        <v>2.8324730549304802E-2</v>
      </c>
    </row>
    <row r="1433" spans="4:17" ht="15" thickBot="1" x14ac:dyDescent="0.35">
      <c r="D1433" s="20">
        <f t="shared" si="110"/>
        <v>1427</v>
      </c>
      <c r="E1433" s="20">
        <f t="shared" si="111"/>
        <v>4850</v>
      </c>
      <c r="F1433" s="20">
        <f t="shared" si="112"/>
        <v>2650</v>
      </c>
      <c r="G1433" s="20">
        <v>0.35481409230152855</v>
      </c>
      <c r="H1433" s="50"/>
      <c r="I1433" s="16"/>
      <c r="J1433" s="16"/>
      <c r="K1433" s="16"/>
      <c r="L1433" s="16"/>
      <c r="M1433" s="16">
        <v>1427</v>
      </c>
      <c r="N1433" s="16">
        <f t="shared" si="113"/>
        <v>0.51165710186513624</v>
      </c>
      <c r="O1433" s="16"/>
      <c r="P1433" s="16"/>
      <c r="Q1433" s="16">
        <f t="shared" si="114"/>
        <v>2.9224180434359436E-2</v>
      </c>
    </row>
    <row r="1434" spans="4:17" ht="15" thickBot="1" x14ac:dyDescent="0.35">
      <c r="D1434" s="20">
        <f t="shared" si="110"/>
        <v>1428</v>
      </c>
      <c r="E1434" s="20">
        <f t="shared" si="111"/>
        <v>4950</v>
      </c>
      <c r="F1434" s="20">
        <f t="shared" si="112"/>
        <v>2650</v>
      </c>
      <c r="G1434" s="20">
        <v>0.35502646518359215</v>
      </c>
      <c r="H1434" s="50"/>
      <c r="I1434" s="16"/>
      <c r="J1434" s="16"/>
      <c r="K1434" s="16"/>
      <c r="L1434" s="16"/>
      <c r="M1434" s="16">
        <v>1428</v>
      </c>
      <c r="N1434" s="16">
        <f t="shared" si="113"/>
        <v>0.51201578192252506</v>
      </c>
      <c r="O1434" s="16"/>
      <c r="P1434" s="16"/>
      <c r="Q1434" s="16">
        <f t="shared" si="114"/>
        <v>3.0123653962697613E-2</v>
      </c>
    </row>
    <row r="1435" spans="4:17" ht="15" thickBot="1" x14ac:dyDescent="0.35">
      <c r="D1435" s="20">
        <f t="shared" si="110"/>
        <v>1429</v>
      </c>
      <c r="E1435" s="20">
        <f t="shared" si="111"/>
        <v>5050</v>
      </c>
      <c r="F1435" s="20">
        <f t="shared" si="112"/>
        <v>2650</v>
      </c>
      <c r="G1435" s="20">
        <v>0.35503610552484444</v>
      </c>
      <c r="H1435" s="50"/>
      <c r="I1435" s="16"/>
      <c r="J1435" s="16"/>
      <c r="K1435" s="16"/>
      <c r="L1435" s="16"/>
      <c r="M1435" s="16">
        <v>1429</v>
      </c>
      <c r="N1435" s="16">
        <f t="shared" si="113"/>
        <v>0.51237446197991388</v>
      </c>
      <c r="O1435" s="16"/>
      <c r="P1435" s="16"/>
      <c r="Q1435" s="16">
        <f t="shared" si="114"/>
        <v>3.1023151863322513E-2</v>
      </c>
    </row>
    <row r="1436" spans="4:17" ht="15" thickBot="1" x14ac:dyDescent="0.35">
      <c r="D1436" s="20">
        <f t="shared" si="110"/>
        <v>1430</v>
      </c>
      <c r="E1436" s="43">
        <f t="shared" si="111"/>
        <v>5150</v>
      </c>
      <c r="F1436" s="43">
        <f t="shared" si="112"/>
        <v>2650</v>
      </c>
      <c r="G1436" s="20">
        <v>0.35506871238082216</v>
      </c>
      <c r="H1436" s="50"/>
      <c r="I1436" s="16"/>
      <c r="J1436" s="16"/>
      <c r="K1436" s="16"/>
      <c r="L1436" s="16"/>
      <c r="M1436" s="16">
        <v>1430</v>
      </c>
      <c r="N1436" s="16">
        <f t="shared" si="113"/>
        <v>0.51273314203730269</v>
      </c>
      <c r="O1436" s="16"/>
      <c r="P1436" s="16"/>
      <c r="Q1436" s="16">
        <f t="shared" si="114"/>
        <v>3.1922674865375714E-2</v>
      </c>
    </row>
    <row r="1437" spans="4:17" ht="15" thickBot="1" x14ac:dyDescent="0.35">
      <c r="D1437" s="20">
        <f t="shared" si="110"/>
        <v>1431</v>
      </c>
      <c r="E1437" s="20">
        <f t="shared" si="111"/>
        <v>5250</v>
      </c>
      <c r="F1437" s="20">
        <f t="shared" si="112"/>
        <v>2650</v>
      </c>
      <c r="G1437" s="20">
        <v>0.35506918616283084</v>
      </c>
      <c r="H1437" s="50"/>
      <c r="I1437" s="16"/>
      <c r="J1437" s="16"/>
      <c r="K1437" s="16"/>
      <c r="L1437" s="16"/>
      <c r="M1437" s="16">
        <v>1431</v>
      </c>
      <c r="N1437" s="16">
        <f t="shared" si="113"/>
        <v>0.51309182209469151</v>
      </c>
      <c r="O1437" s="16"/>
      <c r="P1437" s="16"/>
      <c r="Q1437" s="16">
        <f t="shared" si="114"/>
        <v>3.2822223698141084E-2</v>
      </c>
    </row>
    <row r="1438" spans="4:17" ht="15" thickBot="1" x14ac:dyDescent="0.35">
      <c r="D1438" s="20">
        <f t="shared" si="110"/>
        <v>1432</v>
      </c>
      <c r="E1438" s="20">
        <f t="shared" si="111"/>
        <v>50</v>
      </c>
      <c r="F1438" s="20">
        <f t="shared" si="112"/>
        <v>2750</v>
      </c>
      <c r="G1438" s="20">
        <v>0.35510019969804107</v>
      </c>
      <c r="H1438" s="50"/>
      <c r="I1438" s="16"/>
      <c r="J1438" s="16"/>
      <c r="K1438" s="16"/>
      <c r="L1438" s="16"/>
      <c r="M1438" s="16">
        <v>1432</v>
      </c>
      <c r="N1438" s="16">
        <f t="shared" si="113"/>
        <v>0.51345050215208032</v>
      </c>
      <c r="O1438" s="16"/>
      <c r="P1438" s="16"/>
      <c r="Q1438" s="16">
        <f t="shared" si="114"/>
        <v>3.372179909104895E-2</v>
      </c>
    </row>
    <row r="1439" spans="4:17" ht="15" thickBot="1" x14ac:dyDescent="0.35">
      <c r="D1439" s="20">
        <f t="shared" si="110"/>
        <v>1433</v>
      </c>
      <c r="E1439" s="20">
        <f t="shared" si="111"/>
        <v>150</v>
      </c>
      <c r="F1439" s="20">
        <f t="shared" si="112"/>
        <v>2750</v>
      </c>
      <c r="G1439" s="20">
        <v>0.35515459609563127</v>
      </c>
      <c r="H1439" s="50"/>
      <c r="I1439" s="16"/>
      <c r="J1439" s="16"/>
      <c r="K1439" s="16"/>
      <c r="L1439" s="16"/>
      <c r="M1439" s="16">
        <v>1433</v>
      </c>
      <c r="N1439" s="16">
        <f t="shared" si="113"/>
        <v>0.51380918220946914</v>
      </c>
      <c r="O1439" s="16"/>
      <c r="P1439" s="16"/>
      <c r="Q1439" s="16">
        <f t="shared" si="114"/>
        <v>3.4621401773680185E-2</v>
      </c>
    </row>
    <row r="1440" spans="4:17" ht="15" thickBot="1" x14ac:dyDescent="0.35">
      <c r="D1440" s="20">
        <f t="shared" si="110"/>
        <v>1434</v>
      </c>
      <c r="E1440" s="20">
        <f t="shared" si="111"/>
        <v>250</v>
      </c>
      <c r="F1440" s="20">
        <f t="shared" si="112"/>
        <v>2750</v>
      </c>
      <c r="G1440" s="20">
        <v>0.35519403760040097</v>
      </c>
      <c r="H1440" s="50"/>
      <c r="I1440" s="16"/>
      <c r="J1440" s="16"/>
      <c r="K1440" s="16"/>
      <c r="L1440" s="16"/>
      <c r="M1440" s="16">
        <v>1434</v>
      </c>
      <c r="N1440" s="16">
        <f t="shared" si="113"/>
        <v>0.51416786226685796</v>
      </c>
      <c r="O1440" s="16"/>
      <c r="P1440" s="16"/>
      <c r="Q1440" s="16">
        <f t="shared" si="114"/>
        <v>3.5521032475770452E-2</v>
      </c>
    </row>
    <row r="1441" spans="4:17" ht="15" thickBot="1" x14ac:dyDescent="0.35">
      <c r="D1441" s="20">
        <f t="shared" si="110"/>
        <v>1435</v>
      </c>
      <c r="E1441" s="20">
        <f t="shared" si="111"/>
        <v>350</v>
      </c>
      <c r="F1441" s="20">
        <f t="shared" si="112"/>
        <v>2750</v>
      </c>
      <c r="G1441" s="20">
        <v>0.3552032608019326</v>
      </c>
      <c r="H1441" s="50"/>
      <c r="I1441" s="16"/>
      <c r="J1441" s="16"/>
      <c r="K1441" s="16"/>
      <c r="L1441" s="16"/>
      <c r="M1441" s="16">
        <v>1435</v>
      </c>
      <c r="N1441" s="16">
        <f t="shared" si="113"/>
        <v>0.51452654232424677</v>
      </c>
      <c r="O1441" s="16"/>
      <c r="P1441" s="16"/>
      <c r="Q1441" s="16">
        <f t="shared" si="114"/>
        <v>3.6420691927214283E-2</v>
      </c>
    </row>
    <row r="1442" spans="4:17" ht="15" thickBot="1" x14ac:dyDescent="0.35">
      <c r="D1442" s="20">
        <f t="shared" si="110"/>
        <v>1436</v>
      </c>
      <c r="E1442" s="20">
        <f t="shared" si="111"/>
        <v>450</v>
      </c>
      <c r="F1442" s="20">
        <f t="shared" si="112"/>
        <v>2750</v>
      </c>
      <c r="G1442" s="20">
        <v>0.35520355591505992</v>
      </c>
      <c r="H1442" s="50"/>
      <c r="I1442" s="16"/>
      <c r="J1442" s="16"/>
      <c r="K1442" s="16"/>
      <c r="L1442" s="16"/>
      <c r="M1442" s="16">
        <v>1436</v>
      </c>
      <c r="N1442" s="16">
        <f t="shared" si="113"/>
        <v>0.51488522238163559</v>
      </c>
      <c r="O1442" s="16"/>
      <c r="P1442" s="16"/>
      <c r="Q1442" s="16">
        <f t="shared" si="114"/>
        <v>3.7320380858069255E-2</v>
      </c>
    </row>
    <row r="1443" spans="4:17" ht="15" thickBot="1" x14ac:dyDescent="0.35">
      <c r="D1443" s="20">
        <f t="shared" si="110"/>
        <v>1437</v>
      </c>
      <c r="E1443" s="20">
        <f t="shared" si="111"/>
        <v>550</v>
      </c>
      <c r="F1443" s="20">
        <f t="shared" si="112"/>
        <v>2750</v>
      </c>
      <c r="G1443" s="20">
        <v>0.35525934513525703</v>
      </c>
      <c r="H1443" s="50"/>
      <c r="I1443" s="16"/>
      <c r="J1443" s="16"/>
      <c r="K1443" s="16"/>
      <c r="L1443" s="16"/>
      <c r="M1443" s="16">
        <v>1437</v>
      </c>
      <c r="N1443" s="16">
        <f t="shared" si="113"/>
        <v>0.5152439024390244</v>
      </c>
      <c r="O1443" s="16"/>
      <c r="P1443" s="16"/>
      <c r="Q1443" s="16">
        <f t="shared" si="114"/>
        <v>3.82200999985602E-2</v>
      </c>
    </row>
    <row r="1444" spans="4:17" ht="15" thickBot="1" x14ac:dyDescent="0.35">
      <c r="D1444" s="20">
        <f t="shared" si="110"/>
        <v>1438</v>
      </c>
      <c r="E1444" s="20">
        <f t="shared" si="111"/>
        <v>650</v>
      </c>
      <c r="F1444" s="20">
        <f t="shared" si="112"/>
        <v>2750</v>
      </c>
      <c r="G1444" s="20">
        <v>0.35526515653812468</v>
      </c>
      <c r="H1444" s="50"/>
      <c r="I1444" s="16"/>
      <c r="J1444" s="16"/>
      <c r="K1444" s="16"/>
      <c r="L1444" s="16"/>
      <c r="M1444" s="16">
        <v>1438</v>
      </c>
      <c r="N1444" s="16">
        <f t="shared" si="113"/>
        <v>0.51560258249641322</v>
      </c>
      <c r="O1444" s="16"/>
      <c r="P1444" s="16"/>
      <c r="Q1444" s="16">
        <f t="shared" si="114"/>
        <v>3.9119850079083321E-2</v>
      </c>
    </row>
    <row r="1445" spans="4:17" ht="15" thickBot="1" x14ac:dyDescent="0.35">
      <c r="D1445" s="20">
        <f t="shared" si="110"/>
        <v>1439</v>
      </c>
      <c r="E1445" s="20">
        <f t="shared" si="111"/>
        <v>750</v>
      </c>
      <c r="F1445" s="20">
        <f t="shared" si="112"/>
        <v>2750</v>
      </c>
      <c r="G1445" s="20">
        <v>0.35527739806964481</v>
      </c>
      <c r="H1445" s="50"/>
      <c r="I1445" s="16"/>
      <c r="J1445" s="16"/>
      <c r="K1445" s="16"/>
      <c r="L1445" s="16"/>
      <c r="M1445" s="16">
        <v>1439</v>
      </c>
      <c r="N1445" s="16">
        <f t="shared" si="113"/>
        <v>0.51596126255380204</v>
      </c>
      <c r="O1445" s="16"/>
      <c r="P1445" s="16"/>
      <c r="Q1445" s="16">
        <f t="shared" si="114"/>
        <v>4.0019631830210331E-2</v>
      </c>
    </row>
    <row r="1446" spans="4:17" ht="15" thickBot="1" x14ac:dyDescent="0.35">
      <c r="D1446" s="20">
        <f t="shared" si="110"/>
        <v>1440</v>
      </c>
      <c r="E1446" s="20">
        <f t="shared" si="111"/>
        <v>850</v>
      </c>
      <c r="F1446" s="20">
        <f t="shared" si="112"/>
        <v>2750</v>
      </c>
      <c r="G1446" s="20">
        <v>0.35531936689151278</v>
      </c>
      <c r="H1446" s="50"/>
      <c r="I1446" s="16"/>
      <c r="J1446" s="16"/>
      <c r="K1446" s="16"/>
      <c r="L1446" s="16"/>
      <c r="M1446" s="16">
        <v>1440</v>
      </c>
      <c r="N1446" s="16">
        <f t="shared" si="113"/>
        <v>0.51631994261119085</v>
      </c>
      <c r="O1446" s="16"/>
      <c r="P1446" s="16"/>
      <c r="Q1446" s="16">
        <f t="shared" si="114"/>
        <v>4.0919445982692704E-2</v>
      </c>
    </row>
    <row r="1447" spans="4:17" ht="15" thickBot="1" x14ac:dyDescent="0.35">
      <c r="D1447" s="20">
        <f t="shared" si="110"/>
        <v>1441</v>
      </c>
      <c r="E1447" s="20">
        <f t="shared" si="111"/>
        <v>950</v>
      </c>
      <c r="F1447" s="20">
        <f t="shared" si="112"/>
        <v>2750</v>
      </c>
      <c r="G1447" s="20">
        <v>0.35535514241911897</v>
      </c>
      <c r="H1447" s="50"/>
      <c r="I1447" s="16"/>
      <c r="J1447" s="16"/>
      <c r="K1447" s="16"/>
      <c r="L1447" s="16"/>
      <c r="M1447" s="16">
        <v>1441</v>
      </c>
      <c r="N1447" s="16">
        <f t="shared" si="113"/>
        <v>0.51667862266857967</v>
      </c>
      <c r="O1447" s="16"/>
      <c r="P1447" s="16"/>
      <c r="Q1447" s="16">
        <f t="shared" si="114"/>
        <v>4.1819293267465779E-2</v>
      </c>
    </row>
    <row r="1448" spans="4:17" ht="15" thickBot="1" x14ac:dyDescent="0.35">
      <c r="D1448" s="20">
        <f t="shared" si="110"/>
        <v>1442</v>
      </c>
      <c r="E1448" s="20">
        <f t="shared" si="111"/>
        <v>1050</v>
      </c>
      <c r="F1448" s="20">
        <f t="shared" si="112"/>
        <v>2750</v>
      </c>
      <c r="G1448" s="20">
        <v>0.35554861859783027</v>
      </c>
      <c r="H1448" s="50"/>
      <c r="I1448" s="16"/>
      <c r="J1448" s="16"/>
      <c r="K1448" s="16"/>
      <c r="L1448" s="16"/>
      <c r="M1448" s="16">
        <v>1442</v>
      </c>
      <c r="N1448" s="16">
        <f t="shared" si="113"/>
        <v>0.51703730272596848</v>
      </c>
      <c r="O1448" s="16"/>
      <c r="P1448" s="16"/>
      <c r="Q1448" s="16">
        <f t="shared" si="114"/>
        <v>4.2719174415652948E-2</v>
      </c>
    </row>
    <row r="1449" spans="4:17" ht="15" thickBot="1" x14ac:dyDescent="0.35">
      <c r="D1449" s="20">
        <f t="shared" si="110"/>
        <v>1443</v>
      </c>
      <c r="E1449" s="20">
        <f t="shared" si="111"/>
        <v>1150</v>
      </c>
      <c r="F1449" s="20">
        <f t="shared" si="112"/>
        <v>2750</v>
      </c>
      <c r="G1449" s="20">
        <v>0.35558742666269494</v>
      </c>
      <c r="H1449" s="50"/>
      <c r="I1449" s="16"/>
      <c r="J1449" s="16"/>
      <c r="K1449" s="16"/>
      <c r="L1449" s="16"/>
      <c r="M1449" s="16">
        <v>1443</v>
      </c>
      <c r="N1449" s="16">
        <f t="shared" si="113"/>
        <v>0.5173959827833573</v>
      </c>
      <c r="O1449" s="16"/>
      <c r="P1449" s="16"/>
      <c r="Q1449" s="16">
        <f t="shared" si="114"/>
        <v>4.3619090158569851E-2</v>
      </c>
    </row>
    <row r="1450" spans="4:17" ht="15" thickBot="1" x14ac:dyDescent="0.35">
      <c r="D1450" s="20">
        <f t="shared" si="110"/>
        <v>1444</v>
      </c>
      <c r="E1450" s="20">
        <f t="shared" si="111"/>
        <v>1250</v>
      </c>
      <c r="F1450" s="20">
        <f t="shared" si="112"/>
        <v>2750</v>
      </c>
      <c r="G1450" s="20">
        <v>0.35561254439797746</v>
      </c>
      <c r="H1450" s="50"/>
      <c r="I1450" s="16"/>
      <c r="J1450" s="16"/>
      <c r="K1450" s="16"/>
      <c r="L1450" s="16"/>
      <c r="M1450" s="16">
        <v>1444</v>
      </c>
      <c r="N1450" s="16">
        <f t="shared" si="113"/>
        <v>0.517754662840746</v>
      </c>
      <c r="O1450" s="16"/>
      <c r="P1450" s="16"/>
      <c r="Q1450" s="16">
        <f t="shared" si="114"/>
        <v>4.4519041227728255E-2</v>
      </c>
    </row>
    <row r="1451" spans="4:17" ht="15" thickBot="1" x14ac:dyDescent="0.35">
      <c r="D1451" s="20">
        <f t="shared" si="110"/>
        <v>1445</v>
      </c>
      <c r="E1451" s="20">
        <f t="shared" si="111"/>
        <v>1350</v>
      </c>
      <c r="F1451" s="20">
        <f t="shared" si="112"/>
        <v>2750</v>
      </c>
      <c r="G1451" s="20">
        <v>0.35563179758402769</v>
      </c>
      <c r="H1451" s="50"/>
      <c r="I1451" s="16"/>
      <c r="J1451" s="16"/>
      <c r="K1451" s="16"/>
      <c r="L1451" s="16"/>
      <c r="M1451" s="16">
        <v>1445</v>
      </c>
      <c r="N1451" s="16">
        <f t="shared" si="113"/>
        <v>0.51811334289813482</v>
      </c>
      <c r="O1451" s="16"/>
      <c r="P1451" s="16"/>
      <c r="Q1451" s="16">
        <f t="shared" si="114"/>
        <v>4.5419028354841365E-2</v>
      </c>
    </row>
    <row r="1452" spans="4:17" ht="15" thickBot="1" x14ac:dyDescent="0.35">
      <c r="D1452" s="20">
        <f t="shared" si="110"/>
        <v>1446</v>
      </c>
      <c r="E1452" s="20">
        <f t="shared" si="111"/>
        <v>1450</v>
      </c>
      <c r="F1452" s="20">
        <f t="shared" si="112"/>
        <v>2750</v>
      </c>
      <c r="G1452" s="20">
        <v>0.35566730162937327</v>
      </c>
      <c r="H1452" s="50"/>
      <c r="I1452" s="16"/>
      <c r="J1452" s="16"/>
      <c r="K1452" s="16"/>
      <c r="L1452" s="16"/>
      <c r="M1452" s="16">
        <v>1446</v>
      </c>
      <c r="N1452" s="16">
        <f t="shared" si="113"/>
        <v>0.51847202295552364</v>
      </c>
      <c r="O1452" s="16"/>
      <c r="P1452" s="16"/>
      <c r="Q1452" s="16">
        <f t="shared" si="114"/>
        <v>4.6319052271826346E-2</v>
      </c>
    </row>
    <row r="1453" spans="4:17" ht="15" thickBot="1" x14ac:dyDescent="0.35">
      <c r="D1453" s="20">
        <f t="shared" si="110"/>
        <v>1447</v>
      </c>
      <c r="E1453" s="20">
        <f t="shared" si="111"/>
        <v>1550</v>
      </c>
      <c r="F1453" s="20">
        <f t="shared" si="112"/>
        <v>2750</v>
      </c>
      <c r="G1453" s="20">
        <v>0.35567816730084667</v>
      </c>
      <c r="H1453" s="50"/>
      <c r="I1453" s="16"/>
      <c r="J1453" s="16"/>
      <c r="K1453" s="16"/>
      <c r="L1453" s="16"/>
      <c r="M1453" s="16">
        <v>1447</v>
      </c>
      <c r="N1453" s="16">
        <f t="shared" si="113"/>
        <v>0.51883070301291245</v>
      </c>
      <c r="O1453" s="16"/>
      <c r="P1453" s="16"/>
      <c r="Q1453" s="16">
        <f t="shared" si="114"/>
        <v>4.7219113710809571E-2</v>
      </c>
    </row>
    <row r="1454" spans="4:17" ht="15" thickBot="1" x14ac:dyDescent="0.35">
      <c r="D1454" s="20">
        <f t="shared" si="110"/>
        <v>1448</v>
      </c>
      <c r="E1454" s="20">
        <f t="shared" si="111"/>
        <v>1650</v>
      </c>
      <c r="F1454" s="20">
        <f t="shared" si="112"/>
        <v>2750</v>
      </c>
      <c r="G1454" s="20">
        <v>0.35571030806208076</v>
      </c>
      <c r="H1454" s="50"/>
      <c r="I1454" s="16"/>
      <c r="J1454" s="16"/>
      <c r="K1454" s="16"/>
      <c r="L1454" s="16"/>
      <c r="M1454" s="16">
        <v>1448</v>
      </c>
      <c r="N1454" s="16">
        <f t="shared" si="113"/>
        <v>0.51918938307030127</v>
      </c>
      <c r="O1454" s="16"/>
      <c r="P1454" s="16"/>
      <c r="Q1454" s="16">
        <f t="shared" si="114"/>
        <v>4.8119213404130633E-2</v>
      </c>
    </row>
    <row r="1455" spans="4:17" ht="15" thickBot="1" x14ac:dyDescent="0.35">
      <c r="D1455" s="20">
        <f t="shared" si="110"/>
        <v>1449</v>
      </c>
      <c r="E1455" s="20">
        <f t="shared" si="111"/>
        <v>1750</v>
      </c>
      <c r="F1455" s="20">
        <f t="shared" si="112"/>
        <v>2750</v>
      </c>
      <c r="G1455" s="20">
        <v>0.35575373916557601</v>
      </c>
      <c r="H1455" s="50"/>
      <c r="I1455" s="16"/>
      <c r="J1455" s="16"/>
      <c r="K1455" s="16"/>
      <c r="L1455" s="16"/>
      <c r="M1455" s="16">
        <v>1449</v>
      </c>
      <c r="N1455" s="16">
        <f t="shared" si="113"/>
        <v>0.51954806312769009</v>
      </c>
      <c r="O1455" s="16"/>
      <c r="P1455" s="16"/>
      <c r="Q1455" s="16">
        <f t="shared" si="114"/>
        <v>4.9019352084346428E-2</v>
      </c>
    </row>
    <row r="1456" spans="4:17" ht="15" thickBot="1" x14ac:dyDescent="0.35">
      <c r="D1456" s="20">
        <f t="shared" si="110"/>
        <v>1450</v>
      </c>
      <c r="E1456" s="20">
        <f t="shared" si="111"/>
        <v>1850</v>
      </c>
      <c r="F1456" s="20">
        <f t="shared" si="112"/>
        <v>2750</v>
      </c>
      <c r="G1456" s="20">
        <v>0.35589000182561004</v>
      </c>
      <c r="H1456" s="50"/>
      <c r="I1456" s="16"/>
      <c r="J1456" s="16"/>
      <c r="K1456" s="16"/>
      <c r="L1456" s="16"/>
      <c r="M1456" s="16">
        <v>1450</v>
      </c>
      <c r="N1456" s="16">
        <f t="shared" si="113"/>
        <v>0.5199067431850789</v>
      </c>
      <c r="O1456" s="16"/>
      <c r="P1456" s="16"/>
      <c r="Q1456" s="16">
        <f t="shared" si="114"/>
        <v>4.9919530484235419E-2</v>
      </c>
    </row>
    <row r="1457" spans="4:17" ht="15" thickBot="1" x14ac:dyDescent="0.35">
      <c r="D1457" s="20">
        <f t="shared" si="110"/>
        <v>1451</v>
      </c>
      <c r="E1457" s="20">
        <f t="shared" si="111"/>
        <v>1950</v>
      </c>
      <c r="F1457" s="20">
        <f t="shared" si="112"/>
        <v>2750</v>
      </c>
      <c r="G1457" s="20">
        <v>0.35597310797874132</v>
      </c>
      <c r="H1457" s="50"/>
      <c r="I1457" s="16"/>
      <c r="J1457" s="16"/>
      <c r="K1457" s="16"/>
      <c r="L1457" s="16"/>
      <c r="M1457" s="16">
        <v>1451</v>
      </c>
      <c r="N1457" s="16">
        <f t="shared" si="113"/>
        <v>0.52026542324246772</v>
      </c>
      <c r="O1457" s="16"/>
      <c r="P1457" s="16"/>
      <c r="Q1457" s="16">
        <f t="shared" si="114"/>
        <v>5.0819749336801848E-2</v>
      </c>
    </row>
    <row r="1458" spans="4:17" ht="15" thickBot="1" x14ac:dyDescent="0.35">
      <c r="D1458" s="20">
        <f t="shared" si="110"/>
        <v>1452</v>
      </c>
      <c r="E1458" s="20">
        <f t="shared" si="111"/>
        <v>2050</v>
      </c>
      <c r="F1458" s="20">
        <f t="shared" si="112"/>
        <v>2750</v>
      </c>
      <c r="G1458" s="20">
        <v>0.35599649051127064</v>
      </c>
      <c r="H1458" s="50"/>
      <c r="I1458" s="16"/>
      <c r="J1458" s="16"/>
      <c r="K1458" s="16"/>
      <c r="L1458" s="16"/>
      <c r="M1458" s="16">
        <v>1452</v>
      </c>
      <c r="N1458" s="16">
        <f t="shared" si="113"/>
        <v>0.52062410329985653</v>
      </c>
      <c r="O1458" s="16"/>
      <c r="P1458" s="16"/>
      <c r="Q1458" s="16">
        <f t="shared" si="114"/>
        <v>5.1720009375279902E-2</v>
      </c>
    </row>
    <row r="1459" spans="4:17" ht="15" thickBot="1" x14ac:dyDescent="0.35">
      <c r="D1459" s="20">
        <f t="shared" si="110"/>
        <v>1453</v>
      </c>
      <c r="E1459" s="20">
        <f t="shared" si="111"/>
        <v>2150</v>
      </c>
      <c r="F1459" s="20">
        <f t="shared" si="112"/>
        <v>2750</v>
      </c>
      <c r="G1459" s="20">
        <v>0.3560092879598557</v>
      </c>
      <c r="H1459" s="50"/>
      <c r="I1459" s="16"/>
      <c r="J1459" s="16"/>
      <c r="K1459" s="16"/>
      <c r="L1459" s="16"/>
      <c r="M1459" s="16">
        <v>1453</v>
      </c>
      <c r="N1459" s="16">
        <f t="shared" si="113"/>
        <v>0.52098278335724535</v>
      </c>
      <c r="O1459" s="16"/>
      <c r="P1459" s="16"/>
      <c r="Q1459" s="16">
        <f t="shared" si="114"/>
        <v>5.2620311333137923E-2</v>
      </c>
    </row>
    <row r="1460" spans="4:17" ht="15" thickBot="1" x14ac:dyDescent="0.35">
      <c r="D1460" s="20">
        <f t="shared" si="110"/>
        <v>1454</v>
      </c>
      <c r="E1460" s="20">
        <f t="shared" si="111"/>
        <v>2250</v>
      </c>
      <c r="F1460" s="20">
        <f t="shared" si="112"/>
        <v>2750</v>
      </c>
      <c r="G1460" s="20">
        <v>0.35617258563337467</v>
      </c>
      <c r="H1460" s="50"/>
      <c r="I1460" s="16"/>
      <c r="J1460" s="16"/>
      <c r="K1460" s="16"/>
      <c r="L1460" s="16"/>
      <c r="M1460" s="16">
        <v>1454</v>
      </c>
      <c r="N1460" s="16">
        <f t="shared" si="113"/>
        <v>0.52134146341463417</v>
      </c>
      <c r="O1460" s="16"/>
      <c r="P1460" s="16"/>
      <c r="Q1460" s="16">
        <f t="shared" si="114"/>
        <v>5.3520655944082639E-2</v>
      </c>
    </row>
    <row r="1461" spans="4:17" ht="15" thickBot="1" x14ac:dyDescent="0.35">
      <c r="D1461" s="20">
        <f t="shared" si="110"/>
        <v>1455</v>
      </c>
      <c r="E1461" s="20">
        <f t="shared" si="111"/>
        <v>2350</v>
      </c>
      <c r="F1461" s="20">
        <f t="shared" si="112"/>
        <v>2750</v>
      </c>
      <c r="G1461" s="20">
        <v>0.35620061265942149</v>
      </c>
      <c r="H1461" s="50"/>
      <c r="I1461" s="16"/>
      <c r="J1461" s="16"/>
      <c r="K1461" s="16"/>
      <c r="L1461" s="16"/>
      <c r="M1461" s="16">
        <v>1455</v>
      </c>
      <c r="N1461" s="16">
        <f t="shared" si="113"/>
        <v>0.52170014347202298</v>
      </c>
      <c r="O1461" s="16"/>
      <c r="P1461" s="16"/>
      <c r="Q1461" s="16">
        <f t="shared" si="114"/>
        <v>5.442104394206336E-2</v>
      </c>
    </row>
    <row r="1462" spans="4:17" ht="15" thickBot="1" x14ac:dyDescent="0.35">
      <c r="D1462" s="20">
        <f t="shared" si="110"/>
        <v>1456</v>
      </c>
      <c r="E1462" s="20">
        <f t="shared" si="111"/>
        <v>2450</v>
      </c>
      <c r="F1462" s="20">
        <f t="shared" si="112"/>
        <v>2750</v>
      </c>
      <c r="G1462" s="20">
        <v>0.35629879422791477</v>
      </c>
      <c r="H1462" s="50"/>
      <c r="I1462" s="16"/>
      <c r="J1462" s="16"/>
      <c r="K1462" s="16"/>
      <c r="L1462" s="16"/>
      <c r="M1462" s="16">
        <v>1456</v>
      </c>
      <c r="N1462" s="16">
        <f t="shared" si="113"/>
        <v>0.5220588235294118</v>
      </c>
      <c r="O1462" s="16"/>
      <c r="P1462" s="16"/>
      <c r="Q1462" s="16">
        <f t="shared" si="114"/>
        <v>5.5321476061276215E-2</v>
      </c>
    </row>
    <row r="1463" spans="4:17" ht="15" thickBot="1" x14ac:dyDescent="0.35">
      <c r="D1463" s="20">
        <f t="shared" si="110"/>
        <v>1457</v>
      </c>
      <c r="E1463" s="20">
        <f t="shared" si="111"/>
        <v>2550</v>
      </c>
      <c r="F1463" s="20">
        <f t="shared" si="112"/>
        <v>2750</v>
      </c>
      <c r="G1463" s="20">
        <v>0.35634080039220506</v>
      </c>
      <c r="H1463" s="50"/>
      <c r="I1463" s="16"/>
      <c r="J1463" s="16"/>
      <c r="K1463" s="16"/>
      <c r="L1463" s="16"/>
      <c r="M1463" s="16">
        <v>1457</v>
      </c>
      <c r="N1463" s="16">
        <f t="shared" si="113"/>
        <v>0.52241750358680061</v>
      </c>
      <c r="O1463" s="16"/>
      <c r="P1463" s="16"/>
      <c r="Q1463" s="16">
        <f t="shared" si="114"/>
        <v>5.6221953036168379E-2</v>
      </c>
    </row>
    <row r="1464" spans="4:17" ht="15" thickBot="1" x14ac:dyDescent="0.35">
      <c r="D1464" s="20">
        <f t="shared" si="110"/>
        <v>1458</v>
      </c>
      <c r="E1464" s="20">
        <f t="shared" si="111"/>
        <v>2650</v>
      </c>
      <c r="F1464" s="20">
        <f t="shared" si="112"/>
        <v>2750</v>
      </c>
      <c r="G1464" s="20">
        <v>0.35638155502791247</v>
      </c>
      <c r="H1464" s="50"/>
      <c r="I1464" s="16"/>
      <c r="J1464" s="16"/>
      <c r="K1464" s="16"/>
      <c r="L1464" s="16"/>
      <c r="M1464" s="16">
        <v>1458</v>
      </c>
      <c r="N1464" s="16">
        <f t="shared" si="113"/>
        <v>0.52277618364418943</v>
      </c>
      <c r="O1464" s="16"/>
      <c r="P1464" s="16"/>
      <c r="Q1464" s="16">
        <f t="shared" si="114"/>
        <v>5.7122475601442263E-2</v>
      </c>
    </row>
    <row r="1465" spans="4:17" ht="15" thickBot="1" x14ac:dyDescent="0.35">
      <c r="D1465" s="20">
        <f t="shared" si="110"/>
        <v>1459</v>
      </c>
      <c r="E1465" s="20">
        <f t="shared" si="111"/>
        <v>2750</v>
      </c>
      <c r="F1465" s="20">
        <f t="shared" si="112"/>
        <v>2750</v>
      </c>
      <c r="G1465" s="20">
        <v>0.35654369028158245</v>
      </c>
      <c r="H1465" s="50"/>
      <c r="I1465" s="16"/>
      <c r="J1465" s="16"/>
      <c r="K1465" s="16"/>
      <c r="L1465" s="16"/>
      <c r="M1465" s="16">
        <v>1459</v>
      </c>
      <c r="N1465" s="16">
        <f t="shared" si="113"/>
        <v>0.52313486370157825</v>
      </c>
      <c r="O1465" s="16"/>
      <c r="P1465" s="16"/>
      <c r="Q1465" s="16">
        <f t="shared" si="114"/>
        <v>5.8023044492059757E-2</v>
      </c>
    </row>
    <row r="1466" spans="4:17" ht="15" thickBot="1" x14ac:dyDescent="0.35">
      <c r="D1466" s="20">
        <f t="shared" si="110"/>
        <v>1460</v>
      </c>
      <c r="E1466" s="20">
        <f t="shared" si="111"/>
        <v>2850</v>
      </c>
      <c r="F1466" s="20">
        <f t="shared" si="112"/>
        <v>2750</v>
      </c>
      <c r="G1466" s="20">
        <v>0.35662230224694053</v>
      </c>
      <c r="H1466" s="50"/>
      <c r="I1466" s="16"/>
      <c r="J1466" s="16"/>
      <c r="K1466" s="16"/>
      <c r="L1466" s="16"/>
      <c r="M1466" s="16">
        <v>1460</v>
      </c>
      <c r="N1466" s="16">
        <f t="shared" si="113"/>
        <v>0.52349354375896695</v>
      </c>
      <c r="O1466" s="16"/>
      <c r="P1466" s="16"/>
      <c r="Q1466" s="16">
        <f t="shared" si="114"/>
        <v>5.8923660443246206E-2</v>
      </c>
    </row>
    <row r="1467" spans="4:17" ht="15" thickBot="1" x14ac:dyDescent="0.35">
      <c r="D1467" s="20">
        <f t="shared" si="110"/>
        <v>1461</v>
      </c>
      <c r="E1467" s="20">
        <f t="shared" si="111"/>
        <v>2950</v>
      </c>
      <c r="F1467" s="20">
        <f t="shared" si="112"/>
        <v>2750</v>
      </c>
      <c r="G1467" s="20">
        <v>0.35663056303432517</v>
      </c>
      <c r="H1467" s="50"/>
      <c r="I1467" s="16"/>
      <c r="J1467" s="16"/>
      <c r="K1467" s="16"/>
      <c r="L1467" s="16"/>
      <c r="M1467" s="16">
        <v>1461</v>
      </c>
      <c r="N1467" s="16">
        <f t="shared" si="113"/>
        <v>0.52385222381635577</v>
      </c>
      <c r="O1467" s="16"/>
      <c r="P1467" s="16"/>
      <c r="Q1467" s="16">
        <f t="shared" si="114"/>
        <v>5.9824324190495763E-2</v>
      </c>
    </row>
    <row r="1468" spans="4:17" ht="15" thickBot="1" x14ac:dyDescent="0.35">
      <c r="D1468" s="20">
        <f t="shared" si="110"/>
        <v>1462</v>
      </c>
      <c r="E1468" s="20">
        <f t="shared" si="111"/>
        <v>3050</v>
      </c>
      <c r="F1468" s="20">
        <f t="shared" si="112"/>
        <v>2750</v>
      </c>
      <c r="G1468" s="20">
        <v>0.35671868250498229</v>
      </c>
      <c r="H1468" s="50"/>
      <c r="I1468" s="16"/>
      <c r="J1468" s="16"/>
      <c r="K1468" s="16"/>
      <c r="L1468" s="16"/>
      <c r="M1468" s="16">
        <v>1462</v>
      </c>
      <c r="N1468" s="16">
        <f t="shared" si="113"/>
        <v>0.52421090387374458</v>
      </c>
      <c r="O1468" s="16"/>
      <c r="P1468" s="16"/>
      <c r="Q1468" s="16">
        <f t="shared" si="114"/>
        <v>6.0725036469573904E-2</v>
      </c>
    </row>
    <row r="1469" spans="4:17" ht="15" thickBot="1" x14ac:dyDescent="0.35">
      <c r="D1469" s="20">
        <f t="shared" si="110"/>
        <v>1463</v>
      </c>
      <c r="E1469" s="20">
        <f t="shared" si="111"/>
        <v>3150</v>
      </c>
      <c r="F1469" s="20">
        <f t="shared" si="112"/>
        <v>2750</v>
      </c>
      <c r="G1469" s="20">
        <v>0.35681989949504783</v>
      </c>
      <c r="H1469" s="50"/>
      <c r="I1469" s="16"/>
      <c r="J1469" s="16"/>
      <c r="K1469" s="16"/>
      <c r="L1469" s="16"/>
      <c r="M1469" s="16">
        <v>1463</v>
      </c>
      <c r="N1469" s="16">
        <f t="shared" si="113"/>
        <v>0.5245695839311334</v>
      </c>
      <c r="O1469" s="16"/>
      <c r="P1469" s="16"/>
      <c r="Q1469" s="16">
        <f t="shared" si="114"/>
        <v>6.1625798016522848E-2</v>
      </c>
    </row>
    <row r="1470" spans="4:17" ht="15" thickBot="1" x14ac:dyDescent="0.35">
      <c r="D1470" s="20">
        <f t="shared" si="110"/>
        <v>1464</v>
      </c>
      <c r="E1470" s="20">
        <f t="shared" si="111"/>
        <v>3250</v>
      </c>
      <c r="F1470" s="20">
        <f t="shared" si="112"/>
        <v>2750</v>
      </c>
      <c r="G1470" s="20">
        <v>0.3568524288985423</v>
      </c>
      <c r="H1470" s="50"/>
      <c r="I1470" s="16"/>
      <c r="J1470" s="16"/>
      <c r="K1470" s="16"/>
      <c r="L1470" s="16"/>
      <c r="M1470" s="16">
        <v>1464</v>
      </c>
      <c r="N1470" s="16">
        <f t="shared" si="113"/>
        <v>0.52492826398852221</v>
      </c>
      <c r="O1470" s="16"/>
      <c r="P1470" s="16"/>
      <c r="Q1470" s="16">
        <f t="shared" si="114"/>
        <v>6.2526609567665523E-2</v>
      </c>
    </row>
    <row r="1471" spans="4:17" ht="15" thickBot="1" x14ac:dyDescent="0.35">
      <c r="D1471" s="20">
        <f t="shared" si="110"/>
        <v>1465</v>
      </c>
      <c r="E1471" s="20">
        <f t="shared" si="111"/>
        <v>3350</v>
      </c>
      <c r="F1471" s="20">
        <f t="shared" si="112"/>
        <v>2750</v>
      </c>
      <c r="G1471" s="20">
        <v>0.35685503392448897</v>
      </c>
      <c r="H1471" s="50"/>
      <c r="I1471" s="16"/>
      <c r="J1471" s="16"/>
      <c r="K1471" s="16"/>
      <c r="L1471" s="16"/>
      <c r="M1471" s="16">
        <v>1465</v>
      </c>
      <c r="N1471" s="16">
        <f t="shared" si="113"/>
        <v>0.52528694404591103</v>
      </c>
      <c r="O1471" s="16"/>
      <c r="P1471" s="16"/>
      <c r="Q1471" s="16">
        <f t="shared" si="114"/>
        <v>6.3427471859609771E-2</v>
      </c>
    </row>
    <row r="1472" spans="4:17" ht="15" thickBot="1" x14ac:dyDescent="0.35">
      <c r="D1472" s="20">
        <f t="shared" si="110"/>
        <v>1466</v>
      </c>
      <c r="E1472" s="43">
        <f t="shared" si="111"/>
        <v>3450</v>
      </c>
      <c r="F1472" s="43">
        <f t="shared" si="112"/>
        <v>2750</v>
      </c>
      <c r="G1472" s="20">
        <v>0.35708924751714111</v>
      </c>
      <c r="H1472" s="50"/>
      <c r="I1472" s="16"/>
      <c r="J1472" s="16"/>
      <c r="K1472" s="16"/>
      <c r="L1472" s="16"/>
      <c r="M1472" s="16">
        <v>1466</v>
      </c>
      <c r="N1472" s="16">
        <f t="shared" si="113"/>
        <v>0.52564562410329985</v>
      </c>
      <c r="O1472" s="16"/>
      <c r="P1472" s="16"/>
      <c r="Q1472" s="16">
        <f t="shared" si="114"/>
        <v>6.4328385629252652E-2</v>
      </c>
    </row>
    <row r="1473" spans="4:17" ht="15" thickBot="1" x14ac:dyDescent="0.35">
      <c r="D1473" s="20">
        <f t="shared" si="110"/>
        <v>1467</v>
      </c>
      <c r="E1473" s="20">
        <f t="shared" si="111"/>
        <v>3550</v>
      </c>
      <c r="F1473" s="20">
        <f t="shared" si="112"/>
        <v>2750</v>
      </c>
      <c r="G1473" s="20">
        <v>0.35714018884715909</v>
      </c>
      <c r="H1473" s="50"/>
      <c r="I1473" s="16"/>
      <c r="J1473" s="16"/>
      <c r="K1473" s="16"/>
      <c r="L1473" s="16"/>
      <c r="M1473" s="16">
        <v>1467</v>
      </c>
      <c r="N1473" s="16">
        <f t="shared" si="113"/>
        <v>0.52600430416068866</v>
      </c>
      <c r="O1473" s="16"/>
      <c r="P1473" s="16"/>
      <c r="Q1473" s="16">
        <f t="shared" si="114"/>
        <v>6.5229351613784667E-2</v>
      </c>
    </row>
    <row r="1474" spans="4:17" ht="15" thickBot="1" x14ac:dyDescent="0.35">
      <c r="D1474" s="20">
        <f t="shared" si="110"/>
        <v>1468</v>
      </c>
      <c r="E1474" s="20">
        <f t="shared" si="111"/>
        <v>3650</v>
      </c>
      <c r="F1474" s="20">
        <f t="shared" si="112"/>
        <v>2750</v>
      </c>
      <c r="G1474" s="20">
        <v>0.35715493081492244</v>
      </c>
      <c r="H1474" s="50"/>
      <c r="I1474" s="16"/>
      <c r="J1474" s="16"/>
      <c r="K1474" s="16"/>
      <c r="L1474" s="16"/>
      <c r="M1474" s="16">
        <v>1468</v>
      </c>
      <c r="N1474" s="16">
        <f t="shared" si="113"/>
        <v>0.52636298421807748</v>
      </c>
      <c r="O1474" s="16"/>
      <c r="P1474" s="16"/>
      <c r="Q1474" s="16">
        <f t="shared" si="114"/>
        <v>6.6130370550694081E-2</v>
      </c>
    </row>
    <row r="1475" spans="4:17" ht="15" thickBot="1" x14ac:dyDescent="0.35">
      <c r="D1475" s="20">
        <f t="shared" si="110"/>
        <v>1469</v>
      </c>
      <c r="E1475" s="20">
        <f t="shared" si="111"/>
        <v>3750</v>
      </c>
      <c r="F1475" s="20">
        <f t="shared" si="112"/>
        <v>2750</v>
      </c>
      <c r="G1475" s="20">
        <v>0.35720867379275462</v>
      </c>
      <c r="H1475" s="50"/>
      <c r="I1475" s="16"/>
      <c r="J1475" s="16"/>
      <c r="K1475" s="16"/>
      <c r="L1475" s="16"/>
      <c r="M1475" s="16">
        <v>1469</v>
      </c>
      <c r="N1475" s="16">
        <f t="shared" si="113"/>
        <v>0.52672166427546629</v>
      </c>
      <c r="O1475" s="16"/>
      <c r="P1475" s="16"/>
      <c r="Q1475" s="16">
        <f t="shared" si="114"/>
        <v>6.7031443177771141E-2</v>
      </c>
    </row>
    <row r="1476" spans="4:17" ht="15" thickBot="1" x14ac:dyDescent="0.35">
      <c r="D1476" s="20">
        <f t="shared" si="110"/>
        <v>1470</v>
      </c>
      <c r="E1476" s="20">
        <f t="shared" si="111"/>
        <v>3850</v>
      </c>
      <c r="F1476" s="20">
        <f t="shared" si="112"/>
        <v>2750</v>
      </c>
      <c r="G1476" s="20">
        <v>0.35740132762208793</v>
      </c>
      <c r="H1476" s="50"/>
      <c r="I1476" s="16"/>
      <c r="J1476" s="16"/>
      <c r="K1476" s="16"/>
      <c r="L1476" s="16"/>
      <c r="M1476" s="16">
        <v>1470</v>
      </c>
      <c r="N1476" s="16">
        <f t="shared" si="113"/>
        <v>0.52708034433285511</v>
      </c>
      <c r="O1476" s="16"/>
      <c r="P1476" s="16"/>
      <c r="Q1476" s="16">
        <f t="shared" si="114"/>
        <v>6.7932570233112402E-2</v>
      </c>
    </row>
    <row r="1477" spans="4:17" ht="15" thickBot="1" x14ac:dyDescent="0.35">
      <c r="D1477" s="20">
        <f t="shared" si="110"/>
        <v>1471</v>
      </c>
      <c r="E1477" s="20">
        <f t="shared" si="111"/>
        <v>3950</v>
      </c>
      <c r="F1477" s="20">
        <f t="shared" si="112"/>
        <v>2750</v>
      </c>
      <c r="G1477" s="20">
        <v>0.35751501672236219</v>
      </c>
      <c r="H1477" s="50"/>
      <c r="I1477" s="16"/>
      <c r="J1477" s="16"/>
      <c r="K1477" s="16"/>
      <c r="L1477" s="16"/>
      <c r="M1477" s="16">
        <v>1471</v>
      </c>
      <c r="N1477" s="16">
        <f t="shared" si="113"/>
        <v>0.52743902439024393</v>
      </c>
      <c r="O1477" s="16"/>
      <c r="P1477" s="16"/>
      <c r="Q1477" s="16">
        <f t="shared" si="114"/>
        <v>6.883375245512488E-2</v>
      </c>
    </row>
    <row r="1478" spans="4:17" ht="15" thickBot="1" x14ac:dyDescent="0.35">
      <c r="D1478" s="20">
        <f t="shared" si="110"/>
        <v>1472</v>
      </c>
      <c r="E1478" s="20">
        <f t="shared" si="111"/>
        <v>4050</v>
      </c>
      <c r="F1478" s="20">
        <f t="shared" si="112"/>
        <v>2750</v>
      </c>
      <c r="G1478" s="20">
        <v>0.35763006373815281</v>
      </c>
      <c r="H1478" s="50"/>
      <c r="I1478" s="16"/>
      <c r="J1478" s="16"/>
      <c r="K1478" s="16"/>
      <c r="L1478" s="16"/>
      <c r="M1478" s="16">
        <v>1472</v>
      </c>
      <c r="N1478" s="16">
        <f t="shared" si="113"/>
        <v>0.52779770444763274</v>
      </c>
      <c r="O1478" s="16"/>
      <c r="P1478" s="16"/>
      <c r="Q1478" s="16">
        <f t="shared" si="114"/>
        <v>6.9734990582530548E-2</v>
      </c>
    </row>
    <row r="1479" spans="4:17" ht="15" thickBot="1" x14ac:dyDescent="0.35">
      <c r="D1479" s="20">
        <f t="shared" ref="D1479:D1542" si="115">ROW()-6</f>
        <v>1473</v>
      </c>
      <c r="E1479" s="20">
        <f t="shared" ref="E1479:E1542" si="116">(MOD(D1479-1,53)*100)+50</f>
        <v>4150</v>
      </c>
      <c r="F1479" s="20">
        <f t="shared" ref="F1479:F1542" si="117">FLOOR((D1479-1)/53,1)*100+50</f>
        <v>2750</v>
      </c>
      <c r="G1479" s="20">
        <v>0.35766381570878014</v>
      </c>
      <c r="H1479" s="50"/>
      <c r="I1479" s="16"/>
      <c r="J1479" s="16"/>
      <c r="K1479" s="16"/>
      <c r="L1479" s="16"/>
      <c r="M1479" s="16">
        <v>1473</v>
      </c>
      <c r="N1479" s="16">
        <f t="shared" si="113"/>
        <v>0.52815638450502156</v>
      </c>
      <c r="O1479" s="16"/>
      <c r="P1479" s="16"/>
      <c r="Q1479" s="16">
        <f t="shared" si="114"/>
        <v>7.0636285354370443E-2</v>
      </c>
    </row>
    <row r="1480" spans="4:17" ht="15" thickBot="1" x14ac:dyDescent="0.35">
      <c r="D1480" s="20">
        <f t="shared" si="115"/>
        <v>1474</v>
      </c>
      <c r="E1480" s="20">
        <f t="shared" si="116"/>
        <v>4250</v>
      </c>
      <c r="F1480" s="20">
        <f t="shared" si="117"/>
        <v>2750</v>
      </c>
      <c r="G1480" s="20">
        <v>0.35804000189661445</v>
      </c>
      <c r="H1480" s="50"/>
      <c r="I1480" s="16"/>
      <c r="J1480" s="16"/>
      <c r="K1480" s="16"/>
      <c r="L1480" s="16"/>
      <c r="M1480" s="16">
        <v>1474</v>
      </c>
      <c r="N1480" s="16">
        <f t="shared" ref="N1480:N1543" si="118">(M1480-0.5)/$L$7</f>
        <v>0.52851506456241037</v>
      </c>
      <c r="O1480" s="16"/>
      <c r="P1480" s="16"/>
      <c r="Q1480" s="16">
        <f t="shared" ref="Q1480:Q1543" si="119">_xlfn.NORM.S.INV(N1480)</f>
        <v>7.1537637510009008E-2</v>
      </c>
    </row>
    <row r="1481" spans="4:17" ht="15" thickBot="1" x14ac:dyDescent="0.35">
      <c r="D1481" s="20">
        <f t="shared" si="115"/>
        <v>1475</v>
      </c>
      <c r="E1481" s="20">
        <f t="shared" si="116"/>
        <v>4350</v>
      </c>
      <c r="F1481" s="20">
        <f t="shared" si="117"/>
        <v>2750</v>
      </c>
      <c r="G1481" s="20">
        <v>0.35809765594276416</v>
      </c>
      <c r="H1481" s="50"/>
      <c r="I1481" s="16"/>
      <c r="J1481" s="16"/>
      <c r="K1481" s="16"/>
      <c r="L1481" s="16"/>
      <c r="M1481" s="16">
        <v>1475</v>
      </c>
      <c r="N1481" s="16">
        <f t="shared" si="118"/>
        <v>0.52887374461979919</v>
      </c>
      <c r="O1481" s="16"/>
      <c r="P1481" s="16"/>
      <c r="Q1481" s="16">
        <f t="shared" si="119"/>
        <v>7.2439047789138455E-2</v>
      </c>
    </row>
    <row r="1482" spans="4:17" ht="15" thickBot="1" x14ac:dyDescent="0.35">
      <c r="D1482" s="20">
        <f t="shared" si="115"/>
        <v>1476</v>
      </c>
      <c r="E1482" s="20">
        <f t="shared" si="116"/>
        <v>4450</v>
      </c>
      <c r="F1482" s="20">
        <f t="shared" si="117"/>
        <v>2750</v>
      </c>
      <c r="G1482" s="20">
        <v>0.3581401255148754</v>
      </c>
      <c r="H1482" s="50"/>
      <c r="I1482" s="16"/>
      <c r="J1482" s="16"/>
      <c r="K1482" s="16"/>
      <c r="L1482" s="16"/>
      <c r="M1482" s="16">
        <v>1476</v>
      </c>
      <c r="N1482" s="16">
        <f t="shared" si="118"/>
        <v>0.5292324246771879</v>
      </c>
      <c r="O1482" s="16"/>
      <c r="P1482" s="16"/>
      <c r="Q1482" s="16">
        <f t="shared" si="119"/>
        <v>7.3340516931782715E-2</v>
      </c>
    </row>
    <row r="1483" spans="4:17" ht="15" thickBot="1" x14ac:dyDescent="0.35">
      <c r="D1483" s="20">
        <f t="shared" si="115"/>
        <v>1477</v>
      </c>
      <c r="E1483" s="20">
        <f t="shared" si="116"/>
        <v>4550</v>
      </c>
      <c r="F1483" s="20">
        <f t="shared" si="117"/>
        <v>2750</v>
      </c>
      <c r="G1483" s="20">
        <v>0.35818499092023282</v>
      </c>
      <c r="H1483" s="50"/>
      <c r="I1483" s="16"/>
      <c r="J1483" s="16"/>
      <c r="K1483" s="16"/>
      <c r="L1483" s="16"/>
      <c r="M1483" s="16">
        <v>1477</v>
      </c>
      <c r="N1483" s="16">
        <f t="shared" si="118"/>
        <v>0.52959110473457671</v>
      </c>
      <c r="O1483" s="16"/>
      <c r="P1483" s="16"/>
      <c r="Q1483" s="16">
        <f t="shared" si="119"/>
        <v>7.4242045678302879E-2</v>
      </c>
    </row>
    <row r="1484" spans="4:17" ht="15" thickBot="1" x14ac:dyDescent="0.35">
      <c r="D1484" s="20">
        <f t="shared" si="115"/>
        <v>1478</v>
      </c>
      <c r="E1484" s="20">
        <f t="shared" si="116"/>
        <v>4650</v>
      </c>
      <c r="F1484" s="20">
        <f t="shared" si="117"/>
        <v>2750</v>
      </c>
      <c r="G1484" s="20">
        <v>0.35828339334816339</v>
      </c>
      <c r="H1484" s="50"/>
      <c r="I1484" s="16"/>
      <c r="J1484" s="16"/>
      <c r="K1484" s="16"/>
      <c r="L1484" s="16"/>
      <c r="M1484" s="16">
        <v>1478</v>
      </c>
      <c r="N1484" s="16">
        <f t="shared" si="118"/>
        <v>0.52994978479196553</v>
      </c>
      <c r="O1484" s="16"/>
      <c r="P1484" s="16"/>
      <c r="Q1484" s="16">
        <f t="shared" si="119"/>
        <v>7.5143634769399864E-2</v>
      </c>
    </row>
    <row r="1485" spans="4:17" ht="15" thickBot="1" x14ac:dyDescent="0.35">
      <c r="D1485" s="20">
        <f t="shared" si="115"/>
        <v>1479</v>
      </c>
      <c r="E1485" s="20">
        <f t="shared" si="116"/>
        <v>4750</v>
      </c>
      <c r="F1485" s="20">
        <f t="shared" si="117"/>
        <v>2750</v>
      </c>
      <c r="G1485" s="20">
        <v>0.35832812787152674</v>
      </c>
      <c r="H1485" s="50"/>
      <c r="I1485" s="16"/>
      <c r="J1485" s="16"/>
      <c r="K1485" s="16"/>
      <c r="L1485" s="16"/>
      <c r="M1485" s="16">
        <v>1479</v>
      </c>
      <c r="N1485" s="16">
        <f t="shared" si="118"/>
        <v>0.53030846484935434</v>
      </c>
      <c r="O1485" s="16"/>
      <c r="P1485" s="16"/>
      <c r="Q1485" s="16">
        <f t="shared" si="119"/>
        <v>7.604528494611984E-2</v>
      </c>
    </row>
    <row r="1486" spans="4:17" ht="15" thickBot="1" x14ac:dyDescent="0.35">
      <c r="D1486" s="20">
        <f t="shared" si="115"/>
        <v>1480</v>
      </c>
      <c r="E1486" s="20">
        <f t="shared" si="116"/>
        <v>4850</v>
      </c>
      <c r="F1486" s="20">
        <f t="shared" si="117"/>
        <v>2750</v>
      </c>
      <c r="G1486" s="20">
        <v>0.35841879075482336</v>
      </c>
      <c r="H1486" s="50"/>
      <c r="I1486" s="16"/>
      <c r="J1486" s="16"/>
      <c r="K1486" s="16"/>
      <c r="L1486" s="16"/>
      <c r="M1486" s="16">
        <v>1480</v>
      </c>
      <c r="N1486" s="16">
        <f t="shared" si="118"/>
        <v>0.53066714490674316</v>
      </c>
      <c r="O1486" s="16"/>
      <c r="P1486" s="16"/>
      <c r="Q1486" s="16">
        <f t="shared" si="119"/>
        <v>7.694699694985821E-2</v>
      </c>
    </row>
    <row r="1487" spans="4:17" ht="15" thickBot="1" x14ac:dyDescent="0.35">
      <c r="D1487" s="20">
        <f t="shared" si="115"/>
        <v>1481</v>
      </c>
      <c r="E1487" s="20">
        <f t="shared" si="116"/>
        <v>4950</v>
      </c>
      <c r="F1487" s="20">
        <f t="shared" si="117"/>
        <v>2750</v>
      </c>
      <c r="G1487" s="20">
        <v>0.35843318772500787</v>
      </c>
      <c r="H1487" s="50"/>
      <c r="I1487" s="16"/>
      <c r="J1487" s="16"/>
      <c r="K1487" s="16"/>
      <c r="L1487" s="16"/>
      <c r="M1487" s="16">
        <v>1481</v>
      </c>
      <c r="N1487" s="16">
        <f t="shared" si="118"/>
        <v>0.53102582496413198</v>
      </c>
      <c r="O1487" s="16"/>
      <c r="P1487" s="16"/>
      <c r="Q1487" s="16">
        <f t="shared" si="119"/>
        <v>7.7848771522364024E-2</v>
      </c>
    </row>
    <row r="1488" spans="4:17" ht="15" thickBot="1" x14ac:dyDescent="0.35">
      <c r="D1488" s="20">
        <f t="shared" si="115"/>
        <v>1482</v>
      </c>
      <c r="E1488" s="20">
        <f t="shared" si="116"/>
        <v>5050</v>
      </c>
      <c r="F1488" s="20">
        <f t="shared" si="117"/>
        <v>2750</v>
      </c>
      <c r="G1488" s="20">
        <v>0.3584657695781488</v>
      </c>
      <c r="H1488" s="50"/>
      <c r="I1488" s="16"/>
      <c r="J1488" s="16"/>
      <c r="K1488" s="16"/>
      <c r="L1488" s="16"/>
      <c r="M1488" s="16">
        <v>1482</v>
      </c>
      <c r="N1488" s="16">
        <f t="shared" si="118"/>
        <v>0.53138450502152079</v>
      </c>
      <c r="O1488" s="16"/>
      <c r="P1488" s="16"/>
      <c r="Q1488" s="16">
        <f t="shared" si="119"/>
        <v>7.8750609405744326E-2</v>
      </c>
    </row>
    <row r="1489" spans="4:17" ht="15" thickBot="1" x14ac:dyDescent="0.35">
      <c r="D1489" s="20">
        <f t="shared" si="115"/>
        <v>1483</v>
      </c>
      <c r="E1489" s="20">
        <f t="shared" si="116"/>
        <v>5150</v>
      </c>
      <c r="F1489" s="20">
        <f t="shared" si="117"/>
        <v>2750</v>
      </c>
      <c r="G1489" s="20">
        <v>0.35850294186069531</v>
      </c>
      <c r="H1489" s="50"/>
      <c r="I1489" s="16"/>
      <c r="J1489" s="16"/>
      <c r="K1489" s="16"/>
      <c r="L1489" s="16"/>
      <c r="M1489" s="16">
        <v>1483</v>
      </c>
      <c r="N1489" s="16">
        <f t="shared" si="118"/>
        <v>0.53174318507890961</v>
      </c>
      <c r="O1489" s="16"/>
      <c r="P1489" s="16"/>
      <c r="Q1489" s="16">
        <f t="shared" si="119"/>
        <v>7.9652511342468355E-2</v>
      </c>
    </row>
    <row r="1490" spans="4:17" ht="15" thickBot="1" x14ac:dyDescent="0.35">
      <c r="D1490" s="20">
        <f t="shared" si="115"/>
        <v>1484</v>
      </c>
      <c r="E1490" s="20">
        <f t="shared" si="116"/>
        <v>5250</v>
      </c>
      <c r="F1490" s="20">
        <f t="shared" si="117"/>
        <v>2750</v>
      </c>
      <c r="G1490" s="20">
        <v>0.35854256331877499</v>
      </c>
      <c r="H1490" s="50"/>
      <c r="I1490" s="16"/>
      <c r="J1490" s="16"/>
      <c r="K1490" s="16"/>
      <c r="L1490" s="16"/>
      <c r="M1490" s="16">
        <v>1484</v>
      </c>
      <c r="N1490" s="16">
        <f t="shared" si="118"/>
        <v>0.53210186513629842</v>
      </c>
      <c r="O1490" s="16"/>
      <c r="P1490" s="16"/>
      <c r="Q1490" s="16">
        <f t="shared" si="119"/>
        <v>8.0554478075372055E-2</v>
      </c>
    </row>
    <row r="1491" spans="4:17" ht="15" thickBot="1" x14ac:dyDescent="0.35">
      <c r="D1491" s="20">
        <f t="shared" si="115"/>
        <v>1485</v>
      </c>
      <c r="E1491" s="20">
        <f t="shared" si="116"/>
        <v>50</v>
      </c>
      <c r="F1491" s="20">
        <f t="shared" si="117"/>
        <v>2850</v>
      </c>
      <c r="G1491" s="20">
        <v>0.35862862797969802</v>
      </c>
      <c r="H1491" s="50"/>
      <c r="I1491" s="16"/>
      <c r="J1491" s="16"/>
      <c r="K1491" s="16"/>
      <c r="L1491" s="16"/>
      <c r="M1491" s="16">
        <v>1485</v>
      </c>
      <c r="N1491" s="16">
        <f t="shared" si="118"/>
        <v>0.53246054519368724</v>
      </c>
      <c r="O1491" s="16"/>
      <c r="P1491" s="16"/>
      <c r="Q1491" s="16">
        <f t="shared" si="119"/>
        <v>8.1456510347662325E-2</v>
      </c>
    </row>
    <row r="1492" spans="4:17" ht="15" thickBot="1" x14ac:dyDescent="0.35">
      <c r="D1492" s="20">
        <f t="shared" si="115"/>
        <v>1486</v>
      </c>
      <c r="E1492" s="20">
        <f t="shared" si="116"/>
        <v>150</v>
      </c>
      <c r="F1492" s="20">
        <f t="shared" si="117"/>
        <v>2850</v>
      </c>
      <c r="G1492" s="20">
        <v>0.35877327578303453</v>
      </c>
      <c r="H1492" s="50"/>
      <c r="I1492" s="16"/>
      <c r="J1492" s="16"/>
      <c r="K1492" s="16"/>
      <c r="L1492" s="16"/>
      <c r="M1492" s="16">
        <v>1486</v>
      </c>
      <c r="N1492" s="16">
        <f t="shared" si="118"/>
        <v>0.53281922525107606</v>
      </c>
      <c r="O1492" s="16"/>
      <c r="P1492" s="16"/>
      <c r="Q1492" s="16">
        <f t="shared" si="119"/>
        <v>8.2358608902921418E-2</v>
      </c>
    </row>
    <row r="1493" spans="4:17" ht="15" thickBot="1" x14ac:dyDescent="0.35">
      <c r="D1493" s="20">
        <f t="shared" si="115"/>
        <v>1487</v>
      </c>
      <c r="E1493" s="20">
        <f t="shared" si="116"/>
        <v>250</v>
      </c>
      <c r="F1493" s="20">
        <f t="shared" si="117"/>
        <v>2850</v>
      </c>
      <c r="G1493" s="20">
        <v>0.35878359223325418</v>
      </c>
      <c r="H1493" s="50"/>
      <c r="I1493" s="16"/>
      <c r="J1493" s="16"/>
      <c r="K1493" s="16"/>
      <c r="L1493" s="16"/>
      <c r="M1493" s="16">
        <v>1487</v>
      </c>
      <c r="N1493" s="16">
        <f t="shared" si="118"/>
        <v>0.53317790530846487</v>
      </c>
      <c r="O1493" s="16"/>
      <c r="P1493" s="16"/>
      <c r="Q1493" s="16">
        <f t="shared" si="119"/>
        <v>8.3260774485111239E-2</v>
      </c>
    </row>
    <row r="1494" spans="4:17" ht="15" thickBot="1" x14ac:dyDescent="0.35">
      <c r="D1494" s="20">
        <f t="shared" si="115"/>
        <v>1488</v>
      </c>
      <c r="E1494" s="20">
        <f t="shared" si="116"/>
        <v>350</v>
      </c>
      <c r="F1494" s="20">
        <f t="shared" si="117"/>
        <v>2850</v>
      </c>
      <c r="G1494" s="20">
        <v>0.35878584208035524</v>
      </c>
      <c r="H1494" s="50"/>
      <c r="I1494" s="16"/>
      <c r="J1494" s="16"/>
      <c r="K1494" s="16"/>
      <c r="L1494" s="16"/>
      <c r="M1494" s="16">
        <v>1488</v>
      </c>
      <c r="N1494" s="16">
        <f t="shared" si="118"/>
        <v>0.53353658536585369</v>
      </c>
      <c r="O1494" s="16"/>
      <c r="P1494" s="16"/>
      <c r="Q1494" s="16">
        <f t="shared" si="119"/>
        <v>8.4163007838577844E-2</v>
      </c>
    </row>
    <row r="1495" spans="4:17" ht="15" thickBot="1" x14ac:dyDescent="0.35">
      <c r="D1495" s="20">
        <f t="shared" si="115"/>
        <v>1489</v>
      </c>
      <c r="E1495" s="20">
        <f t="shared" si="116"/>
        <v>450</v>
      </c>
      <c r="F1495" s="20">
        <f t="shared" si="117"/>
        <v>2850</v>
      </c>
      <c r="G1495" s="20">
        <v>0.35885841784853129</v>
      </c>
      <c r="H1495" s="50"/>
      <c r="I1495" s="16"/>
      <c r="J1495" s="16"/>
      <c r="K1495" s="16"/>
      <c r="L1495" s="16"/>
      <c r="M1495" s="16">
        <v>1489</v>
      </c>
      <c r="N1495" s="16">
        <f t="shared" si="118"/>
        <v>0.5338952654232425</v>
      </c>
      <c r="O1495" s="16"/>
      <c r="P1495" s="16"/>
      <c r="Q1495" s="16">
        <f t="shared" si="119"/>
        <v>8.5065309708055634E-2</v>
      </c>
    </row>
    <row r="1496" spans="4:17" ht="15" thickBot="1" x14ac:dyDescent="0.35">
      <c r="D1496" s="20">
        <f t="shared" si="115"/>
        <v>1490</v>
      </c>
      <c r="E1496" s="20">
        <f t="shared" si="116"/>
        <v>550</v>
      </c>
      <c r="F1496" s="20">
        <f t="shared" si="117"/>
        <v>2850</v>
      </c>
      <c r="G1496" s="20">
        <v>0.35889660390057782</v>
      </c>
      <c r="H1496" s="50"/>
      <c r="I1496" s="16"/>
      <c r="J1496" s="16"/>
      <c r="K1496" s="16"/>
      <c r="L1496" s="16"/>
      <c r="M1496" s="16">
        <v>1490</v>
      </c>
      <c r="N1496" s="16">
        <f t="shared" si="118"/>
        <v>0.53425394548063132</v>
      </c>
      <c r="O1496" s="16"/>
      <c r="P1496" s="16"/>
      <c r="Q1496" s="16">
        <f t="shared" si="119"/>
        <v>8.59676808386719E-2</v>
      </c>
    </row>
    <row r="1497" spans="4:17" ht="15" thickBot="1" x14ac:dyDescent="0.35">
      <c r="D1497" s="20">
        <f t="shared" si="115"/>
        <v>1491</v>
      </c>
      <c r="E1497" s="20">
        <f t="shared" si="116"/>
        <v>650</v>
      </c>
      <c r="F1497" s="20">
        <f t="shared" si="117"/>
        <v>2850</v>
      </c>
      <c r="G1497" s="20">
        <v>0.35893594109715832</v>
      </c>
      <c r="H1497" s="50"/>
      <c r="I1497" s="16"/>
      <c r="J1497" s="16"/>
      <c r="K1497" s="16"/>
      <c r="L1497" s="16"/>
      <c r="M1497" s="16">
        <v>1491</v>
      </c>
      <c r="N1497" s="16">
        <f t="shared" si="118"/>
        <v>0.53461262553802014</v>
      </c>
      <c r="O1497" s="16"/>
      <c r="P1497" s="16"/>
      <c r="Q1497" s="16">
        <f t="shared" si="119"/>
        <v>8.6870121975951078E-2</v>
      </c>
    </row>
    <row r="1498" spans="4:17" ht="15" thickBot="1" x14ac:dyDescent="0.35">
      <c r="D1498" s="20">
        <f t="shared" si="115"/>
        <v>1492</v>
      </c>
      <c r="E1498" s="44">
        <f t="shared" si="116"/>
        <v>750</v>
      </c>
      <c r="F1498" s="44">
        <f t="shared" si="117"/>
        <v>2850</v>
      </c>
      <c r="G1498" s="20">
        <v>0.35915465675561381</v>
      </c>
      <c r="H1498" s="50"/>
      <c r="I1498" s="16"/>
      <c r="J1498" s="16"/>
      <c r="K1498" s="16"/>
      <c r="L1498" s="16"/>
      <c r="M1498" s="16">
        <v>1492</v>
      </c>
      <c r="N1498" s="16">
        <f t="shared" si="118"/>
        <v>0.53497130559540884</v>
      </c>
      <c r="O1498" s="16"/>
      <c r="P1498" s="16"/>
      <c r="Q1498" s="16">
        <f t="shared" si="119"/>
        <v>8.7772633865818989E-2</v>
      </c>
    </row>
    <row r="1499" spans="4:17" ht="15" thickBot="1" x14ac:dyDescent="0.35">
      <c r="D1499" s="20">
        <f t="shared" si="115"/>
        <v>1493</v>
      </c>
      <c r="E1499" s="20">
        <f t="shared" si="116"/>
        <v>850</v>
      </c>
      <c r="F1499" s="20">
        <f t="shared" si="117"/>
        <v>2850</v>
      </c>
      <c r="G1499" s="20">
        <v>0.35917957487092816</v>
      </c>
      <c r="H1499" s="50"/>
      <c r="I1499" s="16"/>
      <c r="J1499" s="16"/>
      <c r="K1499" s="16"/>
      <c r="L1499" s="16"/>
      <c r="M1499" s="16">
        <v>1493</v>
      </c>
      <c r="N1499" s="16">
        <f t="shared" si="118"/>
        <v>0.53532998565279766</v>
      </c>
      <c r="O1499" s="16"/>
      <c r="P1499" s="16"/>
      <c r="Q1499" s="16">
        <f t="shared" si="119"/>
        <v>8.8675217254608196E-2</v>
      </c>
    </row>
    <row r="1500" spans="4:17" ht="15" thickBot="1" x14ac:dyDescent="0.35">
      <c r="D1500" s="20">
        <f t="shared" si="115"/>
        <v>1494</v>
      </c>
      <c r="E1500" s="20">
        <f t="shared" si="116"/>
        <v>950</v>
      </c>
      <c r="F1500" s="20">
        <f t="shared" si="117"/>
        <v>2850</v>
      </c>
      <c r="G1500" s="20">
        <v>0.3594118967672561</v>
      </c>
      <c r="H1500" s="50"/>
      <c r="I1500" s="16"/>
      <c r="J1500" s="16"/>
      <c r="K1500" s="16"/>
      <c r="L1500" s="16"/>
      <c r="M1500" s="16">
        <v>1494</v>
      </c>
      <c r="N1500" s="16">
        <f t="shared" si="118"/>
        <v>0.53568866571018647</v>
      </c>
      <c r="O1500" s="16"/>
      <c r="P1500" s="16"/>
      <c r="Q1500" s="16">
        <f t="shared" si="119"/>
        <v>8.9577872889060842E-2</v>
      </c>
    </row>
    <row r="1501" spans="4:17" ht="15" thickBot="1" x14ac:dyDescent="0.35">
      <c r="D1501" s="20">
        <f t="shared" si="115"/>
        <v>1495</v>
      </c>
      <c r="E1501" s="20">
        <f t="shared" si="116"/>
        <v>1050</v>
      </c>
      <c r="F1501" s="20">
        <f t="shared" si="117"/>
        <v>2850</v>
      </c>
      <c r="G1501" s="20">
        <v>0.35945774472316472</v>
      </c>
      <c r="H1501" s="50"/>
      <c r="I1501" s="16"/>
      <c r="J1501" s="16"/>
      <c r="K1501" s="16"/>
      <c r="L1501" s="16"/>
      <c r="M1501" s="16">
        <v>1495</v>
      </c>
      <c r="N1501" s="16">
        <f t="shared" si="118"/>
        <v>0.53604734576757529</v>
      </c>
      <c r="O1501" s="16"/>
      <c r="P1501" s="16"/>
      <c r="Q1501" s="16">
        <f t="shared" si="119"/>
        <v>9.0480601516334205E-2</v>
      </c>
    </row>
    <row r="1502" spans="4:17" ht="15" thickBot="1" x14ac:dyDescent="0.35">
      <c r="D1502" s="20">
        <f t="shared" si="115"/>
        <v>1496</v>
      </c>
      <c r="E1502" s="20">
        <f t="shared" si="116"/>
        <v>1150</v>
      </c>
      <c r="F1502" s="20">
        <f t="shared" si="117"/>
        <v>2850</v>
      </c>
      <c r="G1502" s="20">
        <v>0.35956759413398154</v>
      </c>
      <c r="H1502" s="50"/>
      <c r="I1502" s="16"/>
      <c r="J1502" s="16"/>
      <c r="K1502" s="16"/>
      <c r="L1502" s="16"/>
      <c r="M1502" s="16">
        <v>1496</v>
      </c>
      <c r="N1502" s="16">
        <f t="shared" si="118"/>
        <v>0.53640602582496411</v>
      </c>
      <c r="O1502" s="16"/>
      <c r="P1502" s="16"/>
      <c r="Q1502" s="16">
        <f t="shared" si="119"/>
        <v>9.1383403884004691E-2</v>
      </c>
    </row>
    <row r="1503" spans="4:17" ht="15" thickBot="1" x14ac:dyDescent="0.35">
      <c r="D1503" s="20">
        <f t="shared" si="115"/>
        <v>1497</v>
      </c>
      <c r="E1503" s="20">
        <f t="shared" si="116"/>
        <v>1250</v>
      </c>
      <c r="F1503" s="20">
        <f t="shared" si="117"/>
        <v>2850</v>
      </c>
      <c r="G1503" s="20">
        <v>0.35958923547201349</v>
      </c>
      <c r="H1503" s="50"/>
      <c r="I1503" s="16"/>
      <c r="J1503" s="16"/>
      <c r="K1503" s="16"/>
      <c r="L1503" s="16"/>
      <c r="M1503" s="16">
        <v>1497</v>
      </c>
      <c r="N1503" s="16">
        <f t="shared" si="118"/>
        <v>0.53676470588235292</v>
      </c>
      <c r="O1503" s="16"/>
      <c r="P1503" s="16"/>
      <c r="Q1503" s="16">
        <f t="shared" si="119"/>
        <v>9.2286280740072404E-2</v>
      </c>
    </row>
    <row r="1504" spans="4:17" ht="15" thickBot="1" x14ac:dyDescent="0.35">
      <c r="D1504" s="20">
        <f t="shared" si="115"/>
        <v>1498</v>
      </c>
      <c r="E1504" s="20">
        <f t="shared" si="116"/>
        <v>1350</v>
      </c>
      <c r="F1504" s="20">
        <f t="shared" si="117"/>
        <v>2850</v>
      </c>
      <c r="G1504" s="20">
        <v>0.3595913363877869</v>
      </c>
      <c r="H1504" s="50"/>
      <c r="I1504" s="16"/>
      <c r="J1504" s="16"/>
      <c r="K1504" s="16"/>
      <c r="L1504" s="16"/>
      <c r="M1504" s="16">
        <v>1498</v>
      </c>
      <c r="N1504" s="16">
        <f t="shared" si="118"/>
        <v>0.53712338593974174</v>
      </c>
      <c r="O1504" s="16"/>
      <c r="P1504" s="16"/>
      <c r="Q1504" s="16">
        <f t="shared" si="119"/>
        <v>9.3189232832965499E-2</v>
      </c>
    </row>
    <row r="1505" spans="4:17" ht="15" thickBot="1" x14ac:dyDescent="0.35">
      <c r="D1505" s="20">
        <f t="shared" si="115"/>
        <v>1499</v>
      </c>
      <c r="E1505" s="20">
        <f t="shared" si="116"/>
        <v>1450</v>
      </c>
      <c r="F1505" s="20">
        <f t="shared" si="117"/>
        <v>2850</v>
      </c>
      <c r="G1505" s="20">
        <v>0.35991538138154683</v>
      </c>
      <c r="H1505" s="50"/>
      <c r="I1505" s="16"/>
      <c r="J1505" s="16"/>
      <c r="K1505" s="16"/>
      <c r="L1505" s="16"/>
      <c r="M1505" s="16">
        <v>1499</v>
      </c>
      <c r="N1505" s="16">
        <f t="shared" si="118"/>
        <v>0.53748206599713055</v>
      </c>
      <c r="O1505" s="16"/>
      <c r="P1505" s="16"/>
      <c r="Q1505" s="16">
        <f t="shared" si="119"/>
        <v>9.4092260911544559E-2</v>
      </c>
    </row>
    <row r="1506" spans="4:17" ht="15" thickBot="1" x14ac:dyDescent="0.35">
      <c r="D1506" s="20">
        <f t="shared" si="115"/>
        <v>1500</v>
      </c>
      <c r="E1506" s="20">
        <f t="shared" si="116"/>
        <v>1550</v>
      </c>
      <c r="F1506" s="20">
        <f t="shared" si="117"/>
        <v>2850</v>
      </c>
      <c r="G1506" s="20">
        <v>0.36003165418526439</v>
      </c>
      <c r="H1506" s="50"/>
      <c r="I1506" s="16"/>
      <c r="J1506" s="16"/>
      <c r="K1506" s="16"/>
      <c r="L1506" s="16"/>
      <c r="M1506" s="16">
        <v>1500</v>
      </c>
      <c r="N1506" s="16">
        <f t="shared" si="118"/>
        <v>0.53784074605451937</v>
      </c>
      <c r="O1506" s="16"/>
      <c r="P1506" s="16"/>
      <c r="Q1506" s="16">
        <f t="shared" si="119"/>
        <v>9.4995365725107195E-2</v>
      </c>
    </row>
    <row r="1507" spans="4:17" ht="15" thickBot="1" x14ac:dyDescent="0.35">
      <c r="D1507" s="20">
        <f t="shared" si="115"/>
        <v>1501</v>
      </c>
      <c r="E1507" s="20">
        <f t="shared" si="116"/>
        <v>1650</v>
      </c>
      <c r="F1507" s="20">
        <f t="shared" si="117"/>
        <v>2850</v>
      </c>
      <c r="G1507" s="20">
        <v>0.36016439904847619</v>
      </c>
      <c r="H1507" s="50"/>
      <c r="I1507" s="16"/>
      <c r="J1507" s="16"/>
      <c r="K1507" s="16"/>
      <c r="L1507" s="16"/>
      <c r="M1507" s="16">
        <v>1501</v>
      </c>
      <c r="N1507" s="16">
        <f t="shared" si="118"/>
        <v>0.53819942611190819</v>
      </c>
      <c r="O1507" s="16"/>
      <c r="P1507" s="16"/>
      <c r="Q1507" s="16">
        <f t="shared" si="119"/>
        <v>9.5898548023392344E-2</v>
      </c>
    </row>
    <row r="1508" spans="4:17" ht="15" thickBot="1" x14ac:dyDescent="0.35">
      <c r="D1508" s="20">
        <f t="shared" si="115"/>
        <v>1502</v>
      </c>
      <c r="E1508" s="20">
        <f t="shared" si="116"/>
        <v>1750</v>
      </c>
      <c r="F1508" s="20">
        <f t="shared" si="117"/>
        <v>2850</v>
      </c>
      <c r="G1508" s="20">
        <v>0.36021276609029135</v>
      </c>
      <c r="H1508" s="50"/>
      <c r="I1508" s="16"/>
      <c r="J1508" s="16"/>
      <c r="K1508" s="16"/>
      <c r="L1508" s="16"/>
      <c r="M1508" s="16">
        <v>1502</v>
      </c>
      <c r="N1508" s="16">
        <f t="shared" si="118"/>
        <v>0.538558106169297</v>
      </c>
      <c r="O1508" s="16"/>
      <c r="P1508" s="16"/>
      <c r="Q1508" s="16">
        <f t="shared" si="119"/>
        <v>9.6801808556584823E-2</v>
      </c>
    </row>
    <row r="1509" spans="4:17" ht="15" thickBot="1" x14ac:dyDescent="0.35">
      <c r="D1509" s="20">
        <f t="shared" si="115"/>
        <v>1503</v>
      </c>
      <c r="E1509" s="20">
        <f t="shared" si="116"/>
        <v>1850</v>
      </c>
      <c r="F1509" s="20">
        <f t="shared" si="117"/>
        <v>2850</v>
      </c>
      <c r="G1509" s="20">
        <v>0.36021284676872334</v>
      </c>
      <c r="H1509" s="50"/>
      <c r="I1509" s="16"/>
      <c r="J1509" s="16"/>
      <c r="K1509" s="16"/>
      <c r="L1509" s="16"/>
      <c r="M1509" s="16">
        <v>1503</v>
      </c>
      <c r="N1509" s="16">
        <f t="shared" si="118"/>
        <v>0.53891678622668582</v>
      </c>
      <c r="O1509" s="16"/>
      <c r="P1509" s="16"/>
      <c r="Q1509" s="16">
        <f t="shared" si="119"/>
        <v>9.77051480753197E-2</v>
      </c>
    </row>
    <row r="1510" spans="4:17" ht="15" thickBot="1" x14ac:dyDescent="0.35">
      <c r="D1510" s="20">
        <f t="shared" si="115"/>
        <v>1504</v>
      </c>
      <c r="E1510" s="20">
        <f t="shared" si="116"/>
        <v>1950</v>
      </c>
      <c r="F1510" s="20">
        <f t="shared" si="117"/>
        <v>2850</v>
      </c>
      <c r="G1510" s="20">
        <v>0.36036338907232746</v>
      </c>
      <c r="H1510" s="50"/>
      <c r="I1510" s="16"/>
      <c r="J1510" s="16"/>
      <c r="K1510" s="16"/>
      <c r="L1510" s="16"/>
      <c r="M1510" s="16">
        <v>1504</v>
      </c>
      <c r="N1510" s="16">
        <f t="shared" si="118"/>
        <v>0.53927546628407463</v>
      </c>
      <c r="O1510" s="16"/>
      <c r="P1510" s="16"/>
      <c r="Q1510" s="16">
        <f t="shared" si="119"/>
        <v>9.8608567330686819E-2</v>
      </c>
    </row>
    <row r="1511" spans="4:17" ht="15" thickBot="1" x14ac:dyDescent="0.35">
      <c r="D1511" s="20">
        <f t="shared" si="115"/>
        <v>1505</v>
      </c>
      <c r="E1511" s="20">
        <f t="shared" si="116"/>
        <v>2050</v>
      </c>
      <c r="F1511" s="20">
        <f t="shared" si="117"/>
        <v>2850</v>
      </c>
      <c r="G1511" s="20">
        <v>0.36046945128778507</v>
      </c>
      <c r="H1511" s="50"/>
      <c r="I1511" s="16"/>
      <c r="J1511" s="16"/>
      <c r="K1511" s="16"/>
      <c r="L1511" s="16"/>
      <c r="M1511" s="16">
        <v>1505</v>
      </c>
      <c r="N1511" s="16">
        <f t="shared" si="118"/>
        <v>0.53963414634146345</v>
      </c>
      <c r="O1511" s="16"/>
      <c r="P1511" s="16"/>
      <c r="Q1511" s="16">
        <f t="shared" si="119"/>
        <v>9.9512067074235253E-2</v>
      </c>
    </row>
    <row r="1512" spans="4:17" ht="15" thickBot="1" x14ac:dyDescent="0.35">
      <c r="D1512" s="20">
        <f t="shared" si="115"/>
        <v>1506</v>
      </c>
      <c r="E1512" s="20">
        <f t="shared" si="116"/>
        <v>2150</v>
      </c>
      <c r="F1512" s="20">
        <f t="shared" si="117"/>
        <v>2850</v>
      </c>
      <c r="G1512" s="20">
        <v>0.3605894609612561</v>
      </c>
      <c r="H1512" s="50"/>
      <c r="I1512" s="16"/>
      <c r="J1512" s="16"/>
      <c r="K1512" s="16"/>
      <c r="L1512" s="16"/>
      <c r="M1512" s="16">
        <v>1506</v>
      </c>
      <c r="N1512" s="16">
        <f t="shared" si="118"/>
        <v>0.53999282639885227</v>
      </c>
      <c r="O1512" s="16"/>
      <c r="P1512" s="16"/>
      <c r="Q1512" s="16">
        <f t="shared" si="119"/>
        <v>0.10041564805797783</v>
      </c>
    </row>
    <row r="1513" spans="4:17" ht="15" thickBot="1" x14ac:dyDescent="0.35">
      <c r="D1513" s="20">
        <f t="shared" si="115"/>
        <v>1507</v>
      </c>
      <c r="E1513" s="48">
        <f t="shared" si="116"/>
        <v>2250</v>
      </c>
      <c r="F1513" s="48">
        <f t="shared" si="117"/>
        <v>2850</v>
      </c>
      <c r="G1513" s="20">
        <v>0.36062505532059785</v>
      </c>
      <c r="H1513" s="50"/>
      <c r="I1513" s="16"/>
      <c r="J1513" s="16"/>
      <c r="K1513" s="16"/>
      <c r="L1513" s="16"/>
      <c r="M1513" s="16">
        <v>1507</v>
      </c>
      <c r="N1513" s="16">
        <f t="shared" si="118"/>
        <v>0.54035150645624108</v>
      </c>
      <c r="O1513" s="16"/>
      <c r="P1513" s="16"/>
      <c r="Q1513" s="16">
        <f t="shared" si="119"/>
        <v>0.10131931103439555</v>
      </c>
    </row>
    <row r="1514" spans="4:17" ht="15" thickBot="1" x14ac:dyDescent="0.35">
      <c r="D1514" s="20">
        <f t="shared" si="115"/>
        <v>1508</v>
      </c>
      <c r="E1514" s="20">
        <f t="shared" si="116"/>
        <v>2350</v>
      </c>
      <c r="F1514" s="20">
        <f t="shared" si="117"/>
        <v>2850</v>
      </c>
      <c r="G1514" s="20">
        <v>0.36068904344204394</v>
      </c>
      <c r="H1514" s="50"/>
      <c r="I1514" s="16"/>
      <c r="J1514" s="16"/>
      <c r="K1514" s="16"/>
      <c r="L1514" s="16"/>
      <c r="M1514" s="16">
        <v>1508</v>
      </c>
      <c r="N1514" s="16">
        <f t="shared" si="118"/>
        <v>0.54071018651362979</v>
      </c>
      <c r="O1514" s="16"/>
      <c r="P1514" s="16"/>
      <c r="Q1514" s="16">
        <f t="shared" si="119"/>
        <v>0.1022230567564418</v>
      </c>
    </row>
    <row r="1515" spans="4:17" ht="15" thickBot="1" x14ac:dyDescent="0.35">
      <c r="D1515" s="20">
        <f t="shared" si="115"/>
        <v>1509</v>
      </c>
      <c r="E1515" s="20">
        <f t="shared" si="116"/>
        <v>2450</v>
      </c>
      <c r="F1515" s="20">
        <f t="shared" si="117"/>
        <v>2850</v>
      </c>
      <c r="G1515" s="20">
        <v>0.3607436094244888</v>
      </c>
      <c r="H1515" s="50"/>
      <c r="I1515" s="16"/>
      <c r="J1515" s="16"/>
      <c r="K1515" s="16"/>
      <c r="L1515" s="16"/>
      <c r="M1515" s="16">
        <v>1509</v>
      </c>
      <c r="N1515" s="16">
        <f t="shared" si="118"/>
        <v>0.5410688665710186</v>
      </c>
      <c r="O1515" s="16"/>
      <c r="P1515" s="16"/>
      <c r="Q1515" s="16">
        <f t="shared" si="119"/>
        <v>0.10312688597754813</v>
      </c>
    </row>
    <row r="1516" spans="4:17" ht="15" thickBot="1" x14ac:dyDescent="0.35">
      <c r="D1516" s="20">
        <f t="shared" si="115"/>
        <v>1510</v>
      </c>
      <c r="E1516" s="20">
        <f t="shared" si="116"/>
        <v>2550</v>
      </c>
      <c r="F1516" s="20">
        <f t="shared" si="117"/>
        <v>2850</v>
      </c>
      <c r="G1516" s="20">
        <v>0.36075674901197841</v>
      </c>
      <c r="H1516" s="50"/>
      <c r="I1516" s="16"/>
      <c r="J1516" s="16"/>
      <c r="K1516" s="16"/>
      <c r="L1516" s="16"/>
      <c r="M1516" s="16">
        <v>1510</v>
      </c>
      <c r="N1516" s="16">
        <f t="shared" si="118"/>
        <v>0.54142754662840742</v>
      </c>
      <c r="O1516" s="16"/>
      <c r="P1516" s="16"/>
      <c r="Q1516" s="16">
        <f t="shared" si="119"/>
        <v>0.10403079945162678</v>
      </c>
    </row>
    <row r="1517" spans="4:17" ht="15" thickBot="1" x14ac:dyDescent="0.35">
      <c r="D1517" s="20">
        <f t="shared" si="115"/>
        <v>1511</v>
      </c>
      <c r="E1517" s="20">
        <f t="shared" si="116"/>
        <v>2650</v>
      </c>
      <c r="F1517" s="20">
        <f t="shared" si="117"/>
        <v>2850</v>
      </c>
      <c r="G1517" s="20">
        <v>0.36079875807885869</v>
      </c>
      <c r="H1517" s="50"/>
      <c r="I1517" s="16"/>
      <c r="J1517" s="16"/>
      <c r="K1517" s="16"/>
      <c r="L1517" s="16"/>
      <c r="M1517" s="16">
        <v>1511</v>
      </c>
      <c r="N1517" s="16">
        <f t="shared" si="118"/>
        <v>0.54178622668579624</v>
      </c>
      <c r="O1517" s="16"/>
      <c r="P1517" s="16"/>
      <c r="Q1517" s="16">
        <f t="shared" si="119"/>
        <v>0.10493479793307664</v>
      </c>
    </row>
    <row r="1518" spans="4:17" ht="15" thickBot="1" x14ac:dyDescent="0.35">
      <c r="D1518" s="20">
        <f t="shared" si="115"/>
        <v>1512</v>
      </c>
      <c r="E1518" s="20">
        <f t="shared" si="116"/>
        <v>2750</v>
      </c>
      <c r="F1518" s="20">
        <f t="shared" si="117"/>
        <v>2850</v>
      </c>
      <c r="G1518" s="20">
        <v>0.36091182019030932</v>
      </c>
      <c r="H1518" s="50"/>
      <c r="I1518" s="16"/>
      <c r="J1518" s="16"/>
      <c r="K1518" s="16"/>
      <c r="L1518" s="16"/>
      <c r="M1518" s="16">
        <v>1512</v>
      </c>
      <c r="N1518" s="16">
        <f t="shared" si="118"/>
        <v>0.54214490674318505</v>
      </c>
      <c r="O1518" s="16"/>
      <c r="P1518" s="16"/>
      <c r="Q1518" s="16">
        <f t="shared" si="119"/>
        <v>0.10583888217678733</v>
      </c>
    </row>
    <row r="1519" spans="4:17" ht="15" thickBot="1" x14ac:dyDescent="0.35">
      <c r="D1519" s="20">
        <f t="shared" si="115"/>
        <v>1513</v>
      </c>
      <c r="E1519" s="20">
        <f t="shared" si="116"/>
        <v>2850</v>
      </c>
      <c r="F1519" s="20">
        <f t="shared" si="117"/>
        <v>2850</v>
      </c>
      <c r="G1519" s="20">
        <v>0.36095026645830669</v>
      </c>
      <c r="H1519" s="50"/>
      <c r="I1519" s="16"/>
      <c r="J1519" s="16"/>
      <c r="K1519" s="16"/>
      <c r="L1519" s="16"/>
      <c r="M1519" s="16">
        <v>1513</v>
      </c>
      <c r="N1519" s="16">
        <f t="shared" si="118"/>
        <v>0.54250358680057387</v>
      </c>
      <c r="O1519" s="16"/>
      <c r="P1519" s="16"/>
      <c r="Q1519" s="16">
        <f t="shared" si="119"/>
        <v>0.10674305293814368</v>
      </c>
    </row>
    <row r="1520" spans="4:17" ht="15" thickBot="1" x14ac:dyDescent="0.35">
      <c r="D1520" s="20">
        <f t="shared" si="115"/>
        <v>1514</v>
      </c>
      <c r="E1520" s="20">
        <f t="shared" si="116"/>
        <v>2950</v>
      </c>
      <c r="F1520" s="20">
        <f t="shared" si="117"/>
        <v>2850</v>
      </c>
      <c r="G1520" s="20">
        <v>0.3609554986189355</v>
      </c>
      <c r="H1520" s="50"/>
      <c r="I1520" s="16"/>
      <c r="J1520" s="16"/>
      <c r="K1520" s="16"/>
      <c r="L1520" s="16"/>
      <c r="M1520" s="16">
        <v>1514</v>
      </c>
      <c r="N1520" s="16">
        <f t="shared" si="118"/>
        <v>0.54286226685796268</v>
      </c>
      <c r="O1520" s="16"/>
      <c r="P1520" s="16"/>
      <c r="Q1520" s="16">
        <f t="shared" si="119"/>
        <v>0.10764731097303037</v>
      </c>
    </row>
    <row r="1521" spans="4:17" ht="15" thickBot="1" x14ac:dyDescent="0.35">
      <c r="D1521" s="20">
        <f t="shared" si="115"/>
        <v>1515</v>
      </c>
      <c r="E1521" s="20">
        <f t="shared" si="116"/>
        <v>3050</v>
      </c>
      <c r="F1521" s="20">
        <f t="shared" si="117"/>
        <v>2850</v>
      </c>
      <c r="G1521" s="20">
        <v>0.36095581024330614</v>
      </c>
      <c r="H1521" s="50"/>
      <c r="I1521" s="16"/>
      <c r="J1521" s="16"/>
      <c r="K1521" s="16"/>
      <c r="L1521" s="16"/>
      <c r="M1521" s="16">
        <v>1515</v>
      </c>
      <c r="N1521" s="16">
        <f t="shared" si="118"/>
        <v>0.5432209469153515</v>
      </c>
      <c r="O1521" s="16"/>
      <c r="P1521" s="16"/>
      <c r="Q1521" s="16">
        <f t="shared" si="119"/>
        <v>0.10855165703783649</v>
      </c>
    </row>
    <row r="1522" spans="4:17" ht="15" thickBot="1" x14ac:dyDescent="0.35">
      <c r="D1522" s="20">
        <f t="shared" si="115"/>
        <v>1516</v>
      </c>
      <c r="E1522" s="20">
        <f t="shared" si="116"/>
        <v>3150</v>
      </c>
      <c r="F1522" s="20">
        <f t="shared" si="117"/>
        <v>2850</v>
      </c>
      <c r="G1522" s="20">
        <v>0.36097968272150593</v>
      </c>
      <c r="H1522" s="50"/>
      <c r="I1522" s="16"/>
      <c r="J1522" s="16"/>
      <c r="K1522" s="16"/>
      <c r="L1522" s="16"/>
      <c r="M1522" s="16">
        <v>1516</v>
      </c>
      <c r="N1522" s="16">
        <f t="shared" si="118"/>
        <v>0.54357962697274032</v>
      </c>
      <c r="O1522" s="16"/>
      <c r="P1522" s="16"/>
      <c r="Q1522" s="16">
        <f t="shared" si="119"/>
        <v>0.10945609188946001</v>
      </c>
    </row>
    <row r="1523" spans="4:17" ht="15" thickBot="1" x14ac:dyDescent="0.35">
      <c r="D1523" s="20">
        <f t="shared" si="115"/>
        <v>1517</v>
      </c>
      <c r="E1523" s="20">
        <f t="shared" si="116"/>
        <v>3250</v>
      </c>
      <c r="F1523" s="20">
        <f t="shared" si="117"/>
        <v>2850</v>
      </c>
      <c r="G1523" s="20">
        <v>0.36111331933419594</v>
      </c>
      <c r="H1523" s="50"/>
      <c r="I1523" s="16"/>
      <c r="J1523" s="16"/>
      <c r="K1523" s="16"/>
      <c r="L1523" s="16"/>
      <c r="M1523" s="16">
        <v>1517</v>
      </c>
      <c r="N1523" s="16">
        <f t="shared" si="118"/>
        <v>0.54393830703012913</v>
      </c>
      <c r="O1523" s="16"/>
      <c r="P1523" s="16"/>
      <c r="Q1523" s="16">
        <f t="shared" si="119"/>
        <v>0.11036061628531239</v>
      </c>
    </row>
    <row r="1524" spans="4:17" ht="15" thickBot="1" x14ac:dyDescent="0.35">
      <c r="D1524" s="20">
        <f t="shared" si="115"/>
        <v>1518</v>
      </c>
      <c r="E1524" s="20">
        <f t="shared" si="116"/>
        <v>3350</v>
      </c>
      <c r="F1524" s="20">
        <f t="shared" si="117"/>
        <v>2850</v>
      </c>
      <c r="G1524" s="20">
        <v>0.36116920788999074</v>
      </c>
      <c r="H1524" s="50"/>
      <c r="I1524" s="16"/>
      <c r="J1524" s="16"/>
      <c r="K1524" s="16"/>
      <c r="L1524" s="16"/>
      <c r="M1524" s="16">
        <v>1518</v>
      </c>
      <c r="N1524" s="16">
        <f t="shared" si="118"/>
        <v>0.54429698708751795</v>
      </c>
      <c r="O1524" s="16"/>
      <c r="P1524" s="16"/>
      <c r="Q1524" s="16">
        <f t="shared" si="119"/>
        <v>0.11126523098332312</v>
      </c>
    </row>
    <row r="1525" spans="4:17" ht="15" thickBot="1" x14ac:dyDescent="0.35">
      <c r="D1525" s="20">
        <f t="shared" si="115"/>
        <v>1519</v>
      </c>
      <c r="E1525" s="20">
        <f t="shared" si="116"/>
        <v>3450</v>
      </c>
      <c r="F1525" s="20">
        <f t="shared" si="117"/>
        <v>2850</v>
      </c>
      <c r="G1525" s="20">
        <v>0.36117517452897163</v>
      </c>
      <c r="H1525" s="50"/>
      <c r="I1525" s="16"/>
      <c r="J1525" s="16"/>
      <c r="K1525" s="16"/>
      <c r="L1525" s="16"/>
      <c r="M1525" s="16">
        <v>1519</v>
      </c>
      <c r="N1525" s="16">
        <f t="shared" si="118"/>
        <v>0.54465566714490676</v>
      </c>
      <c r="O1525" s="16"/>
      <c r="P1525" s="16"/>
      <c r="Q1525" s="16">
        <f t="shared" si="119"/>
        <v>0.11216993674194431</v>
      </c>
    </row>
    <row r="1526" spans="4:17" ht="15" thickBot="1" x14ac:dyDescent="0.35">
      <c r="D1526" s="20">
        <f t="shared" si="115"/>
        <v>1520</v>
      </c>
      <c r="E1526" s="43">
        <f t="shared" si="116"/>
        <v>3550</v>
      </c>
      <c r="F1526" s="43">
        <f t="shared" si="117"/>
        <v>2850</v>
      </c>
      <c r="G1526" s="20">
        <v>0.36126206659982563</v>
      </c>
      <c r="H1526" s="50"/>
      <c r="I1526" s="16"/>
      <c r="J1526" s="16"/>
      <c r="K1526" s="16"/>
      <c r="L1526" s="16"/>
      <c r="M1526" s="16">
        <v>1520</v>
      </c>
      <c r="N1526" s="16">
        <f t="shared" si="118"/>
        <v>0.54501434720229558</v>
      </c>
      <c r="O1526" s="16"/>
      <c r="P1526" s="16"/>
      <c r="Q1526" s="16">
        <f t="shared" si="119"/>
        <v>0.11307473432015534</v>
      </c>
    </row>
    <row r="1527" spans="4:17" ht="15" thickBot="1" x14ac:dyDescent="0.35">
      <c r="D1527" s="20">
        <f t="shared" si="115"/>
        <v>1521</v>
      </c>
      <c r="E1527" s="48">
        <f t="shared" si="116"/>
        <v>3650</v>
      </c>
      <c r="F1527" s="48">
        <f t="shared" si="117"/>
        <v>2850</v>
      </c>
      <c r="G1527" s="20">
        <v>0.36131667002384088</v>
      </c>
      <c r="H1527" s="50"/>
      <c r="I1527" s="16"/>
      <c r="J1527" s="16"/>
      <c r="K1527" s="16"/>
      <c r="L1527" s="16"/>
      <c r="M1527" s="16">
        <v>1521</v>
      </c>
      <c r="N1527" s="16">
        <f t="shared" si="118"/>
        <v>0.5453730272596844</v>
      </c>
      <c r="O1527" s="16"/>
      <c r="P1527" s="16"/>
      <c r="Q1527" s="16">
        <f t="shared" si="119"/>
        <v>0.11397962447746736</v>
      </c>
    </row>
    <row r="1528" spans="4:17" ht="15" thickBot="1" x14ac:dyDescent="0.35">
      <c r="D1528" s="20">
        <f t="shared" si="115"/>
        <v>1522</v>
      </c>
      <c r="E1528" s="20">
        <f t="shared" si="116"/>
        <v>3750</v>
      </c>
      <c r="F1528" s="20">
        <f t="shared" si="117"/>
        <v>2850</v>
      </c>
      <c r="G1528" s="20">
        <v>0.36133583493773141</v>
      </c>
      <c r="H1528" s="50"/>
      <c r="I1528" s="16"/>
      <c r="J1528" s="16"/>
      <c r="K1528" s="16"/>
      <c r="L1528" s="16"/>
      <c r="M1528" s="16">
        <v>1522</v>
      </c>
      <c r="N1528" s="16">
        <f t="shared" si="118"/>
        <v>0.54573170731707321</v>
      </c>
      <c r="O1528" s="16"/>
      <c r="P1528" s="16"/>
      <c r="Q1528" s="16">
        <f t="shared" si="119"/>
        <v>0.1148846079739279</v>
      </c>
    </row>
    <row r="1529" spans="4:17" ht="15" thickBot="1" x14ac:dyDescent="0.35">
      <c r="D1529" s="20">
        <f t="shared" si="115"/>
        <v>1523</v>
      </c>
      <c r="E1529" s="20">
        <f t="shared" si="116"/>
        <v>3850</v>
      </c>
      <c r="F1529" s="20">
        <f t="shared" si="117"/>
        <v>2850</v>
      </c>
      <c r="G1529" s="20">
        <v>0.36138017431233355</v>
      </c>
      <c r="H1529" s="50"/>
      <c r="I1529" s="16"/>
      <c r="J1529" s="16"/>
      <c r="K1529" s="16"/>
      <c r="L1529" s="16"/>
      <c r="M1529" s="16">
        <v>1523</v>
      </c>
      <c r="N1529" s="16">
        <f t="shared" si="118"/>
        <v>0.54609038737446203</v>
      </c>
      <c r="O1529" s="16"/>
      <c r="P1529" s="16"/>
      <c r="Q1529" s="16">
        <f t="shared" si="119"/>
        <v>0.11578968557012551</v>
      </c>
    </row>
    <row r="1530" spans="4:17" ht="15" thickBot="1" x14ac:dyDescent="0.35">
      <c r="D1530" s="20">
        <f t="shared" si="115"/>
        <v>1524</v>
      </c>
      <c r="E1530" s="43">
        <f t="shared" si="116"/>
        <v>3950</v>
      </c>
      <c r="F1530" s="43">
        <f t="shared" si="117"/>
        <v>2850</v>
      </c>
      <c r="G1530" s="20">
        <v>0.3615520287327893</v>
      </c>
      <c r="H1530" s="50"/>
      <c r="I1530" s="16"/>
      <c r="J1530" s="16"/>
      <c r="K1530" s="16"/>
      <c r="L1530" s="16"/>
      <c r="M1530" s="16">
        <v>1524</v>
      </c>
      <c r="N1530" s="16">
        <f t="shared" si="118"/>
        <v>0.54644906743185084</v>
      </c>
      <c r="O1530" s="16"/>
      <c r="P1530" s="16"/>
      <c r="Q1530" s="16">
        <f t="shared" si="119"/>
        <v>0.11669485802719444</v>
      </c>
    </row>
    <row r="1531" spans="4:17" ht="15" thickBot="1" x14ac:dyDescent="0.35">
      <c r="D1531" s="20">
        <f t="shared" si="115"/>
        <v>1525</v>
      </c>
      <c r="E1531" s="20">
        <f t="shared" si="116"/>
        <v>4050</v>
      </c>
      <c r="F1531" s="20">
        <f t="shared" si="117"/>
        <v>2850</v>
      </c>
      <c r="G1531" s="20">
        <v>0.36160305026875356</v>
      </c>
      <c r="H1531" s="50"/>
      <c r="I1531" s="16"/>
      <c r="J1531" s="16"/>
      <c r="K1531" s="16"/>
      <c r="L1531" s="16"/>
      <c r="M1531" s="16">
        <v>1525</v>
      </c>
      <c r="N1531" s="16">
        <f t="shared" si="118"/>
        <v>0.54680774748923955</v>
      </c>
      <c r="O1531" s="16"/>
      <c r="P1531" s="16"/>
      <c r="Q1531" s="16">
        <f t="shared" si="119"/>
        <v>0.11760012610681882</v>
      </c>
    </row>
    <row r="1532" spans="4:17" ht="15" thickBot="1" x14ac:dyDescent="0.35">
      <c r="D1532" s="20">
        <f t="shared" si="115"/>
        <v>1526</v>
      </c>
      <c r="E1532" s="20">
        <f t="shared" si="116"/>
        <v>4150</v>
      </c>
      <c r="F1532" s="20">
        <f t="shared" si="117"/>
        <v>2850</v>
      </c>
      <c r="G1532" s="20">
        <v>0.36162530728786418</v>
      </c>
      <c r="H1532" s="50"/>
      <c r="I1532" s="16"/>
      <c r="J1532" s="16"/>
      <c r="K1532" s="16"/>
      <c r="L1532" s="16"/>
      <c r="M1532" s="16">
        <v>1526</v>
      </c>
      <c r="N1532" s="16">
        <f t="shared" si="118"/>
        <v>0.54716642754662836</v>
      </c>
      <c r="O1532" s="16"/>
      <c r="P1532" s="16"/>
      <c r="Q1532" s="16">
        <f t="shared" si="119"/>
        <v>0.11850549057123855</v>
      </c>
    </row>
    <row r="1533" spans="4:17" ht="15" thickBot="1" x14ac:dyDescent="0.35">
      <c r="D1533" s="20">
        <f t="shared" si="115"/>
        <v>1527</v>
      </c>
      <c r="E1533" s="20">
        <f t="shared" si="116"/>
        <v>4250</v>
      </c>
      <c r="F1533" s="20">
        <f t="shared" si="117"/>
        <v>2850</v>
      </c>
      <c r="G1533" s="20">
        <v>0.36165395561631519</v>
      </c>
      <c r="H1533" s="50"/>
      <c r="I1533" s="16"/>
      <c r="J1533" s="16"/>
      <c r="K1533" s="16"/>
      <c r="L1533" s="16"/>
      <c r="M1533" s="16">
        <v>1527</v>
      </c>
      <c r="N1533" s="16">
        <f t="shared" si="118"/>
        <v>0.54752510760401718</v>
      </c>
      <c r="O1533" s="16"/>
      <c r="P1533" s="16"/>
      <c r="Q1533" s="16">
        <f t="shared" si="119"/>
        <v>0.11941095218325225</v>
      </c>
    </row>
    <row r="1534" spans="4:17" ht="15" thickBot="1" x14ac:dyDescent="0.35">
      <c r="D1534" s="20">
        <f t="shared" si="115"/>
        <v>1528</v>
      </c>
      <c r="E1534" s="20">
        <f t="shared" si="116"/>
        <v>4350</v>
      </c>
      <c r="F1534" s="20">
        <f t="shared" si="117"/>
        <v>2850</v>
      </c>
      <c r="G1534" s="20">
        <v>0.36168878309218327</v>
      </c>
      <c r="H1534" s="50"/>
      <c r="I1534" s="16"/>
      <c r="J1534" s="16"/>
      <c r="K1534" s="16"/>
      <c r="L1534" s="16"/>
      <c r="M1534" s="16">
        <v>1528</v>
      </c>
      <c r="N1534" s="16">
        <f t="shared" si="118"/>
        <v>0.547883787661406</v>
      </c>
      <c r="O1534" s="16"/>
      <c r="P1534" s="16"/>
      <c r="Q1534" s="16">
        <f t="shared" si="119"/>
        <v>0.12031651170622296</v>
      </c>
    </row>
    <row r="1535" spans="4:17" ht="15" thickBot="1" x14ac:dyDescent="0.35">
      <c r="D1535" s="20">
        <f t="shared" si="115"/>
        <v>1529</v>
      </c>
      <c r="E1535" s="20">
        <f t="shared" si="116"/>
        <v>4450</v>
      </c>
      <c r="F1535" s="20">
        <f t="shared" si="117"/>
        <v>2850</v>
      </c>
      <c r="G1535" s="20">
        <v>0.361784307995827</v>
      </c>
      <c r="H1535" s="50"/>
      <c r="I1535" s="16"/>
      <c r="J1535" s="16"/>
      <c r="K1535" s="16"/>
      <c r="L1535" s="16"/>
      <c r="M1535" s="16">
        <v>1529</v>
      </c>
      <c r="N1535" s="16">
        <f t="shared" si="118"/>
        <v>0.54824246771879481</v>
      </c>
      <c r="O1535" s="16"/>
      <c r="P1535" s="16"/>
      <c r="Q1535" s="16">
        <f t="shared" si="119"/>
        <v>0.12122216990408262</v>
      </c>
    </row>
    <row r="1536" spans="4:17" ht="15" thickBot="1" x14ac:dyDescent="0.35">
      <c r="D1536" s="20">
        <f t="shared" si="115"/>
        <v>1530</v>
      </c>
      <c r="E1536" s="20">
        <f t="shared" si="116"/>
        <v>4550</v>
      </c>
      <c r="F1536" s="20">
        <f t="shared" si="117"/>
        <v>2850</v>
      </c>
      <c r="G1536" s="20">
        <v>0.36180616376930558</v>
      </c>
      <c r="H1536" s="50"/>
      <c r="I1536" s="16"/>
      <c r="J1536" s="16"/>
      <c r="K1536" s="16"/>
      <c r="L1536" s="16"/>
      <c r="M1536" s="16">
        <v>1530</v>
      </c>
      <c r="N1536" s="16">
        <f t="shared" si="118"/>
        <v>0.54860114777618363</v>
      </c>
      <c r="O1536" s="16"/>
      <c r="P1536" s="16"/>
      <c r="Q1536" s="16">
        <f t="shared" si="119"/>
        <v>0.12212792754133663</v>
      </c>
    </row>
    <row r="1537" spans="4:17" ht="15" thickBot="1" x14ac:dyDescent="0.35">
      <c r="D1537" s="20">
        <f t="shared" si="115"/>
        <v>1531</v>
      </c>
      <c r="E1537" s="20">
        <f t="shared" si="116"/>
        <v>4650</v>
      </c>
      <c r="F1537" s="20">
        <f t="shared" si="117"/>
        <v>2850</v>
      </c>
      <c r="G1537" s="20">
        <v>0.36188243110341328</v>
      </c>
      <c r="H1537" s="50"/>
      <c r="I1537" s="16"/>
      <c r="J1537" s="16"/>
      <c r="K1537" s="16"/>
      <c r="L1537" s="16"/>
      <c r="M1537" s="16">
        <v>1531</v>
      </c>
      <c r="N1537" s="16">
        <f t="shared" si="118"/>
        <v>0.54895982783357244</v>
      </c>
      <c r="O1537" s="16"/>
      <c r="P1537" s="16"/>
      <c r="Q1537" s="16">
        <f t="shared" si="119"/>
        <v>0.12303378538306858</v>
      </c>
    </row>
    <row r="1538" spans="4:17" ht="15" thickBot="1" x14ac:dyDescent="0.35">
      <c r="D1538" s="20">
        <f t="shared" si="115"/>
        <v>1532</v>
      </c>
      <c r="E1538" s="20">
        <f t="shared" si="116"/>
        <v>4750</v>
      </c>
      <c r="F1538" s="20">
        <f t="shared" si="117"/>
        <v>2850</v>
      </c>
      <c r="G1538" s="20">
        <v>0.36192904568816769</v>
      </c>
      <c r="H1538" s="50"/>
      <c r="I1538" s="16"/>
      <c r="J1538" s="16"/>
      <c r="K1538" s="16"/>
      <c r="L1538" s="16"/>
      <c r="M1538" s="16">
        <v>1532</v>
      </c>
      <c r="N1538" s="16">
        <f t="shared" si="118"/>
        <v>0.54931850789096126</v>
      </c>
      <c r="O1538" s="16"/>
      <c r="P1538" s="16"/>
      <c r="Q1538" s="16">
        <f t="shared" si="119"/>
        <v>0.12393974419494497</v>
      </c>
    </row>
    <row r="1539" spans="4:17" ht="15" thickBot="1" x14ac:dyDescent="0.35">
      <c r="D1539" s="20">
        <f t="shared" si="115"/>
        <v>1533</v>
      </c>
      <c r="E1539" s="20">
        <f t="shared" si="116"/>
        <v>4850</v>
      </c>
      <c r="F1539" s="20">
        <f t="shared" si="117"/>
        <v>2850</v>
      </c>
      <c r="G1539" s="20">
        <v>0.36195040612187707</v>
      </c>
      <c r="H1539" s="50"/>
      <c r="I1539" s="16"/>
      <c r="J1539" s="16"/>
      <c r="K1539" s="16"/>
      <c r="L1539" s="16"/>
      <c r="M1539" s="16">
        <v>1533</v>
      </c>
      <c r="N1539" s="16">
        <f t="shared" si="118"/>
        <v>0.54967718794835008</v>
      </c>
      <c r="O1539" s="16"/>
      <c r="P1539" s="16"/>
      <c r="Q1539" s="16">
        <f t="shared" si="119"/>
        <v>0.12484580474321984</v>
      </c>
    </row>
    <row r="1540" spans="4:17" ht="15" thickBot="1" x14ac:dyDescent="0.35">
      <c r="D1540" s="20">
        <f t="shared" si="115"/>
        <v>1534</v>
      </c>
      <c r="E1540" s="20">
        <f t="shared" si="116"/>
        <v>4950</v>
      </c>
      <c r="F1540" s="20">
        <f t="shared" si="117"/>
        <v>2850</v>
      </c>
      <c r="G1540" s="20">
        <v>0.36240163945698489</v>
      </c>
      <c r="H1540" s="50"/>
      <c r="I1540" s="16"/>
      <c r="J1540" s="16"/>
      <c r="K1540" s="16"/>
      <c r="L1540" s="16"/>
      <c r="M1540" s="16">
        <v>1534</v>
      </c>
      <c r="N1540" s="16">
        <f t="shared" si="118"/>
        <v>0.55003586800573889</v>
      </c>
      <c r="O1540" s="16"/>
      <c r="P1540" s="16"/>
      <c r="Q1540" s="16">
        <f t="shared" si="119"/>
        <v>0.12575196779473949</v>
      </c>
    </row>
    <row r="1541" spans="4:17" ht="15" thickBot="1" x14ac:dyDescent="0.35">
      <c r="D1541" s="20">
        <f t="shared" si="115"/>
        <v>1535</v>
      </c>
      <c r="E1541" s="20">
        <f t="shared" si="116"/>
        <v>5050</v>
      </c>
      <c r="F1541" s="20">
        <f t="shared" si="117"/>
        <v>2850</v>
      </c>
      <c r="G1541" s="20">
        <v>0.36252325302141253</v>
      </c>
      <c r="H1541" s="50"/>
      <c r="I1541" s="16"/>
      <c r="J1541" s="16"/>
      <c r="K1541" s="16"/>
      <c r="L1541" s="16"/>
      <c r="M1541" s="16">
        <v>1535</v>
      </c>
      <c r="N1541" s="16">
        <f t="shared" si="118"/>
        <v>0.55039454806312771</v>
      </c>
      <c r="O1541" s="16"/>
      <c r="P1541" s="16"/>
      <c r="Q1541" s="16">
        <f t="shared" si="119"/>
        <v>0.12665823411694727</v>
      </c>
    </row>
    <row r="1542" spans="4:17" ht="15" thickBot="1" x14ac:dyDescent="0.35">
      <c r="D1542" s="20">
        <f t="shared" si="115"/>
        <v>1536</v>
      </c>
      <c r="E1542" s="20">
        <f t="shared" si="116"/>
        <v>5150</v>
      </c>
      <c r="F1542" s="20">
        <f t="shared" si="117"/>
        <v>2850</v>
      </c>
      <c r="G1542" s="20">
        <v>0.36255832098499957</v>
      </c>
      <c r="H1542" s="50"/>
      <c r="I1542" s="16"/>
      <c r="J1542" s="16"/>
      <c r="K1542" s="16"/>
      <c r="L1542" s="16"/>
      <c r="M1542" s="16">
        <v>1536</v>
      </c>
      <c r="N1542" s="16">
        <f t="shared" si="118"/>
        <v>0.55075322812051652</v>
      </c>
      <c r="O1542" s="16"/>
      <c r="P1542" s="16"/>
      <c r="Q1542" s="16">
        <f t="shared" si="119"/>
        <v>0.12756460447788817</v>
      </c>
    </row>
    <row r="1543" spans="4:17" ht="15" thickBot="1" x14ac:dyDescent="0.35">
      <c r="D1543" s="20">
        <f t="shared" ref="D1543:D1606" si="120">ROW()-6</f>
        <v>1537</v>
      </c>
      <c r="E1543" s="20">
        <f t="shared" ref="E1543:E1606" si="121">(MOD(D1543-1,53)*100)+50</f>
        <v>5250</v>
      </c>
      <c r="F1543" s="20">
        <f t="shared" ref="F1543:F1606" si="122">FLOOR((D1543-1)/53,1)*100+50</f>
        <v>2850</v>
      </c>
      <c r="G1543" s="20">
        <v>0.36258415684517054</v>
      </c>
      <c r="H1543" s="50"/>
      <c r="I1543" s="16"/>
      <c r="J1543" s="16"/>
      <c r="K1543" s="16"/>
      <c r="L1543" s="16"/>
      <c r="M1543" s="16">
        <v>1537</v>
      </c>
      <c r="N1543" s="16">
        <f t="shared" si="118"/>
        <v>0.55111190817790534</v>
      </c>
      <c r="O1543" s="16"/>
      <c r="P1543" s="16"/>
      <c r="Q1543" s="16">
        <f t="shared" si="119"/>
        <v>0.12847107964621365</v>
      </c>
    </row>
    <row r="1544" spans="4:17" ht="15" thickBot="1" x14ac:dyDescent="0.35">
      <c r="D1544" s="20">
        <f t="shared" si="120"/>
        <v>1538</v>
      </c>
      <c r="E1544" s="20">
        <f t="shared" si="121"/>
        <v>50</v>
      </c>
      <c r="F1544" s="20">
        <f t="shared" si="122"/>
        <v>2950</v>
      </c>
      <c r="G1544" s="20">
        <v>0.36276075353447862</v>
      </c>
      <c r="H1544" s="50"/>
      <c r="I1544" s="16"/>
      <c r="J1544" s="16"/>
      <c r="K1544" s="16"/>
      <c r="L1544" s="16"/>
      <c r="M1544" s="16">
        <v>1538</v>
      </c>
      <c r="N1544" s="16">
        <f t="shared" ref="N1544:N1607" si="123">(M1544-0.5)/$L$7</f>
        <v>0.55147058823529416</v>
      </c>
      <c r="O1544" s="16"/>
      <c r="P1544" s="16"/>
      <c r="Q1544" s="16">
        <f t="shared" ref="Q1544:Q1607" si="124">_xlfn.NORM.S.INV(N1544)</f>
        <v>0.12937766039118637</v>
      </c>
    </row>
    <row r="1545" spans="4:17" ht="15" thickBot="1" x14ac:dyDescent="0.35">
      <c r="D1545" s="20">
        <f t="shared" si="120"/>
        <v>1539</v>
      </c>
      <c r="E1545" s="20">
        <f t="shared" si="121"/>
        <v>150</v>
      </c>
      <c r="F1545" s="20">
        <f t="shared" si="122"/>
        <v>2950</v>
      </c>
      <c r="G1545" s="20">
        <v>0.36297123459130376</v>
      </c>
      <c r="H1545" s="50"/>
      <c r="I1545" s="16"/>
      <c r="J1545" s="16"/>
      <c r="K1545" s="16"/>
      <c r="L1545" s="16"/>
      <c r="M1545" s="16">
        <v>1539</v>
      </c>
      <c r="N1545" s="16">
        <f t="shared" si="123"/>
        <v>0.55182926829268297</v>
      </c>
      <c r="O1545" s="16"/>
      <c r="P1545" s="16"/>
      <c r="Q1545" s="16">
        <f t="shared" si="124"/>
        <v>0.1302843474826848</v>
      </c>
    </row>
    <row r="1546" spans="4:17" ht="15" thickBot="1" x14ac:dyDescent="0.35">
      <c r="D1546" s="20">
        <f t="shared" si="120"/>
        <v>1540</v>
      </c>
      <c r="E1546" s="20">
        <f t="shared" si="121"/>
        <v>250</v>
      </c>
      <c r="F1546" s="20">
        <f t="shared" si="122"/>
        <v>2950</v>
      </c>
      <c r="G1546" s="20">
        <v>0.36305994255577712</v>
      </c>
      <c r="H1546" s="50"/>
      <c r="I1546" s="16"/>
      <c r="J1546" s="16"/>
      <c r="K1546" s="16"/>
      <c r="L1546" s="16"/>
      <c r="M1546" s="16">
        <v>1540</v>
      </c>
      <c r="N1546" s="16">
        <f t="shared" si="123"/>
        <v>0.55218794835007179</v>
      </c>
      <c r="O1546" s="16"/>
      <c r="P1546" s="16"/>
      <c r="Q1546" s="16">
        <f t="shared" si="124"/>
        <v>0.1311911416912083</v>
      </c>
    </row>
    <row r="1547" spans="4:17" ht="15" thickBot="1" x14ac:dyDescent="0.35">
      <c r="D1547" s="20">
        <f t="shared" si="120"/>
        <v>1541</v>
      </c>
      <c r="E1547" s="20">
        <f t="shared" si="121"/>
        <v>350</v>
      </c>
      <c r="F1547" s="20">
        <f t="shared" si="122"/>
        <v>2950</v>
      </c>
      <c r="G1547" s="20">
        <v>0.36309463171262202</v>
      </c>
      <c r="H1547" s="50"/>
      <c r="I1547" s="16"/>
      <c r="J1547" s="16"/>
      <c r="K1547" s="16"/>
      <c r="L1547" s="16"/>
      <c r="M1547" s="16">
        <v>1541</v>
      </c>
      <c r="N1547" s="16">
        <f t="shared" si="123"/>
        <v>0.55254662840746049</v>
      </c>
      <c r="O1547" s="16"/>
      <c r="P1547" s="16"/>
      <c r="Q1547" s="16">
        <f t="shared" si="124"/>
        <v>0.1320980437878812</v>
      </c>
    </row>
    <row r="1548" spans="4:17" ht="15" thickBot="1" x14ac:dyDescent="0.35">
      <c r="D1548" s="20">
        <f t="shared" si="120"/>
        <v>1542</v>
      </c>
      <c r="E1548" s="20">
        <f t="shared" si="121"/>
        <v>450</v>
      </c>
      <c r="F1548" s="20">
        <f t="shared" si="122"/>
        <v>2950</v>
      </c>
      <c r="G1548" s="20">
        <v>0.36321211610956272</v>
      </c>
      <c r="H1548" s="50"/>
      <c r="I1548" s="16"/>
      <c r="J1548" s="16"/>
      <c r="K1548" s="16"/>
      <c r="L1548" s="16"/>
      <c r="M1548" s="16">
        <v>1542</v>
      </c>
      <c r="N1548" s="16">
        <f t="shared" si="123"/>
        <v>0.55290530846484931</v>
      </c>
      <c r="O1548" s="16"/>
      <c r="P1548" s="16"/>
      <c r="Q1548" s="16">
        <f t="shared" si="124"/>
        <v>0.13300505454445904</v>
      </c>
    </row>
    <row r="1549" spans="4:17" ht="15" thickBot="1" x14ac:dyDescent="0.35">
      <c r="D1549" s="20">
        <f t="shared" si="120"/>
        <v>1543</v>
      </c>
      <c r="E1549" s="20">
        <f t="shared" si="121"/>
        <v>550</v>
      </c>
      <c r="F1549" s="20">
        <f t="shared" si="122"/>
        <v>2950</v>
      </c>
      <c r="G1549" s="20">
        <v>0.36321665953297239</v>
      </c>
      <c r="H1549" s="50"/>
      <c r="I1549" s="16"/>
      <c r="J1549" s="16"/>
      <c r="K1549" s="16"/>
      <c r="L1549" s="16"/>
      <c r="M1549" s="16">
        <v>1543</v>
      </c>
      <c r="N1549" s="16">
        <f t="shared" si="123"/>
        <v>0.55326398852223813</v>
      </c>
      <c r="O1549" s="16"/>
      <c r="P1549" s="16"/>
      <c r="Q1549" s="16">
        <f t="shared" si="124"/>
        <v>0.1339121747333315</v>
      </c>
    </row>
    <row r="1550" spans="4:17" ht="15" thickBot="1" x14ac:dyDescent="0.35">
      <c r="D1550" s="20">
        <f t="shared" si="120"/>
        <v>1544</v>
      </c>
      <c r="E1550" s="20">
        <f t="shared" si="121"/>
        <v>650</v>
      </c>
      <c r="F1550" s="20">
        <f t="shared" si="122"/>
        <v>2950</v>
      </c>
      <c r="G1550" s="20">
        <v>0.36323519550608091</v>
      </c>
      <c r="H1550" s="50"/>
      <c r="I1550" s="16"/>
      <c r="J1550" s="16"/>
      <c r="K1550" s="16"/>
      <c r="L1550" s="16"/>
      <c r="M1550" s="16">
        <v>1544</v>
      </c>
      <c r="N1550" s="16">
        <f t="shared" si="123"/>
        <v>0.55362266857962694</v>
      </c>
      <c r="O1550" s="16"/>
      <c r="P1550" s="16"/>
      <c r="Q1550" s="16">
        <f t="shared" si="124"/>
        <v>0.13481940512752835</v>
      </c>
    </row>
    <row r="1551" spans="4:17" ht="15" thickBot="1" x14ac:dyDescent="0.35">
      <c r="D1551" s="20">
        <f t="shared" si="120"/>
        <v>1545</v>
      </c>
      <c r="E1551" s="20">
        <f t="shared" si="121"/>
        <v>750</v>
      </c>
      <c r="F1551" s="20">
        <f t="shared" si="122"/>
        <v>2950</v>
      </c>
      <c r="G1551" s="20">
        <v>0.36323957086880487</v>
      </c>
      <c r="H1551" s="50"/>
      <c r="I1551" s="16"/>
      <c r="J1551" s="16"/>
      <c r="K1551" s="16"/>
      <c r="L1551" s="16"/>
      <c r="M1551" s="16">
        <v>1545</v>
      </c>
      <c r="N1551" s="16">
        <f t="shared" si="123"/>
        <v>0.55398134863701576</v>
      </c>
      <c r="O1551" s="16"/>
      <c r="P1551" s="16"/>
      <c r="Q1551" s="16">
        <f t="shared" si="124"/>
        <v>0.135726746500724</v>
      </c>
    </row>
    <row r="1552" spans="4:17" ht="15" thickBot="1" x14ac:dyDescent="0.35">
      <c r="D1552" s="20">
        <f t="shared" si="120"/>
        <v>1546</v>
      </c>
      <c r="E1552" s="47">
        <f t="shared" si="121"/>
        <v>850</v>
      </c>
      <c r="F1552" s="47">
        <f t="shared" si="122"/>
        <v>2950</v>
      </c>
      <c r="G1552" s="20">
        <v>0.3632668398908237</v>
      </c>
      <c r="H1552" s="50"/>
      <c r="I1552" s="16"/>
      <c r="J1552" s="16"/>
      <c r="K1552" s="16"/>
      <c r="L1552" s="16"/>
      <c r="M1552" s="16">
        <v>1546</v>
      </c>
      <c r="N1552" s="16">
        <f t="shared" si="123"/>
        <v>0.55434002869440457</v>
      </c>
      <c r="O1552" s="16"/>
      <c r="P1552" s="16"/>
      <c r="Q1552" s="16">
        <f t="shared" si="124"/>
        <v>0.13663419962724227</v>
      </c>
    </row>
    <row r="1553" spans="4:17" ht="15" thickBot="1" x14ac:dyDescent="0.35">
      <c r="D1553" s="20">
        <f t="shared" si="120"/>
        <v>1547</v>
      </c>
      <c r="E1553" s="20">
        <f t="shared" si="121"/>
        <v>950</v>
      </c>
      <c r="F1553" s="20">
        <f t="shared" si="122"/>
        <v>2950</v>
      </c>
      <c r="G1553" s="20">
        <v>0.36329936703380239</v>
      </c>
      <c r="H1553" s="50"/>
      <c r="I1553" s="16"/>
      <c r="J1553" s="16"/>
      <c r="K1553" s="16"/>
      <c r="L1553" s="16"/>
      <c r="M1553" s="16">
        <v>1547</v>
      </c>
      <c r="N1553" s="16">
        <f t="shared" si="123"/>
        <v>0.55469870875179339</v>
      </c>
      <c r="O1553" s="16"/>
      <c r="P1553" s="16"/>
      <c r="Q1553" s="16">
        <f t="shared" si="124"/>
        <v>0.13754176528206133</v>
      </c>
    </row>
    <row r="1554" spans="4:17" ht="15" thickBot="1" x14ac:dyDescent="0.35">
      <c r="D1554" s="20">
        <f t="shared" si="120"/>
        <v>1548</v>
      </c>
      <c r="E1554" s="20">
        <f t="shared" si="121"/>
        <v>1050</v>
      </c>
      <c r="F1554" s="20">
        <f t="shared" si="122"/>
        <v>2950</v>
      </c>
      <c r="G1554" s="20">
        <v>0.36353304764851957</v>
      </c>
      <c r="H1554" s="50"/>
      <c r="I1554" s="16"/>
      <c r="J1554" s="16"/>
      <c r="K1554" s="16"/>
      <c r="L1554" s="16"/>
      <c r="M1554" s="16">
        <v>1548</v>
      </c>
      <c r="N1554" s="16">
        <f t="shared" si="123"/>
        <v>0.55505738880918221</v>
      </c>
      <c r="O1554" s="16"/>
      <c r="P1554" s="16"/>
      <c r="Q1554" s="16">
        <f t="shared" si="124"/>
        <v>0.13844944424081834</v>
      </c>
    </row>
    <row r="1555" spans="4:17" ht="15" thickBot="1" x14ac:dyDescent="0.35">
      <c r="D1555" s="20">
        <f t="shared" si="120"/>
        <v>1549</v>
      </c>
      <c r="E1555" s="20">
        <f t="shared" si="121"/>
        <v>1150</v>
      </c>
      <c r="F1555" s="20">
        <f t="shared" si="122"/>
        <v>2950</v>
      </c>
      <c r="G1555" s="20">
        <v>0.36354456617956299</v>
      </c>
      <c r="H1555" s="50"/>
      <c r="I1555" s="16"/>
      <c r="J1555" s="16"/>
      <c r="K1555" s="16"/>
      <c r="L1555" s="16"/>
      <c r="M1555" s="16">
        <v>1549</v>
      </c>
      <c r="N1555" s="16">
        <f t="shared" si="123"/>
        <v>0.55541606886657102</v>
      </c>
      <c r="O1555" s="16"/>
      <c r="P1555" s="16"/>
      <c r="Q1555" s="16">
        <f t="shared" si="124"/>
        <v>0.13935723727981456</v>
      </c>
    </row>
    <row r="1556" spans="4:17" ht="15" thickBot="1" x14ac:dyDescent="0.35">
      <c r="D1556" s="20">
        <f t="shared" si="120"/>
        <v>1550</v>
      </c>
      <c r="E1556" s="20">
        <f t="shared" si="121"/>
        <v>1250</v>
      </c>
      <c r="F1556" s="20">
        <f t="shared" si="122"/>
        <v>2950</v>
      </c>
      <c r="G1556" s="20">
        <v>0.36359732922419974</v>
      </c>
      <c r="H1556" s="50"/>
      <c r="I1556" s="16"/>
      <c r="J1556" s="16"/>
      <c r="K1556" s="16"/>
      <c r="L1556" s="16"/>
      <c r="M1556" s="16">
        <v>1550</v>
      </c>
      <c r="N1556" s="16">
        <f t="shared" si="123"/>
        <v>0.55577474892395984</v>
      </c>
      <c r="O1556" s="16"/>
      <c r="P1556" s="16"/>
      <c r="Q1556" s="16">
        <f t="shared" si="124"/>
        <v>0.14026514517601993</v>
      </c>
    </row>
    <row r="1557" spans="4:17" ht="15" thickBot="1" x14ac:dyDescent="0.35">
      <c r="D1557" s="20">
        <f t="shared" si="120"/>
        <v>1551</v>
      </c>
      <c r="E1557" s="20">
        <f t="shared" si="121"/>
        <v>1350</v>
      </c>
      <c r="F1557" s="20">
        <f t="shared" si="122"/>
        <v>2950</v>
      </c>
      <c r="G1557" s="20">
        <v>0.36365516417686394</v>
      </c>
      <c r="H1557" s="50"/>
      <c r="I1557" s="16"/>
      <c r="J1557" s="16"/>
      <c r="K1557" s="16"/>
      <c r="L1557" s="16"/>
      <c r="M1557" s="16">
        <v>1551</v>
      </c>
      <c r="N1557" s="16">
        <f t="shared" si="123"/>
        <v>0.55613342898134865</v>
      </c>
      <c r="O1557" s="16"/>
      <c r="P1557" s="16"/>
      <c r="Q1557" s="16">
        <f t="shared" si="124"/>
        <v>0.14117316870707819</v>
      </c>
    </row>
    <row r="1558" spans="4:17" ht="15" thickBot="1" x14ac:dyDescent="0.35">
      <c r="D1558" s="20">
        <f t="shared" si="120"/>
        <v>1552</v>
      </c>
      <c r="E1558" s="20">
        <f t="shared" si="121"/>
        <v>1450</v>
      </c>
      <c r="F1558" s="20">
        <f t="shared" si="122"/>
        <v>2950</v>
      </c>
      <c r="G1558" s="20">
        <v>0.36366723178723331</v>
      </c>
      <c r="H1558" s="50"/>
      <c r="I1558" s="16"/>
      <c r="J1558" s="16"/>
      <c r="K1558" s="16"/>
      <c r="L1558" s="16"/>
      <c r="M1558" s="16">
        <v>1552</v>
      </c>
      <c r="N1558" s="16">
        <f t="shared" si="123"/>
        <v>0.55649210903873747</v>
      </c>
      <c r="O1558" s="16"/>
      <c r="P1558" s="16"/>
      <c r="Q1558" s="16">
        <f t="shared" si="124"/>
        <v>0.14208130865131152</v>
      </c>
    </row>
    <row r="1559" spans="4:17" ht="15" thickBot="1" x14ac:dyDescent="0.35">
      <c r="D1559" s="20">
        <f t="shared" si="120"/>
        <v>1553</v>
      </c>
      <c r="E1559" s="20">
        <f t="shared" si="121"/>
        <v>1550</v>
      </c>
      <c r="F1559" s="20">
        <f t="shared" si="122"/>
        <v>2950</v>
      </c>
      <c r="G1559" s="20">
        <v>0.36377980722706277</v>
      </c>
      <c r="H1559" s="50"/>
      <c r="I1559" s="16"/>
      <c r="J1559" s="16"/>
      <c r="K1559" s="16"/>
      <c r="L1559" s="16"/>
      <c r="M1559" s="16">
        <v>1553</v>
      </c>
      <c r="N1559" s="16">
        <f t="shared" si="123"/>
        <v>0.55685078909612629</v>
      </c>
      <c r="O1559" s="16"/>
      <c r="P1559" s="16"/>
      <c r="Q1559" s="16">
        <f t="shared" si="124"/>
        <v>0.1429895657877257</v>
      </c>
    </row>
    <row r="1560" spans="4:17" ht="15" thickBot="1" x14ac:dyDescent="0.35">
      <c r="D1560" s="20">
        <f t="shared" si="120"/>
        <v>1554</v>
      </c>
      <c r="E1560" s="20">
        <f t="shared" si="121"/>
        <v>1650</v>
      </c>
      <c r="F1560" s="20">
        <f t="shared" si="122"/>
        <v>2950</v>
      </c>
      <c r="G1560" s="20">
        <v>0.36379097363161256</v>
      </c>
      <c r="H1560" s="50"/>
      <c r="I1560" s="16"/>
      <c r="J1560" s="16"/>
      <c r="K1560" s="16"/>
      <c r="L1560" s="16"/>
      <c r="M1560" s="16">
        <v>1554</v>
      </c>
      <c r="N1560" s="16">
        <f t="shared" si="123"/>
        <v>0.5572094691535151</v>
      </c>
      <c r="O1560" s="16"/>
      <c r="P1560" s="16"/>
      <c r="Q1560" s="16">
        <f t="shared" si="124"/>
        <v>0.14389794089601471</v>
      </c>
    </row>
    <row r="1561" spans="4:17" ht="15" thickBot="1" x14ac:dyDescent="0.35">
      <c r="D1561" s="20">
        <f t="shared" si="120"/>
        <v>1555</v>
      </c>
      <c r="E1561" s="20">
        <f t="shared" si="121"/>
        <v>1750</v>
      </c>
      <c r="F1561" s="20">
        <f t="shared" si="122"/>
        <v>2950</v>
      </c>
      <c r="G1561" s="20">
        <v>0.36381655801387891</v>
      </c>
      <c r="H1561" s="50"/>
      <c r="I1561" s="16"/>
      <c r="J1561" s="16"/>
      <c r="K1561" s="16"/>
      <c r="L1561" s="16"/>
      <c r="M1561" s="16">
        <v>1555</v>
      </c>
      <c r="N1561" s="16">
        <f t="shared" si="123"/>
        <v>0.55756814921090392</v>
      </c>
      <c r="O1561" s="16"/>
      <c r="P1561" s="16"/>
      <c r="Q1561" s="16">
        <f t="shared" si="124"/>
        <v>0.14480643475656585</v>
      </c>
    </row>
    <row r="1562" spans="4:17" ht="15" thickBot="1" x14ac:dyDescent="0.35">
      <c r="D1562" s="20">
        <f t="shared" si="120"/>
        <v>1556</v>
      </c>
      <c r="E1562" s="20">
        <f t="shared" si="121"/>
        <v>1850</v>
      </c>
      <c r="F1562" s="20">
        <f t="shared" si="122"/>
        <v>2950</v>
      </c>
      <c r="G1562" s="20">
        <v>0.36388597199112166</v>
      </c>
      <c r="H1562" s="50"/>
      <c r="I1562" s="16"/>
      <c r="J1562" s="16"/>
      <c r="K1562" s="16"/>
      <c r="L1562" s="16"/>
      <c r="M1562" s="16">
        <v>1556</v>
      </c>
      <c r="N1562" s="16">
        <f t="shared" si="123"/>
        <v>0.55792682926829273</v>
      </c>
      <c r="O1562" s="16"/>
      <c r="P1562" s="16"/>
      <c r="Q1562" s="16">
        <f t="shared" si="124"/>
        <v>0.14571504815046468</v>
      </c>
    </row>
    <row r="1563" spans="4:17" ht="15" thickBot="1" x14ac:dyDescent="0.35">
      <c r="D1563" s="20">
        <f t="shared" si="120"/>
        <v>1557</v>
      </c>
      <c r="E1563" s="20">
        <f t="shared" si="121"/>
        <v>1950</v>
      </c>
      <c r="F1563" s="20">
        <f t="shared" si="122"/>
        <v>2950</v>
      </c>
      <c r="G1563" s="20">
        <v>0.36389032395343718</v>
      </c>
      <c r="H1563" s="50"/>
      <c r="I1563" s="16"/>
      <c r="J1563" s="16"/>
      <c r="K1563" s="16"/>
      <c r="L1563" s="16"/>
      <c r="M1563" s="16">
        <v>1557</v>
      </c>
      <c r="N1563" s="16">
        <f t="shared" si="123"/>
        <v>0.55828550932568144</v>
      </c>
      <c r="O1563" s="16"/>
      <c r="P1563" s="16"/>
      <c r="Q1563" s="16">
        <f t="shared" si="124"/>
        <v>0.14662378185949945</v>
      </c>
    </row>
    <row r="1564" spans="4:17" ht="15" thickBot="1" x14ac:dyDescent="0.35">
      <c r="D1564" s="20">
        <f t="shared" si="120"/>
        <v>1558</v>
      </c>
      <c r="E1564" s="20">
        <f t="shared" si="121"/>
        <v>2050</v>
      </c>
      <c r="F1564" s="20">
        <f t="shared" si="122"/>
        <v>2950</v>
      </c>
      <c r="G1564" s="20">
        <v>0.36406449379898198</v>
      </c>
      <c r="H1564" s="50"/>
      <c r="I1564" s="16"/>
      <c r="J1564" s="16"/>
      <c r="K1564" s="16"/>
      <c r="L1564" s="16"/>
      <c r="M1564" s="16">
        <v>1558</v>
      </c>
      <c r="N1564" s="16">
        <f t="shared" si="123"/>
        <v>0.55864418938307026</v>
      </c>
      <c r="O1564" s="16"/>
      <c r="P1564" s="16"/>
      <c r="Q1564" s="16">
        <f t="shared" si="124"/>
        <v>0.14753263666616742</v>
      </c>
    </row>
    <row r="1565" spans="4:17" ht="15" thickBot="1" x14ac:dyDescent="0.35">
      <c r="D1565" s="20">
        <f t="shared" si="120"/>
        <v>1559</v>
      </c>
      <c r="E1565" s="20">
        <f t="shared" si="121"/>
        <v>2150</v>
      </c>
      <c r="F1565" s="20">
        <f t="shared" si="122"/>
        <v>2950</v>
      </c>
      <c r="G1565" s="20">
        <v>0.3642099728120603</v>
      </c>
      <c r="H1565" s="50"/>
      <c r="I1565" s="16"/>
      <c r="J1565" s="16"/>
      <c r="K1565" s="16"/>
      <c r="L1565" s="16"/>
      <c r="M1565" s="16">
        <v>1559</v>
      </c>
      <c r="N1565" s="16">
        <f t="shared" si="123"/>
        <v>0.55900286944045907</v>
      </c>
      <c r="O1565" s="16"/>
      <c r="P1565" s="16"/>
      <c r="Q1565" s="16">
        <f t="shared" si="124"/>
        <v>0.14844161335367792</v>
      </c>
    </row>
    <row r="1566" spans="4:17" ht="15" thickBot="1" x14ac:dyDescent="0.35">
      <c r="D1566" s="20">
        <f t="shared" si="120"/>
        <v>1560</v>
      </c>
      <c r="E1566" s="20">
        <f t="shared" si="121"/>
        <v>2250</v>
      </c>
      <c r="F1566" s="20">
        <f t="shared" si="122"/>
        <v>2950</v>
      </c>
      <c r="G1566" s="20">
        <v>0.36423023416584932</v>
      </c>
      <c r="H1566" s="50"/>
      <c r="I1566" s="16"/>
      <c r="J1566" s="16"/>
      <c r="K1566" s="16"/>
      <c r="L1566" s="16"/>
      <c r="M1566" s="16">
        <v>1560</v>
      </c>
      <c r="N1566" s="16">
        <f t="shared" si="123"/>
        <v>0.55936154949784789</v>
      </c>
      <c r="O1566" s="16"/>
      <c r="P1566" s="16"/>
      <c r="Q1566" s="16">
        <f t="shared" si="124"/>
        <v>0.14935071270595868</v>
      </c>
    </row>
    <row r="1567" spans="4:17" ht="15" thickBot="1" x14ac:dyDescent="0.35">
      <c r="D1567" s="20">
        <f t="shared" si="120"/>
        <v>1561</v>
      </c>
      <c r="E1567" s="20">
        <f t="shared" si="121"/>
        <v>2350</v>
      </c>
      <c r="F1567" s="20">
        <f t="shared" si="122"/>
        <v>2950</v>
      </c>
      <c r="G1567" s="20">
        <v>0.3642396470759206</v>
      </c>
      <c r="H1567" s="50"/>
      <c r="I1567" s="16"/>
      <c r="J1567" s="16"/>
      <c r="K1567" s="16"/>
      <c r="L1567" s="16"/>
      <c r="M1567" s="16">
        <v>1561</v>
      </c>
      <c r="N1567" s="16">
        <f t="shared" si="123"/>
        <v>0.5597202295552367</v>
      </c>
      <c r="O1567" s="16"/>
      <c r="P1567" s="16"/>
      <c r="Q1567" s="16">
        <f t="shared" si="124"/>
        <v>0.15025993550766026</v>
      </c>
    </row>
    <row r="1568" spans="4:17" ht="15" thickBot="1" x14ac:dyDescent="0.35">
      <c r="D1568" s="20">
        <f t="shared" si="120"/>
        <v>1562</v>
      </c>
      <c r="E1568" s="20">
        <f t="shared" si="121"/>
        <v>2450</v>
      </c>
      <c r="F1568" s="20">
        <f t="shared" si="122"/>
        <v>2950</v>
      </c>
      <c r="G1568" s="20">
        <v>0.36432289933169049</v>
      </c>
      <c r="H1568" s="50"/>
      <c r="I1568" s="16"/>
      <c r="J1568" s="16"/>
      <c r="K1568" s="16"/>
      <c r="L1568" s="16"/>
      <c r="M1568" s="16">
        <v>1562</v>
      </c>
      <c r="N1568" s="16">
        <f t="shared" si="123"/>
        <v>0.56007890961262552</v>
      </c>
      <c r="O1568" s="16"/>
      <c r="P1568" s="16"/>
      <c r="Q1568" s="16">
        <f t="shared" si="124"/>
        <v>0.15116928254416112</v>
      </c>
    </row>
    <row r="1569" spans="4:17" ht="15" thickBot="1" x14ac:dyDescent="0.35">
      <c r="D1569" s="20">
        <f t="shared" si="120"/>
        <v>1563</v>
      </c>
      <c r="E1569" s="20">
        <f t="shared" si="121"/>
        <v>2550</v>
      </c>
      <c r="F1569" s="20">
        <f t="shared" si="122"/>
        <v>2950</v>
      </c>
      <c r="G1569" s="20">
        <v>0.36436014641237685</v>
      </c>
      <c r="H1569" s="50"/>
      <c r="I1569" s="16"/>
      <c r="J1569" s="16"/>
      <c r="K1569" s="16"/>
      <c r="L1569" s="16"/>
      <c r="M1569" s="16">
        <v>1563</v>
      </c>
      <c r="N1569" s="16">
        <f t="shared" si="123"/>
        <v>0.56043758967001434</v>
      </c>
      <c r="O1569" s="16"/>
      <c r="P1569" s="16"/>
      <c r="Q1569" s="16">
        <f t="shared" si="124"/>
        <v>0.15207875460157286</v>
      </c>
    </row>
    <row r="1570" spans="4:17" ht="15" thickBot="1" x14ac:dyDescent="0.35">
      <c r="D1570" s="20">
        <f t="shared" si="120"/>
        <v>1564</v>
      </c>
      <c r="E1570" s="20">
        <f t="shared" si="121"/>
        <v>2650</v>
      </c>
      <c r="F1570" s="20">
        <f t="shared" si="122"/>
        <v>2950</v>
      </c>
      <c r="G1570" s="20">
        <v>0.36438362730767099</v>
      </c>
      <c r="H1570" s="50"/>
      <c r="I1570" s="16"/>
      <c r="J1570" s="16"/>
      <c r="K1570" s="16"/>
      <c r="L1570" s="16"/>
      <c r="M1570" s="16">
        <v>1564</v>
      </c>
      <c r="N1570" s="16">
        <f t="shared" si="123"/>
        <v>0.56079626972740315</v>
      </c>
      <c r="O1570" s="16"/>
      <c r="P1570" s="16"/>
      <c r="Q1570" s="16">
        <f t="shared" si="124"/>
        <v>0.1529883524667448</v>
      </c>
    </row>
    <row r="1571" spans="4:17" ht="15" thickBot="1" x14ac:dyDescent="0.35">
      <c r="D1571" s="20">
        <f t="shared" si="120"/>
        <v>1565</v>
      </c>
      <c r="E1571" s="20">
        <f t="shared" si="121"/>
        <v>2750</v>
      </c>
      <c r="F1571" s="20">
        <f t="shared" si="122"/>
        <v>2950</v>
      </c>
      <c r="G1571" s="20">
        <v>0.36440423207280775</v>
      </c>
      <c r="H1571" s="50"/>
      <c r="I1571" s="16"/>
      <c r="J1571" s="16"/>
      <c r="K1571" s="16"/>
      <c r="L1571" s="16"/>
      <c r="M1571" s="16">
        <v>1565</v>
      </c>
      <c r="N1571" s="16">
        <f t="shared" si="123"/>
        <v>0.56115494978479197</v>
      </c>
      <c r="O1571" s="16"/>
      <c r="P1571" s="16"/>
      <c r="Q1571" s="16">
        <f t="shared" si="124"/>
        <v>0.15389807692726934</v>
      </c>
    </row>
    <row r="1572" spans="4:17" ht="15" thickBot="1" x14ac:dyDescent="0.35">
      <c r="D1572" s="20">
        <f t="shared" si="120"/>
        <v>1566</v>
      </c>
      <c r="E1572" s="20">
        <f t="shared" si="121"/>
        <v>2850</v>
      </c>
      <c r="F1572" s="20">
        <f t="shared" si="122"/>
        <v>2950</v>
      </c>
      <c r="G1572" s="20">
        <v>0.36449082926166615</v>
      </c>
      <c r="H1572" s="50"/>
      <c r="I1572" s="16"/>
      <c r="J1572" s="16"/>
      <c r="K1572" s="16"/>
      <c r="L1572" s="16"/>
      <c r="M1572" s="16">
        <v>1566</v>
      </c>
      <c r="N1572" s="16">
        <f t="shared" si="123"/>
        <v>0.56151362984218078</v>
      </c>
      <c r="O1572" s="16"/>
      <c r="P1572" s="16"/>
      <c r="Q1572" s="16">
        <f t="shared" si="124"/>
        <v>0.15480792877148691</v>
      </c>
    </row>
    <row r="1573" spans="4:17" ht="15" thickBot="1" x14ac:dyDescent="0.35">
      <c r="D1573" s="20">
        <f t="shared" si="120"/>
        <v>1567</v>
      </c>
      <c r="E1573" s="20">
        <f t="shared" si="121"/>
        <v>2950</v>
      </c>
      <c r="F1573" s="20">
        <f t="shared" si="122"/>
        <v>2950</v>
      </c>
      <c r="G1573" s="20">
        <v>0.36450964642556016</v>
      </c>
      <c r="H1573" s="50"/>
      <c r="I1573" s="16"/>
      <c r="J1573" s="16"/>
      <c r="K1573" s="16"/>
      <c r="L1573" s="16"/>
      <c r="M1573" s="16">
        <v>1567</v>
      </c>
      <c r="N1573" s="16">
        <f t="shared" si="123"/>
        <v>0.5618723098995696</v>
      </c>
      <c r="O1573" s="16"/>
      <c r="P1573" s="16"/>
      <c r="Q1573" s="16">
        <f t="shared" si="124"/>
        <v>0.1557179087884909</v>
      </c>
    </row>
    <row r="1574" spans="4:17" ht="15" thickBot="1" x14ac:dyDescent="0.35">
      <c r="D1574" s="20">
        <f t="shared" si="120"/>
        <v>1568</v>
      </c>
      <c r="E1574" s="20">
        <f t="shared" si="121"/>
        <v>3050</v>
      </c>
      <c r="F1574" s="20">
        <f t="shared" si="122"/>
        <v>2950</v>
      </c>
      <c r="G1574" s="20">
        <v>0.36455807421194641</v>
      </c>
      <c r="H1574" s="50"/>
      <c r="I1574" s="16"/>
      <c r="J1574" s="16"/>
      <c r="K1574" s="16"/>
      <c r="L1574" s="16"/>
      <c r="M1574" s="16">
        <v>1568</v>
      </c>
      <c r="N1574" s="16">
        <f t="shared" si="123"/>
        <v>0.56223098995695842</v>
      </c>
      <c r="O1574" s="16"/>
      <c r="P1574" s="16"/>
      <c r="Q1574" s="16">
        <f t="shared" si="124"/>
        <v>0.15662801776813282</v>
      </c>
    </row>
    <row r="1575" spans="4:17" ht="15" thickBot="1" x14ac:dyDescent="0.35">
      <c r="D1575" s="20">
        <f t="shared" si="120"/>
        <v>1569</v>
      </c>
      <c r="E1575" s="47">
        <f t="shared" si="121"/>
        <v>3150</v>
      </c>
      <c r="F1575" s="47">
        <f t="shared" si="122"/>
        <v>2950</v>
      </c>
      <c r="G1575" s="20">
        <v>0.36456548442760434</v>
      </c>
      <c r="H1575" s="50"/>
      <c r="I1575" s="16"/>
      <c r="J1575" s="16"/>
      <c r="K1575" s="16"/>
      <c r="L1575" s="16"/>
      <c r="M1575" s="16">
        <v>1569</v>
      </c>
      <c r="N1575" s="16">
        <f t="shared" si="123"/>
        <v>0.56258967001434723</v>
      </c>
      <c r="O1575" s="16"/>
      <c r="P1575" s="16"/>
      <c r="Q1575" s="16">
        <f t="shared" si="124"/>
        <v>0.15753825650102746</v>
      </c>
    </row>
    <row r="1576" spans="4:17" ht="15" thickBot="1" x14ac:dyDescent="0.35">
      <c r="D1576" s="20">
        <f t="shared" si="120"/>
        <v>1570</v>
      </c>
      <c r="E1576" s="43">
        <f t="shared" si="121"/>
        <v>3250</v>
      </c>
      <c r="F1576" s="43">
        <f t="shared" si="122"/>
        <v>2950</v>
      </c>
      <c r="G1576" s="20">
        <v>0.364734030136245</v>
      </c>
      <c r="H1576" s="50"/>
      <c r="I1576" s="16"/>
      <c r="J1576" s="16"/>
      <c r="K1576" s="16"/>
      <c r="L1576" s="16"/>
      <c r="M1576" s="16">
        <v>1570</v>
      </c>
      <c r="N1576" s="16">
        <f t="shared" si="123"/>
        <v>0.56294835007173605</v>
      </c>
      <c r="O1576" s="16"/>
      <c r="P1576" s="16"/>
      <c r="Q1576" s="16">
        <f t="shared" si="124"/>
        <v>0.15844862577855767</v>
      </c>
    </row>
    <row r="1577" spans="4:17" ht="15" thickBot="1" x14ac:dyDescent="0.35">
      <c r="D1577" s="20">
        <f t="shared" si="120"/>
        <v>1571</v>
      </c>
      <c r="E1577" s="20">
        <f t="shared" si="121"/>
        <v>3350</v>
      </c>
      <c r="F1577" s="20">
        <f t="shared" si="122"/>
        <v>2950</v>
      </c>
      <c r="G1577" s="20">
        <v>0.36476561649190831</v>
      </c>
      <c r="H1577" s="50"/>
      <c r="I1577" s="16"/>
      <c r="J1577" s="16"/>
      <c r="K1577" s="16"/>
      <c r="L1577" s="16"/>
      <c r="M1577" s="16">
        <v>1571</v>
      </c>
      <c r="N1577" s="16">
        <f t="shared" si="123"/>
        <v>0.56330703012912486</v>
      </c>
      <c r="O1577" s="16"/>
      <c r="P1577" s="16"/>
      <c r="Q1577" s="16">
        <f t="shared" si="124"/>
        <v>0.15935912639287986</v>
      </c>
    </row>
    <row r="1578" spans="4:17" ht="15" thickBot="1" x14ac:dyDescent="0.35">
      <c r="D1578" s="20">
        <f t="shared" si="120"/>
        <v>1572</v>
      </c>
      <c r="E1578" s="48">
        <f t="shared" si="121"/>
        <v>3450</v>
      </c>
      <c r="F1578" s="48">
        <f t="shared" si="122"/>
        <v>2950</v>
      </c>
      <c r="G1578" s="20">
        <v>0.36482839270708073</v>
      </c>
      <c r="H1578" s="50"/>
      <c r="I1578" s="16"/>
      <c r="J1578" s="16"/>
      <c r="K1578" s="16"/>
      <c r="L1578" s="16"/>
      <c r="M1578" s="16">
        <v>1572</v>
      </c>
      <c r="N1578" s="16">
        <f t="shared" si="123"/>
        <v>0.56366571018651368</v>
      </c>
      <c r="O1578" s="16"/>
      <c r="P1578" s="16"/>
      <c r="Q1578" s="16">
        <f t="shared" si="124"/>
        <v>0.16026975913692873</v>
      </c>
    </row>
    <row r="1579" spans="4:17" ht="15" thickBot="1" x14ac:dyDescent="0.35">
      <c r="D1579" s="20">
        <f t="shared" si="120"/>
        <v>1573</v>
      </c>
      <c r="E1579" s="20">
        <f t="shared" si="121"/>
        <v>3550</v>
      </c>
      <c r="F1579" s="20">
        <f t="shared" si="122"/>
        <v>2950</v>
      </c>
      <c r="G1579" s="20">
        <v>0.3648949054524333</v>
      </c>
      <c r="H1579" s="50"/>
      <c r="I1579" s="16"/>
      <c r="J1579" s="16"/>
      <c r="K1579" s="16"/>
      <c r="L1579" s="16"/>
      <c r="M1579" s="16">
        <v>1573</v>
      </c>
      <c r="N1579" s="16">
        <f t="shared" si="123"/>
        <v>0.56402439024390238</v>
      </c>
      <c r="O1579" s="16"/>
      <c r="P1579" s="16"/>
      <c r="Q1579" s="16">
        <f t="shared" si="124"/>
        <v>0.16118052480442224</v>
      </c>
    </row>
    <row r="1580" spans="4:17" ht="15" thickBot="1" x14ac:dyDescent="0.35">
      <c r="D1580" s="20">
        <f t="shared" si="120"/>
        <v>1574</v>
      </c>
      <c r="E1580" s="20">
        <f t="shared" si="121"/>
        <v>3650</v>
      </c>
      <c r="F1580" s="20">
        <f t="shared" si="122"/>
        <v>2950</v>
      </c>
      <c r="G1580" s="20">
        <v>0.36506155788140865</v>
      </c>
      <c r="H1580" s="50"/>
      <c r="I1580" s="16"/>
      <c r="J1580" s="16"/>
      <c r="K1580" s="16"/>
      <c r="L1580" s="16"/>
      <c r="M1580" s="16">
        <v>1574</v>
      </c>
      <c r="N1580" s="16">
        <f t="shared" si="123"/>
        <v>0.5643830703012912</v>
      </c>
      <c r="O1580" s="16"/>
      <c r="P1580" s="16"/>
      <c r="Q1580" s="16">
        <f t="shared" si="124"/>
        <v>0.16209142418986808</v>
      </c>
    </row>
    <row r="1581" spans="4:17" ht="15" thickBot="1" x14ac:dyDescent="0.35">
      <c r="D1581" s="20">
        <f t="shared" si="120"/>
        <v>1575</v>
      </c>
      <c r="E1581" s="20">
        <f t="shared" si="121"/>
        <v>3750</v>
      </c>
      <c r="F1581" s="20">
        <f t="shared" si="122"/>
        <v>2950</v>
      </c>
      <c r="G1581" s="20">
        <v>0.36509241409902032</v>
      </c>
      <c r="H1581" s="50"/>
      <c r="I1581" s="16"/>
      <c r="J1581" s="16"/>
      <c r="K1581" s="16"/>
      <c r="L1581" s="16"/>
      <c r="M1581" s="16">
        <v>1575</v>
      </c>
      <c r="N1581" s="16">
        <f t="shared" si="123"/>
        <v>0.56474175035868002</v>
      </c>
      <c r="O1581" s="16"/>
      <c r="P1581" s="16"/>
      <c r="Q1581" s="16">
        <f t="shared" si="124"/>
        <v>0.16300245808856675</v>
      </c>
    </row>
    <row r="1582" spans="4:17" ht="15" thickBot="1" x14ac:dyDescent="0.35">
      <c r="D1582" s="20">
        <f t="shared" si="120"/>
        <v>1576</v>
      </c>
      <c r="E1582" s="20">
        <f t="shared" si="121"/>
        <v>3850</v>
      </c>
      <c r="F1582" s="20">
        <f t="shared" si="122"/>
        <v>2950</v>
      </c>
      <c r="G1582" s="20">
        <v>0.36521128751151871</v>
      </c>
      <c r="H1582" s="50"/>
      <c r="I1582" s="16"/>
      <c r="J1582" s="16"/>
      <c r="K1582" s="16"/>
      <c r="L1582" s="16"/>
      <c r="M1582" s="16">
        <v>1576</v>
      </c>
      <c r="N1582" s="16">
        <f t="shared" si="123"/>
        <v>0.56510043041606883</v>
      </c>
      <c r="O1582" s="16"/>
      <c r="P1582" s="16"/>
      <c r="Q1582" s="16">
        <f t="shared" si="124"/>
        <v>0.16391362729661807</v>
      </c>
    </row>
    <row r="1583" spans="4:17" ht="15" thickBot="1" x14ac:dyDescent="0.35">
      <c r="D1583" s="20">
        <f t="shared" si="120"/>
        <v>1577</v>
      </c>
      <c r="E1583" s="45">
        <f t="shared" si="121"/>
        <v>3950</v>
      </c>
      <c r="F1583" s="45">
        <f t="shared" si="122"/>
        <v>2950</v>
      </c>
      <c r="G1583" s="20">
        <v>0.36523803341892747</v>
      </c>
      <c r="H1583" s="50"/>
      <c r="I1583" s="16"/>
      <c r="J1583" s="16"/>
      <c r="K1583" s="16"/>
      <c r="L1583" s="16"/>
      <c r="M1583" s="16">
        <v>1577</v>
      </c>
      <c r="N1583" s="16">
        <f t="shared" si="123"/>
        <v>0.56545911047345765</v>
      </c>
      <c r="O1583" s="16"/>
      <c r="P1583" s="16"/>
      <c r="Q1583" s="16">
        <f t="shared" si="124"/>
        <v>0.16482493261092604</v>
      </c>
    </row>
    <row r="1584" spans="4:17" ht="15" thickBot="1" x14ac:dyDescent="0.35">
      <c r="D1584" s="20">
        <f t="shared" si="120"/>
        <v>1578</v>
      </c>
      <c r="E1584" s="20">
        <f t="shared" si="121"/>
        <v>4050</v>
      </c>
      <c r="F1584" s="20">
        <f t="shared" si="122"/>
        <v>2950</v>
      </c>
      <c r="G1584" s="20">
        <v>0.36525108305188897</v>
      </c>
      <c r="H1584" s="50"/>
      <c r="I1584" s="16"/>
      <c r="J1584" s="16"/>
      <c r="K1584" s="16"/>
      <c r="L1584" s="16"/>
      <c r="M1584" s="16">
        <v>1578</v>
      </c>
      <c r="N1584" s="16">
        <f t="shared" si="123"/>
        <v>0.56581779053084647</v>
      </c>
      <c r="O1584" s="16"/>
      <c r="P1584" s="16"/>
      <c r="Q1584" s="16">
        <f t="shared" si="124"/>
        <v>0.165736374829204</v>
      </c>
    </row>
    <row r="1585" spans="4:17" ht="15" thickBot="1" x14ac:dyDescent="0.35">
      <c r="D1585" s="20">
        <f t="shared" si="120"/>
        <v>1579</v>
      </c>
      <c r="E1585" s="20">
        <f t="shared" si="121"/>
        <v>4150</v>
      </c>
      <c r="F1585" s="20">
        <f t="shared" si="122"/>
        <v>2950</v>
      </c>
      <c r="G1585" s="20">
        <v>0.36536669990327458</v>
      </c>
      <c r="H1585" s="50"/>
      <c r="I1585" s="16"/>
      <c r="J1585" s="16"/>
      <c r="K1585" s="16"/>
      <c r="L1585" s="16"/>
      <c r="M1585" s="16">
        <v>1579</v>
      </c>
      <c r="N1585" s="16">
        <f t="shared" si="123"/>
        <v>0.56617647058823528</v>
      </c>
      <c r="O1585" s="16"/>
      <c r="P1585" s="16"/>
      <c r="Q1585" s="16">
        <f t="shared" si="124"/>
        <v>0.16664795474997979</v>
      </c>
    </row>
    <row r="1586" spans="4:17" ht="15" thickBot="1" x14ac:dyDescent="0.35">
      <c r="D1586" s="20">
        <f t="shared" si="120"/>
        <v>1580</v>
      </c>
      <c r="E1586" s="20">
        <f t="shared" si="121"/>
        <v>4250</v>
      </c>
      <c r="F1586" s="20">
        <f t="shared" si="122"/>
        <v>2950</v>
      </c>
      <c r="G1586" s="20">
        <v>0.3653756257591238</v>
      </c>
      <c r="H1586" s="50"/>
      <c r="I1586" s="16"/>
      <c r="J1586" s="16"/>
      <c r="K1586" s="16"/>
      <c r="L1586" s="16"/>
      <c r="M1586" s="16">
        <v>1580</v>
      </c>
      <c r="N1586" s="16">
        <f t="shared" si="123"/>
        <v>0.5665351506456241</v>
      </c>
      <c r="O1586" s="16"/>
      <c r="P1586" s="16"/>
      <c r="Q1586" s="16">
        <f t="shared" si="124"/>
        <v>0.16755967317260098</v>
      </c>
    </row>
    <row r="1587" spans="4:17" ht="15" thickBot="1" x14ac:dyDescent="0.35">
      <c r="D1587" s="20">
        <f t="shared" si="120"/>
        <v>1581</v>
      </c>
      <c r="E1587" s="20">
        <f t="shared" si="121"/>
        <v>4350</v>
      </c>
      <c r="F1587" s="20">
        <f t="shared" si="122"/>
        <v>2950</v>
      </c>
      <c r="G1587" s="20">
        <v>0.36538098171895333</v>
      </c>
      <c r="H1587" s="50"/>
      <c r="I1587" s="16"/>
      <c r="J1587" s="16"/>
      <c r="K1587" s="16"/>
      <c r="L1587" s="16"/>
      <c r="M1587" s="16">
        <v>1581</v>
      </c>
      <c r="N1587" s="16">
        <f t="shared" si="123"/>
        <v>0.56689383070301291</v>
      </c>
      <c r="O1587" s="16"/>
      <c r="P1587" s="16"/>
      <c r="Q1587" s="16">
        <f t="shared" si="124"/>
        <v>0.1684715308972401</v>
      </c>
    </row>
    <row r="1588" spans="4:17" ht="15" thickBot="1" x14ac:dyDescent="0.35">
      <c r="D1588" s="20">
        <f t="shared" si="120"/>
        <v>1582</v>
      </c>
      <c r="E1588" s="20">
        <f t="shared" si="121"/>
        <v>4450</v>
      </c>
      <c r="F1588" s="20">
        <f t="shared" si="122"/>
        <v>2950</v>
      </c>
      <c r="G1588" s="20">
        <v>0.3657114788300922</v>
      </c>
      <c r="H1588" s="50"/>
      <c r="I1588" s="16"/>
      <c r="J1588" s="16"/>
      <c r="K1588" s="16"/>
      <c r="L1588" s="16"/>
      <c r="M1588" s="16">
        <v>1582</v>
      </c>
      <c r="N1588" s="16">
        <f t="shared" si="123"/>
        <v>0.56725251076040173</v>
      </c>
      <c r="O1588" s="16"/>
      <c r="P1588" s="16"/>
      <c r="Q1588" s="16">
        <f t="shared" si="124"/>
        <v>0.16938352872489987</v>
      </c>
    </row>
    <row r="1589" spans="4:17" ht="15" thickBot="1" x14ac:dyDescent="0.35">
      <c r="D1589" s="20">
        <f t="shared" si="120"/>
        <v>1583</v>
      </c>
      <c r="E1589" s="20">
        <f t="shared" si="121"/>
        <v>4550</v>
      </c>
      <c r="F1589" s="20">
        <f t="shared" si="122"/>
        <v>2950</v>
      </c>
      <c r="G1589" s="20">
        <v>0.36592745894249229</v>
      </c>
      <c r="H1589" s="50"/>
      <c r="I1589" s="16"/>
      <c r="J1589" s="16"/>
      <c r="K1589" s="16"/>
      <c r="L1589" s="16"/>
      <c r="M1589" s="16">
        <v>1583</v>
      </c>
      <c r="N1589" s="16">
        <f t="shared" si="123"/>
        <v>0.56761119081779055</v>
      </c>
      <c r="O1589" s="16"/>
      <c r="P1589" s="16"/>
      <c r="Q1589" s="16">
        <f t="shared" si="124"/>
        <v>0.17029566745741836</v>
      </c>
    </row>
    <row r="1590" spans="4:17" ht="15" thickBot="1" x14ac:dyDescent="0.35">
      <c r="D1590" s="20">
        <f t="shared" si="120"/>
        <v>1584</v>
      </c>
      <c r="E1590" s="20">
        <f t="shared" si="121"/>
        <v>4650</v>
      </c>
      <c r="F1590" s="20">
        <f t="shared" si="122"/>
        <v>2950</v>
      </c>
      <c r="G1590" s="20">
        <v>0.36594669822227888</v>
      </c>
      <c r="H1590" s="50"/>
      <c r="I1590" s="16"/>
      <c r="J1590" s="16"/>
      <c r="K1590" s="16"/>
      <c r="L1590" s="16"/>
      <c r="M1590" s="16">
        <v>1584</v>
      </c>
      <c r="N1590" s="16">
        <f t="shared" si="123"/>
        <v>0.56796987087517936</v>
      </c>
      <c r="O1590" s="16"/>
      <c r="P1590" s="16"/>
      <c r="Q1590" s="16">
        <f t="shared" si="124"/>
        <v>0.17120794789747446</v>
      </c>
    </row>
    <row r="1591" spans="4:17" ht="15" thickBot="1" x14ac:dyDescent="0.35">
      <c r="D1591" s="20">
        <f t="shared" si="120"/>
        <v>1585</v>
      </c>
      <c r="E1591" s="20">
        <f t="shared" si="121"/>
        <v>4750</v>
      </c>
      <c r="F1591" s="20">
        <f t="shared" si="122"/>
        <v>2950</v>
      </c>
      <c r="G1591" s="20">
        <v>0.36612829993597873</v>
      </c>
      <c r="H1591" s="50"/>
      <c r="I1591" s="16"/>
      <c r="J1591" s="16"/>
      <c r="K1591" s="16"/>
      <c r="L1591" s="16"/>
      <c r="M1591" s="16">
        <v>1585</v>
      </c>
      <c r="N1591" s="16">
        <f t="shared" si="123"/>
        <v>0.56832855093256818</v>
      </c>
      <c r="O1591" s="16"/>
      <c r="P1591" s="16"/>
      <c r="Q1591" s="16">
        <f t="shared" si="124"/>
        <v>0.17212037084859283</v>
      </c>
    </row>
    <row r="1592" spans="4:17" ht="15" thickBot="1" x14ac:dyDescent="0.35">
      <c r="D1592" s="20">
        <f t="shared" si="120"/>
        <v>1586</v>
      </c>
      <c r="E1592" s="20">
        <f t="shared" si="121"/>
        <v>4850</v>
      </c>
      <c r="F1592" s="20">
        <f t="shared" si="122"/>
        <v>2950</v>
      </c>
      <c r="G1592" s="20">
        <v>0.36618590197261625</v>
      </c>
      <c r="H1592" s="50"/>
      <c r="I1592" s="16"/>
      <c r="J1592" s="16"/>
      <c r="K1592" s="16"/>
      <c r="L1592" s="16"/>
      <c r="M1592" s="16">
        <v>1586</v>
      </c>
      <c r="N1592" s="16">
        <f t="shared" si="123"/>
        <v>0.56868723098995699</v>
      </c>
      <c r="O1592" s="16"/>
      <c r="P1592" s="16"/>
      <c r="Q1592" s="16">
        <f t="shared" si="124"/>
        <v>0.17303293711514958</v>
      </c>
    </row>
    <row r="1593" spans="4:17" ht="15" thickBot="1" x14ac:dyDescent="0.35">
      <c r="D1593" s="20">
        <f t="shared" si="120"/>
        <v>1587</v>
      </c>
      <c r="E1593" s="20">
        <f t="shared" si="121"/>
        <v>4950</v>
      </c>
      <c r="F1593" s="20">
        <f t="shared" si="122"/>
        <v>2950</v>
      </c>
      <c r="G1593" s="20">
        <v>0.36621565429771269</v>
      </c>
      <c r="H1593" s="50"/>
      <c r="I1593" s="16"/>
      <c r="J1593" s="16"/>
      <c r="K1593" s="16"/>
      <c r="L1593" s="16"/>
      <c r="M1593" s="16">
        <v>1587</v>
      </c>
      <c r="N1593" s="16">
        <f t="shared" si="123"/>
        <v>0.56904591104734581</v>
      </c>
      <c r="O1593" s="16"/>
      <c r="P1593" s="16"/>
      <c r="Q1593" s="16">
        <f t="shared" si="124"/>
        <v>0.17394564750237712</v>
      </c>
    </row>
    <row r="1594" spans="4:17" ht="15" thickBot="1" x14ac:dyDescent="0.35">
      <c r="D1594" s="20">
        <f t="shared" si="120"/>
        <v>1588</v>
      </c>
      <c r="E1594" s="20">
        <f t="shared" si="121"/>
        <v>5050</v>
      </c>
      <c r="F1594" s="20">
        <f t="shared" si="122"/>
        <v>2950</v>
      </c>
      <c r="G1594" s="20">
        <v>0.3662746436836235</v>
      </c>
      <c r="H1594" s="50"/>
      <c r="I1594" s="16"/>
      <c r="J1594" s="16"/>
      <c r="K1594" s="16"/>
      <c r="L1594" s="16"/>
      <c r="M1594" s="16">
        <v>1588</v>
      </c>
      <c r="N1594" s="16">
        <f t="shared" si="123"/>
        <v>0.56940459110473463</v>
      </c>
      <c r="O1594" s="16"/>
      <c r="P1594" s="16"/>
      <c r="Q1594" s="16">
        <f t="shared" si="124"/>
        <v>0.17485850281636992</v>
      </c>
    </row>
    <row r="1595" spans="4:17" ht="15" thickBot="1" x14ac:dyDescent="0.35">
      <c r="D1595" s="20">
        <f t="shared" si="120"/>
        <v>1589</v>
      </c>
      <c r="E1595" s="20">
        <f t="shared" si="121"/>
        <v>5150</v>
      </c>
      <c r="F1595" s="20">
        <f t="shared" si="122"/>
        <v>2950</v>
      </c>
      <c r="G1595" s="20">
        <v>0.36628351824891842</v>
      </c>
      <c r="H1595" s="50"/>
      <c r="I1595" s="16"/>
      <c r="J1595" s="16"/>
      <c r="K1595" s="16"/>
      <c r="L1595" s="16"/>
      <c r="M1595" s="16">
        <v>1589</v>
      </c>
      <c r="N1595" s="16">
        <f t="shared" si="123"/>
        <v>0.56976327116212344</v>
      </c>
      <c r="O1595" s="16"/>
      <c r="P1595" s="16"/>
      <c r="Q1595" s="16">
        <f t="shared" si="124"/>
        <v>0.17577150386408938</v>
      </c>
    </row>
    <row r="1596" spans="4:17" ht="15" thickBot="1" x14ac:dyDescent="0.35">
      <c r="D1596" s="20">
        <f t="shared" si="120"/>
        <v>1590</v>
      </c>
      <c r="E1596" s="20">
        <f t="shared" si="121"/>
        <v>5250</v>
      </c>
      <c r="F1596" s="20">
        <f t="shared" si="122"/>
        <v>2950</v>
      </c>
      <c r="G1596" s="20">
        <v>0.3662910064671564</v>
      </c>
      <c r="H1596" s="50"/>
      <c r="I1596" s="16"/>
      <c r="J1596" s="16"/>
      <c r="K1596" s="16"/>
      <c r="L1596" s="16"/>
      <c r="M1596" s="16">
        <v>1590</v>
      </c>
      <c r="N1596" s="16">
        <f t="shared" si="123"/>
        <v>0.57012195121951215</v>
      </c>
      <c r="O1596" s="16"/>
      <c r="P1596" s="16"/>
      <c r="Q1596" s="16">
        <f t="shared" si="124"/>
        <v>0.17668465145336937</v>
      </c>
    </row>
    <row r="1597" spans="4:17" ht="15" thickBot="1" x14ac:dyDescent="0.35">
      <c r="D1597" s="20">
        <f t="shared" si="120"/>
        <v>1591</v>
      </c>
      <c r="E1597" s="20">
        <f t="shared" si="121"/>
        <v>50</v>
      </c>
      <c r="F1597" s="20">
        <f t="shared" si="122"/>
        <v>3050</v>
      </c>
      <c r="G1597" s="20">
        <v>0.36633776801734952</v>
      </c>
      <c r="H1597" s="50"/>
      <c r="I1597" s="16"/>
      <c r="J1597" s="16"/>
      <c r="K1597" s="16"/>
      <c r="L1597" s="16"/>
      <c r="M1597" s="16">
        <v>1591</v>
      </c>
      <c r="N1597" s="16">
        <f t="shared" si="123"/>
        <v>0.57048063127690096</v>
      </c>
      <c r="O1597" s="16"/>
      <c r="P1597" s="16"/>
      <c r="Q1597" s="16">
        <f t="shared" si="124"/>
        <v>0.17759794639292226</v>
      </c>
    </row>
    <row r="1598" spans="4:17" ht="15" thickBot="1" x14ac:dyDescent="0.35">
      <c r="D1598" s="20">
        <f t="shared" si="120"/>
        <v>1592</v>
      </c>
      <c r="E1598" s="20">
        <f t="shared" si="121"/>
        <v>150</v>
      </c>
      <c r="F1598" s="20">
        <f t="shared" si="122"/>
        <v>3050</v>
      </c>
      <c r="G1598" s="20">
        <v>0.36639869443102879</v>
      </c>
      <c r="H1598" s="50"/>
      <c r="I1598" s="16"/>
      <c r="J1598" s="16"/>
      <c r="K1598" s="16"/>
      <c r="L1598" s="16"/>
      <c r="M1598" s="16">
        <v>1592</v>
      </c>
      <c r="N1598" s="16">
        <f t="shared" si="123"/>
        <v>0.57083931133428978</v>
      </c>
      <c r="O1598" s="16"/>
      <c r="P1598" s="16"/>
      <c r="Q1598" s="16">
        <f t="shared" si="124"/>
        <v>0.17851138949234296</v>
      </c>
    </row>
    <row r="1599" spans="4:17" ht="15" thickBot="1" x14ac:dyDescent="0.35">
      <c r="D1599" s="20">
        <f t="shared" si="120"/>
        <v>1593</v>
      </c>
      <c r="E1599" s="20">
        <f t="shared" si="121"/>
        <v>250</v>
      </c>
      <c r="F1599" s="20">
        <f t="shared" si="122"/>
        <v>3050</v>
      </c>
      <c r="G1599" s="20">
        <v>0.36641068808265848</v>
      </c>
      <c r="H1599" s="50"/>
      <c r="I1599" s="16"/>
      <c r="J1599" s="16"/>
      <c r="K1599" s="16"/>
      <c r="L1599" s="16"/>
      <c r="M1599" s="16">
        <v>1593</v>
      </c>
      <c r="N1599" s="16">
        <f t="shared" si="123"/>
        <v>0.57119799139167859</v>
      </c>
      <c r="O1599" s="16"/>
      <c r="P1599" s="16"/>
      <c r="Q1599" s="16">
        <f t="shared" si="124"/>
        <v>0.17942498156211509</v>
      </c>
    </row>
    <row r="1600" spans="4:17" ht="15" thickBot="1" x14ac:dyDescent="0.35">
      <c r="D1600" s="20">
        <f t="shared" si="120"/>
        <v>1594</v>
      </c>
      <c r="E1600" s="20">
        <f t="shared" si="121"/>
        <v>350</v>
      </c>
      <c r="F1600" s="20">
        <f t="shared" si="122"/>
        <v>3050</v>
      </c>
      <c r="G1600" s="20">
        <v>0.36644025802887165</v>
      </c>
      <c r="H1600" s="50"/>
      <c r="I1600" s="16"/>
      <c r="J1600" s="16"/>
      <c r="K1600" s="16"/>
      <c r="L1600" s="16"/>
      <c r="M1600" s="16">
        <v>1594</v>
      </c>
      <c r="N1600" s="16">
        <f t="shared" si="123"/>
        <v>0.57155667144906741</v>
      </c>
      <c r="O1600" s="16"/>
      <c r="P1600" s="16"/>
      <c r="Q1600" s="16">
        <f t="shared" si="124"/>
        <v>0.18033872341361643</v>
      </c>
    </row>
    <row r="1601" spans="4:17" ht="15" thickBot="1" x14ac:dyDescent="0.35">
      <c r="D1601" s="20">
        <f t="shared" si="120"/>
        <v>1595</v>
      </c>
      <c r="E1601" s="20">
        <f t="shared" si="121"/>
        <v>450</v>
      </c>
      <c r="F1601" s="20">
        <f t="shared" si="122"/>
        <v>3050</v>
      </c>
      <c r="G1601" s="20">
        <v>0.36651452038694515</v>
      </c>
      <c r="H1601" s="50"/>
      <c r="I1601" s="16"/>
      <c r="J1601" s="16"/>
      <c r="K1601" s="16"/>
      <c r="L1601" s="16"/>
      <c r="M1601" s="16">
        <v>1595</v>
      </c>
      <c r="N1601" s="16">
        <f t="shared" si="123"/>
        <v>0.57191535150645623</v>
      </c>
      <c r="O1601" s="16"/>
      <c r="P1601" s="16"/>
      <c r="Q1601" s="16">
        <f t="shared" si="124"/>
        <v>0.18125261585912403</v>
      </c>
    </row>
    <row r="1602" spans="4:17" ht="15" thickBot="1" x14ac:dyDescent="0.35">
      <c r="D1602" s="20">
        <f t="shared" si="120"/>
        <v>1596</v>
      </c>
      <c r="E1602" s="20">
        <f t="shared" si="121"/>
        <v>550</v>
      </c>
      <c r="F1602" s="20">
        <f t="shared" si="122"/>
        <v>3050</v>
      </c>
      <c r="G1602" s="20">
        <v>0.366563621318932</v>
      </c>
      <c r="H1602" s="50"/>
      <c r="I1602" s="16"/>
      <c r="J1602" s="16"/>
      <c r="K1602" s="16"/>
      <c r="L1602" s="16"/>
      <c r="M1602" s="16">
        <v>1596</v>
      </c>
      <c r="N1602" s="16">
        <f t="shared" si="123"/>
        <v>0.57227403156384504</v>
      </c>
      <c r="O1602" s="16"/>
      <c r="P1602" s="16"/>
      <c r="Q1602" s="16">
        <f t="shared" si="124"/>
        <v>0.18216665971181992</v>
      </c>
    </row>
    <row r="1603" spans="4:17" ht="15" thickBot="1" x14ac:dyDescent="0.35">
      <c r="D1603" s="20">
        <f t="shared" si="120"/>
        <v>1597</v>
      </c>
      <c r="E1603" s="20">
        <f t="shared" si="121"/>
        <v>650</v>
      </c>
      <c r="F1603" s="20">
        <f t="shared" si="122"/>
        <v>3050</v>
      </c>
      <c r="G1603" s="20">
        <v>0.36669220394501068</v>
      </c>
      <c r="H1603" s="50"/>
      <c r="I1603" s="16"/>
      <c r="J1603" s="16"/>
      <c r="K1603" s="16"/>
      <c r="L1603" s="16"/>
      <c r="M1603" s="16">
        <v>1597</v>
      </c>
      <c r="N1603" s="16">
        <f t="shared" si="123"/>
        <v>0.57263271162123386</v>
      </c>
      <c r="O1603" s="16"/>
      <c r="P1603" s="16"/>
      <c r="Q1603" s="16">
        <f t="shared" si="124"/>
        <v>0.18308085578579619</v>
      </c>
    </row>
    <row r="1604" spans="4:17" ht="15" thickBot="1" x14ac:dyDescent="0.35">
      <c r="D1604" s="20">
        <f t="shared" si="120"/>
        <v>1598</v>
      </c>
      <c r="E1604" s="20">
        <f t="shared" si="121"/>
        <v>750</v>
      </c>
      <c r="F1604" s="20">
        <f t="shared" si="122"/>
        <v>3050</v>
      </c>
      <c r="G1604" s="20">
        <v>0.36669347981249706</v>
      </c>
      <c r="H1604" s="50"/>
      <c r="I1604" s="16"/>
      <c r="J1604" s="16"/>
      <c r="K1604" s="16"/>
      <c r="L1604" s="16"/>
      <c r="M1604" s="16">
        <v>1598</v>
      </c>
      <c r="N1604" s="16">
        <f t="shared" si="123"/>
        <v>0.57299139167862267</v>
      </c>
      <c r="O1604" s="16"/>
      <c r="P1604" s="16"/>
      <c r="Q1604" s="16">
        <f t="shared" si="124"/>
        <v>0.18399520489606094</v>
      </c>
    </row>
    <row r="1605" spans="4:17" ht="15" thickBot="1" x14ac:dyDescent="0.35">
      <c r="D1605" s="20">
        <f t="shared" si="120"/>
        <v>1599</v>
      </c>
      <c r="E1605" s="20">
        <f t="shared" si="121"/>
        <v>850</v>
      </c>
      <c r="F1605" s="20">
        <f t="shared" si="122"/>
        <v>3050</v>
      </c>
      <c r="G1605" s="20">
        <v>0.3668013741589608</v>
      </c>
      <c r="H1605" s="50"/>
      <c r="I1605" s="16"/>
      <c r="J1605" s="16"/>
      <c r="K1605" s="16"/>
      <c r="L1605" s="16"/>
      <c r="M1605" s="16">
        <v>1599</v>
      </c>
      <c r="N1605" s="16">
        <f t="shared" si="123"/>
        <v>0.57335007173601149</v>
      </c>
      <c r="O1605" s="16"/>
      <c r="P1605" s="16"/>
      <c r="Q1605" s="16">
        <f t="shared" si="124"/>
        <v>0.18490970785854305</v>
      </c>
    </row>
    <row r="1606" spans="4:17" ht="15" thickBot="1" x14ac:dyDescent="0.35">
      <c r="D1606" s="20">
        <f t="shared" si="120"/>
        <v>1600</v>
      </c>
      <c r="E1606" s="20">
        <f t="shared" si="121"/>
        <v>950</v>
      </c>
      <c r="F1606" s="20">
        <f t="shared" si="122"/>
        <v>3050</v>
      </c>
      <c r="G1606" s="20">
        <v>0.36681049776347735</v>
      </c>
      <c r="H1606" s="50"/>
      <c r="I1606" s="16"/>
      <c r="J1606" s="16"/>
      <c r="K1606" s="16"/>
      <c r="L1606" s="16"/>
      <c r="M1606" s="16">
        <v>1600</v>
      </c>
      <c r="N1606" s="16">
        <f t="shared" si="123"/>
        <v>0.57370875179340031</v>
      </c>
      <c r="O1606" s="16"/>
      <c r="P1606" s="16"/>
      <c r="Q1606" s="16">
        <f t="shared" si="124"/>
        <v>0.18582436549009843</v>
      </c>
    </row>
    <row r="1607" spans="4:17" ht="15" thickBot="1" x14ac:dyDescent="0.35">
      <c r="D1607" s="20">
        <f t="shared" ref="D1607:D1670" si="125">ROW()-6</f>
        <v>1601</v>
      </c>
      <c r="E1607" s="45">
        <f t="shared" ref="E1607:E1670" si="126">(MOD(D1607-1,53)*100)+50</f>
        <v>1050</v>
      </c>
      <c r="F1607" s="45">
        <f t="shared" ref="F1607:F1670" si="127">FLOOR((D1607-1)/53,1)*100+50</f>
        <v>3050</v>
      </c>
      <c r="G1607" s="20">
        <v>0.36693093586507031</v>
      </c>
      <c r="H1607" s="50"/>
      <c r="I1607" s="16"/>
      <c r="J1607" s="16"/>
      <c r="K1607" s="16"/>
      <c r="L1607" s="16"/>
      <c r="M1607" s="16">
        <v>1601</v>
      </c>
      <c r="N1607" s="16">
        <f t="shared" si="123"/>
        <v>0.57406743185078912</v>
      </c>
      <c r="O1607" s="16"/>
      <c r="P1607" s="16"/>
      <c r="Q1607" s="16">
        <f t="shared" si="124"/>
        <v>0.18673917860851502</v>
      </c>
    </row>
    <row r="1608" spans="4:17" ht="15" thickBot="1" x14ac:dyDescent="0.35">
      <c r="D1608" s="20">
        <f t="shared" si="125"/>
        <v>1602</v>
      </c>
      <c r="E1608" s="20">
        <f t="shared" si="126"/>
        <v>1150</v>
      </c>
      <c r="F1608" s="20">
        <f t="shared" si="127"/>
        <v>3050</v>
      </c>
      <c r="G1608" s="20">
        <v>0.3669726417152992</v>
      </c>
      <c r="H1608" s="50"/>
      <c r="I1608" s="16"/>
      <c r="J1608" s="16"/>
      <c r="K1608" s="16"/>
      <c r="L1608" s="16"/>
      <c r="M1608" s="16">
        <v>1602</v>
      </c>
      <c r="N1608" s="16">
        <f t="shared" ref="N1608:N1671" si="128">(M1608-0.5)/$L$7</f>
        <v>0.57442611190817794</v>
      </c>
      <c r="O1608" s="16"/>
      <c r="P1608" s="16"/>
      <c r="Q1608" s="16">
        <f t="shared" ref="Q1608:Q1671" si="129">_xlfn.NORM.S.INV(N1608)</f>
        <v>0.18765414803251837</v>
      </c>
    </row>
    <row r="1609" spans="4:17" ht="15" thickBot="1" x14ac:dyDescent="0.35">
      <c r="D1609" s="20">
        <f t="shared" si="125"/>
        <v>1603</v>
      </c>
      <c r="E1609" s="20">
        <f t="shared" si="126"/>
        <v>1250</v>
      </c>
      <c r="F1609" s="20">
        <f t="shared" si="127"/>
        <v>3050</v>
      </c>
      <c r="G1609" s="20">
        <v>0.36701284107101229</v>
      </c>
      <c r="H1609" s="50"/>
      <c r="I1609" s="16"/>
      <c r="J1609" s="16"/>
      <c r="K1609" s="16"/>
      <c r="L1609" s="16"/>
      <c r="M1609" s="16">
        <v>1603</v>
      </c>
      <c r="N1609" s="16">
        <f t="shared" si="128"/>
        <v>0.57478479196556675</v>
      </c>
      <c r="O1609" s="16"/>
      <c r="P1609" s="16"/>
      <c r="Q1609" s="16">
        <f t="shared" si="129"/>
        <v>0.1885692745817773</v>
      </c>
    </row>
    <row r="1610" spans="4:17" ht="15" thickBot="1" x14ac:dyDescent="0.35">
      <c r="D1610" s="20">
        <f t="shared" si="125"/>
        <v>1604</v>
      </c>
      <c r="E1610" s="48">
        <f t="shared" si="126"/>
        <v>1350</v>
      </c>
      <c r="F1610" s="48">
        <f t="shared" si="127"/>
        <v>3050</v>
      </c>
      <c r="G1610" s="20">
        <v>0.36716991745590571</v>
      </c>
      <c r="H1610" s="50"/>
      <c r="I1610" s="16"/>
      <c r="J1610" s="16"/>
      <c r="K1610" s="16"/>
      <c r="L1610" s="16"/>
      <c r="M1610" s="16">
        <v>1604</v>
      </c>
      <c r="N1610" s="16">
        <f t="shared" si="128"/>
        <v>0.57514347202295557</v>
      </c>
      <c r="O1610" s="16"/>
      <c r="P1610" s="16"/>
      <c r="Q1610" s="16">
        <f t="shared" si="129"/>
        <v>0.18948455907690939</v>
      </c>
    </row>
    <row r="1611" spans="4:17" ht="15" thickBot="1" x14ac:dyDescent="0.35">
      <c r="D1611" s="20">
        <f t="shared" si="125"/>
        <v>1605</v>
      </c>
      <c r="E1611" s="20">
        <f t="shared" si="126"/>
        <v>1450</v>
      </c>
      <c r="F1611" s="20">
        <f t="shared" si="127"/>
        <v>3050</v>
      </c>
      <c r="G1611" s="20">
        <v>0.36724884860500551</v>
      </c>
      <c r="H1611" s="50"/>
      <c r="I1611" s="16"/>
      <c r="J1611" s="16"/>
      <c r="K1611" s="16"/>
      <c r="L1611" s="16"/>
      <c r="M1611" s="16">
        <v>1605</v>
      </c>
      <c r="N1611" s="16">
        <f t="shared" si="128"/>
        <v>0.57550215208034439</v>
      </c>
      <c r="O1611" s="16"/>
      <c r="P1611" s="16"/>
      <c r="Q1611" s="16">
        <f t="shared" si="129"/>
        <v>0.19040000233948648</v>
      </c>
    </row>
    <row r="1612" spans="4:17" ht="15" thickBot="1" x14ac:dyDescent="0.35">
      <c r="D1612" s="20">
        <f t="shared" si="125"/>
        <v>1606</v>
      </c>
      <c r="E1612" s="20">
        <f t="shared" si="126"/>
        <v>1550</v>
      </c>
      <c r="F1612" s="20">
        <f t="shared" si="127"/>
        <v>3050</v>
      </c>
      <c r="G1612" s="20">
        <v>0.3673335078379768</v>
      </c>
      <c r="H1612" s="50"/>
      <c r="I1612" s="16"/>
      <c r="J1612" s="16"/>
      <c r="K1612" s="16"/>
      <c r="L1612" s="16"/>
      <c r="M1612" s="16">
        <v>1606</v>
      </c>
      <c r="N1612" s="16">
        <f t="shared" si="128"/>
        <v>0.57586083213773309</v>
      </c>
      <c r="O1612" s="16"/>
      <c r="P1612" s="16"/>
      <c r="Q1612" s="16">
        <f t="shared" si="129"/>
        <v>0.19131560519203988</v>
      </c>
    </row>
    <row r="1613" spans="4:17" ht="15" thickBot="1" x14ac:dyDescent="0.35">
      <c r="D1613" s="20">
        <f t="shared" si="125"/>
        <v>1607</v>
      </c>
      <c r="E1613" s="20">
        <f t="shared" si="126"/>
        <v>1650</v>
      </c>
      <c r="F1613" s="20">
        <f t="shared" si="127"/>
        <v>3050</v>
      </c>
      <c r="G1613" s="20">
        <v>0.36735912672219523</v>
      </c>
      <c r="H1613" s="50"/>
      <c r="I1613" s="16"/>
      <c r="J1613" s="16"/>
      <c r="K1613" s="16"/>
      <c r="L1613" s="16"/>
      <c r="M1613" s="16">
        <v>1607</v>
      </c>
      <c r="N1613" s="16">
        <f t="shared" si="128"/>
        <v>0.57621951219512191</v>
      </c>
      <c r="O1613" s="16"/>
      <c r="P1613" s="16"/>
      <c r="Q1613" s="16">
        <f t="shared" si="129"/>
        <v>0.19223136845806743</v>
      </c>
    </row>
    <row r="1614" spans="4:17" ht="15" thickBot="1" x14ac:dyDescent="0.35">
      <c r="D1614" s="20">
        <f t="shared" si="125"/>
        <v>1608</v>
      </c>
      <c r="E1614" s="20">
        <f t="shared" si="126"/>
        <v>1750</v>
      </c>
      <c r="F1614" s="20">
        <f t="shared" si="127"/>
        <v>3050</v>
      </c>
      <c r="G1614" s="20">
        <v>0.36751452640726401</v>
      </c>
      <c r="H1614" s="50"/>
      <c r="I1614" s="16"/>
      <c r="J1614" s="16"/>
      <c r="K1614" s="16"/>
      <c r="L1614" s="16"/>
      <c r="M1614" s="16">
        <v>1608</v>
      </c>
      <c r="N1614" s="16">
        <f t="shared" si="128"/>
        <v>0.57657819225251072</v>
      </c>
      <c r="O1614" s="16"/>
      <c r="P1614" s="16"/>
      <c r="Q1614" s="16">
        <f t="shared" si="129"/>
        <v>0.19314729296203706</v>
      </c>
    </row>
    <row r="1615" spans="4:17" ht="15" thickBot="1" x14ac:dyDescent="0.35">
      <c r="D1615" s="20">
        <f t="shared" si="125"/>
        <v>1609</v>
      </c>
      <c r="E1615" s="20">
        <f t="shared" si="126"/>
        <v>1850</v>
      </c>
      <c r="F1615" s="20">
        <f t="shared" si="127"/>
        <v>3050</v>
      </c>
      <c r="G1615" s="20">
        <v>0.36756318602848603</v>
      </c>
      <c r="H1615" s="50"/>
      <c r="I1615" s="16"/>
      <c r="J1615" s="16"/>
      <c r="K1615" s="16"/>
      <c r="L1615" s="16"/>
      <c r="M1615" s="16">
        <v>1609</v>
      </c>
      <c r="N1615" s="16">
        <f t="shared" si="128"/>
        <v>0.57693687230989954</v>
      </c>
      <c r="O1615" s="16"/>
      <c r="P1615" s="16"/>
      <c r="Q1615" s="16">
        <f t="shared" si="129"/>
        <v>0.19406337952939365</v>
      </c>
    </row>
    <row r="1616" spans="4:17" ht="15" thickBot="1" x14ac:dyDescent="0.35">
      <c r="D1616" s="20">
        <f t="shared" si="125"/>
        <v>1610</v>
      </c>
      <c r="E1616" s="20">
        <f t="shared" si="126"/>
        <v>1950</v>
      </c>
      <c r="F1616" s="20">
        <f t="shared" si="127"/>
        <v>3050</v>
      </c>
      <c r="G1616" s="20">
        <v>0.36770245041616295</v>
      </c>
      <c r="H1616" s="50"/>
      <c r="I1616" s="16"/>
      <c r="J1616" s="16"/>
      <c r="K1616" s="16"/>
      <c r="L1616" s="16"/>
      <c r="M1616" s="16">
        <v>1610</v>
      </c>
      <c r="N1616" s="16">
        <f t="shared" si="128"/>
        <v>0.57729555236728836</v>
      </c>
      <c r="O1616" s="16"/>
      <c r="P1616" s="16"/>
      <c r="Q1616" s="16">
        <f t="shared" si="129"/>
        <v>0.19497962898656448</v>
      </c>
    </row>
    <row r="1617" spans="4:17" ht="15" thickBot="1" x14ac:dyDescent="0.35">
      <c r="D1617" s="20">
        <f t="shared" si="125"/>
        <v>1611</v>
      </c>
      <c r="E1617" s="20">
        <f t="shared" si="126"/>
        <v>2050</v>
      </c>
      <c r="F1617" s="20">
        <f t="shared" si="127"/>
        <v>3050</v>
      </c>
      <c r="G1617" s="20">
        <v>0.36783033422423866</v>
      </c>
      <c r="H1617" s="50"/>
      <c r="I1617" s="16"/>
      <c r="J1617" s="16"/>
      <c r="K1617" s="16"/>
      <c r="L1617" s="16"/>
      <c r="M1617" s="16">
        <v>1611</v>
      </c>
      <c r="N1617" s="16">
        <f t="shared" si="128"/>
        <v>0.57765423242467717</v>
      </c>
      <c r="O1617" s="16"/>
      <c r="P1617" s="16"/>
      <c r="Q1617" s="16">
        <f t="shared" si="129"/>
        <v>0.19589604216096465</v>
      </c>
    </row>
    <row r="1618" spans="4:17" ht="15" thickBot="1" x14ac:dyDescent="0.35">
      <c r="D1618" s="20">
        <f t="shared" si="125"/>
        <v>1612</v>
      </c>
      <c r="E1618" s="20">
        <f t="shared" si="126"/>
        <v>2150</v>
      </c>
      <c r="F1618" s="20">
        <f t="shared" si="127"/>
        <v>3050</v>
      </c>
      <c r="G1618" s="20">
        <v>0.36786532638913355</v>
      </c>
      <c r="H1618" s="50"/>
      <c r="I1618" s="16"/>
      <c r="J1618" s="16"/>
      <c r="K1618" s="16"/>
      <c r="L1618" s="16"/>
      <c r="M1618" s="16">
        <v>1612</v>
      </c>
      <c r="N1618" s="16">
        <f t="shared" si="128"/>
        <v>0.57801291248206599</v>
      </c>
      <c r="O1618" s="16"/>
      <c r="P1618" s="16"/>
      <c r="Q1618" s="16">
        <f t="shared" si="129"/>
        <v>0.19681261988100293</v>
      </c>
    </row>
    <row r="1619" spans="4:17" ht="15" thickBot="1" x14ac:dyDescent="0.35">
      <c r="D1619" s="20">
        <f t="shared" si="125"/>
        <v>1613</v>
      </c>
      <c r="E1619" s="20">
        <f t="shared" si="126"/>
        <v>2250</v>
      </c>
      <c r="F1619" s="20">
        <f t="shared" si="127"/>
        <v>3050</v>
      </c>
      <c r="G1619" s="20">
        <v>0.36789381182868797</v>
      </c>
      <c r="H1619" s="50"/>
      <c r="I1619" s="16"/>
      <c r="J1619" s="16"/>
      <c r="K1619" s="16"/>
      <c r="L1619" s="16"/>
      <c r="M1619" s="16">
        <v>1613</v>
      </c>
      <c r="N1619" s="16">
        <f t="shared" si="128"/>
        <v>0.5783715925394548</v>
      </c>
      <c r="O1619" s="16"/>
      <c r="P1619" s="16"/>
      <c r="Q1619" s="16">
        <f t="shared" si="129"/>
        <v>0.19772936297608754</v>
      </c>
    </row>
    <row r="1620" spans="4:17" ht="15" thickBot="1" x14ac:dyDescent="0.35">
      <c r="D1620" s="20">
        <f t="shared" si="125"/>
        <v>1614</v>
      </c>
      <c r="E1620" s="20">
        <f t="shared" si="126"/>
        <v>2350</v>
      </c>
      <c r="F1620" s="20">
        <f t="shared" si="127"/>
        <v>3050</v>
      </c>
      <c r="G1620" s="20">
        <v>0.36793838334085249</v>
      </c>
      <c r="H1620" s="50"/>
      <c r="I1620" s="16"/>
      <c r="J1620" s="16"/>
      <c r="K1620" s="16"/>
      <c r="L1620" s="16"/>
      <c r="M1620" s="16">
        <v>1614</v>
      </c>
      <c r="N1620" s="16">
        <f t="shared" si="128"/>
        <v>0.57873027259684362</v>
      </c>
      <c r="O1620" s="16"/>
      <c r="P1620" s="16"/>
      <c r="Q1620" s="16">
        <f t="shared" si="129"/>
        <v>0.19864627227663156</v>
      </c>
    </row>
    <row r="1621" spans="4:17" ht="15" thickBot="1" x14ac:dyDescent="0.35">
      <c r="D1621" s="20">
        <f t="shared" si="125"/>
        <v>1615</v>
      </c>
      <c r="E1621" s="20">
        <f t="shared" si="126"/>
        <v>2450</v>
      </c>
      <c r="F1621" s="20">
        <f t="shared" si="127"/>
        <v>3050</v>
      </c>
      <c r="G1621" s="20">
        <v>0.36813839573928281</v>
      </c>
      <c r="H1621" s="50"/>
      <c r="I1621" s="16"/>
      <c r="J1621" s="16"/>
      <c r="K1621" s="16"/>
      <c r="L1621" s="16"/>
      <c r="M1621" s="16">
        <v>1615</v>
      </c>
      <c r="N1621" s="16">
        <f t="shared" si="128"/>
        <v>0.57908895265423244</v>
      </c>
      <c r="O1621" s="16"/>
      <c r="P1621" s="16"/>
      <c r="Q1621" s="16">
        <f t="shared" si="129"/>
        <v>0.19956334861405892</v>
      </c>
    </row>
    <row r="1622" spans="4:17" ht="15" thickBot="1" x14ac:dyDescent="0.35">
      <c r="D1622" s="20">
        <f t="shared" si="125"/>
        <v>1616</v>
      </c>
      <c r="E1622" s="20">
        <f t="shared" si="126"/>
        <v>2550</v>
      </c>
      <c r="F1622" s="20">
        <f t="shared" si="127"/>
        <v>3050</v>
      </c>
      <c r="G1622" s="20">
        <v>0.36819203112692622</v>
      </c>
      <c r="H1622" s="50"/>
      <c r="I1622" s="16"/>
      <c r="J1622" s="16"/>
      <c r="K1622" s="16"/>
      <c r="L1622" s="16"/>
      <c r="M1622" s="16">
        <v>1616</v>
      </c>
      <c r="N1622" s="16">
        <f t="shared" si="128"/>
        <v>0.57944763271162125</v>
      </c>
      <c r="O1622" s="16"/>
      <c r="P1622" s="16"/>
      <c r="Q1622" s="16">
        <f t="shared" si="129"/>
        <v>0.20048059282080985</v>
      </c>
    </row>
    <row r="1623" spans="4:17" ht="15" thickBot="1" x14ac:dyDescent="0.35">
      <c r="D1623" s="20">
        <f t="shared" si="125"/>
        <v>1617</v>
      </c>
      <c r="E1623" s="20">
        <f t="shared" si="126"/>
        <v>2650</v>
      </c>
      <c r="F1623" s="20">
        <f t="shared" si="127"/>
        <v>3050</v>
      </c>
      <c r="G1623" s="20">
        <v>0.36820686769592176</v>
      </c>
      <c r="H1623" s="50"/>
      <c r="I1623" s="16"/>
      <c r="J1623" s="16"/>
      <c r="K1623" s="16"/>
      <c r="L1623" s="16"/>
      <c r="M1623" s="16">
        <v>1617</v>
      </c>
      <c r="N1623" s="16">
        <f t="shared" si="128"/>
        <v>0.57980631276901007</v>
      </c>
      <c r="O1623" s="16"/>
      <c r="P1623" s="16"/>
      <c r="Q1623" s="16">
        <f t="shared" si="129"/>
        <v>0.20139800573034686</v>
      </c>
    </row>
    <row r="1624" spans="4:17" ht="15" thickBot="1" x14ac:dyDescent="0.35">
      <c r="D1624" s="20">
        <f t="shared" si="125"/>
        <v>1618</v>
      </c>
      <c r="E1624" s="20">
        <f t="shared" si="126"/>
        <v>2750</v>
      </c>
      <c r="F1624" s="20">
        <f t="shared" si="127"/>
        <v>3050</v>
      </c>
      <c r="G1624" s="20">
        <v>0.36825144691500339</v>
      </c>
      <c r="H1624" s="50"/>
      <c r="I1624" s="16"/>
      <c r="J1624" s="16"/>
      <c r="K1624" s="16"/>
      <c r="L1624" s="16"/>
      <c r="M1624" s="16">
        <v>1618</v>
      </c>
      <c r="N1624" s="16">
        <f t="shared" si="128"/>
        <v>0.58016499282639888</v>
      </c>
      <c r="O1624" s="16"/>
      <c r="P1624" s="16"/>
      <c r="Q1624" s="16">
        <f t="shared" si="129"/>
        <v>0.20231558817716055</v>
      </c>
    </row>
    <row r="1625" spans="4:17" ht="15" thickBot="1" x14ac:dyDescent="0.35">
      <c r="D1625" s="20">
        <f t="shared" si="125"/>
        <v>1619</v>
      </c>
      <c r="E1625" s="20">
        <f t="shared" si="126"/>
        <v>2850</v>
      </c>
      <c r="F1625" s="20">
        <f t="shared" si="127"/>
        <v>3050</v>
      </c>
      <c r="G1625" s="20">
        <v>0.36832888572507816</v>
      </c>
      <c r="H1625" s="50"/>
      <c r="I1625" s="16"/>
      <c r="J1625" s="16"/>
      <c r="K1625" s="16"/>
      <c r="L1625" s="16"/>
      <c r="M1625" s="16">
        <v>1619</v>
      </c>
      <c r="N1625" s="16">
        <f t="shared" si="128"/>
        <v>0.5805236728837877</v>
      </c>
      <c r="O1625" s="16"/>
      <c r="P1625" s="16"/>
      <c r="Q1625" s="16">
        <f t="shared" si="129"/>
        <v>0.20323334099677506</v>
      </c>
    </row>
    <row r="1626" spans="4:17" ht="15" thickBot="1" x14ac:dyDescent="0.35">
      <c r="D1626" s="20">
        <f t="shared" si="125"/>
        <v>1620</v>
      </c>
      <c r="E1626" s="20">
        <f t="shared" si="126"/>
        <v>2950</v>
      </c>
      <c r="F1626" s="20">
        <f t="shared" si="127"/>
        <v>3050</v>
      </c>
      <c r="G1626" s="20">
        <v>0.36835263580166933</v>
      </c>
      <c r="H1626" s="50"/>
      <c r="I1626" s="16"/>
      <c r="J1626" s="16"/>
      <c r="K1626" s="16"/>
      <c r="L1626" s="16"/>
      <c r="M1626" s="16">
        <v>1620</v>
      </c>
      <c r="N1626" s="16">
        <f t="shared" si="128"/>
        <v>0.58088235294117652</v>
      </c>
      <c r="O1626" s="16"/>
      <c r="P1626" s="16"/>
      <c r="Q1626" s="16">
        <f t="shared" si="129"/>
        <v>0.2041512650257542</v>
      </c>
    </row>
    <row r="1627" spans="4:17" ht="15" thickBot="1" x14ac:dyDescent="0.35">
      <c r="D1627" s="20">
        <f t="shared" si="125"/>
        <v>1621</v>
      </c>
      <c r="E1627" s="20">
        <f t="shared" si="126"/>
        <v>3050</v>
      </c>
      <c r="F1627" s="20">
        <f t="shared" si="127"/>
        <v>3050</v>
      </c>
      <c r="G1627" s="20">
        <v>0.36836380628143039</v>
      </c>
      <c r="H1627" s="50"/>
      <c r="I1627" s="16"/>
      <c r="J1627" s="16"/>
      <c r="K1627" s="16"/>
      <c r="L1627" s="16"/>
      <c r="M1627" s="16">
        <v>1621</v>
      </c>
      <c r="N1627" s="16">
        <f t="shared" si="128"/>
        <v>0.58124103299856533</v>
      </c>
      <c r="O1627" s="16"/>
      <c r="P1627" s="16"/>
      <c r="Q1627" s="16">
        <f t="shared" si="129"/>
        <v>0.20506936110170715</v>
      </c>
    </row>
    <row r="1628" spans="4:17" ht="15" thickBot="1" x14ac:dyDescent="0.35">
      <c r="D1628" s="20">
        <f t="shared" si="125"/>
        <v>1622</v>
      </c>
      <c r="E1628" s="20">
        <f t="shared" si="126"/>
        <v>3150</v>
      </c>
      <c r="F1628" s="20">
        <f t="shared" si="127"/>
        <v>3050</v>
      </c>
      <c r="G1628" s="20">
        <v>0.36840162075053662</v>
      </c>
      <c r="H1628" s="50"/>
      <c r="I1628" s="16"/>
      <c r="J1628" s="16"/>
      <c r="K1628" s="16"/>
      <c r="L1628" s="16"/>
      <c r="M1628" s="16">
        <v>1622</v>
      </c>
      <c r="N1628" s="16">
        <f t="shared" si="128"/>
        <v>0.58159971305595404</v>
      </c>
      <c r="O1628" s="16"/>
      <c r="P1628" s="16"/>
      <c r="Q1628" s="16">
        <f t="shared" si="129"/>
        <v>0.20598763006329401</v>
      </c>
    </row>
    <row r="1629" spans="4:17" ht="15" thickBot="1" x14ac:dyDescent="0.35">
      <c r="D1629" s="20">
        <f t="shared" si="125"/>
        <v>1623</v>
      </c>
      <c r="E1629" s="20">
        <f t="shared" si="126"/>
        <v>3250</v>
      </c>
      <c r="F1629" s="20">
        <f t="shared" si="127"/>
        <v>3050</v>
      </c>
      <c r="G1629" s="20">
        <v>0.36844214274557485</v>
      </c>
      <c r="H1629" s="50"/>
      <c r="I1629" s="16"/>
      <c r="J1629" s="16"/>
      <c r="K1629" s="16"/>
      <c r="L1629" s="16"/>
      <c r="M1629" s="16">
        <v>1623</v>
      </c>
      <c r="N1629" s="16">
        <f t="shared" si="128"/>
        <v>0.58195839311334285</v>
      </c>
      <c r="O1629" s="16"/>
      <c r="P1629" s="16"/>
      <c r="Q1629" s="16">
        <f t="shared" si="129"/>
        <v>0.20690607275023276</v>
      </c>
    </row>
    <row r="1630" spans="4:17" ht="15" thickBot="1" x14ac:dyDescent="0.35">
      <c r="D1630" s="20">
        <f t="shared" si="125"/>
        <v>1624</v>
      </c>
      <c r="E1630" s="20">
        <f t="shared" si="126"/>
        <v>3350</v>
      </c>
      <c r="F1630" s="20">
        <f t="shared" si="127"/>
        <v>3050</v>
      </c>
      <c r="G1630" s="20">
        <v>0.36852816401972621</v>
      </c>
      <c r="H1630" s="50"/>
      <c r="I1630" s="16"/>
      <c r="J1630" s="16"/>
      <c r="K1630" s="16"/>
      <c r="L1630" s="16"/>
      <c r="M1630" s="16">
        <v>1624</v>
      </c>
      <c r="N1630" s="16">
        <f t="shared" si="128"/>
        <v>0.58231707317073167</v>
      </c>
      <c r="O1630" s="16"/>
      <c r="P1630" s="16"/>
      <c r="Q1630" s="16">
        <f t="shared" si="129"/>
        <v>0.20782469000330339</v>
      </c>
    </row>
    <row r="1631" spans="4:17" ht="15" thickBot="1" x14ac:dyDescent="0.35">
      <c r="D1631" s="20">
        <f t="shared" si="125"/>
        <v>1625</v>
      </c>
      <c r="E1631" s="20">
        <f t="shared" si="126"/>
        <v>3450</v>
      </c>
      <c r="F1631" s="20">
        <f t="shared" si="127"/>
        <v>3050</v>
      </c>
      <c r="G1631" s="20">
        <v>0.36855935759266356</v>
      </c>
      <c r="H1631" s="50"/>
      <c r="I1631" s="16"/>
      <c r="J1631" s="16"/>
      <c r="K1631" s="16"/>
      <c r="L1631" s="16"/>
      <c r="M1631" s="16">
        <v>1625</v>
      </c>
      <c r="N1631" s="16">
        <f t="shared" si="128"/>
        <v>0.58267575322812049</v>
      </c>
      <c r="O1631" s="16"/>
      <c r="P1631" s="16"/>
      <c r="Q1631" s="16">
        <f t="shared" si="129"/>
        <v>0.208743482664355</v>
      </c>
    </row>
    <row r="1632" spans="4:17" ht="15" thickBot="1" x14ac:dyDescent="0.35">
      <c r="D1632" s="20">
        <f t="shared" si="125"/>
        <v>1626</v>
      </c>
      <c r="E1632" s="20">
        <f t="shared" si="126"/>
        <v>3550</v>
      </c>
      <c r="F1632" s="20">
        <f t="shared" si="127"/>
        <v>3050</v>
      </c>
      <c r="G1632" s="20">
        <v>0.36859169731636193</v>
      </c>
      <c r="H1632" s="50"/>
      <c r="I1632" s="16"/>
      <c r="J1632" s="16"/>
      <c r="K1632" s="16"/>
      <c r="L1632" s="16"/>
      <c r="M1632" s="16">
        <v>1626</v>
      </c>
      <c r="N1632" s="16">
        <f t="shared" si="128"/>
        <v>0.5830344332855093</v>
      </c>
      <c r="O1632" s="16"/>
      <c r="P1632" s="16"/>
      <c r="Q1632" s="16">
        <f t="shared" si="129"/>
        <v>0.2096624515763115</v>
      </c>
    </row>
    <row r="1633" spans="4:17" ht="15" thickBot="1" x14ac:dyDescent="0.35">
      <c r="D1633" s="20">
        <f t="shared" si="125"/>
        <v>1627</v>
      </c>
      <c r="E1633" s="20">
        <f t="shared" si="126"/>
        <v>3650</v>
      </c>
      <c r="F1633" s="20">
        <f t="shared" si="127"/>
        <v>3050</v>
      </c>
      <c r="G1633" s="20">
        <v>0.36869044460368322</v>
      </c>
      <c r="H1633" s="50"/>
      <c r="I1633" s="16"/>
      <c r="J1633" s="16"/>
      <c r="K1633" s="16"/>
      <c r="L1633" s="16"/>
      <c r="M1633" s="16">
        <v>1627</v>
      </c>
      <c r="N1633" s="16">
        <f t="shared" si="128"/>
        <v>0.58339311334289812</v>
      </c>
      <c r="O1633" s="16"/>
      <c r="P1633" s="16"/>
      <c r="Q1633" s="16">
        <f t="shared" si="129"/>
        <v>0.21058159758317729</v>
      </c>
    </row>
    <row r="1634" spans="4:17" ht="15" thickBot="1" x14ac:dyDescent="0.35">
      <c r="D1634" s="20">
        <f t="shared" si="125"/>
        <v>1628</v>
      </c>
      <c r="E1634" s="20">
        <f t="shared" si="126"/>
        <v>3750</v>
      </c>
      <c r="F1634" s="20">
        <f t="shared" si="127"/>
        <v>3050</v>
      </c>
      <c r="G1634" s="20">
        <v>0.36871838693111425</v>
      </c>
      <c r="H1634" s="50"/>
      <c r="I1634" s="16"/>
      <c r="J1634" s="16"/>
      <c r="K1634" s="16"/>
      <c r="L1634" s="16"/>
      <c r="M1634" s="16">
        <v>1628</v>
      </c>
      <c r="N1634" s="16">
        <f t="shared" si="128"/>
        <v>0.58375179340028693</v>
      </c>
      <c r="O1634" s="16"/>
      <c r="P1634" s="16"/>
      <c r="Q1634" s="16">
        <f t="shared" si="129"/>
        <v>0.21150092153004341</v>
      </c>
    </row>
    <row r="1635" spans="4:17" ht="15" thickBot="1" x14ac:dyDescent="0.35">
      <c r="D1635" s="20">
        <f t="shared" si="125"/>
        <v>1629</v>
      </c>
      <c r="E1635" s="20">
        <f t="shared" si="126"/>
        <v>3850</v>
      </c>
      <c r="F1635" s="20">
        <f t="shared" si="127"/>
        <v>3050</v>
      </c>
      <c r="G1635" s="20">
        <v>0.36876534645845316</v>
      </c>
      <c r="H1635" s="50"/>
      <c r="I1635" s="16"/>
      <c r="J1635" s="16"/>
      <c r="K1635" s="16"/>
      <c r="L1635" s="16"/>
      <c r="M1635" s="16">
        <v>1629</v>
      </c>
      <c r="N1635" s="16">
        <f t="shared" si="128"/>
        <v>0.58411047345767575</v>
      </c>
      <c r="O1635" s="16"/>
      <c r="P1635" s="16"/>
      <c r="Q1635" s="16">
        <f t="shared" si="129"/>
        <v>0.21242042426309329</v>
      </c>
    </row>
    <row r="1636" spans="4:17" ht="15" thickBot="1" x14ac:dyDescent="0.35">
      <c r="D1636" s="20">
        <f t="shared" si="125"/>
        <v>1630</v>
      </c>
      <c r="E1636" s="20">
        <f t="shared" si="126"/>
        <v>3950</v>
      </c>
      <c r="F1636" s="20">
        <f t="shared" si="127"/>
        <v>3050</v>
      </c>
      <c r="G1636" s="20">
        <v>0.36883988831768455</v>
      </c>
      <c r="H1636" s="50"/>
      <c r="I1636" s="16"/>
      <c r="J1636" s="16"/>
      <c r="K1636" s="16"/>
      <c r="L1636" s="16"/>
      <c r="M1636" s="16">
        <v>1630</v>
      </c>
      <c r="N1636" s="16">
        <f t="shared" si="128"/>
        <v>0.58446915351506457</v>
      </c>
      <c r="O1636" s="16"/>
      <c r="P1636" s="16"/>
      <c r="Q1636" s="16">
        <f t="shared" si="129"/>
        <v>0.21334010662960901</v>
      </c>
    </row>
    <row r="1637" spans="4:17" ht="15" thickBot="1" x14ac:dyDescent="0.35">
      <c r="D1637" s="20">
        <f t="shared" si="125"/>
        <v>1631</v>
      </c>
      <c r="E1637" s="20">
        <f t="shared" si="126"/>
        <v>4050</v>
      </c>
      <c r="F1637" s="20">
        <f t="shared" si="127"/>
        <v>3050</v>
      </c>
      <c r="G1637" s="20">
        <v>0.36895777838629318</v>
      </c>
      <c r="H1637" s="50"/>
      <c r="I1637" s="16"/>
      <c r="J1637" s="16"/>
      <c r="K1637" s="16"/>
      <c r="L1637" s="16"/>
      <c r="M1637" s="16">
        <v>1631</v>
      </c>
      <c r="N1637" s="16">
        <f t="shared" si="128"/>
        <v>0.58482783357245338</v>
      </c>
      <c r="O1637" s="16"/>
      <c r="P1637" s="16"/>
      <c r="Q1637" s="16">
        <f t="shared" si="129"/>
        <v>0.21425996947797699</v>
      </c>
    </row>
    <row r="1638" spans="4:17" ht="15" thickBot="1" x14ac:dyDescent="0.35">
      <c r="D1638" s="20">
        <f t="shared" si="125"/>
        <v>1632</v>
      </c>
      <c r="E1638" s="20">
        <f t="shared" si="126"/>
        <v>4150</v>
      </c>
      <c r="F1638" s="20">
        <f t="shared" si="127"/>
        <v>3050</v>
      </c>
      <c r="G1638" s="20">
        <v>0.36900371871958754</v>
      </c>
      <c r="H1638" s="50"/>
      <c r="I1638" s="16"/>
      <c r="J1638" s="16"/>
      <c r="K1638" s="16"/>
      <c r="L1638" s="16"/>
      <c r="M1638" s="16">
        <v>1632</v>
      </c>
      <c r="N1638" s="16">
        <f t="shared" si="128"/>
        <v>0.5851865136298422</v>
      </c>
      <c r="O1638" s="16"/>
      <c r="P1638" s="16"/>
      <c r="Q1638" s="16">
        <f t="shared" si="129"/>
        <v>0.21518001365769429</v>
      </c>
    </row>
    <row r="1639" spans="4:17" ht="15" thickBot="1" x14ac:dyDescent="0.35">
      <c r="D1639" s="20">
        <f t="shared" si="125"/>
        <v>1633</v>
      </c>
      <c r="E1639" s="20">
        <f t="shared" si="126"/>
        <v>4250</v>
      </c>
      <c r="F1639" s="20">
        <f t="shared" si="127"/>
        <v>3050</v>
      </c>
      <c r="G1639" s="20">
        <v>0.36907504054071849</v>
      </c>
      <c r="H1639" s="50"/>
      <c r="I1639" s="16"/>
      <c r="J1639" s="16"/>
      <c r="K1639" s="16"/>
      <c r="L1639" s="16"/>
      <c r="M1639" s="16">
        <v>1633</v>
      </c>
      <c r="N1639" s="16">
        <f t="shared" si="128"/>
        <v>0.58554519368723101</v>
      </c>
      <c r="O1639" s="16"/>
      <c r="P1639" s="16"/>
      <c r="Q1639" s="16">
        <f t="shared" si="129"/>
        <v>0.21610024001937436</v>
      </c>
    </row>
    <row r="1640" spans="4:17" ht="15" thickBot="1" x14ac:dyDescent="0.35">
      <c r="D1640" s="20">
        <f t="shared" si="125"/>
        <v>1634</v>
      </c>
      <c r="E1640" s="45">
        <f t="shared" si="126"/>
        <v>4350</v>
      </c>
      <c r="F1640" s="45">
        <f t="shared" si="127"/>
        <v>3050</v>
      </c>
      <c r="G1640" s="20">
        <v>0.36916144707977538</v>
      </c>
      <c r="H1640" s="50"/>
      <c r="I1640" s="16"/>
      <c r="J1640" s="16"/>
      <c r="K1640" s="16"/>
      <c r="L1640" s="16"/>
      <c r="M1640" s="16">
        <v>1634</v>
      </c>
      <c r="N1640" s="16">
        <f t="shared" si="128"/>
        <v>0.58590387374461983</v>
      </c>
      <c r="O1640" s="16"/>
      <c r="P1640" s="16"/>
      <c r="Q1640" s="16">
        <f t="shared" si="129"/>
        <v>0.21702064941475321</v>
      </c>
    </row>
    <row r="1641" spans="4:17" ht="15" thickBot="1" x14ac:dyDescent="0.35">
      <c r="D1641" s="20">
        <f t="shared" si="125"/>
        <v>1635</v>
      </c>
      <c r="E1641" s="20">
        <f t="shared" si="126"/>
        <v>4450</v>
      </c>
      <c r="F1641" s="20">
        <f t="shared" si="127"/>
        <v>3050</v>
      </c>
      <c r="G1641" s="20">
        <v>0.36923881707862671</v>
      </c>
      <c r="H1641" s="50"/>
      <c r="I1641" s="16"/>
      <c r="J1641" s="16"/>
      <c r="K1641" s="16"/>
      <c r="L1641" s="16"/>
      <c r="M1641" s="16">
        <v>1635</v>
      </c>
      <c r="N1641" s="16">
        <f t="shared" si="128"/>
        <v>0.58626255380200865</v>
      </c>
      <c r="O1641" s="16"/>
      <c r="P1641" s="16"/>
      <c r="Q1641" s="16">
        <f t="shared" si="129"/>
        <v>0.2179412426966956</v>
      </c>
    </row>
    <row r="1642" spans="4:17" ht="15" thickBot="1" x14ac:dyDescent="0.35">
      <c r="D1642" s="20">
        <f t="shared" si="125"/>
        <v>1636</v>
      </c>
      <c r="E1642" s="20">
        <f t="shared" si="126"/>
        <v>4550</v>
      </c>
      <c r="F1642" s="20">
        <f t="shared" si="127"/>
        <v>3050</v>
      </c>
      <c r="G1642" s="20">
        <v>0.36944148470907862</v>
      </c>
      <c r="H1642" s="50"/>
      <c r="I1642" s="16"/>
      <c r="J1642" s="16"/>
      <c r="K1642" s="16"/>
      <c r="L1642" s="16"/>
      <c r="M1642" s="16">
        <v>1636</v>
      </c>
      <c r="N1642" s="16">
        <f t="shared" si="128"/>
        <v>0.58662123385939746</v>
      </c>
      <c r="O1642" s="16"/>
      <c r="P1642" s="16"/>
      <c r="Q1642" s="16">
        <f t="shared" si="129"/>
        <v>0.21886202071920088</v>
      </c>
    </row>
    <row r="1643" spans="4:17" ht="15" thickBot="1" x14ac:dyDescent="0.35">
      <c r="D1643" s="20">
        <f t="shared" si="125"/>
        <v>1637</v>
      </c>
      <c r="E1643" s="20">
        <f t="shared" si="126"/>
        <v>4650</v>
      </c>
      <c r="F1643" s="20">
        <f t="shared" si="127"/>
        <v>3050</v>
      </c>
      <c r="G1643" s="20">
        <v>0.36948358937695042</v>
      </c>
      <c r="H1643" s="50"/>
      <c r="I1643" s="16"/>
      <c r="J1643" s="16"/>
      <c r="K1643" s="16"/>
      <c r="L1643" s="16"/>
      <c r="M1643" s="16">
        <v>1637</v>
      </c>
      <c r="N1643" s="16">
        <f t="shared" si="128"/>
        <v>0.58697991391678628</v>
      </c>
      <c r="O1643" s="16"/>
      <c r="P1643" s="16"/>
      <c r="Q1643" s="16">
        <f t="shared" si="129"/>
        <v>0.21978298433740914</v>
      </c>
    </row>
    <row r="1644" spans="4:17" ht="15" thickBot="1" x14ac:dyDescent="0.35">
      <c r="D1644" s="20">
        <f t="shared" si="125"/>
        <v>1638</v>
      </c>
      <c r="E1644" s="20">
        <f t="shared" si="126"/>
        <v>4750</v>
      </c>
      <c r="F1644" s="20">
        <f t="shared" si="127"/>
        <v>3050</v>
      </c>
      <c r="G1644" s="20">
        <v>0.36950780699512809</v>
      </c>
      <c r="H1644" s="50"/>
      <c r="I1644" s="16"/>
      <c r="J1644" s="16"/>
      <c r="K1644" s="16"/>
      <c r="L1644" s="16"/>
      <c r="M1644" s="16">
        <v>1638</v>
      </c>
      <c r="N1644" s="16">
        <f t="shared" si="128"/>
        <v>0.58733859397417498</v>
      </c>
      <c r="O1644" s="16"/>
      <c r="P1644" s="16"/>
      <c r="Q1644" s="16">
        <f t="shared" si="129"/>
        <v>0.22070413440760742</v>
      </c>
    </row>
    <row r="1645" spans="4:17" ht="15" thickBot="1" x14ac:dyDescent="0.35">
      <c r="D1645" s="20">
        <f t="shared" si="125"/>
        <v>1639</v>
      </c>
      <c r="E1645" s="20">
        <f t="shared" si="126"/>
        <v>4850</v>
      </c>
      <c r="F1645" s="20">
        <f t="shared" si="127"/>
        <v>3050</v>
      </c>
      <c r="G1645" s="20">
        <v>0.36966227117760025</v>
      </c>
      <c r="H1645" s="50"/>
      <c r="I1645" s="16"/>
      <c r="J1645" s="16"/>
      <c r="K1645" s="16"/>
      <c r="L1645" s="16"/>
      <c r="M1645" s="16">
        <v>1639</v>
      </c>
      <c r="N1645" s="16">
        <f t="shared" si="128"/>
        <v>0.5876972740315638</v>
      </c>
      <c r="O1645" s="16"/>
      <c r="P1645" s="16"/>
      <c r="Q1645" s="16">
        <f t="shared" si="129"/>
        <v>0.22162547178723635</v>
      </c>
    </row>
    <row r="1646" spans="4:17" ht="15" thickBot="1" x14ac:dyDescent="0.35">
      <c r="D1646" s="20">
        <f t="shared" si="125"/>
        <v>1640</v>
      </c>
      <c r="E1646" s="44">
        <f t="shared" si="126"/>
        <v>4950</v>
      </c>
      <c r="F1646" s="44">
        <f t="shared" si="127"/>
        <v>3050</v>
      </c>
      <c r="G1646" s="20">
        <v>0.36972443777902281</v>
      </c>
      <c r="H1646" s="50"/>
      <c r="I1646" s="16"/>
      <c r="J1646" s="16"/>
      <c r="K1646" s="16"/>
      <c r="L1646" s="16"/>
      <c r="M1646" s="16">
        <v>1640</v>
      </c>
      <c r="N1646" s="16">
        <f t="shared" si="128"/>
        <v>0.58805595408895261</v>
      </c>
      <c r="O1646" s="16"/>
      <c r="P1646" s="16"/>
      <c r="Q1646" s="16">
        <f t="shared" si="129"/>
        <v>0.22254699733489522</v>
      </c>
    </row>
    <row r="1647" spans="4:17" ht="15" thickBot="1" x14ac:dyDescent="0.35">
      <c r="D1647" s="20">
        <f t="shared" si="125"/>
        <v>1641</v>
      </c>
      <c r="E1647" s="20">
        <f t="shared" si="126"/>
        <v>5050</v>
      </c>
      <c r="F1647" s="20">
        <f t="shared" si="127"/>
        <v>3050</v>
      </c>
      <c r="G1647" s="20">
        <v>0.36978380740542616</v>
      </c>
      <c r="H1647" s="50"/>
      <c r="I1647" s="16"/>
      <c r="J1647" s="16"/>
      <c r="K1647" s="16"/>
      <c r="L1647" s="16"/>
      <c r="M1647" s="16">
        <v>1641</v>
      </c>
      <c r="N1647" s="16">
        <f t="shared" si="128"/>
        <v>0.58841463414634143</v>
      </c>
      <c r="O1647" s="16"/>
      <c r="P1647" s="16"/>
      <c r="Q1647" s="16">
        <f t="shared" si="129"/>
        <v>0.22346871191034884</v>
      </c>
    </row>
    <row r="1648" spans="4:17" ht="15" thickBot="1" x14ac:dyDescent="0.35">
      <c r="D1648" s="20">
        <f t="shared" si="125"/>
        <v>1642</v>
      </c>
      <c r="E1648" s="20">
        <f t="shared" si="126"/>
        <v>5150</v>
      </c>
      <c r="F1648" s="20">
        <f t="shared" si="127"/>
        <v>3050</v>
      </c>
      <c r="G1648" s="20">
        <v>0.36979089232835322</v>
      </c>
      <c r="H1648" s="50"/>
      <c r="I1648" s="16"/>
      <c r="J1648" s="16"/>
      <c r="K1648" s="16"/>
      <c r="L1648" s="16"/>
      <c r="M1648" s="16">
        <v>1642</v>
      </c>
      <c r="N1648" s="16">
        <f t="shared" si="128"/>
        <v>0.58877331420373025</v>
      </c>
      <c r="O1648" s="16"/>
      <c r="P1648" s="16"/>
      <c r="Q1648" s="16">
        <f t="shared" si="129"/>
        <v>0.2243906163745337</v>
      </c>
    </row>
    <row r="1649" spans="4:17" ht="15" thickBot="1" x14ac:dyDescent="0.35">
      <c r="D1649" s="20">
        <f t="shared" si="125"/>
        <v>1643</v>
      </c>
      <c r="E1649" s="43">
        <f t="shared" si="126"/>
        <v>5250</v>
      </c>
      <c r="F1649" s="43">
        <f t="shared" si="127"/>
        <v>3050</v>
      </c>
      <c r="G1649" s="20">
        <v>0.36985100251583813</v>
      </c>
      <c r="H1649" s="50"/>
      <c r="I1649" s="16"/>
      <c r="J1649" s="16"/>
      <c r="K1649" s="16"/>
      <c r="L1649" s="16"/>
      <c r="M1649" s="16">
        <v>1643</v>
      </c>
      <c r="N1649" s="16">
        <f t="shared" si="128"/>
        <v>0.58913199426111906</v>
      </c>
      <c r="O1649" s="16"/>
      <c r="P1649" s="16"/>
      <c r="Q1649" s="16">
        <f t="shared" si="129"/>
        <v>0.22531271158956406</v>
      </c>
    </row>
    <row r="1650" spans="4:17" ht="15" thickBot="1" x14ac:dyDescent="0.35">
      <c r="D1650" s="20">
        <f t="shared" si="125"/>
        <v>1644</v>
      </c>
      <c r="E1650" s="20">
        <f t="shared" si="126"/>
        <v>50</v>
      </c>
      <c r="F1650" s="20">
        <f t="shared" si="127"/>
        <v>3150</v>
      </c>
      <c r="G1650" s="20">
        <v>0.36988268481997244</v>
      </c>
      <c r="H1650" s="50"/>
      <c r="I1650" s="16"/>
      <c r="J1650" s="16"/>
      <c r="K1650" s="16"/>
      <c r="L1650" s="16"/>
      <c r="M1650" s="16">
        <v>1644</v>
      </c>
      <c r="N1650" s="16">
        <f t="shared" si="128"/>
        <v>0.58949067431850788</v>
      </c>
      <c r="O1650" s="16"/>
      <c r="P1650" s="16"/>
      <c r="Q1650" s="16">
        <f t="shared" si="129"/>
        <v>0.22623499841873837</v>
      </c>
    </row>
    <row r="1651" spans="4:17" ht="15" thickBot="1" x14ac:dyDescent="0.35">
      <c r="D1651" s="20">
        <f t="shared" si="125"/>
        <v>1645</v>
      </c>
      <c r="E1651" s="20">
        <f t="shared" si="126"/>
        <v>150</v>
      </c>
      <c r="F1651" s="20">
        <f t="shared" si="127"/>
        <v>3150</v>
      </c>
      <c r="G1651" s="20">
        <v>0.36994752566354155</v>
      </c>
      <c r="H1651" s="50"/>
      <c r="I1651" s="16"/>
      <c r="J1651" s="16"/>
      <c r="K1651" s="16"/>
      <c r="L1651" s="16"/>
      <c r="M1651" s="16">
        <v>1645</v>
      </c>
      <c r="N1651" s="16">
        <f t="shared" si="128"/>
        <v>0.5898493543758967</v>
      </c>
      <c r="O1651" s="16"/>
      <c r="P1651" s="16"/>
      <c r="Q1651" s="16">
        <f t="shared" si="129"/>
        <v>0.22715747772654526</v>
      </c>
    </row>
    <row r="1652" spans="4:17" ht="15" thickBot="1" x14ac:dyDescent="0.35">
      <c r="D1652" s="20">
        <f t="shared" si="125"/>
        <v>1646</v>
      </c>
      <c r="E1652" s="20">
        <f t="shared" si="126"/>
        <v>250</v>
      </c>
      <c r="F1652" s="20">
        <f t="shared" si="127"/>
        <v>3150</v>
      </c>
      <c r="G1652" s="20">
        <v>0.37000386027890703</v>
      </c>
      <c r="H1652" s="50"/>
      <c r="I1652" s="16"/>
      <c r="J1652" s="16"/>
      <c r="K1652" s="16"/>
      <c r="L1652" s="16"/>
      <c r="M1652" s="16">
        <v>1646</v>
      </c>
      <c r="N1652" s="16">
        <f t="shared" si="128"/>
        <v>0.59020803443328551</v>
      </c>
      <c r="O1652" s="16"/>
      <c r="P1652" s="16"/>
      <c r="Q1652" s="16">
        <f t="shared" si="129"/>
        <v>0.22808015037867016</v>
      </c>
    </row>
    <row r="1653" spans="4:17" ht="15" thickBot="1" x14ac:dyDescent="0.35">
      <c r="D1653" s="20">
        <f t="shared" si="125"/>
        <v>1647</v>
      </c>
      <c r="E1653" s="20">
        <f t="shared" si="126"/>
        <v>350</v>
      </c>
      <c r="F1653" s="20">
        <f t="shared" si="127"/>
        <v>3150</v>
      </c>
      <c r="G1653" s="20">
        <v>0.37003213367242371</v>
      </c>
      <c r="H1653" s="50"/>
      <c r="I1653" s="16"/>
      <c r="J1653" s="16"/>
      <c r="K1653" s="16"/>
      <c r="L1653" s="16"/>
      <c r="M1653" s="16">
        <v>1647</v>
      </c>
      <c r="N1653" s="16">
        <f t="shared" si="128"/>
        <v>0.59056671449067433</v>
      </c>
      <c r="O1653" s="16"/>
      <c r="P1653" s="16"/>
      <c r="Q1653" s="16">
        <f t="shared" si="129"/>
        <v>0.22900301724200117</v>
      </c>
    </row>
    <row r="1654" spans="4:17" ht="15" thickBot="1" x14ac:dyDescent="0.35">
      <c r="D1654" s="20">
        <f t="shared" si="125"/>
        <v>1648</v>
      </c>
      <c r="E1654" s="20">
        <f t="shared" si="126"/>
        <v>450</v>
      </c>
      <c r="F1654" s="20">
        <f t="shared" si="127"/>
        <v>3150</v>
      </c>
      <c r="G1654" s="20">
        <v>0.37004767606706629</v>
      </c>
      <c r="H1654" s="50"/>
      <c r="I1654" s="16"/>
      <c r="J1654" s="16"/>
      <c r="K1654" s="16"/>
      <c r="L1654" s="16"/>
      <c r="M1654" s="16">
        <v>1648</v>
      </c>
      <c r="N1654" s="16">
        <f t="shared" si="128"/>
        <v>0.59092539454806314</v>
      </c>
      <c r="O1654" s="16"/>
      <c r="P1654" s="16"/>
      <c r="Q1654" s="16">
        <f t="shared" si="129"/>
        <v>0.22992607918463584</v>
      </c>
    </row>
    <row r="1655" spans="4:17" ht="15" thickBot="1" x14ac:dyDescent="0.35">
      <c r="D1655" s="20">
        <f t="shared" si="125"/>
        <v>1649</v>
      </c>
      <c r="E1655" s="20">
        <f t="shared" si="126"/>
        <v>550</v>
      </c>
      <c r="F1655" s="20">
        <f t="shared" si="127"/>
        <v>3150</v>
      </c>
      <c r="G1655" s="20">
        <v>0.37005181822076816</v>
      </c>
      <c r="H1655" s="50"/>
      <c r="I1655" s="16"/>
      <c r="J1655" s="16"/>
      <c r="K1655" s="16"/>
      <c r="L1655" s="16"/>
      <c r="M1655" s="16">
        <v>1649</v>
      </c>
      <c r="N1655" s="16">
        <f t="shared" si="128"/>
        <v>0.59128407460545196</v>
      </c>
      <c r="O1655" s="16"/>
      <c r="P1655" s="16"/>
      <c r="Q1655" s="16">
        <f t="shared" si="129"/>
        <v>0.23084933707588698</v>
      </c>
    </row>
    <row r="1656" spans="4:17" ht="15" thickBot="1" x14ac:dyDescent="0.35">
      <c r="D1656" s="20">
        <f t="shared" si="125"/>
        <v>1650</v>
      </c>
      <c r="E1656" s="20">
        <f t="shared" si="126"/>
        <v>650</v>
      </c>
      <c r="F1656" s="20">
        <f t="shared" si="127"/>
        <v>3150</v>
      </c>
      <c r="G1656" s="20">
        <v>0.3701137297252281</v>
      </c>
      <c r="H1656" s="50"/>
      <c r="I1656" s="16"/>
      <c r="J1656" s="16"/>
      <c r="K1656" s="16"/>
      <c r="L1656" s="16"/>
      <c r="M1656" s="16">
        <v>1650</v>
      </c>
      <c r="N1656" s="16">
        <f t="shared" si="128"/>
        <v>0.59164275466284078</v>
      </c>
      <c r="O1656" s="16"/>
      <c r="P1656" s="16"/>
      <c r="Q1656" s="16">
        <f t="shared" si="129"/>
        <v>0.23177279178628971</v>
      </c>
    </row>
    <row r="1657" spans="4:17" ht="15" thickBot="1" x14ac:dyDescent="0.35">
      <c r="D1657" s="20">
        <f t="shared" si="125"/>
        <v>1651</v>
      </c>
      <c r="E1657" s="20">
        <f t="shared" si="126"/>
        <v>750</v>
      </c>
      <c r="F1657" s="20">
        <f t="shared" si="127"/>
        <v>3150</v>
      </c>
      <c r="G1657" s="20">
        <v>0.3702483034330229</v>
      </c>
      <c r="H1657" s="50"/>
      <c r="I1657" s="16"/>
      <c r="J1657" s="16"/>
      <c r="K1657" s="16"/>
      <c r="L1657" s="16"/>
      <c r="M1657" s="16">
        <v>1651</v>
      </c>
      <c r="N1657" s="16">
        <f t="shared" si="128"/>
        <v>0.59200143472022959</v>
      </c>
      <c r="O1657" s="16"/>
      <c r="P1657" s="16"/>
      <c r="Q1657" s="16">
        <f t="shared" si="129"/>
        <v>0.23269644418760707</v>
      </c>
    </row>
    <row r="1658" spans="4:17" ht="15" thickBot="1" x14ac:dyDescent="0.35">
      <c r="D1658" s="20">
        <f t="shared" si="125"/>
        <v>1652</v>
      </c>
      <c r="E1658" s="20">
        <f t="shared" si="126"/>
        <v>850</v>
      </c>
      <c r="F1658" s="20">
        <f t="shared" si="127"/>
        <v>3150</v>
      </c>
      <c r="G1658" s="20">
        <v>0.37028166024253673</v>
      </c>
      <c r="H1658" s="50"/>
      <c r="I1658" s="16"/>
      <c r="J1658" s="16"/>
      <c r="K1658" s="16"/>
      <c r="L1658" s="16"/>
      <c r="M1658" s="16">
        <v>1652</v>
      </c>
      <c r="N1658" s="16">
        <f t="shared" si="128"/>
        <v>0.59236011477761841</v>
      </c>
      <c r="O1658" s="16"/>
      <c r="P1658" s="16"/>
      <c r="Q1658" s="16">
        <f t="shared" si="129"/>
        <v>0.23362029515283711</v>
      </c>
    </row>
    <row r="1659" spans="4:17" ht="15" thickBot="1" x14ac:dyDescent="0.35">
      <c r="D1659" s="20">
        <f t="shared" si="125"/>
        <v>1653</v>
      </c>
      <c r="E1659" s="20">
        <f t="shared" si="126"/>
        <v>950</v>
      </c>
      <c r="F1659" s="20">
        <f t="shared" si="127"/>
        <v>3150</v>
      </c>
      <c r="G1659" s="20">
        <v>0.3704290884793609</v>
      </c>
      <c r="H1659" s="50"/>
      <c r="I1659" s="16"/>
      <c r="J1659" s="16"/>
      <c r="K1659" s="16"/>
      <c r="L1659" s="16"/>
      <c r="M1659" s="16">
        <v>1653</v>
      </c>
      <c r="N1659" s="16">
        <f t="shared" si="128"/>
        <v>0.59271879483500722</v>
      </c>
      <c r="O1659" s="16"/>
      <c r="P1659" s="16"/>
      <c r="Q1659" s="16">
        <f t="shared" si="129"/>
        <v>0.23454434555621873</v>
      </c>
    </row>
    <row r="1660" spans="4:17" ht="15" thickBot="1" x14ac:dyDescent="0.35">
      <c r="D1660" s="20">
        <f t="shared" si="125"/>
        <v>1654</v>
      </c>
      <c r="E1660" s="20">
        <f t="shared" si="126"/>
        <v>1050</v>
      </c>
      <c r="F1660" s="20">
        <f t="shared" si="127"/>
        <v>3150</v>
      </c>
      <c r="G1660" s="20">
        <v>0.37043468218479236</v>
      </c>
      <c r="H1660" s="50"/>
      <c r="I1660" s="16"/>
      <c r="J1660" s="16"/>
      <c r="K1660" s="16"/>
      <c r="L1660" s="16"/>
      <c r="M1660" s="16">
        <v>1654</v>
      </c>
      <c r="N1660" s="16">
        <f t="shared" si="128"/>
        <v>0.59307747489239593</v>
      </c>
      <c r="O1660" s="16"/>
      <c r="P1660" s="16"/>
      <c r="Q1660" s="16">
        <f t="shared" si="129"/>
        <v>0.23546859627323824</v>
      </c>
    </row>
    <row r="1661" spans="4:17" ht="15" thickBot="1" x14ac:dyDescent="0.35">
      <c r="D1661" s="20">
        <f t="shared" si="125"/>
        <v>1655</v>
      </c>
      <c r="E1661" s="20">
        <f t="shared" si="126"/>
        <v>1150</v>
      </c>
      <c r="F1661" s="20">
        <f t="shared" si="127"/>
        <v>3150</v>
      </c>
      <c r="G1661" s="20">
        <v>0.37047844067124519</v>
      </c>
      <c r="H1661" s="50"/>
      <c r="I1661" s="16"/>
      <c r="J1661" s="16"/>
      <c r="K1661" s="16"/>
      <c r="L1661" s="16"/>
      <c r="M1661" s="16">
        <v>1655</v>
      </c>
      <c r="N1661" s="16">
        <f t="shared" si="128"/>
        <v>0.59343615494978474</v>
      </c>
      <c r="O1661" s="16"/>
      <c r="P1661" s="16"/>
      <c r="Q1661" s="16">
        <f t="shared" si="129"/>
        <v>0.23639304818063683</v>
      </c>
    </row>
    <row r="1662" spans="4:17" ht="15" thickBot="1" x14ac:dyDescent="0.35">
      <c r="D1662" s="20">
        <f t="shared" si="125"/>
        <v>1656</v>
      </c>
      <c r="E1662" s="48">
        <f t="shared" si="126"/>
        <v>1250</v>
      </c>
      <c r="F1662" s="48">
        <f t="shared" si="127"/>
        <v>3150</v>
      </c>
      <c r="G1662" s="20">
        <v>0.37049761954809646</v>
      </c>
      <c r="H1662" s="50"/>
      <c r="I1662" s="16"/>
      <c r="J1662" s="16"/>
      <c r="K1662" s="16"/>
      <c r="L1662" s="16"/>
      <c r="M1662" s="16">
        <v>1656</v>
      </c>
      <c r="N1662" s="16">
        <f t="shared" si="128"/>
        <v>0.59379483500717356</v>
      </c>
      <c r="O1662" s="16"/>
      <c r="P1662" s="16"/>
      <c r="Q1662" s="16">
        <f t="shared" si="129"/>
        <v>0.23731770215641532</v>
      </c>
    </row>
    <row r="1663" spans="4:17" ht="15" thickBot="1" x14ac:dyDescent="0.35">
      <c r="D1663" s="20">
        <f t="shared" si="125"/>
        <v>1657</v>
      </c>
      <c r="E1663" s="20">
        <f t="shared" si="126"/>
        <v>1350</v>
      </c>
      <c r="F1663" s="20">
        <f t="shared" si="127"/>
        <v>3150</v>
      </c>
      <c r="G1663" s="20">
        <v>0.37066116902285579</v>
      </c>
      <c r="H1663" s="50"/>
      <c r="I1663" s="16"/>
      <c r="J1663" s="16"/>
      <c r="K1663" s="16"/>
      <c r="L1663" s="16"/>
      <c r="M1663" s="16">
        <v>1657</v>
      </c>
      <c r="N1663" s="16">
        <f t="shared" si="128"/>
        <v>0.59415351506456238</v>
      </c>
      <c r="O1663" s="16"/>
      <c r="P1663" s="16"/>
      <c r="Q1663" s="16">
        <f t="shared" si="129"/>
        <v>0.23824255907984185</v>
      </c>
    </row>
    <row r="1664" spans="4:17" ht="15" thickBot="1" x14ac:dyDescent="0.35">
      <c r="D1664" s="20">
        <f t="shared" si="125"/>
        <v>1658</v>
      </c>
      <c r="E1664" s="20">
        <f t="shared" si="126"/>
        <v>1450</v>
      </c>
      <c r="F1664" s="20">
        <f t="shared" si="127"/>
        <v>3150</v>
      </c>
      <c r="G1664" s="20">
        <v>0.37069524265546944</v>
      </c>
      <c r="H1664" s="50"/>
      <c r="I1664" s="16"/>
      <c r="J1664" s="16"/>
      <c r="K1664" s="16"/>
      <c r="L1664" s="16"/>
      <c r="M1664" s="16">
        <v>1658</v>
      </c>
      <c r="N1664" s="16">
        <f t="shared" si="128"/>
        <v>0.59451219512195119</v>
      </c>
      <c r="O1664" s="16"/>
      <c r="P1664" s="16"/>
      <c r="Q1664" s="16">
        <f t="shared" si="129"/>
        <v>0.23916761983145798</v>
      </c>
    </row>
    <row r="1665" spans="4:17" ht="15" thickBot="1" x14ac:dyDescent="0.35">
      <c r="D1665" s="20">
        <f t="shared" si="125"/>
        <v>1659</v>
      </c>
      <c r="E1665" s="20">
        <f t="shared" si="126"/>
        <v>1550</v>
      </c>
      <c r="F1665" s="20">
        <f t="shared" si="127"/>
        <v>3150</v>
      </c>
      <c r="G1665" s="20">
        <v>0.37070819564535407</v>
      </c>
      <c r="H1665" s="50"/>
      <c r="I1665" s="16"/>
      <c r="J1665" s="16"/>
      <c r="K1665" s="16"/>
      <c r="L1665" s="16"/>
      <c r="M1665" s="16">
        <v>1659</v>
      </c>
      <c r="N1665" s="16">
        <f t="shared" si="128"/>
        <v>0.59487087517934001</v>
      </c>
      <c r="O1665" s="16"/>
      <c r="P1665" s="16"/>
      <c r="Q1665" s="16">
        <f t="shared" si="129"/>
        <v>0.24009288529308548</v>
      </c>
    </row>
    <row r="1666" spans="4:17" ht="15" thickBot="1" x14ac:dyDescent="0.35">
      <c r="D1666" s="20">
        <f t="shared" si="125"/>
        <v>1660</v>
      </c>
      <c r="E1666" s="20">
        <f t="shared" si="126"/>
        <v>1650</v>
      </c>
      <c r="F1666" s="20">
        <f t="shared" si="127"/>
        <v>3150</v>
      </c>
      <c r="G1666" s="20">
        <v>0.37085836362185831</v>
      </c>
      <c r="H1666" s="50"/>
      <c r="I1666" s="16"/>
      <c r="J1666" s="16"/>
      <c r="K1666" s="16"/>
      <c r="L1666" s="16"/>
      <c r="M1666" s="16">
        <v>1660</v>
      </c>
      <c r="N1666" s="16">
        <f t="shared" si="128"/>
        <v>0.59522955523672882</v>
      </c>
      <c r="O1666" s="16"/>
      <c r="P1666" s="16"/>
      <c r="Q1666" s="16">
        <f t="shared" si="129"/>
        <v>0.24101835634783284</v>
      </c>
    </row>
    <row r="1667" spans="4:17" ht="15" thickBot="1" x14ac:dyDescent="0.35">
      <c r="D1667" s="20">
        <f t="shared" si="125"/>
        <v>1661</v>
      </c>
      <c r="E1667" s="20">
        <f t="shared" si="126"/>
        <v>1750</v>
      </c>
      <c r="F1667" s="20">
        <f t="shared" si="127"/>
        <v>3150</v>
      </c>
      <c r="G1667" s="20">
        <v>0.37110857843257133</v>
      </c>
      <c r="H1667" s="50"/>
      <c r="I1667" s="16"/>
      <c r="J1667" s="16"/>
      <c r="K1667" s="16"/>
      <c r="L1667" s="16"/>
      <c r="M1667" s="16">
        <v>1661</v>
      </c>
      <c r="N1667" s="16">
        <f t="shared" si="128"/>
        <v>0.59558823529411764</v>
      </c>
      <c r="O1667" s="16"/>
      <c r="P1667" s="16"/>
      <c r="Q1667" s="16">
        <f t="shared" si="129"/>
        <v>0.24194403388010158</v>
      </c>
    </row>
    <row r="1668" spans="4:17" ht="15" thickBot="1" x14ac:dyDescent="0.35">
      <c r="D1668" s="20">
        <f t="shared" si="125"/>
        <v>1662</v>
      </c>
      <c r="E1668" s="20">
        <f t="shared" si="126"/>
        <v>1850</v>
      </c>
      <c r="F1668" s="20">
        <f t="shared" si="127"/>
        <v>3150</v>
      </c>
      <c r="G1668" s="20">
        <v>0.37115942988719697</v>
      </c>
      <c r="H1668" s="50"/>
      <c r="I1668" s="16"/>
      <c r="J1668" s="16"/>
      <c r="K1668" s="16"/>
      <c r="L1668" s="16"/>
      <c r="M1668" s="16">
        <v>1662</v>
      </c>
      <c r="N1668" s="16">
        <f t="shared" si="128"/>
        <v>0.59594691535150646</v>
      </c>
      <c r="O1668" s="16"/>
      <c r="P1668" s="16"/>
      <c r="Q1668" s="16">
        <f t="shared" si="129"/>
        <v>0.24286991877559316</v>
      </c>
    </row>
    <row r="1669" spans="4:17" ht="15" thickBot="1" x14ac:dyDescent="0.35">
      <c r="D1669" s="20">
        <f t="shared" si="125"/>
        <v>1663</v>
      </c>
      <c r="E1669" s="20">
        <f t="shared" si="126"/>
        <v>1950</v>
      </c>
      <c r="F1669" s="20">
        <f t="shared" si="127"/>
        <v>3150</v>
      </c>
      <c r="G1669" s="20">
        <v>0.37118196457980834</v>
      </c>
      <c r="H1669" s="50"/>
      <c r="I1669" s="16"/>
      <c r="J1669" s="16"/>
      <c r="K1669" s="16"/>
      <c r="L1669" s="16"/>
      <c r="M1669" s="16">
        <v>1663</v>
      </c>
      <c r="N1669" s="16">
        <f t="shared" si="128"/>
        <v>0.59630559540889527</v>
      </c>
      <c r="O1669" s="16"/>
      <c r="P1669" s="16"/>
      <c r="Q1669" s="16">
        <f t="shared" si="129"/>
        <v>0.24379601192131575</v>
      </c>
    </row>
    <row r="1670" spans="4:17" ht="15" thickBot="1" x14ac:dyDescent="0.35">
      <c r="D1670" s="20">
        <f t="shared" si="125"/>
        <v>1664</v>
      </c>
      <c r="E1670" s="48">
        <f t="shared" si="126"/>
        <v>2050</v>
      </c>
      <c r="F1670" s="48">
        <f t="shared" si="127"/>
        <v>3150</v>
      </c>
      <c r="G1670" s="20">
        <v>0.3713221078896643</v>
      </c>
      <c r="H1670" s="50"/>
      <c r="I1670" s="16"/>
      <c r="J1670" s="16"/>
      <c r="K1670" s="16"/>
      <c r="L1670" s="16"/>
      <c r="M1670" s="16">
        <v>1664</v>
      </c>
      <c r="N1670" s="16">
        <f t="shared" si="128"/>
        <v>0.59666427546628409</v>
      </c>
      <c r="O1670" s="16"/>
      <c r="P1670" s="16"/>
      <c r="Q1670" s="16">
        <f t="shared" si="129"/>
        <v>0.24472231420559035</v>
      </c>
    </row>
    <row r="1671" spans="4:17" ht="15" thickBot="1" x14ac:dyDescent="0.35">
      <c r="D1671" s="20">
        <f t="shared" ref="D1671:D1734" si="130">ROW()-6</f>
        <v>1665</v>
      </c>
      <c r="E1671" s="20">
        <f t="shared" ref="E1671:E1734" si="131">(MOD(D1671-1,53)*100)+50</f>
        <v>2150</v>
      </c>
      <c r="F1671" s="20">
        <f t="shared" ref="F1671:F1734" si="132">FLOOR((D1671-1)/53,1)*100+50</f>
        <v>3150</v>
      </c>
      <c r="G1671" s="20">
        <v>0.37132424885468435</v>
      </c>
      <c r="H1671" s="50"/>
      <c r="I1671" s="16"/>
      <c r="J1671" s="16"/>
      <c r="K1671" s="16"/>
      <c r="L1671" s="16"/>
      <c r="M1671" s="16">
        <v>1665</v>
      </c>
      <c r="N1671" s="16">
        <f t="shared" si="128"/>
        <v>0.5970229555236729</v>
      </c>
      <c r="O1671" s="16"/>
      <c r="P1671" s="16"/>
      <c r="Q1671" s="16">
        <f t="shared" si="129"/>
        <v>0.24564882651805803</v>
      </c>
    </row>
    <row r="1672" spans="4:17" ht="15" thickBot="1" x14ac:dyDescent="0.35">
      <c r="D1672" s="20">
        <f t="shared" si="130"/>
        <v>1666</v>
      </c>
      <c r="E1672" s="20">
        <f t="shared" si="131"/>
        <v>2250</v>
      </c>
      <c r="F1672" s="20">
        <f t="shared" si="132"/>
        <v>3150</v>
      </c>
      <c r="G1672" s="20">
        <v>0.37133108295102102</v>
      </c>
      <c r="H1672" s="50"/>
      <c r="I1672" s="16"/>
      <c r="J1672" s="16"/>
      <c r="K1672" s="16"/>
      <c r="L1672" s="16"/>
      <c r="M1672" s="16">
        <v>1666</v>
      </c>
      <c r="N1672" s="16">
        <f t="shared" ref="N1672:N1735" si="133">(M1672-0.5)/$L$7</f>
        <v>0.59738163558106172</v>
      </c>
      <c r="O1672" s="16"/>
      <c r="P1672" s="16"/>
      <c r="Q1672" s="16">
        <f t="shared" ref="Q1672:Q1735" si="134">_xlfn.NORM.S.INV(N1672)</f>
        <v>0.24657554974968629</v>
      </c>
    </row>
    <row r="1673" spans="4:17" ht="15" thickBot="1" x14ac:dyDescent="0.35">
      <c r="D1673" s="20">
        <f t="shared" si="130"/>
        <v>1667</v>
      </c>
      <c r="E1673" s="20">
        <f t="shared" si="131"/>
        <v>2350</v>
      </c>
      <c r="F1673" s="20">
        <f t="shared" si="132"/>
        <v>3150</v>
      </c>
      <c r="G1673" s="20">
        <v>0.37133135912699827</v>
      </c>
      <c r="H1673" s="50"/>
      <c r="I1673" s="16"/>
      <c r="J1673" s="16"/>
      <c r="K1673" s="16"/>
      <c r="L1673" s="16"/>
      <c r="M1673" s="16">
        <v>1667</v>
      </c>
      <c r="N1673" s="16">
        <f t="shared" si="133"/>
        <v>0.59774031563845054</v>
      </c>
      <c r="O1673" s="16"/>
      <c r="P1673" s="16"/>
      <c r="Q1673" s="16">
        <f t="shared" si="134"/>
        <v>0.24750248479277598</v>
      </c>
    </row>
    <row r="1674" spans="4:17" ht="15" thickBot="1" x14ac:dyDescent="0.35">
      <c r="D1674" s="20">
        <f t="shared" si="130"/>
        <v>1668</v>
      </c>
      <c r="E1674" s="20">
        <f t="shared" si="131"/>
        <v>2450</v>
      </c>
      <c r="F1674" s="20">
        <f t="shared" si="132"/>
        <v>3150</v>
      </c>
      <c r="G1674" s="20">
        <v>0.371335040981016</v>
      </c>
      <c r="H1674" s="50"/>
      <c r="I1674" s="16"/>
      <c r="J1674" s="16"/>
      <c r="K1674" s="16"/>
      <c r="L1674" s="16"/>
      <c r="M1674" s="16">
        <v>1668</v>
      </c>
      <c r="N1674" s="16">
        <f t="shared" si="133"/>
        <v>0.59809899569583935</v>
      </c>
      <c r="O1674" s="16"/>
      <c r="P1674" s="16"/>
      <c r="Q1674" s="16">
        <f t="shared" si="134"/>
        <v>0.24842963254096781</v>
      </c>
    </row>
    <row r="1675" spans="4:17" ht="15" thickBot="1" x14ac:dyDescent="0.35">
      <c r="D1675" s="20">
        <f t="shared" si="130"/>
        <v>1669</v>
      </c>
      <c r="E1675" s="20">
        <f t="shared" si="131"/>
        <v>2550</v>
      </c>
      <c r="F1675" s="20">
        <f t="shared" si="132"/>
        <v>3150</v>
      </c>
      <c r="G1675" s="20">
        <v>0.37142456092268422</v>
      </c>
      <c r="H1675" s="50"/>
      <c r="I1675" s="16"/>
      <c r="J1675" s="16"/>
      <c r="K1675" s="16"/>
      <c r="L1675" s="16"/>
      <c r="M1675" s="16">
        <v>1669</v>
      </c>
      <c r="N1675" s="16">
        <f t="shared" si="133"/>
        <v>0.59845767575322817</v>
      </c>
      <c r="O1675" s="16"/>
      <c r="P1675" s="16"/>
      <c r="Q1675" s="16">
        <f t="shared" si="134"/>
        <v>0.24935699388924953</v>
      </c>
    </row>
    <row r="1676" spans="4:17" ht="15" thickBot="1" x14ac:dyDescent="0.35">
      <c r="D1676" s="20">
        <f t="shared" si="130"/>
        <v>1670</v>
      </c>
      <c r="E1676" s="20">
        <f t="shared" si="131"/>
        <v>2650</v>
      </c>
      <c r="F1676" s="20">
        <f t="shared" si="132"/>
        <v>3150</v>
      </c>
      <c r="G1676" s="20">
        <v>0.37153713935332422</v>
      </c>
      <c r="H1676" s="50"/>
      <c r="I1676" s="16"/>
      <c r="J1676" s="16"/>
      <c r="K1676" s="16"/>
      <c r="L1676" s="16"/>
      <c r="M1676" s="16">
        <v>1670</v>
      </c>
      <c r="N1676" s="16">
        <f t="shared" si="133"/>
        <v>0.59881635581061698</v>
      </c>
      <c r="O1676" s="16"/>
      <c r="P1676" s="16"/>
      <c r="Q1676" s="16">
        <f t="shared" si="134"/>
        <v>0.25028456973396224</v>
      </c>
    </row>
    <row r="1677" spans="4:17" ht="15" thickBot="1" x14ac:dyDescent="0.35">
      <c r="D1677" s="20">
        <f t="shared" si="130"/>
        <v>1671</v>
      </c>
      <c r="E1677" s="20">
        <f t="shared" si="131"/>
        <v>2750</v>
      </c>
      <c r="F1677" s="20">
        <f t="shared" si="132"/>
        <v>3150</v>
      </c>
      <c r="G1677" s="20">
        <v>0.37154005511706423</v>
      </c>
      <c r="H1677" s="50"/>
      <c r="I1677" s="16"/>
      <c r="J1677" s="16"/>
      <c r="K1677" s="16"/>
      <c r="L1677" s="16"/>
      <c r="M1677" s="16">
        <v>1671</v>
      </c>
      <c r="N1677" s="16">
        <f t="shared" si="133"/>
        <v>0.59917503586800569</v>
      </c>
      <c r="O1677" s="16"/>
      <c r="P1677" s="16"/>
      <c r="Q1677" s="16">
        <f t="shared" si="134"/>
        <v>0.25121236097280725</v>
      </c>
    </row>
    <row r="1678" spans="4:17" ht="15" thickBot="1" x14ac:dyDescent="0.35">
      <c r="D1678" s="20">
        <f t="shared" si="130"/>
        <v>1672</v>
      </c>
      <c r="E1678" s="20">
        <f t="shared" si="131"/>
        <v>2850</v>
      </c>
      <c r="F1678" s="20">
        <f t="shared" si="132"/>
        <v>3150</v>
      </c>
      <c r="G1678" s="20">
        <v>0.3717117657673043</v>
      </c>
      <c r="H1678" s="50"/>
      <c r="I1678" s="16"/>
      <c r="J1678" s="16"/>
      <c r="K1678" s="16"/>
      <c r="L1678" s="16"/>
      <c r="M1678" s="16">
        <v>1672</v>
      </c>
      <c r="N1678" s="16">
        <f t="shared" si="133"/>
        <v>0.59953371592539451</v>
      </c>
      <c r="O1678" s="16"/>
      <c r="P1678" s="16"/>
      <c r="Q1678" s="16">
        <f t="shared" si="134"/>
        <v>0.25214036850485405</v>
      </c>
    </row>
    <row r="1679" spans="4:17" ht="15" thickBot="1" x14ac:dyDescent="0.35">
      <c r="D1679" s="20">
        <f t="shared" si="130"/>
        <v>1673</v>
      </c>
      <c r="E1679" s="20">
        <f t="shared" si="131"/>
        <v>2950</v>
      </c>
      <c r="F1679" s="20">
        <f t="shared" si="132"/>
        <v>3150</v>
      </c>
      <c r="G1679" s="20">
        <v>0.37174521473050887</v>
      </c>
      <c r="H1679" s="50"/>
      <c r="I1679" s="16"/>
      <c r="J1679" s="16"/>
      <c r="K1679" s="16"/>
      <c r="L1679" s="16"/>
      <c r="M1679" s="16">
        <v>1673</v>
      </c>
      <c r="N1679" s="16">
        <f t="shared" si="133"/>
        <v>0.59989239598278332</v>
      </c>
      <c r="O1679" s="16"/>
      <c r="P1679" s="16"/>
      <c r="Q1679" s="16">
        <f t="shared" si="134"/>
        <v>0.25306859323054531</v>
      </c>
    </row>
    <row r="1680" spans="4:17" ht="15" thickBot="1" x14ac:dyDescent="0.35">
      <c r="D1680" s="20">
        <f t="shared" si="130"/>
        <v>1674</v>
      </c>
      <c r="E1680" s="20">
        <f t="shared" si="131"/>
        <v>3050</v>
      </c>
      <c r="F1680" s="20">
        <f t="shared" si="132"/>
        <v>3150</v>
      </c>
      <c r="G1680" s="20">
        <v>0.37180606301200547</v>
      </c>
      <c r="H1680" s="50"/>
      <c r="I1680" s="16"/>
      <c r="J1680" s="16"/>
      <c r="K1680" s="16"/>
      <c r="L1680" s="16"/>
      <c r="M1680" s="16">
        <v>1674</v>
      </c>
      <c r="N1680" s="16">
        <f t="shared" si="133"/>
        <v>0.60025107604017214</v>
      </c>
      <c r="O1680" s="16"/>
      <c r="P1680" s="16"/>
      <c r="Q1680" s="16">
        <f t="shared" si="134"/>
        <v>0.25399703605170487</v>
      </c>
    </row>
    <row r="1681" spans="4:17" ht="15" thickBot="1" x14ac:dyDescent="0.35">
      <c r="D1681" s="20">
        <f t="shared" si="130"/>
        <v>1675</v>
      </c>
      <c r="E1681" s="20">
        <f t="shared" si="131"/>
        <v>3150</v>
      </c>
      <c r="F1681" s="20">
        <f t="shared" si="132"/>
        <v>3150</v>
      </c>
      <c r="G1681" s="20">
        <v>0.37204908703641221</v>
      </c>
      <c r="H1681" s="50"/>
      <c r="I1681" s="16"/>
      <c r="J1681" s="16"/>
      <c r="K1681" s="16"/>
      <c r="L1681" s="16"/>
      <c r="M1681" s="16">
        <v>1675</v>
      </c>
      <c r="N1681" s="16">
        <f t="shared" si="133"/>
        <v>0.60060975609756095</v>
      </c>
      <c r="O1681" s="16"/>
      <c r="P1681" s="16"/>
      <c r="Q1681" s="16">
        <f t="shared" si="134"/>
        <v>0.25492569787154473</v>
      </c>
    </row>
    <row r="1682" spans="4:17" ht="15" thickBot="1" x14ac:dyDescent="0.35">
      <c r="D1682" s="20">
        <f t="shared" si="130"/>
        <v>1676</v>
      </c>
      <c r="E1682" s="20">
        <f t="shared" si="131"/>
        <v>3250</v>
      </c>
      <c r="F1682" s="20">
        <f t="shared" si="132"/>
        <v>3150</v>
      </c>
      <c r="G1682" s="20">
        <v>0.37205517468908711</v>
      </c>
      <c r="H1682" s="50"/>
      <c r="I1682" s="16"/>
      <c r="J1682" s="16"/>
      <c r="K1682" s="16"/>
      <c r="L1682" s="16"/>
      <c r="M1682" s="16">
        <v>1676</v>
      </c>
      <c r="N1682" s="16">
        <f t="shared" si="133"/>
        <v>0.60096843615494977</v>
      </c>
      <c r="O1682" s="16"/>
      <c r="P1682" s="16"/>
      <c r="Q1682" s="16">
        <f t="shared" si="134"/>
        <v>0.25585457959467156</v>
      </c>
    </row>
    <row r="1683" spans="4:17" ht="15" thickBot="1" x14ac:dyDescent="0.35">
      <c r="D1683" s="20">
        <f t="shared" si="130"/>
        <v>1677</v>
      </c>
      <c r="E1683" s="20">
        <f t="shared" si="131"/>
        <v>3350</v>
      </c>
      <c r="F1683" s="20">
        <f t="shared" si="132"/>
        <v>3150</v>
      </c>
      <c r="G1683" s="20">
        <v>0.37224745143526122</v>
      </c>
      <c r="H1683" s="50"/>
      <c r="I1683" s="16"/>
      <c r="J1683" s="16"/>
      <c r="K1683" s="16"/>
      <c r="L1683" s="16"/>
      <c r="M1683" s="16">
        <v>1677</v>
      </c>
      <c r="N1683" s="16">
        <f t="shared" si="133"/>
        <v>0.60132711621233859</v>
      </c>
      <c r="O1683" s="16"/>
      <c r="P1683" s="16"/>
      <c r="Q1683" s="16">
        <f t="shared" si="134"/>
        <v>0.25678368212709396</v>
      </c>
    </row>
    <row r="1684" spans="4:17" ht="15" thickBot="1" x14ac:dyDescent="0.35">
      <c r="D1684" s="20">
        <f t="shared" si="130"/>
        <v>1678</v>
      </c>
      <c r="E1684" s="20">
        <f t="shared" si="131"/>
        <v>3450</v>
      </c>
      <c r="F1684" s="20">
        <f t="shared" si="132"/>
        <v>3150</v>
      </c>
      <c r="G1684" s="20">
        <v>0.37231068264364436</v>
      </c>
      <c r="H1684" s="50"/>
      <c r="I1684" s="16"/>
      <c r="J1684" s="16"/>
      <c r="K1684" s="16"/>
      <c r="L1684" s="16"/>
      <c r="M1684" s="16">
        <v>1678</v>
      </c>
      <c r="N1684" s="16">
        <f t="shared" si="133"/>
        <v>0.6016857962697274</v>
      </c>
      <c r="O1684" s="16"/>
      <c r="P1684" s="16"/>
      <c r="Q1684" s="16">
        <f t="shared" si="134"/>
        <v>0.25771300637622913</v>
      </c>
    </row>
    <row r="1685" spans="4:17" ht="15" thickBot="1" x14ac:dyDescent="0.35">
      <c r="D1685" s="20">
        <f t="shared" si="130"/>
        <v>1679</v>
      </c>
      <c r="E1685" s="20">
        <f t="shared" si="131"/>
        <v>3550</v>
      </c>
      <c r="F1685" s="20">
        <f t="shared" si="132"/>
        <v>3150</v>
      </c>
      <c r="G1685" s="20">
        <v>0.3723656384255799</v>
      </c>
      <c r="H1685" s="50"/>
      <c r="I1685" s="16"/>
      <c r="J1685" s="16"/>
      <c r="K1685" s="16"/>
      <c r="L1685" s="16"/>
      <c r="M1685" s="16">
        <v>1679</v>
      </c>
      <c r="N1685" s="16">
        <f t="shared" si="133"/>
        <v>0.60204447632711622</v>
      </c>
      <c r="O1685" s="16"/>
      <c r="P1685" s="16"/>
      <c r="Q1685" s="16">
        <f t="shared" si="134"/>
        <v>0.25864255325091035</v>
      </c>
    </row>
    <row r="1686" spans="4:17" ht="15" thickBot="1" x14ac:dyDescent="0.35">
      <c r="D1686" s="20">
        <f t="shared" si="130"/>
        <v>1680</v>
      </c>
      <c r="E1686" s="20">
        <f t="shared" si="131"/>
        <v>3650</v>
      </c>
      <c r="F1686" s="20">
        <f t="shared" si="132"/>
        <v>3150</v>
      </c>
      <c r="G1686" s="20">
        <v>0.3725971399644864</v>
      </c>
      <c r="H1686" s="50"/>
      <c r="I1686" s="16"/>
      <c r="J1686" s="16"/>
      <c r="K1686" s="16"/>
      <c r="L1686" s="16"/>
      <c r="M1686" s="16">
        <v>1680</v>
      </c>
      <c r="N1686" s="16">
        <f t="shared" si="133"/>
        <v>0.60240315638450503</v>
      </c>
      <c r="O1686" s="16"/>
      <c r="P1686" s="16"/>
      <c r="Q1686" s="16">
        <f t="shared" si="134"/>
        <v>0.25957232366139366</v>
      </c>
    </row>
    <row r="1687" spans="4:17" ht="15" thickBot="1" x14ac:dyDescent="0.35">
      <c r="D1687" s="20">
        <f t="shared" si="130"/>
        <v>1681</v>
      </c>
      <c r="E1687" s="20">
        <f t="shared" si="131"/>
        <v>3750</v>
      </c>
      <c r="F1687" s="20">
        <f t="shared" si="132"/>
        <v>3150</v>
      </c>
      <c r="G1687" s="20">
        <v>0.37280538335676844</v>
      </c>
      <c r="H1687" s="50"/>
      <c r="I1687" s="16"/>
      <c r="J1687" s="16"/>
      <c r="K1687" s="16"/>
      <c r="L1687" s="16"/>
      <c r="M1687" s="16">
        <v>1681</v>
      </c>
      <c r="N1687" s="16">
        <f t="shared" si="133"/>
        <v>0.60276183644189385</v>
      </c>
      <c r="O1687" s="16"/>
      <c r="P1687" s="16"/>
      <c r="Q1687" s="16">
        <f t="shared" si="134"/>
        <v>0.26050231851936484</v>
      </c>
    </row>
    <row r="1688" spans="4:17" ht="15" thickBot="1" x14ac:dyDescent="0.35">
      <c r="D1688" s="20">
        <f t="shared" si="130"/>
        <v>1682</v>
      </c>
      <c r="E1688" s="20">
        <f t="shared" si="131"/>
        <v>3850</v>
      </c>
      <c r="F1688" s="20">
        <f t="shared" si="132"/>
        <v>3150</v>
      </c>
      <c r="G1688" s="20">
        <v>0.37292673106680935</v>
      </c>
      <c r="H1688" s="50"/>
      <c r="I1688" s="16"/>
      <c r="J1688" s="16"/>
      <c r="K1688" s="16"/>
      <c r="L1688" s="16"/>
      <c r="M1688" s="16">
        <v>1682</v>
      </c>
      <c r="N1688" s="16">
        <f t="shared" si="133"/>
        <v>0.60312051649928267</v>
      </c>
      <c r="O1688" s="16"/>
      <c r="P1688" s="16"/>
      <c r="Q1688" s="16">
        <f t="shared" si="134"/>
        <v>0.26143253873794686</v>
      </c>
    </row>
    <row r="1689" spans="4:17" ht="15" thickBot="1" x14ac:dyDescent="0.35">
      <c r="D1689" s="20">
        <f t="shared" si="130"/>
        <v>1683</v>
      </c>
      <c r="E1689" s="20">
        <f t="shared" si="131"/>
        <v>3950</v>
      </c>
      <c r="F1689" s="20">
        <f t="shared" si="132"/>
        <v>3150</v>
      </c>
      <c r="G1689" s="20">
        <v>0.37299962878431547</v>
      </c>
      <c r="H1689" s="50"/>
      <c r="I1689" s="16"/>
      <c r="J1689" s="16"/>
      <c r="K1689" s="16"/>
      <c r="L1689" s="16"/>
      <c r="M1689" s="16">
        <v>1683</v>
      </c>
      <c r="N1689" s="16">
        <f t="shared" si="133"/>
        <v>0.60347919655667148</v>
      </c>
      <c r="O1689" s="16"/>
      <c r="P1689" s="16"/>
      <c r="Q1689" s="16">
        <f t="shared" si="134"/>
        <v>0.2623629852317067</v>
      </c>
    </row>
    <row r="1690" spans="4:17" ht="15" thickBot="1" x14ac:dyDescent="0.35">
      <c r="D1690" s="20">
        <f t="shared" si="130"/>
        <v>1684</v>
      </c>
      <c r="E1690" s="20">
        <f t="shared" si="131"/>
        <v>4050</v>
      </c>
      <c r="F1690" s="20">
        <f t="shared" si="132"/>
        <v>3150</v>
      </c>
      <c r="G1690" s="20">
        <v>0.37306268215354382</v>
      </c>
      <c r="H1690" s="50"/>
      <c r="I1690" s="16"/>
      <c r="J1690" s="16"/>
      <c r="K1690" s="16"/>
      <c r="L1690" s="16"/>
      <c r="M1690" s="16">
        <v>1684</v>
      </c>
      <c r="N1690" s="16">
        <f t="shared" si="133"/>
        <v>0.6038378766140603</v>
      </c>
      <c r="O1690" s="16"/>
      <c r="P1690" s="16"/>
      <c r="Q1690" s="16">
        <f t="shared" si="134"/>
        <v>0.26329365891666257</v>
      </c>
    </row>
    <row r="1691" spans="4:17" ht="15" thickBot="1" x14ac:dyDescent="0.35">
      <c r="D1691" s="20">
        <f t="shared" si="130"/>
        <v>1685</v>
      </c>
      <c r="E1691" s="20">
        <f t="shared" si="131"/>
        <v>4150</v>
      </c>
      <c r="F1691" s="20">
        <f t="shared" si="132"/>
        <v>3150</v>
      </c>
      <c r="G1691" s="20">
        <v>0.37316552808992282</v>
      </c>
      <c r="H1691" s="50"/>
      <c r="I1691" s="16"/>
      <c r="J1691" s="16"/>
      <c r="K1691" s="16"/>
      <c r="L1691" s="16"/>
      <c r="M1691" s="16">
        <v>1685</v>
      </c>
      <c r="N1691" s="16">
        <f t="shared" si="133"/>
        <v>0.60419655667144911</v>
      </c>
      <c r="O1691" s="16"/>
      <c r="P1691" s="16"/>
      <c r="Q1691" s="16">
        <f t="shared" si="134"/>
        <v>0.26422456071029105</v>
      </c>
    </row>
    <row r="1692" spans="4:17" ht="15" thickBot="1" x14ac:dyDescent="0.35">
      <c r="D1692" s="20">
        <f t="shared" si="130"/>
        <v>1686</v>
      </c>
      <c r="E1692" s="20">
        <f t="shared" si="131"/>
        <v>4250</v>
      </c>
      <c r="F1692" s="20">
        <f t="shared" si="132"/>
        <v>3150</v>
      </c>
      <c r="G1692" s="20">
        <v>0.37316610109239134</v>
      </c>
      <c r="H1692" s="50"/>
      <c r="I1692" s="16"/>
      <c r="J1692" s="16"/>
      <c r="K1692" s="16"/>
      <c r="L1692" s="16"/>
      <c r="M1692" s="16">
        <v>1686</v>
      </c>
      <c r="N1692" s="16">
        <f t="shared" si="133"/>
        <v>0.60455523672883793</v>
      </c>
      <c r="O1692" s="16"/>
      <c r="P1692" s="16"/>
      <c r="Q1692" s="16">
        <f t="shared" si="134"/>
        <v>0.26515569153153451</v>
      </c>
    </row>
    <row r="1693" spans="4:17" ht="15" thickBot="1" x14ac:dyDescent="0.35">
      <c r="D1693" s="20">
        <f t="shared" si="130"/>
        <v>1687</v>
      </c>
      <c r="E1693" s="20">
        <f t="shared" si="131"/>
        <v>4350</v>
      </c>
      <c r="F1693" s="20">
        <f t="shared" si="132"/>
        <v>3150</v>
      </c>
      <c r="G1693" s="20">
        <v>0.37316757070057355</v>
      </c>
      <c r="H1693" s="50"/>
      <c r="I1693" s="16"/>
      <c r="J1693" s="16"/>
      <c r="K1693" s="16"/>
      <c r="L1693" s="16"/>
      <c r="M1693" s="16">
        <v>1687</v>
      </c>
      <c r="N1693" s="16">
        <f t="shared" si="133"/>
        <v>0.60491391678622664</v>
      </c>
      <c r="O1693" s="16"/>
      <c r="P1693" s="16"/>
      <c r="Q1693" s="16">
        <f t="shared" si="134"/>
        <v>0.26608705230080754</v>
      </c>
    </row>
    <row r="1694" spans="4:17" ht="15" thickBot="1" x14ac:dyDescent="0.35">
      <c r="D1694" s="20">
        <f t="shared" si="130"/>
        <v>1688</v>
      </c>
      <c r="E1694" s="20">
        <f t="shared" si="131"/>
        <v>4450</v>
      </c>
      <c r="F1694" s="20">
        <f t="shared" si="132"/>
        <v>3150</v>
      </c>
      <c r="G1694" s="20">
        <v>0.37325623234245087</v>
      </c>
      <c r="H1694" s="50"/>
      <c r="I1694" s="16"/>
      <c r="J1694" s="16"/>
      <c r="K1694" s="16"/>
      <c r="L1694" s="16"/>
      <c r="M1694" s="16">
        <v>1688</v>
      </c>
      <c r="N1694" s="16">
        <f t="shared" si="133"/>
        <v>0.60527259684361545</v>
      </c>
      <c r="O1694" s="16"/>
      <c r="P1694" s="16"/>
      <c r="Q1694" s="16">
        <f t="shared" si="134"/>
        <v>0.26701864394000585</v>
      </c>
    </row>
    <row r="1695" spans="4:17" ht="15" thickBot="1" x14ac:dyDescent="0.35">
      <c r="D1695" s="20">
        <f t="shared" si="130"/>
        <v>1689</v>
      </c>
      <c r="E1695" s="20">
        <f t="shared" si="131"/>
        <v>4550</v>
      </c>
      <c r="F1695" s="20">
        <f t="shared" si="132"/>
        <v>3150</v>
      </c>
      <c r="G1695" s="20">
        <v>0.3734163853371022</v>
      </c>
      <c r="H1695" s="50"/>
      <c r="I1695" s="16"/>
      <c r="J1695" s="16"/>
      <c r="K1695" s="16"/>
      <c r="L1695" s="16"/>
      <c r="M1695" s="16">
        <v>1689</v>
      </c>
      <c r="N1695" s="16">
        <f t="shared" si="133"/>
        <v>0.60563127690100427</v>
      </c>
      <c r="O1695" s="16"/>
      <c r="P1695" s="16"/>
      <c r="Q1695" s="16">
        <f t="shared" si="134"/>
        <v>0.26795046737251133</v>
      </c>
    </row>
    <row r="1696" spans="4:17" ht="15" thickBot="1" x14ac:dyDescent="0.35">
      <c r="D1696" s="20">
        <f t="shared" si="130"/>
        <v>1690</v>
      </c>
      <c r="E1696" s="20">
        <f t="shared" si="131"/>
        <v>4650</v>
      </c>
      <c r="F1696" s="20">
        <f t="shared" si="132"/>
        <v>3150</v>
      </c>
      <c r="G1696" s="20">
        <v>0.37350162529862602</v>
      </c>
      <c r="H1696" s="50"/>
      <c r="I1696" s="16"/>
      <c r="J1696" s="16"/>
      <c r="K1696" s="16"/>
      <c r="L1696" s="16"/>
      <c r="M1696" s="16">
        <v>1690</v>
      </c>
      <c r="N1696" s="16">
        <f t="shared" si="133"/>
        <v>0.60598995695839308</v>
      </c>
      <c r="O1696" s="16"/>
      <c r="P1696" s="16"/>
      <c r="Q1696" s="16">
        <f t="shared" si="134"/>
        <v>0.26888252352320108</v>
      </c>
    </row>
    <row r="1697" spans="4:17" ht="15" thickBot="1" x14ac:dyDescent="0.35">
      <c r="D1697" s="20">
        <f t="shared" si="130"/>
        <v>1691</v>
      </c>
      <c r="E1697" s="20">
        <f t="shared" si="131"/>
        <v>4750</v>
      </c>
      <c r="F1697" s="20">
        <f t="shared" si="132"/>
        <v>3150</v>
      </c>
      <c r="G1697" s="20">
        <v>0.37357046659903781</v>
      </c>
      <c r="H1697" s="50"/>
      <c r="I1697" s="16"/>
      <c r="J1697" s="16"/>
      <c r="K1697" s="16"/>
      <c r="L1697" s="16"/>
      <c r="M1697" s="16">
        <v>1691</v>
      </c>
      <c r="N1697" s="16">
        <f t="shared" si="133"/>
        <v>0.6063486370157819</v>
      </c>
      <c r="O1697" s="16"/>
      <c r="P1697" s="16"/>
      <c r="Q1697" s="16">
        <f t="shared" si="134"/>
        <v>0.26981481331845375</v>
      </c>
    </row>
    <row r="1698" spans="4:17" ht="15" thickBot="1" x14ac:dyDescent="0.35">
      <c r="D1698" s="20">
        <f t="shared" si="130"/>
        <v>1692</v>
      </c>
      <c r="E1698" s="20">
        <f t="shared" si="131"/>
        <v>4850</v>
      </c>
      <c r="F1698" s="20">
        <f t="shared" si="132"/>
        <v>3150</v>
      </c>
      <c r="G1698" s="20">
        <v>0.37360159358890099</v>
      </c>
      <c r="H1698" s="50"/>
      <c r="I1698" s="16"/>
      <c r="J1698" s="16"/>
      <c r="K1698" s="16"/>
      <c r="L1698" s="16"/>
      <c r="M1698" s="16">
        <v>1692</v>
      </c>
      <c r="N1698" s="16">
        <f t="shared" si="133"/>
        <v>0.60670731707317072</v>
      </c>
      <c r="O1698" s="16"/>
      <c r="P1698" s="16"/>
      <c r="Q1698" s="16">
        <f t="shared" si="134"/>
        <v>0.27074733768615755</v>
      </c>
    </row>
    <row r="1699" spans="4:17" ht="15" thickBot="1" x14ac:dyDescent="0.35">
      <c r="D1699" s="20">
        <f t="shared" si="130"/>
        <v>1693</v>
      </c>
      <c r="E1699" s="20">
        <f t="shared" si="131"/>
        <v>4950</v>
      </c>
      <c r="F1699" s="20">
        <f t="shared" si="132"/>
        <v>3150</v>
      </c>
      <c r="G1699" s="20">
        <v>0.37371458090517196</v>
      </c>
      <c r="H1699" s="50"/>
      <c r="I1699" s="16"/>
      <c r="J1699" s="16"/>
      <c r="K1699" s="16"/>
      <c r="L1699" s="16"/>
      <c r="M1699" s="16">
        <v>1693</v>
      </c>
      <c r="N1699" s="16">
        <f t="shared" si="133"/>
        <v>0.60706599713055953</v>
      </c>
      <c r="O1699" s="16"/>
      <c r="P1699" s="16"/>
      <c r="Q1699" s="16">
        <f t="shared" si="134"/>
        <v>0.27168009755571709</v>
      </c>
    </row>
    <row r="1700" spans="4:17" ht="15" thickBot="1" x14ac:dyDescent="0.35">
      <c r="D1700" s="20">
        <f t="shared" si="130"/>
        <v>1694</v>
      </c>
      <c r="E1700" s="20">
        <f t="shared" si="131"/>
        <v>5050</v>
      </c>
      <c r="F1700" s="20">
        <f t="shared" si="132"/>
        <v>3150</v>
      </c>
      <c r="G1700" s="20">
        <v>0.3737672821483588</v>
      </c>
      <c r="H1700" s="50"/>
      <c r="I1700" s="16"/>
      <c r="J1700" s="16"/>
      <c r="K1700" s="16"/>
      <c r="L1700" s="16"/>
      <c r="M1700" s="16">
        <v>1694</v>
      </c>
      <c r="N1700" s="16">
        <f t="shared" si="133"/>
        <v>0.60742467718794835</v>
      </c>
      <c r="O1700" s="16"/>
      <c r="P1700" s="16"/>
      <c r="Q1700" s="16">
        <f t="shared" si="134"/>
        <v>0.2726130938580611</v>
      </c>
    </row>
    <row r="1701" spans="4:17" ht="15" thickBot="1" x14ac:dyDescent="0.35">
      <c r="D1701" s="20">
        <f t="shared" si="130"/>
        <v>1695</v>
      </c>
      <c r="E1701" s="20">
        <f t="shared" si="131"/>
        <v>5150</v>
      </c>
      <c r="F1701" s="20">
        <f t="shared" si="132"/>
        <v>3150</v>
      </c>
      <c r="G1701" s="20">
        <v>0.37379178281322195</v>
      </c>
      <c r="H1701" s="50"/>
      <c r="I1701" s="16"/>
      <c r="J1701" s="16"/>
      <c r="K1701" s="16"/>
      <c r="L1701" s="16"/>
      <c r="M1701" s="16">
        <v>1695</v>
      </c>
      <c r="N1701" s="16">
        <f t="shared" si="133"/>
        <v>0.60778335724533716</v>
      </c>
      <c r="O1701" s="16"/>
      <c r="P1701" s="16"/>
      <c r="Q1701" s="16">
        <f t="shared" si="134"/>
        <v>0.27354632752564961</v>
      </c>
    </row>
    <row r="1702" spans="4:17" ht="15" thickBot="1" x14ac:dyDescent="0.35">
      <c r="D1702" s="20">
        <f t="shared" si="130"/>
        <v>1696</v>
      </c>
      <c r="E1702" s="43">
        <f t="shared" si="131"/>
        <v>5250</v>
      </c>
      <c r="F1702" s="43">
        <f t="shared" si="132"/>
        <v>3150</v>
      </c>
      <c r="G1702" s="20">
        <v>0.37380971087562093</v>
      </c>
      <c r="H1702" s="50"/>
      <c r="I1702" s="16"/>
      <c r="J1702" s="16"/>
      <c r="K1702" s="16"/>
      <c r="L1702" s="16"/>
      <c r="M1702" s="16">
        <v>1696</v>
      </c>
      <c r="N1702" s="16">
        <f t="shared" si="133"/>
        <v>0.60814203730272598</v>
      </c>
      <c r="O1702" s="16"/>
      <c r="P1702" s="16"/>
      <c r="Q1702" s="16">
        <f t="shared" si="134"/>
        <v>0.27447979949248175</v>
      </c>
    </row>
    <row r="1703" spans="4:17" ht="15" thickBot="1" x14ac:dyDescent="0.35">
      <c r="D1703" s="20">
        <f t="shared" si="130"/>
        <v>1697</v>
      </c>
      <c r="E1703" s="20">
        <f t="shared" si="131"/>
        <v>50</v>
      </c>
      <c r="F1703" s="20">
        <f t="shared" si="132"/>
        <v>3250</v>
      </c>
      <c r="G1703" s="20">
        <v>0.37388035201929104</v>
      </c>
      <c r="H1703" s="50"/>
      <c r="I1703" s="16"/>
      <c r="J1703" s="16"/>
      <c r="K1703" s="16"/>
      <c r="L1703" s="16"/>
      <c r="M1703" s="16">
        <v>1697</v>
      </c>
      <c r="N1703" s="16">
        <f t="shared" si="133"/>
        <v>0.6085007173601148</v>
      </c>
      <c r="O1703" s="16"/>
      <c r="P1703" s="16"/>
      <c r="Q1703" s="16">
        <f t="shared" si="134"/>
        <v>0.27541351069410286</v>
      </c>
    </row>
    <row r="1704" spans="4:17" ht="15" thickBot="1" x14ac:dyDescent="0.35">
      <c r="D1704" s="20">
        <f t="shared" si="130"/>
        <v>1698</v>
      </c>
      <c r="E1704" s="20">
        <f t="shared" si="131"/>
        <v>150</v>
      </c>
      <c r="F1704" s="20">
        <f t="shared" si="132"/>
        <v>3250</v>
      </c>
      <c r="G1704" s="20">
        <v>0.37393055503195544</v>
      </c>
      <c r="H1704" s="50"/>
      <c r="I1704" s="16"/>
      <c r="J1704" s="16"/>
      <c r="K1704" s="16"/>
      <c r="L1704" s="16"/>
      <c r="M1704" s="16">
        <v>1698</v>
      </c>
      <c r="N1704" s="16">
        <f t="shared" si="133"/>
        <v>0.60885939741750361</v>
      </c>
      <c r="O1704" s="16"/>
      <c r="P1704" s="16"/>
      <c r="Q1704" s="16">
        <f t="shared" si="134"/>
        <v>0.27634746206761213</v>
      </c>
    </row>
    <row r="1705" spans="4:17" ht="15" thickBot="1" x14ac:dyDescent="0.35">
      <c r="D1705" s="20">
        <f t="shared" si="130"/>
        <v>1699</v>
      </c>
      <c r="E1705" s="20">
        <f t="shared" si="131"/>
        <v>250</v>
      </c>
      <c r="F1705" s="20">
        <f t="shared" si="132"/>
        <v>3250</v>
      </c>
      <c r="G1705" s="20">
        <v>0.37393094224309031</v>
      </c>
      <c r="H1705" s="50"/>
      <c r="I1705" s="16"/>
      <c r="J1705" s="16"/>
      <c r="K1705" s="16"/>
      <c r="L1705" s="16"/>
      <c r="M1705" s="16">
        <v>1699</v>
      </c>
      <c r="N1705" s="16">
        <f t="shared" si="133"/>
        <v>0.60921807747489243</v>
      </c>
      <c r="O1705" s="16"/>
      <c r="P1705" s="16"/>
      <c r="Q1705" s="16">
        <f t="shared" si="134"/>
        <v>0.2772816545516702</v>
      </c>
    </row>
    <row r="1706" spans="4:17" ht="15" thickBot="1" x14ac:dyDescent="0.35">
      <c r="D1706" s="20">
        <f t="shared" si="130"/>
        <v>1700</v>
      </c>
      <c r="E1706" s="20">
        <f t="shared" si="131"/>
        <v>350</v>
      </c>
      <c r="F1706" s="20">
        <f t="shared" si="132"/>
        <v>3250</v>
      </c>
      <c r="G1706" s="20">
        <v>0.37428558495200687</v>
      </c>
      <c r="H1706" s="50"/>
      <c r="I1706" s="16"/>
      <c r="J1706" s="16"/>
      <c r="K1706" s="16"/>
      <c r="L1706" s="16"/>
      <c r="M1706" s="16">
        <v>1700</v>
      </c>
      <c r="N1706" s="16">
        <f t="shared" si="133"/>
        <v>0.60957675753228124</v>
      </c>
      <c r="O1706" s="16"/>
      <c r="P1706" s="16"/>
      <c r="Q1706" s="16">
        <f t="shared" si="134"/>
        <v>0.2782160890865068</v>
      </c>
    </row>
    <row r="1707" spans="4:17" ht="15" thickBot="1" x14ac:dyDescent="0.35">
      <c r="D1707" s="20">
        <f t="shared" si="130"/>
        <v>1701</v>
      </c>
      <c r="E1707" s="20">
        <f t="shared" si="131"/>
        <v>450</v>
      </c>
      <c r="F1707" s="20">
        <f t="shared" si="132"/>
        <v>3250</v>
      </c>
      <c r="G1707" s="20">
        <v>0.37429841284630583</v>
      </c>
      <c r="H1707" s="50"/>
      <c r="I1707" s="16"/>
      <c r="J1707" s="16"/>
      <c r="K1707" s="16"/>
      <c r="L1707" s="16"/>
      <c r="M1707" s="16">
        <v>1701</v>
      </c>
      <c r="N1707" s="16">
        <f t="shared" si="133"/>
        <v>0.60993543758967006</v>
      </c>
      <c r="O1707" s="16"/>
      <c r="P1707" s="16"/>
      <c r="Q1707" s="16">
        <f t="shared" si="134"/>
        <v>0.2791507666139279</v>
      </c>
    </row>
    <row r="1708" spans="4:17" ht="15" thickBot="1" x14ac:dyDescent="0.35">
      <c r="D1708" s="20">
        <f t="shared" si="130"/>
        <v>1702</v>
      </c>
      <c r="E1708" s="20">
        <f t="shared" si="131"/>
        <v>550</v>
      </c>
      <c r="F1708" s="20">
        <f t="shared" si="132"/>
        <v>3250</v>
      </c>
      <c r="G1708" s="20">
        <v>0.37438658707328354</v>
      </c>
      <c r="H1708" s="50"/>
      <c r="I1708" s="16"/>
      <c r="J1708" s="16"/>
      <c r="K1708" s="16"/>
      <c r="L1708" s="16"/>
      <c r="M1708" s="16">
        <v>1702</v>
      </c>
      <c r="N1708" s="16">
        <f t="shared" si="133"/>
        <v>0.61029411764705888</v>
      </c>
      <c r="O1708" s="16"/>
      <c r="P1708" s="16"/>
      <c r="Q1708" s="16">
        <f t="shared" si="134"/>
        <v>0.28008568807732387</v>
      </c>
    </row>
    <row r="1709" spans="4:17" ht="15" thickBot="1" x14ac:dyDescent="0.35">
      <c r="D1709" s="20">
        <f t="shared" si="130"/>
        <v>1703</v>
      </c>
      <c r="E1709" s="20">
        <f t="shared" si="131"/>
        <v>650</v>
      </c>
      <c r="F1709" s="20">
        <f t="shared" si="132"/>
        <v>3250</v>
      </c>
      <c r="G1709" s="20">
        <v>0.37441223113479538</v>
      </c>
      <c r="H1709" s="50"/>
      <c r="I1709" s="16"/>
      <c r="J1709" s="16"/>
      <c r="K1709" s="16"/>
      <c r="L1709" s="16"/>
      <c r="M1709" s="16">
        <v>1703</v>
      </c>
      <c r="N1709" s="16">
        <f t="shared" si="133"/>
        <v>0.61065279770444758</v>
      </c>
      <c r="O1709" s="16"/>
      <c r="P1709" s="16"/>
      <c r="Q1709" s="16">
        <f t="shared" si="134"/>
        <v>0.28102085442167662</v>
      </c>
    </row>
    <row r="1710" spans="4:17" ht="15" thickBot="1" x14ac:dyDescent="0.35">
      <c r="D1710" s="20">
        <f t="shared" si="130"/>
        <v>1704</v>
      </c>
      <c r="E1710" s="20">
        <f t="shared" si="131"/>
        <v>750</v>
      </c>
      <c r="F1710" s="20">
        <f t="shared" si="132"/>
        <v>3250</v>
      </c>
      <c r="G1710" s="20">
        <v>0.37478334028744464</v>
      </c>
      <c r="H1710" s="50"/>
      <c r="I1710" s="16"/>
      <c r="J1710" s="16"/>
      <c r="K1710" s="16"/>
      <c r="L1710" s="16"/>
      <c r="M1710" s="16">
        <v>1704</v>
      </c>
      <c r="N1710" s="16">
        <f t="shared" si="133"/>
        <v>0.6110114777618364</v>
      </c>
      <c r="O1710" s="16"/>
      <c r="P1710" s="16"/>
      <c r="Q1710" s="16">
        <f t="shared" si="134"/>
        <v>0.28195626659356832</v>
      </c>
    </row>
    <row r="1711" spans="4:17" ht="15" thickBot="1" x14ac:dyDescent="0.35">
      <c r="D1711" s="20">
        <f t="shared" si="130"/>
        <v>1705</v>
      </c>
      <c r="E1711" s="20">
        <f t="shared" si="131"/>
        <v>850</v>
      </c>
      <c r="F1711" s="20">
        <f t="shared" si="132"/>
        <v>3250</v>
      </c>
      <c r="G1711" s="20">
        <v>0.37480498123480183</v>
      </c>
      <c r="H1711" s="50"/>
      <c r="I1711" s="16"/>
      <c r="J1711" s="16"/>
      <c r="K1711" s="16"/>
      <c r="L1711" s="16"/>
      <c r="M1711" s="16">
        <v>1705</v>
      </c>
      <c r="N1711" s="16">
        <f t="shared" si="133"/>
        <v>0.61137015781922521</v>
      </c>
      <c r="O1711" s="16"/>
      <c r="P1711" s="16"/>
      <c r="Q1711" s="16">
        <f t="shared" si="134"/>
        <v>0.28289192554118742</v>
      </c>
    </row>
    <row r="1712" spans="4:17" ht="15" thickBot="1" x14ac:dyDescent="0.35">
      <c r="D1712" s="20">
        <f t="shared" si="130"/>
        <v>1706</v>
      </c>
      <c r="E1712" s="20">
        <f t="shared" si="131"/>
        <v>950</v>
      </c>
      <c r="F1712" s="20">
        <f t="shared" si="132"/>
        <v>3250</v>
      </c>
      <c r="G1712" s="20">
        <v>0.37500173884294008</v>
      </c>
      <c r="H1712" s="50"/>
      <c r="I1712" s="16"/>
      <c r="J1712" s="16"/>
      <c r="K1712" s="16"/>
      <c r="L1712" s="16"/>
      <c r="M1712" s="16">
        <v>1706</v>
      </c>
      <c r="N1712" s="16">
        <f t="shared" si="133"/>
        <v>0.61172883787661403</v>
      </c>
      <c r="O1712" s="16"/>
      <c r="P1712" s="16"/>
      <c r="Q1712" s="16">
        <f t="shared" si="134"/>
        <v>0.28382783221433777</v>
      </c>
    </row>
    <row r="1713" spans="4:17" ht="15" thickBot="1" x14ac:dyDescent="0.35">
      <c r="D1713" s="20">
        <f t="shared" si="130"/>
        <v>1707</v>
      </c>
      <c r="E1713" s="20">
        <f t="shared" si="131"/>
        <v>1050</v>
      </c>
      <c r="F1713" s="20">
        <f t="shared" si="132"/>
        <v>3250</v>
      </c>
      <c r="G1713" s="20">
        <v>0.37519800256843633</v>
      </c>
      <c r="H1713" s="50"/>
      <c r="I1713" s="16"/>
      <c r="J1713" s="16"/>
      <c r="K1713" s="16"/>
      <c r="L1713" s="16"/>
      <c r="M1713" s="16">
        <v>1707</v>
      </c>
      <c r="N1713" s="16">
        <f t="shared" si="133"/>
        <v>0.61208751793400284</v>
      </c>
      <c r="O1713" s="16"/>
      <c r="P1713" s="16"/>
      <c r="Q1713" s="16">
        <f t="shared" si="134"/>
        <v>0.28476398756444565</v>
      </c>
    </row>
    <row r="1714" spans="4:17" ht="15" thickBot="1" x14ac:dyDescent="0.35">
      <c r="D1714" s="20">
        <f t="shared" si="130"/>
        <v>1708</v>
      </c>
      <c r="E1714" s="20">
        <f t="shared" si="131"/>
        <v>1150</v>
      </c>
      <c r="F1714" s="20">
        <f t="shared" si="132"/>
        <v>3250</v>
      </c>
      <c r="G1714" s="20">
        <v>0.37526662166592561</v>
      </c>
      <c r="H1714" s="50"/>
      <c r="I1714" s="16"/>
      <c r="J1714" s="16"/>
      <c r="K1714" s="16"/>
      <c r="L1714" s="16"/>
      <c r="M1714" s="16">
        <v>1708</v>
      </c>
      <c r="N1714" s="16">
        <f t="shared" si="133"/>
        <v>0.61244619799139166</v>
      </c>
      <c r="O1714" s="16"/>
      <c r="P1714" s="16"/>
      <c r="Q1714" s="16">
        <f t="shared" si="134"/>
        <v>0.28570039254456803</v>
      </c>
    </row>
    <row r="1715" spans="4:17" ht="15" thickBot="1" x14ac:dyDescent="0.35">
      <c r="D1715" s="20">
        <f t="shared" si="130"/>
        <v>1709</v>
      </c>
      <c r="E1715" s="20">
        <f t="shared" si="131"/>
        <v>1250</v>
      </c>
      <c r="F1715" s="20">
        <f t="shared" si="132"/>
        <v>3250</v>
      </c>
      <c r="G1715" s="20">
        <v>0.37528130167284385</v>
      </c>
      <c r="H1715" s="50"/>
      <c r="I1715" s="16"/>
      <c r="J1715" s="16"/>
      <c r="K1715" s="16"/>
      <c r="L1715" s="16"/>
      <c r="M1715" s="16">
        <v>1709</v>
      </c>
      <c r="N1715" s="16">
        <f t="shared" si="133"/>
        <v>0.61280487804878048</v>
      </c>
      <c r="O1715" s="16"/>
      <c r="P1715" s="16"/>
      <c r="Q1715" s="16">
        <f t="shared" si="134"/>
        <v>0.28663704810939999</v>
      </c>
    </row>
    <row r="1716" spans="4:17" ht="15" thickBot="1" x14ac:dyDescent="0.35">
      <c r="D1716" s="20">
        <f t="shared" si="130"/>
        <v>1710</v>
      </c>
      <c r="E1716" s="20">
        <f t="shared" si="131"/>
        <v>1350</v>
      </c>
      <c r="F1716" s="20">
        <f t="shared" si="132"/>
        <v>3250</v>
      </c>
      <c r="G1716" s="20">
        <v>0.37529310216095951</v>
      </c>
      <c r="H1716" s="50"/>
      <c r="I1716" s="16"/>
      <c r="J1716" s="16"/>
      <c r="K1716" s="16"/>
      <c r="L1716" s="16"/>
      <c r="M1716" s="16">
        <v>1710</v>
      </c>
      <c r="N1716" s="16">
        <f t="shared" si="133"/>
        <v>0.61316355810616929</v>
      </c>
      <c r="O1716" s="16"/>
      <c r="P1716" s="16"/>
      <c r="Q1716" s="16">
        <f t="shared" si="134"/>
        <v>0.28757395521528289</v>
      </c>
    </row>
    <row r="1717" spans="4:17" ht="15" thickBot="1" x14ac:dyDescent="0.35">
      <c r="D1717" s="20">
        <f t="shared" si="130"/>
        <v>1711</v>
      </c>
      <c r="E1717" s="20">
        <f t="shared" si="131"/>
        <v>1450</v>
      </c>
      <c r="F1717" s="20">
        <f t="shared" si="132"/>
        <v>3250</v>
      </c>
      <c r="G1717" s="20">
        <v>0.3753470809477194</v>
      </c>
      <c r="H1717" s="50"/>
      <c r="I1717" s="16"/>
      <c r="J1717" s="16"/>
      <c r="K1717" s="16"/>
      <c r="L1717" s="16"/>
      <c r="M1717" s="16">
        <v>1711</v>
      </c>
      <c r="N1717" s="16">
        <f t="shared" si="133"/>
        <v>0.61352223816355811</v>
      </c>
      <c r="O1717" s="16"/>
      <c r="P1717" s="16"/>
      <c r="Q1717" s="16">
        <f t="shared" si="134"/>
        <v>0.28851111482021208</v>
      </c>
    </row>
    <row r="1718" spans="4:17" ht="15" thickBot="1" x14ac:dyDescent="0.35">
      <c r="D1718" s="20">
        <f t="shared" si="130"/>
        <v>1712</v>
      </c>
      <c r="E1718" s="20">
        <f t="shared" si="131"/>
        <v>1550</v>
      </c>
      <c r="F1718" s="20">
        <f t="shared" si="132"/>
        <v>3250</v>
      </c>
      <c r="G1718" s="20">
        <v>0.37535945552164907</v>
      </c>
      <c r="H1718" s="50"/>
      <c r="I1718" s="16"/>
      <c r="J1718" s="16"/>
      <c r="K1718" s="16"/>
      <c r="L1718" s="16"/>
      <c r="M1718" s="16">
        <v>1712</v>
      </c>
      <c r="N1718" s="16">
        <f t="shared" si="133"/>
        <v>0.61388091822094693</v>
      </c>
      <c r="O1718" s="16"/>
      <c r="P1718" s="16"/>
      <c r="Q1718" s="16">
        <f t="shared" si="134"/>
        <v>0.28944852788384479</v>
      </c>
    </row>
    <row r="1719" spans="4:17" ht="15" thickBot="1" x14ac:dyDescent="0.35">
      <c r="D1719" s="20">
        <f t="shared" si="130"/>
        <v>1713</v>
      </c>
      <c r="E1719" s="20">
        <f t="shared" si="131"/>
        <v>1650</v>
      </c>
      <c r="F1719" s="20">
        <f t="shared" si="132"/>
        <v>3250</v>
      </c>
      <c r="G1719" s="20">
        <v>0.37536559779435213</v>
      </c>
      <c r="H1719" s="50"/>
      <c r="I1719" s="16"/>
      <c r="J1719" s="16"/>
      <c r="K1719" s="16"/>
      <c r="L1719" s="16"/>
      <c r="M1719" s="16">
        <v>1713</v>
      </c>
      <c r="N1719" s="16">
        <f t="shared" si="133"/>
        <v>0.61423959827833574</v>
      </c>
      <c r="O1719" s="16"/>
      <c r="P1719" s="16"/>
      <c r="Q1719" s="16">
        <f t="shared" si="134"/>
        <v>0.29038619536750815</v>
      </c>
    </row>
    <row r="1720" spans="4:17" ht="15" thickBot="1" x14ac:dyDescent="0.35">
      <c r="D1720" s="20">
        <f t="shared" si="130"/>
        <v>1714</v>
      </c>
      <c r="E1720" s="20">
        <f t="shared" si="131"/>
        <v>1750</v>
      </c>
      <c r="F1720" s="20">
        <f t="shared" si="132"/>
        <v>3250</v>
      </c>
      <c r="G1720" s="20">
        <v>0.37542150698603144</v>
      </c>
      <c r="H1720" s="50"/>
      <c r="I1720" s="16"/>
      <c r="J1720" s="16"/>
      <c r="K1720" s="16"/>
      <c r="L1720" s="16"/>
      <c r="M1720" s="16">
        <v>1714</v>
      </c>
      <c r="N1720" s="16">
        <f t="shared" si="133"/>
        <v>0.61459827833572456</v>
      </c>
      <c r="O1720" s="16"/>
      <c r="P1720" s="16"/>
      <c r="Q1720" s="16">
        <f t="shared" si="134"/>
        <v>0.29132411823420695</v>
      </c>
    </row>
    <row r="1721" spans="4:17" ht="15" thickBot="1" x14ac:dyDescent="0.35">
      <c r="D1721" s="20">
        <f t="shared" si="130"/>
        <v>1715</v>
      </c>
      <c r="E1721" s="44">
        <f t="shared" si="131"/>
        <v>1850</v>
      </c>
      <c r="F1721" s="44">
        <f t="shared" si="132"/>
        <v>3250</v>
      </c>
      <c r="G1721" s="20">
        <v>0.37553580113095342</v>
      </c>
      <c r="H1721" s="50"/>
      <c r="I1721" s="16"/>
      <c r="J1721" s="16"/>
      <c r="K1721" s="16"/>
      <c r="L1721" s="16"/>
      <c r="M1721" s="16">
        <v>1715</v>
      </c>
      <c r="N1721" s="16">
        <f t="shared" si="133"/>
        <v>0.61495695839311337</v>
      </c>
      <c r="O1721" s="16"/>
      <c r="P1721" s="16"/>
      <c r="Q1721" s="16">
        <f t="shared" si="134"/>
        <v>0.29226229744863219</v>
      </c>
    </row>
    <row r="1722" spans="4:17" ht="15" thickBot="1" x14ac:dyDescent="0.35">
      <c r="D1722" s="20">
        <f t="shared" si="130"/>
        <v>1716</v>
      </c>
      <c r="E1722" s="20">
        <f t="shared" si="131"/>
        <v>1950</v>
      </c>
      <c r="F1722" s="20">
        <f t="shared" si="132"/>
        <v>3250</v>
      </c>
      <c r="G1722" s="20">
        <v>0.37559900152513565</v>
      </c>
      <c r="H1722" s="50"/>
      <c r="I1722" s="16"/>
      <c r="J1722" s="16"/>
      <c r="K1722" s="16"/>
      <c r="L1722" s="16"/>
      <c r="M1722" s="16">
        <v>1716</v>
      </c>
      <c r="N1722" s="16">
        <f t="shared" si="133"/>
        <v>0.61531563845050219</v>
      </c>
      <c r="O1722" s="16"/>
      <c r="P1722" s="16"/>
      <c r="Q1722" s="16">
        <f t="shared" si="134"/>
        <v>0.29320073397716839</v>
      </c>
    </row>
    <row r="1723" spans="4:17" ht="15" thickBot="1" x14ac:dyDescent="0.35">
      <c r="D1723" s="20">
        <f t="shared" si="130"/>
        <v>1717</v>
      </c>
      <c r="E1723" s="20">
        <f t="shared" si="131"/>
        <v>2050</v>
      </c>
      <c r="F1723" s="20">
        <f t="shared" si="132"/>
        <v>3250</v>
      </c>
      <c r="G1723" s="20">
        <v>0.37560244439201279</v>
      </c>
      <c r="H1723" s="50"/>
      <c r="I1723" s="16"/>
      <c r="J1723" s="16"/>
      <c r="K1723" s="16"/>
      <c r="L1723" s="16"/>
      <c r="M1723" s="16">
        <v>1717</v>
      </c>
      <c r="N1723" s="16">
        <f t="shared" si="133"/>
        <v>0.61567431850789101</v>
      </c>
      <c r="O1723" s="16"/>
      <c r="P1723" s="16"/>
      <c r="Q1723" s="16">
        <f t="shared" si="134"/>
        <v>0.29413942878790206</v>
      </c>
    </row>
    <row r="1724" spans="4:17" ht="15" thickBot="1" x14ac:dyDescent="0.35">
      <c r="D1724" s="20">
        <f t="shared" si="130"/>
        <v>1718</v>
      </c>
      <c r="E1724" s="20">
        <f t="shared" si="131"/>
        <v>2150</v>
      </c>
      <c r="F1724" s="20">
        <f t="shared" si="132"/>
        <v>3250</v>
      </c>
      <c r="G1724" s="20">
        <v>0.37560639788683209</v>
      </c>
      <c r="H1724" s="50"/>
      <c r="I1724" s="16"/>
      <c r="J1724" s="16"/>
      <c r="K1724" s="16"/>
      <c r="L1724" s="16"/>
      <c r="M1724" s="16">
        <v>1718</v>
      </c>
      <c r="N1724" s="16">
        <f t="shared" si="133"/>
        <v>0.61603299856527982</v>
      </c>
      <c r="O1724" s="16"/>
      <c r="P1724" s="16"/>
      <c r="Q1724" s="16">
        <f t="shared" si="134"/>
        <v>0.29507838285062987</v>
      </c>
    </row>
    <row r="1725" spans="4:17" ht="15" thickBot="1" x14ac:dyDescent="0.35">
      <c r="D1725" s="20">
        <f t="shared" si="130"/>
        <v>1719</v>
      </c>
      <c r="E1725" s="20">
        <f t="shared" si="131"/>
        <v>2250</v>
      </c>
      <c r="F1725" s="20">
        <f t="shared" si="132"/>
        <v>3250</v>
      </c>
      <c r="G1725" s="20">
        <v>0.37568026890833006</v>
      </c>
      <c r="H1725" s="50"/>
      <c r="I1725" s="16"/>
      <c r="J1725" s="16"/>
      <c r="K1725" s="16"/>
      <c r="L1725" s="16"/>
      <c r="M1725" s="16">
        <v>1719</v>
      </c>
      <c r="N1725" s="16">
        <f t="shared" si="133"/>
        <v>0.61639167862266853</v>
      </c>
      <c r="O1725" s="16"/>
      <c r="P1725" s="16"/>
      <c r="Q1725" s="16">
        <f t="shared" si="134"/>
        <v>0.29601759713686632</v>
      </c>
    </row>
    <row r="1726" spans="4:17" ht="15" thickBot="1" x14ac:dyDescent="0.35">
      <c r="D1726" s="20">
        <f t="shared" si="130"/>
        <v>1720</v>
      </c>
      <c r="E1726" s="20">
        <f t="shared" si="131"/>
        <v>2350</v>
      </c>
      <c r="F1726" s="20">
        <f t="shared" si="132"/>
        <v>3250</v>
      </c>
      <c r="G1726" s="20">
        <v>0.37569424493344866</v>
      </c>
      <c r="H1726" s="50"/>
      <c r="I1726" s="16"/>
      <c r="J1726" s="16"/>
      <c r="K1726" s="16"/>
      <c r="L1726" s="16"/>
      <c r="M1726" s="16">
        <v>1720</v>
      </c>
      <c r="N1726" s="16">
        <f t="shared" si="133"/>
        <v>0.61675035868005734</v>
      </c>
      <c r="O1726" s="16"/>
      <c r="P1726" s="16"/>
      <c r="Q1726" s="16">
        <f t="shared" si="134"/>
        <v>0.29695707261985277</v>
      </c>
    </row>
    <row r="1727" spans="4:17" ht="15" thickBot="1" x14ac:dyDescent="0.35">
      <c r="D1727" s="20">
        <f t="shared" si="130"/>
        <v>1721</v>
      </c>
      <c r="E1727" s="20">
        <f t="shared" si="131"/>
        <v>2450</v>
      </c>
      <c r="F1727" s="20">
        <f t="shared" si="132"/>
        <v>3250</v>
      </c>
      <c r="G1727" s="20">
        <v>0.37578713110608314</v>
      </c>
      <c r="H1727" s="50"/>
      <c r="I1727" s="16"/>
      <c r="J1727" s="16"/>
      <c r="K1727" s="16"/>
      <c r="L1727" s="16"/>
      <c r="M1727" s="16">
        <v>1721</v>
      </c>
      <c r="N1727" s="16">
        <f t="shared" si="133"/>
        <v>0.61710903873744616</v>
      </c>
      <c r="O1727" s="16"/>
      <c r="P1727" s="16"/>
      <c r="Q1727" s="16">
        <f t="shared" si="134"/>
        <v>0.29789681027456466</v>
      </c>
    </row>
    <row r="1728" spans="4:17" ht="15" thickBot="1" x14ac:dyDescent="0.35">
      <c r="D1728" s="20">
        <f t="shared" si="130"/>
        <v>1722</v>
      </c>
      <c r="E1728" s="20">
        <f t="shared" si="131"/>
        <v>2550</v>
      </c>
      <c r="F1728" s="20">
        <f t="shared" si="132"/>
        <v>3250</v>
      </c>
      <c r="G1728" s="20">
        <v>0.37588866262684495</v>
      </c>
      <c r="H1728" s="50"/>
      <c r="I1728" s="16"/>
      <c r="J1728" s="16"/>
      <c r="K1728" s="16"/>
      <c r="L1728" s="16"/>
      <c r="M1728" s="16">
        <v>1722</v>
      </c>
      <c r="N1728" s="16">
        <f t="shared" si="133"/>
        <v>0.61746771879483497</v>
      </c>
      <c r="O1728" s="16"/>
      <c r="P1728" s="16"/>
      <c r="Q1728" s="16">
        <f t="shared" si="134"/>
        <v>0.29883681107772003</v>
      </c>
    </row>
    <row r="1729" spans="4:17" ht="15" thickBot="1" x14ac:dyDescent="0.35">
      <c r="D1729" s="20">
        <f t="shared" si="130"/>
        <v>1723</v>
      </c>
      <c r="E1729" s="20">
        <f t="shared" si="131"/>
        <v>2650</v>
      </c>
      <c r="F1729" s="20">
        <f t="shared" si="132"/>
        <v>3250</v>
      </c>
      <c r="G1729" s="20">
        <v>0.37602644215116438</v>
      </c>
      <c r="H1729" s="50"/>
      <c r="I1729" s="16"/>
      <c r="J1729" s="16"/>
      <c r="K1729" s="16"/>
      <c r="L1729" s="16"/>
      <c r="M1729" s="16">
        <v>1723</v>
      </c>
      <c r="N1729" s="16">
        <f t="shared" si="133"/>
        <v>0.61782639885222379</v>
      </c>
      <c r="O1729" s="16"/>
      <c r="P1729" s="16"/>
      <c r="Q1729" s="16">
        <f t="shared" si="134"/>
        <v>0.29977707600778802</v>
      </c>
    </row>
    <row r="1730" spans="4:17" ht="15" thickBot="1" x14ac:dyDescent="0.35">
      <c r="D1730" s="20">
        <f t="shared" si="130"/>
        <v>1724</v>
      </c>
      <c r="E1730" s="20">
        <f t="shared" si="131"/>
        <v>2750</v>
      </c>
      <c r="F1730" s="20">
        <f t="shared" si="132"/>
        <v>3250</v>
      </c>
      <c r="G1730" s="20">
        <v>0.37610738392273801</v>
      </c>
      <c r="H1730" s="50"/>
      <c r="I1730" s="16"/>
      <c r="J1730" s="16"/>
      <c r="K1730" s="16"/>
      <c r="L1730" s="16"/>
      <c r="M1730" s="16">
        <v>1724</v>
      </c>
      <c r="N1730" s="16">
        <f t="shared" si="133"/>
        <v>0.61818507890961261</v>
      </c>
      <c r="O1730" s="16"/>
      <c r="P1730" s="16"/>
      <c r="Q1730" s="16">
        <f t="shared" si="134"/>
        <v>0.30071760604499703</v>
      </c>
    </row>
    <row r="1731" spans="4:17" ht="15" thickBot="1" x14ac:dyDescent="0.35">
      <c r="D1731" s="20">
        <f t="shared" si="130"/>
        <v>1725</v>
      </c>
      <c r="E1731" s="20">
        <f t="shared" si="131"/>
        <v>2850</v>
      </c>
      <c r="F1731" s="20">
        <f t="shared" si="132"/>
        <v>3250</v>
      </c>
      <c r="G1731" s="20">
        <v>0.37611253583479565</v>
      </c>
      <c r="H1731" s="50"/>
      <c r="I1731" s="16"/>
      <c r="J1731" s="16"/>
      <c r="K1731" s="16"/>
      <c r="L1731" s="16"/>
      <c r="M1731" s="16">
        <v>1725</v>
      </c>
      <c r="N1731" s="16">
        <f t="shared" si="133"/>
        <v>0.61854375896700142</v>
      </c>
      <c r="O1731" s="16"/>
      <c r="P1731" s="16"/>
      <c r="Q1731" s="16">
        <f t="shared" si="134"/>
        <v>0.30165840217134304</v>
      </c>
    </row>
    <row r="1732" spans="4:17" ht="15" thickBot="1" x14ac:dyDescent="0.35">
      <c r="D1732" s="20">
        <f t="shared" si="130"/>
        <v>1726</v>
      </c>
      <c r="E1732" s="20">
        <f t="shared" si="131"/>
        <v>2950</v>
      </c>
      <c r="F1732" s="20">
        <f t="shared" si="132"/>
        <v>3250</v>
      </c>
      <c r="G1732" s="20">
        <v>0.376125948486284</v>
      </c>
      <c r="H1732" s="50"/>
      <c r="I1732" s="16"/>
      <c r="J1732" s="16"/>
      <c r="K1732" s="16"/>
      <c r="L1732" s="16"/>
      <c r="M1732" s="16">
        <v>1726</v>
      </c>
      <c r="N1732" s="16">
        <f t="shared" si="133"/>
        <v>0.61890243902439024</v>
      </c>
      <c r="O1732" s="16"/>
      <c r="P1732" s="16"/>
      <c r="Q1732" s="16">
        <f t="shared" si="134"/>
        <v>0.30259946537059762</v>
      </c>
    </row>
    <row r="1733" spans="4:17" ht="15" thickBot="1" x14ac:dyDescent="0.35">
      <c r="D1733" s="20">
        <f t="shared" si="130"/>
        <v>1727</v>
      </c>
      <c r="E1733" s="20">
        <f t="shared" si="131"/>
        <v>3050</v>
      </c>
      <c r="F1733" s="20">
        <f t="shared" si="132"/>
        <v>3250</v>
      </c>
      <c r="G1733" s="20">
        <v>0.37613377288873429</v>
      </c>
      <c r="H1733" s="50"/>
      <c r="I1733" s="16"/>
      <c r="J1733" s="16"/>
      <c r="K1733" s="16"/>
      <c r="L1733" s="16"/>
      <c r="M1733" s="16">
        <v>1727</v>
      </c>
      <c r="N1733" s="16">
        <f t="shared" si="133"/>
        <v>0.61926111908177905</v>
      </c>
      <c r="O1733" s="16"/>
      <c r="P1733" s="16"/>
      <c r="Q1733" s="16">
        <f t="shared" si="134"/>
        <v>0.30354079662831707</v>
      </c>
    </row>
    <row r="1734" spans="4:17" ht="15" thickBot="1" x14ac:dyDescent="0.35">
      <c r="D1734" s="20">
        <f t="shared" si="130"/>
        <v>1728</v>
      </c>
      <c r="E1734" s="20">
        <f t="shared" si="131"/>
        <v>3150</v>
      </c>
      <c r="F1734" s="20">
        <f t="shared" si="132"/>
        <v>3250</v>
      </c>
      <c r="G1734" s="20">
        <v>0.37620114915815112</v>
      </c>
      <c r="H1734" s="50"/>
      <c r="I1734" s="16"/>
      <c r="J1734" s="16"/>
      <c r="K1734" s="16"/>
      <c r="L1734" s="16"/>
      <c r="M1734" s="16">
        <v>1728</v>
      </c>
      <c r="N1734" s="16">
        <f t="shared" si="133"/>
        <v>0.61961979913916787</v>
      </c>
      <c r="O1734" s="16"/>
      <c r="P1734" s="16"/>
      <c r="Q1734" s="16">
        <f t="shared" si="134"/>
        <v>0.30448239693185014</v>
      </c>
    </row>
    <row r="1735" spans="4:17" ht="15" thickBot="1" x14ac:dyDescent="0.35">
      <c r="D1735" s="20">
        <f t="shared" ref="D1735:D1798" si="135">ROW()-6</f>
        <v>1729</v>
      </c>
      <c r="E1735" s="20">
        <f t="shared" ref="E1735:E1798" si="136">(MOD(D1735-1,53)*100)+50</f>
        <v>3250</v>
      </c>
      <c r="F1735" s="20">
        <f t="shared" ref="F1735:F1798" si="137">FLOOR((D1735-1)/53,1)*100+50</f>
        <v>3250</v>
      </c>
      <c r="G1735" s="20">
        <v>0.37629828550305205</v>
      </c>
      <c r="H1735" s="50"/>
      <c r="I1735" s="16"/>
      <c r="J1735" s="16"/>
      <c r="K1735" s="16"/>
      <c r="L1735" s="16"/>
      <c r="M1735" s="16">
        <v>1729</v>
      </c>
      <c r="N1735" s="16">
        <f t="shared" si="133"/>
        <v>0.61997847919655669</v>
      </c>
      <c r="O1735" s="16"/>
      <c r="P1735" s="16"/>
      <c r="Q1735" s="16">
        <f t="shared" si="134"/>
        <v>0.30542426727034655</v>
      </c>
    </row>
    <row r="1736" spans="4:17" ht="15" thickBot="1" x14ac:dyDescent="0.35">
      <c r="D1736" s="20">
        <f t="shared" si="135"/>
        <v>1730</v>
      </c>
      <c r="E1736" s="20">
        <f t="shared" si="136"/>
        <v>3350</v>
      </c>
      <c r="F1736" s="20">
        <f t="shared" si="137"/>
        <v>3250</v>
      </c>
      <c r="G1736" s="20">
        <v>0.37657839709338797</v>
      </c>
      <c r="H1736" s="50"/>
      <c r="I1736" s="16"/>
      <c r="J1736" s="16"/>
      <c r="K1736" s="16"/>
      <c r="L1736" s="16"/>
      <c r="M1736" s="16">
        <v>1730</v>
      </c>
      <c r="N1736" s="16">
        <f t="shared" ref="N1736:N1799" si="138">(M1736-0.5)/$L$7</f>
        <v>0.6203371592539455</v>
      </c>
      <c r="O1736" s="16"/>
      <c r="P1736" s="16"/>
      <c r="Q1736" s="16">
        <f t="shared" ref="Q1736:Q1799" si="139">_xlfn.NORM.S.INV(N1736)</f>
        <v>0.30636640863476594</v>
      </c>
    </row>
    <row r="1737" spans="4:17" ht="15" thickBot="1" x14ac:dyDescent="0.35">
      <c r="D1737" s="20">
        <f t="shared" si="135"/>
        <v>1731</v>
      </c>
      <c r="E1737" s="20">
        <f t="shared" si="136"/>
        <v>3450</v>
      </c>
      <c r="F1737" s="20">
        <f t="shared" si="137"/>
        <v>3250</v>
      </c>
      <c r="G1737" s="20">
        <v>0.3766158592402703</v>
      </c>
      <c r="H1737" s="50"/>
      <c r="I1737" s="16"/>
      <c r="J1737" s="16"/>
      <c r="K1737" s="16"/>
      <c r="L1737" s="16"/>
      <c r="M1737" s="16">
        <v>1731</v>
      </c>
      <c r="N1737" s="16">
        <f t="shared" si="138"/>
        <v>0.62069583931133432</v>
      </c>
      <c r="O1737" s="16"/>
      <c r="P1737" s="16"/>
      <c r="Q1737" s="16">
        <f t="shared" si="139"/>
        <v>0.30730882201788584</v>
      </c>
    </row>
    <row r="1738" spans="4:17" ht="15" thickBot="1" x14ac:dyDescent="0.35">
      <c r="D1738" s="20">
        <f t="shared" si="135"/>
        <v>1732</v>
      </c>
      <c r="E1738" s="20">
        <f t="shared" si="136"/>
        <v>3550</v>
      </c>
      <c r="F1738" s="20">
        <f t="shared" si="137"/>
        <v>3250</v>
      </c>
      <c r="G1738" s="20">
        <v>0.37667711780313218</v>
      </c>
      <c r="H1738" s="50"/>
      <c r="I1738" s="16"/>
      <c r="J1738" s="16"/>
      <c r="K1738" s="16"/>
      <c r="L1738" s="16"/>
      <c r="M1738" s="16">
        <v>1732</v>
      </c>
      <c r="N1738" s="16">
        <f t="shared" si="138"/>
        <v>0.62105451936872313</v>
      </c>
      <c r="O1738" s="16"/>
      <c r="P1738" s="16"/>
      <c r="Q1738" s="16">
        <f t="shared" si="139"/>
        <v>0.30825150841431065</v>
      </c>
    </row>
    <row r="1739" spans="4:17" ht="15" thickBot="1" x14ac:dyDescent="0.35">
      <c r="D1739" s="20">
        <f t="shared" si="135"/>
        <v>1733</v>
      </c>
      <c r="E1739" s="20">
        <f t="shared" si="136"/>
        <v>3650</v>
      </c>
      <c r="F1739" s="20">
        <f t="shared" si="137"/>
        <v>3250</v>
      </c>
      <c r="G1739" s="20">
        <v>0.37669388236168688</v>
      </c>
      <c r="H1739" s="50"/>
      <c r="I1739" s="16"/>
      <c r="J1739" s="16"/>
      <c r="K1739" s="16"/>
      <c r="L1739" s="16"/>
      <c r="M1739" s="16">
        <v>1733</v>
      </c>
      <c r="N1739" s="16">
        <f t="shared" si="138"/>
        <v>0.62141319942611195</v>
      </c>
      <c r="O1739" s="16"/>
      <c r="P1739" s="16"/>
      <c r="Q1739" s="16">
        <f t="shared" si="139"/>
        <v>0.30919446882047985</v>
      </c>
    </row>
    <row r="1740" spans="4:17" ht="15" thickBot="1" x14ac:dyDescent="0.35">
      <c r="D1740" s="20">
        <f t="shared" si="135"/>
        <v>1734</v>
      </c>
      <c r="E1740" s="20">
        <f t="shared" si="136"/>
        <v>3750</v>
      </c>
      <c r="F1740" s="20">
        <f t="shared" si="137"/>
        <v>3250</v>
      </c>
      <c r="G1740" s="20">
        <v>0.37681029648455233</v>
      </c>
      <c r="H1740" s="50"/>
      <c r="I1740" s="16"/>
      <c r="J1740" s="16"/>
      <c r="K1740" s="16"/>
      <c r="L1740" s="16"/>
      <c r="M1740" s="16">
        <v>1734</v>
      </c>
      <c r="N1740" s="16">
        <f t="shared" si="138"/>
        <v>0.62177187948350077</v>
      </c>
      <c r="O1740" s="16"/>
      <c r="P1740" s="16"/>
      <c r="Q1740" s="16">
        <f t="shared" si="139"/>
        <v>0.31013770423467696</v>
      </c>
    </row>
    <row r="1741" spans="4:17" ht="15" thickBot="1" x14ac:dyDescent="0.35">
      <c r="D1741" s="20">
        <f t="shared" si="135"/>
        <v>1735</v>
      </c>
      <c r="E1741" s="20">
        <f t="shared" si="136"/>
        <v>3850</v>
      </c>
      <c r="F1741" s="20">
        <f t="shared" si="137"/>
        <v>3250</v>
      </c>
      <c r="G1741" s="20">
        <v>0.37682019451507381</v>
      </c>
      <c r="H1741" s="50"/>
      <c r="I1741" s="16"/>
      <c r="J1741" s="16"/>
      <c r="K1741" s="16"/>
      <c r="L1741" s="16"/>
      <c r="M1741" s="16">
        <v>1735</v>
      </c>
      <c r="N1741" s="16">
        <f t="shared" si="138"/>
        <v>0.62213055954088947</v>
      </c>
      <c r="O1741" s="16"/>
      <c r="P1741" s="16"/>
      <c r="Q1741" s="16">
        <f t="shared" si="139"/>
        <v>0.3110812156570375</v>
      </c>
    </row>
    <row r="1742" spans="4:17" ht="15" thickBot="1" x14ac:dyDescent="0.35">
      <c r="D1742" s="20">
        <f t="shared" si="135"/>
        <v>1736</v>
      </c>
      <c r="E1742" s="20">
        <f t="shared" si="136"/>
        <v>3950</v>
      </c>
      <c r="F1742" s="20">
        <f t="shared" si="137"/>
        <v>3250</v>
      </c>
      <c r="G1742" s="20">
        <v>0.37689525069260854</v>
      </c>
      <c r="H1742" s="50"/>
      <c r="I1742" s="16"/>
      <c r="J1742" s="16"/>
      <c r="K1742" s="16"/>
      <c r="L1742" s="16"/>
      <c r="M1742" s="16">
        <v>1736</v>
      </c>
      <c r="N1742" s="16">
        <f t="shared" si="138"/>
        <v>0.62248923959827829</v>
      </c>
      <c r="O1742" s="16"/>
      <c r="P1742" s="16"/>
      <c r="Q1742" s="16">
        <f t="shared" si="139"/>
        <v>0.31202500408955924</v>
      </c>
    </row>
    <row r="1743" spans="4:17" ht="15" thickBot="1" x14ac:dyDescent="0.35">
      <c r="D1743" s="20">
        <f t="shared" si="135"/>
        <v>1737</v>
      </c>
      <c r="E1743" s="20">
        <f t="shared" si="136"/>
        <v>4050</v>
      </c>
      <c r="F1743" s="20">
        <f t="shared" si="137"/>
        <v>3250</v>
      </c>
      <c r="G1743" s="20">
        <v>0.37689769098502779</v>
      </c>
      <c r="H1743" s="50"/>
      <c r="I1743" s="16"/>
      <c r="J1743" s="16"/>
      <c r="K1743" s="16"/>
      <c r="L1743" s="16"/>
      <c r="M1743" s="16">
        <v>1737</v>
      </c>
      <c r="N1743" s="16">
        <f t="shared" si="138"/>
        <v>0.6228479196556671</v>
      </c>
      <c r="O1743" s="16"/>
      <c r="P1743" s="16"/>
      <c r="Q1743" s="16">
        <f t="shared" si="139"/>
        <v>0.31296907053610906</v>
      </c>
    </row>
    <row r="1744" spans="4:17" ht="15" thickBot="1" x14ac:dyDescent="0.35">
      <c r="D1744" s="20">
        <f t="shared" si="135"/>
        <v>1738</v>
      </c>
      <c r="E1744" s="20">
        <f t="shared" si="136"/>
        <v>4150</v>
      </c>
      <c r="F1744" s="20">
        <f t="shared" si="137"/>
        <v>3250</v>
      </c>
      <c r="G1744" s="20">
        <v>0.37695060276967995</v>
      </c>
      <c r="H1744" s="50"/>
      <c r="I1744" s="16"/>
      <c r="J1744" s="16"/>
      <c r="K1744" s="16"/>
      <c r="L1744" s="16"/>
      <c r="M1744" s="16">
        <v>1738</v>
      </c>
      <c r="N1744" s="16">
        <f t="shared" si="138"/>
        <v>0.62320659971305592</v>
      </c>
      <c r="O1744" s="16"/>
      <c r="P1744" s="16"/>
      <c r="Q1744" s="16">
        <f t="shared" si="139"/>
        <v>0.31391341600243255</v>
      </c>
    </row>
    <row r="1745" spans="4:17" ht="15" thickBot="1" x14ac:dyDescent="0.35">
      <c r="D1745" s="20">
        <f t="shared" si="135"/>
        <v>1739</v>
      </c>
      <c r="E1745" s="20">
        <f t="shared" si="136"/>
        <v>4250</v>
      </c>
      <c r="F1745" s="20">
        <f t="shared" si="137"/>
        <v>3250</v>
      </c>
      <c r="G1745" s="20">
        <v>0.37700492798280821</v>
      </c>
      <c r="H1745" s="50"/>
      <c r="I1745" s="16"/>
      <c r="J1745" s="16"/>
      <c r="K1745" s="16"/>
      <c r="L1745" s="16"/>
      <c r="M1745" s="16">
        <v>1739</v>
      </c>
      <c r="N1745" s="16">
        <f t="shared" si="138"/>
        <v>0.62356527977044474</v>
      </c>
      <c r="O1745" s="16"/>
      <c r="P1745" s="16"/>
      <c r="Q1745" s="16">
        <f t="shared" si="139"/>
        <v>0.31485804149616303</v>
      </c>
    </row>
    <row r="1746" spans="4:17" ht="15" thickBot="1" x14ac:dyDescent="0.35">
      <c r="D1746" s="20">
        <f t="shared" si="135"/>
        <v>1740</v>
      </c>
      <c r="E1746" s="20">
        <f t="shared" si="136"/>
        <v>4350</v>
      </c>
      <c r="F1746" s="20">
        <f t="shared" si="137"/>
        <v>3250</v>
      </c>
      <c r="G1746" s="20">
        <v>0.37716209192375255</v>
      </c>
      <c r="H1746" s="50"/>
      <c r="I1746" s="16"/>
      <c r="J1746" s="16"/>
      <c r="K1746" s="16"/>
      <c r="L1746" s="16"/>
      <c r="M1746" s="16">
        <v>1740</v>
      </c>
      <c r="N1746" s="16">
        <f t="shared" si="138"/>
        <v>0.62392395982783355</v>
      </c>
      <c r="O1746" s="16"/>
      <c r="P1746" s="16"/>
      <c r="Q1746" s="16">
        <f t="shared" si="139"/>
        <v>0.31580294802683001</v>
      </c>
    </row>
    <row r="1747" spans="4:17" ht="15" thickBot="1" x14ac:dyDescent="0.35">
      <c r="D1747" s="20">
        <f t="shared" si="135"/>
        <v>1741</v>
      </c>
      <c r="E1747" s="20">
        <f t="shared" si="136"/>
        <v>4450</v>
      </c>
      <c r="F1747" s="20">
        <f t="shared" si="137"/>
        <v>3250</v>
      </c>
      <c r="G1747" s="20">
        <v>0.37725674870250231</v>
      </c>
      <c r="H1747" s="50"/>
      <c r="I1747" s="16"/>
      <c r="J1747" s="16"/>
      <c r="K1747" s="16"/>
      <c r="L1747" s="16"/>
      <c r="M1747" s="16">
        <v>1741</v>
      </c>
      <c r="N1747" s="16">
        <f t="shared" si="138"/>
        <v>0.62428263988522237</v>
      </c>
      <c r="O1747" s="16"/>
      <c r="P1747" s="16"/>
      <c r="Q1747" s="16">
        <f t="shared" si="139"/>
        <v>0.31674813660586792</v>
      </c>
    </row>
    <row r="1748" spans="4:17" ht="15" thickBot="1" x14ac:dyDescent="0.35">
      <c r="D1748" s="20">
        <f t="shared" si="135"/>
        <v>1742</v>
      </c>
      <c r="E1748" s="43">
        <f t="shared" si="136"/>
        <v>4550</v>
      </c>
      <c r="F1748" s="43">
        <f t="shared" si="137"/>
        <v>3250</v>
      </c>
      <c r="G1748" s="20">
        <v>0.37736276401891161</v>
      </c>
      <c r="H1748" s="50"/>
      <c r="I1748" s="16"/>
      <c r="J1748" s="16"/>
      <c r="K1748" s="16"/>
      <c r="L1748" s="16"/>
      <c r="M1748" s="16">
        <v>1742</v>
      </c>
      <c r="N1748" s="16">
        <f t="shared" si="138"/>
        <v>0.62464131994261118</v>
      </c>
      <c r="O1748" s="16"/>
      <c r="P1748" s="16"/>
      <c r="Q1748" s="16">
        <f t="shared" si="139"/>
        <v>0.31769360824662579</v>
      </c>
    </row>
    <row r="1749" spans="4:17" ht="15" thickBot="1" x14ac:dyDescent="0.35">
      <c r="D1749" s="20">
        <f t="shared" si="135"/>
        <v>1743</v>
      </c>
      <c r="E1749" s="20">
        <f t="shared" si="136"/>
        <v>4650</v>
      </c>
      <c r="F1749" s="20">
        <f t="shared" si="137"/>
        <v>3250</v>
      </c>
      <c r="G1749" s="20">
        <v>0.37737640233749259</v>
      </c>
      <c r="H1749" s="50"/>
      <c r="I1749" s="16"/>
      <c r="J1749" s="16"/>
      <c r="K1749" s="16"/>
      <c r="L1749" s="16"/>
      <c r="M1749" s="16">
        <v>1743</v>
      </c>
      <c r="N1749" s="16">
        <f t="shared" si="138"/>
        <v>0.625</v>
      </c>
      <c r="O1749" s="16"/>
      <c r="P1749" s="16"/>
      <c r="Q1749" s="16">
        <f t="shared" si="139"/>
        <v>0.3186393639643752</v>
      </c>
    </row>
    <row r="1750" spans="4:17" ht="15" thickBot="1" x14ac:dyDescent="0.35">
      <c r="D1750" s="20">
        <f t="shared" si="135"/>
        <v>1744</v>
      </c>
      <c r="E1750" s="20">
        <f t="shared" si="136"/>
        <v>4750</v>
      </c>
      <c r="F1750" s="20">
        <f t="shared" si="137"/>
        <v>3250</v>
      </c>
      <c r="G1750" s="20">
        <v>0.37740696903259346</v>
      </c>
      <c r="H1750" s="50"/>
      <c r="I1750" s="16"/>
      <c r="J1750" s="16"/>
      <c r="K1750" s="16"/>
      <c r="L1750" s="16"/>
      <c r="M1750" s="16">
        <v>1744</v>
      </c>
      <c r="N1750" s="16">
        <f t="shared" si="138"/>
        <v>0.62535868005738882</v>
      </c>
      <c r="O1750" s="16"/>
      <c r="P1750" s="16"/>
      <c r="Q1750" s="16">
        <f t="shared" si="139"/>
        <v>0.31958540477631975</v>
      </c>
    </row>
    <row r="1751" spans="4:17" ht="15" thickBot="1" x14ac:dyDescent="0.35">
      <c r="D1751" s="20">
        <f t="shared" si="135"/>
        <v>1745</v>
      </c>
      <c r="E1751" s="20">
        <f t="shared" si="136"/>
        <v>4850</v>
      </c>
      <c r="F1751" s="20">
        <f t="shared" si="137"/>
        <v>3250</v>
      </c>
      <c r="G1751" s="20">
        <v>0.37743762753761917</v>
      </c>
      <c r="H1751" s="50"/>
      <c r="I1751" s="16"/>
      <c r="J1751" s="16"/>
      <c r="K1751" s="16"/>
      <c r="L1751" s="16"/>
      <c r="M1751" s="16">
        <v>1745</v>
      </c>
      <c r="N1751" s="16">
        <f t="shared" si="138"/>
        <v>0.62571736011477763</v>
      </c>
      <c r="O1751" s="16"/>
      <c r="P1751" s="16"/>
      <c r="Q1751" s="16">
        <f t="shared" si="139"/>
        <v>0.32053173170160409</v>
      </c>
    </row>
    <row r="1752" spans="4:17" ht="15" thickBot="1" x14ac:dyDescent="0.35">
      <c r="D1752" s="20">
        <f t="shared" si="135"/>
        <v>1746</v>
      </c>
      <c r="E1752" s="20">
        <f t="shared" si="136"/>
        <v>4950</v>
      </c>
      <c r="F1752" s="20">
        <f t="shared" si="137"/>
        <v>3250</v>
      </c>
      <c r="G1752" s="20">
        <v>0.37756876598913269</v>
      </c>
      <c r="H1752" s="50"/>
      <c r="I1752" s="16"/>
      <c r="J1752" s="16"/>
      <c r="K1752" s="16"/>
      <c r="L1752" s="16"/>
      <c r="M1752" s="16">
        <v>1746</v>
      </c>
      <c r="N1752" s="16">
        <f t="shared" si="138"/>
        <v>0.62607604017216645</v>
      </c>
      <c r="O1752" s="16"/>
      <c r="P1752" s="16"/>
      <c r="Q1752" s="16">
        <f t="shared" si="139"/>
        <v>0.32147834576132267</v>
      </c>
    </row>
    <row r="1753" spans="4:17" ht="15" thickBot="1" x14ac:dyDescent="0.35">
      <c r="D1753" s="20">
        <f t="shared" si="135"/>
        <v>1747</v>
      </c>
      <c r="E1753" s="44">
        <f t="shared" si="136"/>
        <v>5050</v>
      </c>
      <c r="F1753" s="44">
        <f t="shared" si="137"/>
        <v>3250</v>
      </c>
      <c r="G1753" s="20">
        <v>0.37760475038718649</v>
      </c>
      <c r="H1753" s="50"/>
      <c r="I1753" s="16"/>
      <c r="J1753" s="16"/>
      <c r="K1753" s="16"/>
      <c r="L1753" s="16"/>
      <c r="M1753" s="16">
        <v>1747</v>
      </c>
      <c r="N1753" s="16">
        <f t="shared" si="138"/>
        <v>0.62643472022955526</v>
      </c>
      <c r="O1753" s="16"/>
      <c r="P1753" s="16"/>
      <c r="Q1753" s="16">
        <f t="shared" si="139"/>
        <v>0.32242524797852934</v>
      </c>
    </row>
    <row r="1754" spans="4:17" ht="15" thickBot="1" x14ac:dyDescent="0.35">
      <c r="D1754" s="20">
        <f t="shared" si="135"/>
        <v>1748</v>
      </c>
      <c r="E1754" s="20">
        <f t="shared" si="136"/>
        <v>5150</v>
      </c>
      <c r="F1754" s="20">
        <f t="shared" si="137"/>
        <v>3250</v>
      </c>
      <c r="G1754" s="20">
        <v>0.37764261403783717</v>
      </c>
      <c r="H1754" s="50"/>
      <c r="I1754" s="16"/>
      <c r="J1754" s="16"/>
      <c r="K1754" s="16"/>
      <c r="L1754" s="16"/>
      <c r="M1754" s="16">
        <v>1748</v>
      </c>
      <c r="N1754" s="16">
        <f t="shared" si="138"/>
        <v>0.62679340028694408</v>
      </c>
      <c r="O1754" s="16"/>
      <c r="P1754" s="16"/>
      <c r="Q1754" s="16">
        <f t="shared" si="139"/>
        <v>0.32337243937824606</v>
      </c>
    </row>
    <row r="1755" spans="4:17" ht="15" thickBot="1" x14ac:dyDescent="0.35">
      <c r="D1755" s="20">
        <f t="shared" si="135"/>
        <v>1749</v>
      </c>
      <c r="E1755" s="20">
        <f t="shared" si="136"/>
        <v>5250</v>
      </c>
      <c r="F1755" s="20">
        <f t="shared" si="137"/>
        <v>3250</v>
      </c>
      <c r="G1755" s="20">
        <v>0.37771705115795073</v>
      </c>
      <c r="H1755" s="50"/>
      <c r="I1755" s="16"/>
      <c r="J1755" s="16"/>
      <c r="K1755" s="16"/>
      <c r="L1755" s="16"/>
      <c r="M1755" s="16">
        <v>1749</v>
      </c>
      <c r="N1755" s="16">
        <f t="shared" si="138"/>
        <v>0.6271520803443329</v>
      </c>
      <c r="O1755" s="16"/>
      <c r="P1755" s="16"/>
      <c r="Q1755" s="16">
        <f t="shared" si="139"/>
        <v>0.32431992098747198</v>
      </c>
    </row>
    <row r="1756" spans="4:17" ht="15" thickBot="1" x14ac:dyDescent="0.35">
      <c r="D1756" s="20">
        <f t="shared" si="135"/>
        <v>1750</v>
      </c>
      <c r="E1756" s="20">
        <f t="shared" si="136"/>
        <v>50</v>
      </c>
      <c r="F1756" s="20">
        <f t="shared" si="137"/>
        <v>3350</v>
      </c>
      <c r="G1756" s="20">
        <v>0.37773139958134822</v>
      </c>
      <c r="H1756" s="50"/>
      <c r="I1756" s="16"/>
      <c r="J1756" s="16"/>
      <c r="K1756" s="16"/>
      <c r="L1756" s="16"/>
      <c r="M1756" s="16">
        <v>1750</v>
      </c>
      <c r="N1756" s="16">
        <f t="shared" si="138"/>
        <v>0.62751076040172171</v>
      </c>
      <c r="O1756" s="16"/>
      <c r="P1756" s="16"/>
      <c r="Q1756" s="16">
        <f t="shared" si="139"/>
        <v>0.32526769383519277</v>
      </c>
    </row>
    <row r="1757" spans="4:17" ht="15" thickBot="1" x14ac:dyDescent="0.35">
      <c r="D1757" s="20">
        <f t="shared" si="135"/>
        <v>1751</v>
      </c>
      <c r="E1757" s="47">
        <f t="shared" si="136"/>
        <v>150</v>
      </c>
      <c r="F1757" s="47">
        <f t="shared" si="137"/>
        <v>3350</v>
      </c>
      <c r="G1757" s="20">
        <v>0.37779004359154328</v>
      </c>
      <c r="H1757" s="50"/>
      <c r="I1757" s="16"/>
      <c r="J1757" s="16"/>
      <c r="K1757" s="16"/>
      <c r="L1757" s="16"/>
      <c r="M1757" s="16">
        <v>1751</v>
      </c>
      <c r="N1757" s="16">
        <f t="shared" si="138"/>
        <v>0.62786944045911053</v>
      </c>
      <c r="O1757" s="16"/>
      <c r="P1757" s="16"/>
      <c r="Q1757" s="16">
        <f t="shared" si="139"/>
        <v>0.3262157589523903</v>
      </c>
    </row>
    <row r="1758" spans="4:17" ht="15" thickBot="1" x14ac:dyDescent="0.35">
      <c r="D1758" s="20">
        <f t="shared" si="135"/>
        <v>1752</v>
      </c>
      <c r="E1758" s="20">
        <f t="shared" si="136"/>
        <v>250</v>
      </c>
      <c r="F1758" s="20">
        <f t="shared" si="137"/>
        <v>3350</v>
      </c>
      <c r="G1758" s="20">
        <v>0.37781066614416586</v>
      </c>
      <c r="H1758" s="50"/>
      <c r="I1758" s="16"/>
      <c r="J1758" s="16"/>
      <c r="K1758" s="16"/>
      <c r="L1758" s="16"/>
      <c r="M1758" s="16">
        <v>1752</v>
      </c>
      <c r="N1758" s="16">
        <f t="shared" si="138"/>
        <v>0.62822812051649923</v>
      </c>
      <c r="O1758" s="16"/>
      <c r="P1758" s="16"/>
      <c r="Q1758" s="16">
        <f t="shared" si="139"/>
        <v>0.32716411737205059</v>
      </c>
    </row>
    <row r="1759" spans="4:17" ht="15" thickBot="1" x14ac:dyDescent="0.35">
      <c r="D1759" s="20">
        <f t="shared" si="135"/>
        <v>1753</v>
      </c>
      <c r="E1759" s="20">
        <f t="shared" si="136"/>
        <v>350</v>
      </c>
      <c r="F1759" s="20">
        <f t="shared" si="137"/>
        <v>3350</v>
      </c>
      <c r="G1759" s="20">
        <v>0.37781874434267654</v>
      </c>
      <c r="H1759" s="50"/>
      <c r="I1759" s="16"/>
      <c r="J1759" s="16"/>
      <c r="K1759" s="16"/>
      <c r="L1759" s="16"/>
      <c r="M1759" s="16">
        <v>1753</v>
      </c>
      <c r="N1759" s="16">
        <f t="shared" si="138"/>
        <v>0.62858680057388805</v>
      </c>
      <c r="O1759" s="16"/>
      <c r="P1759" s="16"/>
      <c r="Q1759" s="16">
        <f t="shared" si="139"/>
        <v>0.32811277012917522</v>
      </c>
    </row>
    <row r="1760" spans="4:17" ht="15" thickBot="1" x14ac:dyDescent="0.35">
      <c r="D1760" s="20">
        <f t="shared" si="135"/>
        <v>1754</v>
      </c>
      <c r="E1760" s="20">
        <f t="shared" si="136"/>
        <v>450</v>
      </c>
      <c r="F1760" s="20">
        <f t="shared" si="137"/>
        <v>3350</v>
      </c>
      <c r="G1760" s="20">
        <v>0.37784095576053989</v>
      </c>
      <c r="H1760" s="50"/>
      <c r="I1760" s="16"/>
      <c r="J1760" s="16"/>
      <c r="K1760" s="16"/>
      <c r="L1760" s="16"/>
      <c r="M1760" s="16">
        <v>1754</v>
      </c>
      <c r="N1760" s="16">
        <f t="shared" si="138"/>
        <v>0.62894548063127687</v>
      </c>
      <c r="O1760" s="16"/>
      <c r="P1760" s="16"/>
      <c r="Q1760" s="16">
        <f t="shared" si="139"/>
        <v>0.32906171826078873</v>
      </c>
    </row>
    <row r="1761" spans="4:17" ht="15" thickBot="1" x14ac:dyDescent="0.35">
      <c r="D1761" s="20">
        <f t="shared" si="135"/>
        <v>1755</v>
      </c>
      <c r="E1761" s="20">
        <f t="shared" si="136"/>
        <v>550</v>
      </c>
      <c r="F1761" s="20">
        <f t="shared" si="137"/>
        <v>3350</v>
      </c>
      <c r="G1761" s="20">
        <v>0.3778496510188678</v>
      </c>
      <c r="H1761" s="50"/>
      <c r="I1761" s="16"/>
      <c r="J1761" s="16"/>
      <c r="K1761" s="16"/>
      <c r="L1761" s="16"/>
      <c r="M1761" s="16">
        <v>1755</v>
      </c>
      <c r="N1761" s="16">
        <f t="shared" si="138"/>
        <v>0.62930416068866568</v>
      </c>
      <c r="O1761" s="16"/>
      <c r="P1761" s="16"/>
      <c r="Q1761" s="16">
        <f t="shared" si="139"/>
        <v>0.33001096280594872</v>
      </c>
    </row>
    <row r="1762" spans="4:17" ht="15" thickBot="1" x14ac:dyDescent="0.35">
      <c r="D1762" s="20">
        <f t="shared" si="135"/>
        <v>1756</v>
      </c>
      <c r="E1762" s="47">
        <f t="shared" si="136"/>
        <v>650</v>
      </c>
      <c r="F1762" s="47">
        <f t="shared" si="137"/>
        <v>3350</v>
      </c>
      <c r="G1762" s="20">
        <v>0.37789150759991474</v>
      </c>
      <c r="H1762" s="50"/>
      <c r="I1762" s="16"/>
      <c r="J1762" s="16"/>
      <c r="K1762" s="16"/>
      <c r="L1762" s="16"/>
      <c r="M1762" s="16">
        <v>1756</v>
      </c>
      <c r="N1762" s="16">
        <f t="shared" si="138"/>
        <v>0.6296628407460545</v>
      </c>
      <c r="O1762" s="16"/>
      <c r="P1762" s="16"/>
      <c r="Q1762" s="16">
        <f t="shared" si="139"/>
        <v>0.33096050480575562</v>
      </c>
    </row>
    <row r="1763" spans="4:17" ht="15" thickBot="1" x14ac:dyDescent="0.35">
      <c r="D1763" s="20">
        <f t="shared" si="135"/>
        <v>1757</v>
      </c>
      <c r="E1763" s="20">
        <f t="shared" si="136"/>
        <v>750</v>
      </c>
      <c r="F1763" s="20">
        <f t="shared" si="137"/>
        <v>3350</v>
      </c>
      <c r="G1763" s="20">
        <v>0.37790675137878332</v>
      </c>
      <c r="H1763" s="50"/>
      <c r="I1763" s="16"/>
      <c r="J1763" s="16"/>
      <c r="K1763" s="16"/>
      <c r="L1763" s="16"/>
      <c r="M1763" s="16">
        <v>1757</v>
      </c>
      <c r="N1763" s="16">
        <f t="shared" si="138"/>
        <v>0.63002152080344331</v>
      </c>
      <c r="O1763" s="16"/>
      <c r="P1763" s="16"/>
      <c r="Q1763" s="16">
        <f t="shared" si="139"/>
        <v>0.33191034530336139</v>
      </c>
    </row>
    <row r="1764" spans="4:17" ht="15" thickBot="1" x14ac:dyDescent="0.35">
      <c r="D1764" s="20">
        <f t="shared" si="135"/>
        <v>1758</v>
      </c>
      <c r="E1764" s="20">
        <f t="shared" si="136"/>
        <v>850</v>
      </c>
      <c r="F1764" s="20">
        <f t="shared" si="137"/>
        <v>3350</v>
      </c>
      <c r="G1764" s="20">
        <v>0.37818861512111346</v>
      </c>
      <c r="H1764" s="50"/>
      <c r="I1764" s="16"/>
      <c r="J1764" s="16"/>
      <c r="K1764" s="16"/>
      <c r="L1764" s="16"/>
      <c r="M1764" s="16">
        <v>1758</v>
      </c>
      <c r="N1764" s="16">
        <f t="shared" si="138"/>
        <v>0.63038020086083213</v>
      </c>
      <c r="O1764" s="16"/>
      <c r="P1764" s="16"/>
      <c r="Q1764" s="16">
        <f t="shared" si="139"/>
        <v>0.33286048534397994</v>
      </c>
    </row>
    <row r="1765" spans="4:17" ht="15" thickBot="1" x14ac:dyDescent="0.35">
      <c r="D1765" s="20">
        <f t="shared" si="135"/>
        <v>1759</v>
      </c>
      <c r="E1765" s="48">
        <f t="shared" si="136"/>
        <v>950</v>
      </c>
      <c r="F1765" s="48">
        <f t="shared" si="137"/>
        <v>3350</v>
      </c>
      <c r="G1765" s="20">
        <v>0.37821914996576322</v>
      </c>
      <c r="H1765" s="50"/>
      <c r="I1765" s="16"/>
      <c r="J1765" s="16"/>
      <c r="K1765" s="16"/>
      <c r="L1765" s="16"/>
      <c r="M1765" s="16">
        <v>1759</v>
      </c>
      <c r="N1765" s="16">
        <f t="shared" si="138"/>
        <v>0.63073888091822095</v>
      </c>
      <c r="O1765" s="16"/>
      <c r="P1765" s="16"/>
      <c r="Q1765" s="16">
        <f t="shared" si="139"/>
        <v>0.33381092597489581</v>
      </c>
    </row>
    <row r="1766" spans="4:17" ht="15" thickBot="1" x14ac:dyDescent="0.35">
      <c r="D1766" s="20">
        <f t="shared" si="135"/>
        <v>1760</v>
      </c>
      <c r="E1766" s="20">
        <f t="shared" si="136"/>
        <v>1050</v>
      </c>
      <c r="F1766" s="20">
        <f t="shared" si="137"/>
        <v>3350</v>
      </c>
      <c r="G1766" s="20">
        <v>0.37831166376463699</v>
      </c>
      <c r="H1766" s="50"/>
      <c r="I1766" s="16"/>
      <c r="J1766" s="16"/>
      <c r="K1766" s="16"/>
      <c r="L1766" s="16"/>
      <c r="M1766" s="16">
        <v>1760</v>
      </c>
      <c r="N1766" s="16">
        <f t="shared" si="138"/>
        <v>0.63109756097560976</v>
      </c>
      <c r="O1766" s="16"/>
      <c r="P1766" s="16"/>
      <c r="Q1766" s="16">
        <f t="shared" si="139"/>
        <v>0.33476166824547443</v>
      </c>
    </row>
    <row r="1767" spans="4:17" ht="15" thickBot="1" x14ac:dyDescent="0.35">
      <c r="D1767" s="20">
        <f t="shared" si="135"/>
        <v>1761</v>
      </c>
      <c r="E1767" s="20">
        <f t="shared" si="136"/>
        <v>1150</v>
      </c>
      <c r="F1767" s="20">
        <f t="shared" si="137"/>
        <v>3350</v>
      </c>
      <c r="G1767" s="20">
        <v>0.37838907097235081</v>
      </c>
      <c r="H1767" s="50"/>
      <c r="I1767" s="16"/>
      <c r="J1767" s="16"/>
      <c r="K1767" s="16"/>
      <c r="L1767" s="16"/>
      <c r="M1767" s="16">
        <v>1761</v>
      </c>
      <c r="N1767" s="16">
        <f t="shared" si="138"/>
        <v>0.63145624103299858</v>
      </c>
      <c r="O1767" s="16"/>
      <c r="P1767" s="16"/>
      <c r="Q1767" s="16">
        <f t="shared" si="139"/>
        <v>0.33571271320717128</v>
      </c>
    </row>
    <row r="1768" spans="4:17" ht="15" thickBot="1" x14ac:dyDescent="0.35">
      <c r="D1768" s="20">
        <f t="shared" si="135"/>
        <v>1762</v>
      </c>
      <c r="E1768" s="20">
        <f t="shared" si="136"/>
        <v>1250</v>
      </c>
      <c r="F1768" s="20">
        <f t="shared" si="137"/>
        <v>3350</v>
      </c>
      <c r="G1768" s="20">
        <v>0.37842321783138505</v>
      </c>
      <c r="H1768" s="50"/>
      <c r="I1768" s="16"/>
      <c r="J1768" s="16"/>
      <c r="K1768" s="16"/>
      <c r="L1768" s="16"/>
      <c r="M1768" s="16">
        <v>1762</v>
      </c>
      <c r="N1768" s="16">
        <f t="shared" si="138"/>
        <v>0.63181492109038739</v>
      </c>
      <c r="O1768" s="16"/>
      <c r="P1768" s="16"/>
      <c r="Q1768" s="16">
        <f t="shared" si="139"/>
        <v>0.33666406191354192</v>
      </c>
    </row>
    <row r="1769" spans="4:17" ht="15" thickBot="1" x14ac:dyDescent="0.35">
      <c r="D1769" s="20">
        <f t="shared" si="135"/>
        <v>1763</v>
      </c>
      <c r="E1769" s="20">
        <f t="shared" si="136"/>
        <v>1350</v>
      </c>
      <c r="F1769" s="20">
        <f t="shared" si="137"/>
        <v>3350</v>
      </c>
      <c r="G1769" s="20">
        <v>0.3784531354393138</v>
      </c>
      <c r="H1769" s="50"/>
      <c r="I1769" s="16"/>
      <c r="J1769" s="16"/>
      <c r="K1769" s="16"/>
      <c r="L1769" s="16"/>
      <c r="M1769" s="16">
        <v>1763</v>
      </c>
      <c r="N1769" s="16">
        <f t="shared" si="138"/>
        <v>0.63217360114777621</v>
      </c>
      <c r="O1769" s="16"/>
      <c r="P1769" s="16"/>
      <c r="Q1769" s="16">
        <f t="shared" si="139"/>
        <v>0.33761571542025109</v>
      </c>
    </row>
    <row r="1770" spans="4:17" ht="15" thickBot="1" x14ac:dyDescent="0.35">
      <c r="D1770" s="20">
        <f t="shared" si="135"/>
        <v>1764</v>
      </c>
      <c r="E1770" s="20">
        <f t="shared" si="136"/>
        <v>1450</v>
      </c>
      <c r="F1770" s="20">
        <f t="shared" si="137"/>
        <v>3350</v>
      </c>
      <c r="G1770" s="20">
        <v>0.37849394906323131</v>
      </c>
      <c r="H1770" s="50"/>
      <c r="I1770" s="16"/>
      <c r="J1770" s="16"/>
      <c r="K1770" s="16"/>
      <c r="L1770" s="16"/>
      <c r="M1770" s="16">
        <v>1764</v>
      </c>
      <c r="N1770" s="16">
        <f t="shared" si="138"/>
        <v>0.63253228120516503</v>
      </c>
      <c r="O1770" s="16"/>
      <c r="P1770" s="16"/>
      <c r="Q1770" s="16">
        <f t="shared" si="139"/>
        <v>0.33856767478508326</v>
      </c>
    </row>
    <row r="1771" spans="4:17" ht="15" thickBot="1" x14ac:dyDescent="0.35">
      <c r="D1771" s="20">
        <f t="shared" si="135"/>
        <v>1765</v>
      </c>
      <c r="E1771" s="20">
        <f t="shared" si="136"/>
        <v>1550</v>
      </c>
      <c r="F1771" s="20">
        <f t="shared" si="137"/>
        <v>3350</v>
      </c>
      <c r="G1771" s="20">
        <v>0.37855110353422466</v>
      </c>
      <c r="H1771" s="50"/>
      <c r="I1771" s="16"/>
      <c r="J1771" s="16"/>
      <c r="K1771" s="16"/>
      <c r="L1771" s="16"/>
      <c r="M1771" s="16">
        <v>1765</v>
      </c>
      <c r="N1771" s="16">
        <f t="shared" si="138"/>
        <v>0.63289096126255384</v>
      </c>
      <c r="O1771" s="16"/>
      <c r="P1771" s="16"/>
      <c r="Q1771" s="16">
        <f t="shared" si="139"/>
        <v>0.33951994106795186</v>
      </c>
    </row>
    <row r="1772" spans="4:17" ht="15" thickBot="1" x14ac:dyDescent="0.35">
      <c r="D1772" s="20">
        <f t="shared" si="135"/>
        <v>1766</v>
      </c>
      <c r="E1772" s="20">
        <f t="shared" si="136"/>
        <v>1650</v>
      </c>
      <c r="F1772" s="20">
        <f t="shared" si="137"/>
        <v>3350</v>
      </c>
      <c r="G1772" s="20">
        <v>0.37856139843296077</v>
      </c>
      <c r="H1772" s="50"/>
      <c r="I1772" s="16"/>
      <c r="J1772" s="16"/>
      <c r="K1772" s="16"/>
      <c r="L1772" s="16"/>
      <c r="M1772" s="16">
        <v>1766</v>
      </c>
      <c r="N1772" s="16">
        <f t="shared" si="138"/>
        <v>0.63324964131994266</v>
      </c>
      <c r="O1772" s="16"/>
      <c r="P1772" s="16"/>
      <c r="Q1772" s="16">
        <f t="shared" si="139"/>
        <v>0.34047251533090928</v>
      </c>
    </row>
    <row r="1773" spans="4:17" ht="15" thickBot="1" x14ac:dyDescent="0.35">
      <c r="D1773" s="20">
        <f t="shared" si="135"/>
        <v>1767</v>
      </c>
      <c r="E1773" s="20">
        <f t="shared" si="136"/>
        <v>1750</v>
      </c>
      <c r="F1773" s="20">
        <f t="shared" si="137"/>
        <v>3350</v>
      </c>
      <c r="G1773" s="20">
        <v>0.37862066425512531</v>
      </c>
      <c r="H1773" s="50"/>
      <c r="I1773" s="16"/>
      <c r="J1773" s="16"/>
      <c r="K1773" s="16"/>
      <c r="L1773" s="16"/>
      <c r="M1773" s="16">
        <v>1767</v>
      </c>
      <c r="N1773" s="16">
        <f t="shared" si="138"/>
        <v>0.63360832137733147</v>
      </c>
      <c r="O1773" s="16"/>
      <c r="P1773" s="16"/>
      <c r="Q1773" s="16">
        <f t="shared" si="139"/>
        <v>0.34142539863815691</v>
      </c>
    </row>
    <row r="1774" spans="4:17" ht="15" thickBot="1" x14ac:dyDescent="0.35">
      <c r="D1774" s="20">
        <f t="shared" si="135"/>
        <v>1768</v>
      </c>
      <c r="E1774" s="20">
        <f t="shared" si="136"/>
        <v>1850</v>
      </c>
      <c r="F1774" s="20">
        <f t="shared" si="137"/>
        <v>3350</v>
      </c>
      <c r="G1774" s="20">
        <v>0.37865164837349047</v>
      </c>
      <c r="H1774" s="50"/>
      <c r="I1774" s="16"/>
      <c r="J1774" s="16"/>
      <c r="K1774" s="16"/>
      <c r="L1774" s="16"/>
      <c r="M1774" s="16">
        <v>1768</v>
      </c>
      <c r="N1774" s="16">
        <f t="shared" si="138"/>
        <v>0.63396700143472018</v>
      </c>
      <c r="O1774" s="16"/>
      <c r="P1774" s="16"/>
      <c r="Q1774" s="16">
        <f t="shared" si="139"/>
        <v>0.34237859205605409</v>
      </c>
    </row>
    <row r="1775" spans="4:17" ht="15" thickBot="1" x14ac:dyDescent="0.35">
      <c r="D1775" s="20">
        <f t="shared" si="135"/>
        <v>1769</v>
      </c>
      <c r="E1775" s="20">
        <f t="shared" si="136"/>
        <v>1950</v>
      </c>
      <c r="F1775" s="20">
        <f t="shared" si="137"/>
        <v>3350</v>
      </c>
      <c r="G1775" s="20">
        <v>0.37871610840495556</v>
      </c>
      <c r="H1775" s="50"/>
      <c r="I1775" s="16"/>
      <c r="J1775" s="16"/>
      <c r="K1775" s="16"/>
      <c r="L1775" s="16"/>
      <c r="M1775" s="16">
        <v>1769</v>
      </c>
      <c r="N1775" s="16">
        <f t="shared" si="138"/>
        <v>0.63432568149210899</v>
      </c>
      <c r="O1775" s="16"/>
      <c r="P1775" s="16"/>
      <c r="Q1775" s="16">
        <f t="shared" si="139"/>
        <v>0.3433320966531303</v>
      </c>
    </row>
    <row r="1776" spans="4:17" ht="15" thickBot="1" x14ac:dyDescent="0.35">
      <c r="D1776" s="20">
        <f t="shared" si="135"/>
        <v>1770</v>
      </c>
      <c r="E1776" s="20">
        <f t="shared" si="136"/>
        <v>2050</v>
      </c>
      <c r="F1776" s="20">
        <f t="shared" si="137"/>
        <v>3350</v>
      </c>
      <c r="G1776" s="20">
        <v>0.37874361458909628</v>
      </c>
      <c r="H1776" s="50"/>
      <c r="I1776" s="16"/>
      <c r="J1776" s="16"/>
      <c r="K1776" s="16"/>
      <c r="L1776" s="16"/>
      <c r="M1776" s="16">
        <v>1770</v>
      </c>
      <c r="N1776" s="16">
        <f t="shared" si="138"/>
        <v>0.63468436154949781</v>
      </c>
      <c r="O1776" s="16"/>
      <c r="P1776" s="16"/>
      <c r="Q1776" s="16">
        <f t="shared" si="139"/>
        <v>0.34428591350009258</v>
      </c>
    </row>
    <row r="1777" spans="4:17" ht="15" thickBot="1" x14ac:dyDescent="0.35">
      <c r="D1777" s="20">
        <f t="shared" si="135"/>
        <v>1771</v>
      </c>
      <c r="E1777" s="20">
        <f t="shared" si="136"/>
        <v>2150</v>
      </c>
      <c r="F1777" s="20">
        <f t="shared" si="137"/>
        <v>3350</v>
      </c>
      <c r="G1777" s="20">
        <v>0.37879770813533226</v>
      </c>
      <c r="H1777" s="50"/>
      <c r="I1777" s="16"/>
      <c r="J1777" s="16"/>
      <c r="K1777" s="16"/>
      <c r="L1777" s="16"/>
      <c r="M1777" s="16">
        <v>1771</v>
      </c>
      <c r="N1777" s="16">
        <f t="shared" si="138"/>
        <v>0.63504304160688663</v>
      </c>
      <c r="O1777" s="16"/>
      <c r="P1777" s="16"/>
      <c r="Q1777" s="16">
        <f t="shared" si="139"/>
        <v>0.34524004366983679</v>
      </c>
    </row>
    <row r="1778" spans="4:17" ht="15" thickBot="1" x14ac:dyDescent="0.35">
      <c r="D1778" s="20">
        <f t="shared" si="135"/>
        <v>1772</v>
      </c>
      <c r="E1778" s="20">
        <f t="shared" si="136"/>
        <v>2250</v>
      </c>
      <c r="F1778" s="20">
        <f t="shared" si="137"/>
        <v>3350</v>
      </c>
      <c r="G1778" s="20">
        <v>0.37880424757605829</v>
      </c>
      <c r="H1778" s="50"/>
      <c r="I1778" s="16"/>
      <c r="J1778" s="16"/>
      <c r="K1778" s="16"/>
      <c r="L1778" s="16"/>
      <c r="M1778" s="16">
        <v>1772</v>
      </c>
      <c r="N1778" s="16">
        <f t="shared" si="138"/>
        <v>0.63540172166427544</v>
      </c>
      <c r="O1778" s="16"/>
      <c r="P1778" s="16"/>
      <c r="Q1778" s="16">
        <f t="shared" si="139"/>
        <v>0.34619448823745796</v>
      </c>
    </row>
    <row r="1779" spans="4:17" ht="15" thickBot="1" x14ac:dyDescent="0.35">
      <c r="D1779" s="20">
        <f t="shared" si="135"/>
        <v>1773</v>
      </c>
      <c r="E1779" s="20">
        <f t="shared" si="136"/>
        <v>2350</v>
      </c>
      <c r="F1779" s="20">
        <f t="shared" si="137"/>
        <v>3350</v>
      </c>
      <c r="G1779" s="20">
        <v>0.37881160663771285</v>
      </c>
      <c r="H1779" s="50"/>
      <c r="I1779" s="16"/>
      <c r="J1779" s="16"/>
      <c r="K1779" s="16"/>
      <c r="L1779" s="16"/>
      <c r="M1779" s="16">
        <v>1773</v>
      </c>
      <c r="N1779" s="16">
        <f t="shared" si="138"/>
        <v>0.63576040172166426</v>
      </c>
      <c r="O1779" s="16"/>
      <c r="P1779" s="16"/>
      <c r="Q1779" s="16">
        <f t="shared" si="139"/>
        <v>0.34714924828025989</v>
      </c>
    </row>
    <row r="1780" spans="4:17" ht="15" thickBot="1" x14ac:dyDescent="0.35">
      <c r="D1780" s="20">
        <f t="shared" si="135"/>
        <v>1774</v>
      </c>
      <c r="E1780" s="20">
        <f t="shared" si="136"/>
        <v>2450</v>
      </c>
      <c r="F1780" s="20">
        <f t="shared" si="137"/>
        <v>3350</v>
      </c>
      <c r="G1780" s="20">
        <v>0.37886118590059326</v>
      </c>
      <c r="H1780" s="50"/>
      <c r="I1780" s="16"/>
      <c r="J1780" s="16"/>
      <c r="K1780" s="16"/>
      <c r="L1780" s="16"/>
      <c r="M1780" s="16">
        <v>1774</v>
      </c>
      <c r="N1780" s="16">
        <f t="shared" si="138"/>
        <v>0.63611908177905307</v>
      </c>
      <c r="O1780" s="16"/>
      <c r="P1780" s="16"/>
      <c r="Q1780" s="16">
        <f t="shared" si="139"/>
        <v>0.34810432487776538</v>
      </c>
    </row>
    <row r="1781" spans="4:17" ht="15" thickBot="1" x14ac:dyDescent="0.35">
      <c r="D1781" s="20">
        <f t="shared" si="135"/>
        <v>1775</v>
      </c>
      <c r="E1781" s="20">
        <f t="shared" si="136"/>
        <v>2550</v>
      </c>
      <c r="F1781" s="20">
        <f t="shared" si="137"/>
        <v>3350</v>
      </c>
      <c r="G1781" s="20">
        <v>0.3789159288278014</v>
      </c>
      <c r="H1781" s="50"/>
      <c r="I1781" s="16"/>
      <c r="J1781" s="16"/>
      <c r="K1781" s="16"/>
      <c r="L1781" s="16"/>
      <c r="M1781" s="16">
        <v>1775</v>
      </c>
      <c r="N1781" s="16">
        <f t="shared" si="138"/>
        <v>0.63647776183644189</v>
      </c>
      <c r="O1781" s="16"/>
      <c r="P1781" s="16"/>
      <c r="Q1781" s="16">
        <f t="shared" si="139"/>
        <v>0.34905971911172667</v>
      </c>
    </row>
    <row r="1782" spans="4:17" ht="15" thickBot="1" x14ac:dyDescent="0.35">
      <c r="D1782" s="20">
        <f t="shared" si="135"/>
        <v>1776</v>
      </c>
      <c r="E1782" s="20">
        <f t="shared" si="136"/>
        <v>2650</v>
      </c>
      <c r="F1782" s="20">
        <f t="shared" si="137"/>
        <v>3350</v>
      </c>
      <c r="G1782" s="20">
        <v>0.37897710292549941</v>
      </c>
      <c r="H1782" s="50"/>
      <c r="I1782" s="16"/>
      <c r="J1782" s="16"/>
      <c r="K1782" s="16"/>
      <c r="L1782" s="16"/>
      <c r="M1782" s="16">
        <v>1776</v>
      </c>
      <c r="N1782" s="16">
        <f t="shared" si="138"/>
        <v>0.63683644189383071</v>
      </c>
      <c r="O1782" s="16"/>
      <c r="P1782" s="16"/>
      <c r="Q1782" s="16">
        <f t="shared" si="139"/>
        <v>0.35001543206613561</v>
      </c>
    </row>
    <row r="1783" spans="4:17" ht="15" thickBot="1" x14ac:dyDescent="0.35">
      <c r="D1783" s="20">
        <f t="shared" si="135"/>
        <v>1777</v>
      </c>
      <c r="E1783" s="20">
        <f t="shared" si="136"/>
        <v>2750</v>
      </c>
      <c r="F1783" s="20">
        <f t="shared" si="137"/>
        <v>3350</v>
      </c>
      <c r="G1783" s="20">
        <v>0.37905647927643543</v>
      </c>
      <c r="H1783" s="50"/>
      <c r="I1783" s="16"/>
      <c r="J1783" s="16"/>
      <c r="K1783" s="16"/>
      <c r="L1783" s="16"/>
      <c r="M1783" s="16">
        <v>1777</v>
      </c>
      <c r="N1783" s="16">
        <f t="shared" si="138"/>
        <v>0.63719512195121952</v>
      </c>
      <c r="O1783" s="16"/>
      <c r="P1783" s="16"/>
      <c r="Q1783" s="16">
        <f t="shared" si="139"/>
        <v>0.3509714648272339</v>
      </c>
    </row>
    <row r="1784" spans="4:17" ht="15" thickBot="1" x14ac:dyDescent="0.35">
      <c r="D1784" s="20">
        <f t="shared" si="135"/>
        <v>1778</v>
      </c>
      <c r="E1784" s="20">
        <f t="shared" si="136"/>
        <v>2850</v>
      </c>
      <c r="F1784" s="20">
        <f t="shared" si="137"/>
        <v>3350</v>
      </c>
      <c r="G1784" s="20">
        <v>0.37907950468662949</v>
      </c>
      <c r="H1784" s="50"/>
      <c r="I1784" s="16"/>
      <c r="J1784" s="16"/>
      <c r="K1784" s="16"/>
      <c r="L1784" s="16"/>
      <c r="M1784" s="16">
        <v>1778</v>
      </c>
      <c r="N1784" s="16">
        <f t="shared" si="138"/>
        <v>0.63755380200860834</v>
      </c>
      <c r="O1784" s="16"/>
      <c r="P1784" s="16"/>
      <c r="Q1784" s="16">
        <f t="shared" si="139"/>
        <v>0.35192781848352345</v>
      </c>
    </row>
    <row r="1785" spans="4:17" ht="15" thickBot="1" x14ac:dyDescent="0.35">
      <c r="D1785" s="20">
        <f t="shared" si="135"/>
        <v>1779</v>
      </c>
      <c r="E1785" s="20">
        <f t="shared" si="136"/>
        <v>2950</v>
      </c>
      <c r="F1785" s="20">
        <f t="shared" si="137"/>
        <v>3350</v>
      </c>
      <c r="G1785" s="20">
        <v>0.37937486029736084</v>
      </c>
      <c r="H1785" s="50"/>
      <c r="I1785" s="16"/>
      <c r="J1785" s="16"/>
      <c r="K1785" s="16"/>
      <c r="L1785" s="16"/>
      <c r="M1785" s="16">
        <v>1779</v>
      </c>
      <c r="N1785" s="16">
        <f t="shared" si="138"/>
        <v>0.63791248206599716</v>
      </c>
      <c r="O1785" s="16"/>
      <c r="P1785" s="16"/>
      <c r="Q1785" s="16">
        <f t="shared" si="139"/>
        <v>0.35288449412577666</v>
      </c>
    </row>
    <row r="1786" spans="4:17" ht="15" thickBot="1" x14ac:dyDescent="0.35">
      <c r="D1786" s="20">
        <f t="shared" si="135"/>
        <v>1780</v>
      </c>
      <c r="E1786" s="20">
        <f t="shared" si="136"/>
        <v>3050</v>
      </c>
      <c r="F1786" s="20">
        <f t="shared" si="137"/>
        <v>3350</v>
      </c>
      <c r="G1786" s="20">
        <v>0.37939529075211992</v>
      </c>
      <c r="H1786" s="50"/>
      <c r="I1786" s="16"/>
      <c r="J1786" s="16"/>
      <c r="K1786" s="16"/>
      <c r="L1786" s="16"/>
      <c r="M1786" s="16">
        <v>1780</v>
      </c>
      <c r="N1786" s="16">
        <f t="shared" si="138"/>
        <v>0.63827116212338597</v>
      </c>
      <c r="O1786" s="16"/>
      <c r="P1786" s="16"/>
      <c r="Q1786" s="16">
        <f t="shared" si="139"/>
        <v>0.35384149284704736</v>
      </c>
    </row>
    <row r="1787" spans="4:17" ht="15" thickBot="1" x14ac:dyDescent="0.35">
      <c r="D1787" s="20">
        <f t="shared" si="135"/>
        <v>1781</v>
      </c>
      <c r="E1787" s="20">
        <f t="shared" si="136"/>
        <v>3150</v>
      </c>
      <c r="F1787" s="20">
        <f t="shared" si="137"/>
        <v>3350</v>
      </c>
      <c r="G1787" s="20">
        <v>0.37941244693702431</v>
      </c>
      <c r="H1787" s="50"/>
      <c r="I1787" s="16"/>
      <c r="J1787" s="16"/>
      <c r="K1787" s="16"/>
      <c r="L1787" s="16"/>
      <c r="M1787" s="16">
        <v>1781</v>
      </c>
      <c r="N1787" s="16">
        <f t="shared" si="138"/>
        <v>0.63862984218077479</v>
      </c>
      <c r="O1787" s="16"/>
      <c r="P1787" s="16"/>
      <c r="Q1787" s="16">
        <f t="shared" si="139"/>
        <v>0.35479881574268057</v>
      </c>
    </row>
    <row r="1788" spans="4:17" ht="15" thickBot="1" x14ac:dyDescent="0.35">
      <c r="D1788" s="20">
        <f t="shared" si="135"/>
        <v>1782</v>
      </c>
      <c r="E1788" s="20">
        <f t="shared" si="136"/>
        <v>3250</v>
      </c>
      <c r="F1788" s="20">
        <f t="shared" si="137"/>
        <v>3350</v>
      </c>
      <c r="G1788" s="20">
        <v>0.3794518496676233</v>
      </c>
      <c r="H1788" s="50"/>
      <c r="I1788" s="16"/>
      <c r="J1788" s="16"/>
      <c r="K1788" s="16"/>
      <c r="L1788" s="16"/>
      <c r="M1788" s="16">
        <v>1782</v>
      </c>
      <c r="N1788" s="16">
        <f t="shared" si="138"/>
        <v>0.6389885222381636</v>
      </c>
      <c r="O1788" s="16"/>
      <c r="P1788" s="16"/>
      <c r="Q1788" s="16">
        <f t="shared" si="139"/>
        <v>0.35575646391032362</v>
      </c>
    </row>
    <row r="1789" spans="4:17" ht="15" thickBot="1" x14ac:dyDescent="0.35">
      <c r="D1789" s="20">
        <f t="shared" si="135"/>
        <v>1783</v>
      </c>
      <c r="E1789" s="20">
        <f t="shared" si="136"/>
        <v>3350</v>
      </c>
      <c r="F1789" s="20">
        <f t="shared" si="137"/>
        <v>3350</v>
      </c>
      <c r="G1789" s="20">
        <v>0.37946284988842072</v>
      </c>
      <c r="H1789" s="50"/>
      <c r="I1789" s="16"/>
      <c r="J1789" s="16"/>
      <c r="K1789" s="16"/>
      <c r="L1789" s="16"/>
      <c r="M1789" s="16">
        <v>1783</v>
      </c>
      <c r="N1789" s="16">
        <f t="shared" si="138"/>
        <v>0.63934720229555242</v>
      </c>
      <c r="O1789" s="16"/>
      <c r="P1789" s="16"/>
      <c r="Q1789" s="16">
        <f t="shared" si="139"/>
        <v>0.35671443844993606</v>
      </c>
    </row>
    <row r="1790" spans="4:17" ht="15" thickBot="1" x14ac:dyDescent="0.35">
      <c r="D1790" s="20">
        <f t="shared" si="135"/>
        <v>1784</v>
      </c>
      <c r="E1790" s="20">
        <f t="shared" si="136"/>
        <v>3450</v>
      </c>
      <c r="F1790" s="20">
        <f t="shared" si="137"/>
        <v>3350</v>
      </c>
      <c r="G1790" s="20">
        <v>0.37962005065119198</v>
      </c>
      <c r="H1790" s="50"/>
      <c r="I1790" s="16"/>
      <c r="J1790" s="16"/>
      <c r="K1790" s="16"/>
      <c r="L1790" s="16"/>
      <c r="M1790" s="16">
        <v>1784</v>
      </c>
      <c r="N1790" s="16">
        <f t="shared" si="138"/>
        <v>0.63970588235294112</v>
      </c>
      <c r="O1790" s="16"/>
      <c r="P1790" s="16"/>
      <c r="Q1790" s="16">
        <f t="shared" si="139"/>
        <v>0.35767274046380121</v>
      </c>
    </row>
    <row r="1791" spans="4:17" ht="15" thickBot="1" x14ac:dyDescent="0.35">
      <c r="D1791" s="20">
        <f t="shared" si="135"/>
        <v>1785</v>
      </c>
      <c r="E1791" s="20">
        <f t="shared" si="136"/>
        <v>3550</v>
      </c>
      <c r="F1791" s="20">
        <f t="shared" si="137"/>
        <v>3350</v>
      </c>
      <c r="G1791" s="20">
        <v>0.37997907374983458</v>
      </c>
      <c r="H1791" s="50"/>
      <c r="I1791" s="16"/>
      <c r="J1791" s="16"/>
      <c r="K1791" s="16"/>
      <c r="L1791" s="16"/>
      <c r="M1791" s="16">
        <v>1785</v>
      </c>
      <c r="N1791" s="16">
        <f t="shared" si="138"/>
        <v>0.64006456241032994</v>
      </c>
      <c r="O1791" s="16"/>
      <c r="P1791" s="16"/>
      <c r="Q1791" s="16">
        <f t="shared" si="139"/>
        <v>0.35863137105653642</v>
      </c>
    </row>
    <row r="1792" spans="4:17" ht="15" thickBot="1" x14ac:dyDescent="0.35">
      <c r="D1792" s="20">
        <f t="shared" si="135"/>
        <v>1786</v>
      </c>
      <c r="E1792" s="20">
        <f t="shared" si="136"/>
        <v>3650</v>
      </c>
      <c r="F1792" s="20">
        <f t="shared" si="137"/>
        <v>3350</v>
      </c>
      <c r="G1792" s="20">
        <v>0.38003348281346883</v>
      </c>
      <c r="H1792" s="50"/>
      <c r="I1792" s="16"/>
      <c r="J1792" s="16"/>
      <c r="K1792" s="16"/>
      <c r="L1792" s="16"/>
      <c r="M1792" s="16">
        <v>1786</v>
      </c>
      <c r="N1792" s="16">
        <f t="shared" si="138"/>
        <v>0.64042324246771876</v>
      </c>
      <c r="O1792" s="16"/>
      <c r="P1792" s="16"/>
      <c r="Q1792" s="16">
        <f t="shared" si="139"/>
        <v>0.35959033133510332</v>
      </c>
    </row>
    <row r="1793" spans="4:17" ht="15" thickBot="1" x14ac:dyDescent="0.35">
      <c r="D1793" s="20">
        <f t="shared" si="135"/>
        <v>1787</v>
      </c>
      <c r="E1793" s="20">
        <f t="shared" si="136"/>
        <v>3750</v>
      </c>
      <c r="F1793" s="20">
        <f t="shared" si="137"/>
        <v>3350</v>
      </c>
      <c r="G1793" s="20">
        <v>0.3800467298813564</v>
      </c>
      <c r="H1793" s="50"/>
      <c r="I1793" s="16"/>
      <c r="J1793" s="16"/>
      <c r="K1793" s="16"/>
      <c r="L1793" s="16"/>
      <c r="M1793" s="16">
        <v>1787</v>
      </c>
      <c r="N1793" s="16">
        <f t="shared" si="138"/>
        <v>0.64078192252510757</v>
      </c>
      <c r="O1793" s="16"/>
      <c r="P1793" s="16"/>
      <c r="Q1793" s="16">
        <f t="shared" si="139"/>
        <v>0.36054962240881905</v>
      </c>
    </row>
    <row r="1794" spans="4:17" ht="15" thickBot="1" x14ac:dyDescent="0.35">
      <c r="D1794" s="20">
        <f t="shared" si="135"/>
        <v>1788</v>
      </c>
      <c r="E1794" s="20">
        <f t="shared" si="136"/>
        <v>3850</v>
      </c>
      <c r="F1794" s="20">
        <f t="shared" si="137"/>
        <v>3350</v>
      </c>
      <c r="G1794" s="20">
        <v>0.38005679013612753</v>
      </c>
      <c r="H1794" s="50"/>
      <c r="I1794" s="16"/>
      <c r="J1794" s="16"/>
      <c r="K1794" s="16"/>
      <c r="L1794" s="16"/>
      <c r="M1794" s="16">
        <v>1788</v>
      </c>
      <c r="N1794" s="16">
        <f t="shared" si="138"/>
        <v>0.64114060258249639</v>
      </c>
      <c r="O1794" s="16"/>
      <c r="P1794" s="16"/>
      <c r="Q1794" s="16">
        <f t="shared" si="139"/>
        <v>0.36150924538936696</v>
      </c>
    </row>
    <row r="1795" spans="4:17" ht="15" thickBot="1" x14ac:dyDescent="0.35">
      <c r="D1795" s="20">
        <f t="shared" si="135"/>
        <v>1789</v>
      </c>
      <c r="E1795" s="20">
        <f t="shared" si="136"/>
        <v>3950</v>
      </c>
      <c r="F1795" s="20">
        <f t="shared" si="137"/>
        <v>3350</v>
      </c>
      <c r="G1795" s="20">
        <v>0.38011820370229998</v>
      </c>
      <c r="H1795" s="50"/>
      <c r="I1795" s="16"/>
      <c r="J1795" s="16"/>
      <c r="K1795" s="16"/>
      <c r="L1795" s="16"/>
      <c r="M1795" s="16">
        <v>1789</v>
      </c>
      <c r="N1795" s="16">
        <f t="shared" si="138"/>
        <v>0.6414992826398852</v>
      </c>
      <c r="O1795" s="16"/>
      <c r="P1795" s="16"/>
      <c r="Q1795" s="16">
        <f t="shared" si="139"/>
        <v>0.36246920139080774</v>
      </c>
    </row>
    <row r="1796" spans="4:17" ht="15" thickBot="1" x14ac:dyDescent="0.35">
      <c r="D1796" s="20">
        <f t="shared" si="135"/>
        <v>1790</v>
      </c>
      <c r="E1796" s="20">
        <f t="shared" si="136"/>
        <v>4050</v>
      </c>
      <c r="F1796" s="20">
        <f t="shared" si="137"/>
        <v>3350</v>
      </c>
      <c r="G1796" s="20">
        <v>0.38020189246178576</v>
      </c>
      <c r="H1796" s="50"/>
      <c r="I1796" s="16"/>
      <c r="J1796" s="16"/>
      <c r="K1796" s="16"/>
      <c r="L1796" s="16"/>
      <c r="M1796" s="16">
        <v>1790</v>
      </c>
      <c r="N1796" s="16">
        <f t="shared" si="138"/>
        <v>0.64185796269727402</v>
      </c>
      <c r="O1796" s="16"/>
      <c r="P1796" s="16"/>
      <c r="Q1796" s="16">
        <f t="shared" si="139"/>
        <v>0.36342949152958964</v>
      </c>
    </row>
    <row r="1797" spans="4:17" ht="15" thickBot="1" x14ac:dyDescent="0.35">
      <c r="D1797" s="20">
        <f t="shared" si="135"/>
        <v>1791</v>
      </c>
      <c r="E1797" s="20">
        <f t="shared" si="136"/>
        <v>4150</v>
      </c>
      <c r="F1797" s="20">
        <f t="shared" si="137"/>
        <v>3350</v>
      </c>
      <c r="G1797" s="20">
        <v>0.38044290386613872</v>
      </c>
      <c r="H1797" s="50"/>
      <c r="I1797" s="16"/>
      <c r="J1797" s="16"/>
      <c r="K1797" s="16"/>
      <c r="L1797" s="16"/>
      <c r="M1797" s="16">
        <v>1791</v>
      </c>
      <c r="N1797" s="16">
        <f t="shared" si="138"/>
        <v>0.64221664275466284</v>
      </c>
      <c r="O1797" s="16"/>
      <c r="P1797" s="16"/>
      <c r="Q1797" s="16">
        <f t="shared" si="139"/>
        <v>0.36439011692456047</v>
      </c>
    </row>
    <row r="1798" spans="4:17" ht="15" thickBot="1" x14ac:dyDescent="0.35">
      <c r="D1798" s="20">
        <f t="shared" si="135"/>
        <v>1792</v>
      </c>
      <c r="E1798" s="20">
        <f t="shared" si="136"/>
        <v>4250</v>
      </c>
      <c r="F1798" s="20">
        <f t="shared" si="137"/>
        <v>3350</v>
      </c>
      <c r="G1798" s="20">
        <v>0.38053233878814685</v>
      </c>
      <c r="H1798" s="50"/>
      <c r="I1798" s="16"/>
      <c r="J1798" s="16"/>
      <c r="K1798" s="16"/>
      <c r="L1798" s="16"/>
      <c r="M1798" s="16">
        <v>1792</v>
      </c>
      <c r="N1798" s="16">
        <f t="shared" si="138"/>
        <v>0.64257532281205165</v>
      </c>
      <c r="O1798" s="16"/>
      <c r="P1798" s="16"/>
      <c r="Q1798" s="16">
        <f t="shared" si="139"/>
        <v>0.36535107869697736</v>
      </c>
    </row>
    <row r="1799" spans="4:17" ht="15" thickBot="1" x14ac:dyDescent="0.35">
      <c r="D1799" s="20">
        <f t="shared" ref="D1799:D1862" si="140">ROW()-6</f>
        <v>1793</v>
      </c>
      <c r="E1799" s="20">
        <f t="shared" ref="E1799:E1862" si="141">(MOD(D1799-1,53)*100)+50</f>
        <v>4350</v>
      </c>
      <c r="F1799" s="20">
        <f t="shared" ref="F1799:F1862" si="142">FLOOR((D1799-1)/53,1)*100+50</f>
        <v>3350</v>
      </c>
      <c r="G1799" s="20">
        <v>0.38054422140856131</v>
      </c>
      <c r="H1799" s="50"/>
      <c r="I1799" s="16"/>
      <c r="J1799" s="16"/>
      <c r="K1799" s="16"/>
      <c r="L1799" s="16"/>
      <c r="M1799" s="16">
        <v>1793</v>
      </c>
      <c r="N1799" s="16">
        <f t="shared" si="138"/>
        <v>0.64293400286944047</v>
      </c>
      <c r="O1799" s="16"/>
      <c r="P1799" s="16"/>
      <c r="Q1799" s="16">
        <f t="shared" si="139"/>
        <v>0.36631237797051897</v>
      </c>
    </row>
    <row r="1800" spans="4:17" ht="15" thickBot="1" x14ac:dyDescent="0.35">
      <c r="D1800" s="20">
        <f t="shared" si="140"/>
        <v>1794</v>
      </c>
      <c r="E1800" s="20">
        <f t="shared" si="141"/>
        <v>4450</v>
      </c>
      <c r="F1800" s="20">
        <f t="shared" si="142"/>
        <v>3350</v>
      </c>
      <c r="G1800" s="20">
        <v>0.38065987737788182</v>
      </c>
      <c r="H1800" s="50"/>
      <c r="I1800" s="16"/>
      <c r="J1800" s="16"/>
      <c r="K1800" s="16"/>
      <c r="L1800" s="16"/>
      <c r="M1800" s="16">
        <v>1794</v>
      </c>
      <c r="N1800" s="16">
        <f t="shared" ref="N1800:N1863" si="143">(M1800-0.5)/$L$7</f>
        <v>0.64329268292682928</v>
      </c>
      <c r="O1800" s="16"/>
      <c r="P1800" s="16"/>
      <c r="Q1800" s="16">
        <f t="shared" ref="Q1800:Q1863" si="144">_xlfn.NORM.S.INV(N1800)</f>
        <v>0.36727401587129571</v>
      </c>
    </row>
    <row r="1801" spans="4:17" ht="15" thickBot="1" x14ac:dyDescent="0.35">
      <c r="D1801" s="20">
        <f t="shared" si="140"/>
        <v>1795</v>
      </c>
      <c r="E1801" s="20">
        <f t="shared" si="141"/>
        <v>4550</v>
      </c>
      <c r="F1801" s="20">
        <f t="shared" si="142"/>
        <v>3350</v>
      </c>
      <c r="G1801" s="20">
        <v>0.3806940245231929</v>
      </c>
      <c r="H1801" s="50"/>
      <c r="I1801" s="16"/>
      <c r="J1801" s="16"/>
      <c r="K1801" s="16"/>
      <c r="L1801" s="16"/>
      <c r="M1801" s="16">
        <v>1795</v>
      </c>
      <c r="N1801" s="16">
        <f t="shared" si="143"/>
        <v>0.6436513629842181</v>
      </c>
      <c r="O1801" s="16"/>
      <c r="P1801" s="16"/>
      <c r="Q1801" s="16">
        <f t="shared" si="144"/>
        <v>0.36823599352786157</v>
      </c>
    </row>
    <row r="1802" spans="4:17" ht="15" thickBot="1" x14ac:dyDescent="0.35">
      <c r="D1802" s="20">
        <f t="shared" si="140"/>
        <v>1796</v>
      </c>
      <c r="E1802" s="20">
        <f t="shared" si="141"/>
        <v>4650</v>
      </c>
      <c r="F1802" s="20">
        <f t="shared" si="142"/>
        <v>3350</v>
      </c>
      <c r="G1802" s="20">
        <v>0.38075449726506827</v>
      </c>
      <c r="H1802" s="50"/>
      <c r="I1802" s="16"/>
      <c r="J1802" s="16"/>
      <c r="K1802" s="16"/>
      <c r="L1802" s="16"/>
      <c r="M1802" s="16">
        <v>1796</v>
      </c>
      <c r="N1802" s="16">
        <f t="shared" si="143"/>
        <v>0.64401004304160692</v>
      </c>
      <c r="O1802" s="16"/>
      <c r="P1802" s="16"/>
      <c r="Q1802" s="16">
        <f t="shared" si="144"/>
        <v>0.36919831207122478</v>
      </c>
    </row>
    <row r="1803" spans="4:17" ht="15" thickBot="1" x14ac:dyDescent="0.35">
      <c r="D1803" s="20">
        <f t="shared" si="140"/>
        <v>1797</v>
      </c>
      <c r="E1803" s="20">
        <f t="shared" si="141"/>
        <v>4750</v>
      </c>
      <c r="F1803" s="20">
        <f t="shared" si="142"/>
        <v>3350</v>
      </c>
      <c r="G1803" s="20">
        <v>0.38083083084254754</v>
      </c>
      <c r="H1803" s="50"/>
      <c r="I1803" s="16"/>
      <c r="J1803" s="16"/>
      <c r="K1803" s="16"/>
      <c r="L1803" s="16"/>
      <c r="M1803" s="16">
        <v>1797</v>
      </c>
      <c r="N1803" s="16">
        <f t="shared" si="143"/>
        <v>0.64436872309899573</v>
      </c>
      <c r="O1803" s="16"/>
      <c r="P1803" s="16"/>
      <c r="Q1803" s="16">
        <f t="shared" si="144"/>
        <v>0.37016097263485942</v>
      </c>
    </row>
    <row r="1804" spans="4:17" ht="15" thickBot="1" x14ac:dyDescent="0.35">
      <c r="D1804" s="20">
        <f t="shared" si="140"/>
        <v>1798</v>
      </c>
      <c r="E1804" s="20">
        <f t="shared" si="141"/>
        <v>4850</v>
      </c>
      <c r="F1804" s="20">
        <f t="shared" si="142"/>
        <v>3350</v>
      </c>
      <c r="G1804" s="20">
        <v>0.38085216676407274</v>
      </c>
      <c r="H1804" s="50"/>
      <c r="I1804" s="16"/>
      <c r="J1804" s="16"/>
      <c r="K1804" s="16"/>
      <c r="L1804" s="16"/>
      <c r="M1804" s="16">
        <v>1798</v>
      </c>
      <c r="N1804" s="16">
        <f t="shared" si="143"/>
        <v>0.64472740315638455</v>
      </c>
      <c r="O1804" s="16"/>
      <c r="P1804" s="16"/>
      <c r="Q1804" s="16">
        <f t="shared" si="144"/>
        <v>0.37112397635471672</v>
      </c>
    </row>
    <row r="1805" spans="4:17" ht="15" thickBot="1" x14ac:dyDescent="0.35">
      <c r="D1805" s="20">
        <f t="shared" si="140"/>
        <v>1799</v>
      </c>
      <c r="E1805" s="20">
        <f t="shared" si="141"/>
        <v>4950</v>
      </c>
      <c r="F1805" s="20">
        <f t="shared" si="142"/>
        <v>3350</v>
      </c>
      <c r="G1805" s="20">
        <v>0.38087857573756168</v>
      </c>
      <c r="H1805" s="50"/>
      <c r="I1805" s="16"/>
      <c r="J1805" s="16"/>
      <c r="K1805" s="16"/>
      <c r="L1805" s="16"/>
      <c r="M1805" s="16">
        <v>1799</v>
      </c>
      <c r="N1805" s="16">
        <f t="shared" si="143"/>
        <v>0.64508608321377336</v>
      </c>
      <c r="O1805" s="16"/>
      <c r="P1805" s="16"/>
      <c r="Q1805" s="16">
        <f t="shared" si="144"/>
        <v>0.37208732436923586</v>
      </c>
    </row>
    <row r="1806" spans="4:17" ht="15" thickBot="1" x14ac:dyDescent="0.35">
      <c r="D1806" s="20">
        <f t="shared" si="140"/>
        <v>1800</v>
      </c>
      <c r="E1806" s="20">
        <f t="shared" si="141"/>
        <v>5050</v>
      </c>
      <c r="F1806" s="20">
        <f t="shared" si="142"/>
        <v>3350</v>
      </c>
      <c r="G1806" s="20">
        <v>0.38090812226975818</v>
      </c>
      <c r="H1806" s="50"/>
      <c r="I1806" s="16"/>
      <c r="J1806" s="16"/>
      <c r="K1806" s="16"/>
      <c r="L1806" s="16"/>
      <c r="M1806" s="16">
        <v>1800</v>
      </c>
      <c r="N1806" s="16">
        <f t="shared" si="143"/>
        <v>0.64544476327116207</v>
      </c>
      <c r="O1806" s="16"/>
      <c r="P1806" s="16"/>
      <c r="Q1806" s="16">
        <f t="shared" si="144"/>
        <v>0.37305101781935607</v>
      </c>
    </row>
    <row r="1807" spans="4:17" ht="15" thickBot="1" x14ac:dyDescent="0.35">
      <c r="D1807" s="20">
        <f t="shared" si="140"/>
        <v>1801</v>
      </c>
      <c r="E1807" s="20">
        <f t="shared" si="141"/>
        <v>5150</v>
      </c>
      <c r="F1807" s="20">
        <f t="shared" si="142"/>
        <v>3350</v>
      </c>
      <c r="G1807" s="20">
        <v>0.3809224253628874</v>
      </c>
      <c r="H1807" s="50"/>
      <c r="I1807" s="16"/>
      <c r="J1807" s="16"/>
      <c r="K1807" s="16"/>
      <c r="L1807" s="16"/>
      <c r="M1807" s="16">
        <v>1801</v>
      </c>
      <c r="N1807" s="16">
        <f t="shared" si="143"/>
        <v>0.64580344332855089</v>
      </c>
      <c r="O1807" s="16"/>
      <c r="P1807" s="16"/>
      <c r="Q1807" s="16">
        <f t="shared" si="144"/>
        <v>0.37401505784852834</v>
      </c>
    </row>
    <row r="1808" spans="4:17" ht="15" thickBot="1" x14ac:dyDescent="0.35">
      <c r="D1808" s="20">
        <f t="shared" si="140"/>
        <v>1802</v>
      </c>
      <c r="E1808" s="20">
        <f t="shared" si="141"/>
        <v>5250</v>
      </c>
      <c r="F1808" s="20">
        <f t="shared" si="142"/>
        <v>3350</v>
      </c>
      <c r="G1808" s="20">
        <v>0.38093438424590714</v>
      </c>
      <c r="H1808" s="50"/>
      <c r="I1808" s="16"/>
      <c r="J1808" s="16"/>
      <c r="K1808" s="16"/>
      <c r="L1808" s="16"/>
      <c r="M1808" s="16">
        <v>1802</v>
      </c>
      <c r="N1808" s="16">
        <f t="shared" si="143"/>
        <v>0.6461621233859397</v>
      </c>
      <c r="O1808" s="16"/>
      <c r="P1808" s="16"/>
      <c r="Q1808" s="16">
        <f t="shared" si="144"/>
        <v>0.37497944560272578</v>
      </c>
    </row>
    <row r="1809" spans="4:17" ht="15" thickBot="1" x14ac:dyDescent="0.35">
      <c r="D1809" s="20">
        <f t="shared" si="140"/>
        <v>1803</v>
      </c>
      <c r="E1809" s="20">
        <f t="shared" si="141"/>
        <v>50</v>
      </c>
      <c r="F1809" s="20">
        <f t="shared" si="142"/>
        <v>3450</v>
      </c>
      <c r="G1809" s="20">
        <v>0.38097569922463265</v>
      </c>
      <c r="H1809" s="50"/>
      <c r="I1809" s="16"/>
      <c r="J1809" s="16"/>
      <c r="K1809" s="16"/>
      <c r="L1809" s="16"/>
      <c r="M1809" s="16">
        <v>1803</v>
      </c>
      <c r="N1809" s="16">
        <f t="shared" si="143"/>
        <v>0.64652080344332852</v>
      </c>
      <c r="O1809" s="16"/>
      <c r="P1809" s="16"/>
      <c r="Q1809" s="16">
        <f t="shared" si="144"/>
        <v>0.375944182230456</v>
      </c>
    </row>
    <row r="1810" spans="4:17" ht="15" thickBot="1" x14ac:dyDescent="0.35">
      <c r="D1810" s="20">
        <f t="shared" si="140"/>
        <v>1804</v>
      </c>
      <c r="E1810" s="20">
        <f t="shared" si="141"/>
        <v>150</v>
      </c>
      <c r="F1810" s="20">
        <f t="shared" si="142"/>
        <v>3450</v>
      </c>
      <c r="G1810" s="20">
        <v>0.38118869465752281</v>
      </c>
      <c r="H1810" s="50"/>
      <c r="I1810" s="16"/>
      <c r="J1810" s="16"/>
      <c r="K1810" s="16"/>
      <c r="L1810" s="16"/>
      <c r="M1810" s="16">
        <v>1804</v>
      </c>
      <c r="N1810" s="16">
        <f t="shared" si="143"/>
        <v>0.64687948350071733</v>
      </c>
      <c r="O1810" s="16"/>
      <c r="P1810" s="16"/>
      <c r="Q1810" s="16">
        <f t="shared" si="144"/>
        <v>0.37690926888277237</v>
      </c>
    </row>
    <row r="1811" spans="4:17" ht="15" thickBot="1" x14ac:dyDescent="0.35">
      <c r="D1811" s="20">
        <f t="shared" si="140"/>
        <v>1805</v>
      </c>
      <c r="E1811" s="44">
        <f t="shared" si="141"/>
        <v>250</v>
      </c>
      <c r="F1811" s="44">
        <f t="shared" si="142"/>
        <v>3450</v>
      </c>
      <c r="G1811" s="20">
        <v>0.38119985299628639</v>
      </c>
      <c r="H1811" s="50"/>
      <c r="I1811" s="16"/>
      <c r="J1811" s="16"/>
      <c r="K1811" s="16"/>
      <c r="L1811" s="16"/>
      <c r="M1811" s="16">
        <v>1805</v>
      </c>
      <c r="N1811" s="16">
        <f t="shared" si="143"/>
        <v>0.64723816355810615</v>
      </c>
      <c r="O1811" s="16"/>
      <c r="P1811" s="16"/>
      <c r="Q1811" s="16">
        <f t="shared" si="144"/>
        <v>0.37787470671328632</v>
      </c>
    </row>
    <row r="1812" spans="4:17" ht="15" thickBot="1" x14ac:dyDescent="0.35">
      <c r="D1812" s="20">
        <f t="shared" si="140"/>
        <v>1806</v>
      </c>
      <c r="E1812" s="20">
        <f t="shared" si="141"/>
        <v>350</v>
      </c>
      <c r="F1812" s="20">
        <f t="shared" si="142"/>
        <v>3450</v>
      </c>
      <c r="G1812" s="20">
        <v>0.38127690318052843</v>
      </c>
      <c r="H1812" s="50"/>
      <c r="I1812" s="16"/>
      <c r="J1812" s="16"/>
      <c r="K1812" s="16"/>
      <c r="L1812" s="16"/>
      <c r="M1812" s="16">
        <v>1806</v>
      </c>
      <c r="N1812" s="16">
        <f t="shared" si="143"/>
        <v>0.64759684361549497</v>
      </c>
      <c r="O1812" s="16"/>
      <c r="P1812" s="16"/>
      <c r="Q1812" s="16">
        <f t="shared" si="144"/>
        <v>0.37884049687817822</v>
      </c>
    </row>
    <row r="1813" spans="4:17" ht="15" thickBot="1" x14ac:dyDescent="0.35">
      <c r="D1813" s="20">
        <f t="shared" si="140"/>
        <v>1807</v>
      </c>
      <c r="E1813" s="20">
        <f t="shared" si="141"/>
        <v>450</v>
      </c>
      <c r="F1813" s="20">
        <f t="shared" si="142"/>
        <v>3450</v>
      </c>
      <c r="G1813" s="20">
        <v>0.38137597423520897</v>
      </c>
      <c r="H1813" s="50"/>
      <c r="I1813" s="16"/>
      <c r="J1813" s="16"/>
      <c r="K1813" s="16"/>
      <c r="L1813" s="16"/>
      <c r="M1813" s="16">
        <v>1807</v>
      </c>
      <c r="N1813" s="16">
        <f t="shared" si="143"/>
        <v>0.64795552367288378</v>
      </c>
      <c r="O1813" s="16"/>
      <c r="P1813" s="16"/>
      <c r="Q1813" s="16">
        <f t="shared" si="144"/>
        <v>0.37980664053620944</v>
      </c>
    </row>
    <row r="1814" spans="4:17" ht="15" thickBot="1" x14ac:dyDescent="0.35">
      <c r="D1814" s="20">
        <f t="shared" si="140"/>
        <v>1808</v>
      </c>
      <c r="E1814" s="20">
        <f t="shared" si="141"/>
        <v>550</v>
      </c>
      <c r="F1814" s="20">
        <f t="shared" si="142"/>
        <v>3450</v>
      </c>
      <c r="G1814" s="20">
        <v>0.38138590831295321</v>
      </c>
      <c r="H1814" s="50"/>
      <c r="I1814" s="16"/>
      <c r="J1814" s="16"/>
      <c r="K1814" s="16"/>
      <c r="L1814" s="16"/>
      <c r="M1814" s="16">
        <v>1808</v>
      </c>
      <c r="N1814" s="16">
        <f t="shared" si="143"/>
        <v>0.6483142037302726</v>
      </c>
      <c r="O1814" s="16"/>
      <c r="P1814" s="16"/>
      <c r="Q1814" s="16">
        <f t="shared" si="144"/>
        <v>0.38077313884873498</v>
      </c>
    </row>
    <row r="1815" spans="4:17" ht="15" thickBot="1" x14ac:dyDescent="0.35">
      <c r="D1815" s="20">
        <f t="shared" si="140"/>
        <v>1809</v>
      </c>
      <c r="E1815" s="20">
        <f t="shared" si="141"/>
        <v>650</v>
      </c>
      <c r="F1815" s="20">
        <f t="shared" si="142"/>
        <v>3450</v>
      </c>
      <c r="G1815" s="20">
        <v>0.38140830364379857</v>
      </c>
      <c r="H1815" s="50"/>
      <c r="I1815" s="16"/>
      <c r="J1815" s="16"/>
      <c r="K1815" s="16"/>
      <c r="L1815" s="16"/>
      <c r="M1815" s="16">
        <v>1809</v>
      </c>
      <c r="N1815" s="16">
        <f t="shared" si="143"/>
        <v>0.64867288378766141</v>
      </c>
      <c r="O1815" s="16"/>
      <c r="P1815" s="16"/>
      <c r="Q1815" s="16">
        <f t="shared" si="144"/>
        <v>0.38173999297971378</v>
      </c>
    </row>
    <row r="1816" spans="4:17" ht="15" thickBot="1" x14ac:dyDescent="0.35">
      <c r="D1816" s="20">
        <f t="shared" si="140"/>
        <v>1810</v>
      </c>
      <c r="E1816" s="20">
        <f t="shared" si="141"/>
        <v>750</v>
      </c>
      <c r="F1816" s="20">
        <f t="shared" si="142"/>
        <v>3450</v>
      </c>
      <c r="G1816" s="20">
        <v>0.38141478776764931</v>
      </c>
      <c r="H1816" s="50"/>
      <c r="I1816" s="16"/>
      <c r="J1816" s="16"/>
      <c r="K1816" s="16"/>
      <c r="L1816" s="16"/>
      <c r="M1816" s="16">
        <v>1810</v>
      </c>
      <c r="N1816" s="16">
        <f t="shared" si="143"/>
        <v>0.64903156384505023</v>
      </c>
      <c r="O1816" s="16"/>
      <c r="P1816" s="16"/>
      <c r="Q1816" s="16">
        <f t="shared" si="144"/>
        <v>0.38270720409572206</v>
      </c>
    </row>
    <row r="1817" spans="4:17" ht="15" thickBot="1" x14ac:dyDescent="0.35">
      <c r="D1817" s="20">
        <f t="shared" si="140"/>
        <v>1811</v>
      </c>
      <c r="E1817" s="20">
        <f t="shared" si="141"/>
        <v>850</v>
      </c>
      <c r="F1817" s="20">
        <f t="shared" si="142"/>
        <v>3450</v>
      </c>
      <c r="G1817" s="20">
        <v>0.3814316182267467</v>
      </c>
      <c r="H1817" s="50"/>
      <c r="I1817" s="16"/>
      <c r="J1817" s="16"/>
      <c r="K1817" s="16"/>
      <c r="L1817" s="16"/>
      <c r="M1817" s="16">
        <v>1811</v>
      </c>
      <c r="N1817" s="16">
        <f t="shared" si="143"/>
        <v>0.64939024390243905</v>
      </c>
      <c r="O1817" s="16"/>
      <c r="P1817" s="16"/>
      <c r="Q1817" s="16">
        <f t="shared" si="144"/>
        <v>0.38367477336596478</v>
      </c>
    </row>
    <row r="1818" spans="4:17" ht="15" thickBot="1" x14ac:dyDescent="0.35">
      <c r="D1818" s="20">
        <f t="shared" si="140"/>
        <v>1812</v>
      </c>
      <c r="E1818" s="20">
        <f t="shared" si="141"/>
        <v>950</v>
      </c>
      <c r="F1818" s="20">
        <f t="shared" si="142"/>
        <v>3450</v>
      </c>
      <c r="G1818" s="20">
        <v>0.38160843955377693</v>
      </c>
      <c r="H1818" s="50"/>
      <c r="I1818" s="16"/>
      <c r="J1818" s="16"/>
      <c r="K1818" s="16"/>
      <c r="L1818" s="16"/>
      <c r="M1818" s="16">
        <v>1812</v>
      </c>
      <c r="N1818" s="16">
        <f t="shared" si="143"/>
        <v>0.64974892395982786</v>
      </c>
      <c r="O1818" s="16"/>
      <c r="P1818" s="16"/>
      <c r="Q1818" s="16">
        <f t="shared" si="144"/>
        <v>0.38464270196228728</v>
      </c>
    </row>
    <row r="1819" spans="4:17" ht="15" thickBot="1" x14ac:dyDescent="0.35">
      <c r="D1819" s="20">
        <f t="shared" si="140"/>
        <v>1813</v>
      </c>
      <c r="E1819" s="20">
        <f t="shared" si="141"/>
        <v>1050</v>
      </c>
      <c r="F1819" s="20">
        <f t="shared" si="142"/>
        <v>3450</v>
      </c>
      <c r="G1819" s="20">
        <v>0.38168762248338295</v>
      </c>
      <c r="H1819" s="50"/>
      <c r="I1819" s="16"/>
      <c r="J1819" s="16"/>
      <c r="K1819" s="16"/>
      <c r="L1819" s="16"/>
      <c r="M1819" s="16">
        <v>1813</v>
      </c>
      <c r="N1819" s="16">
        <f t="shared" si="143"/>
        <v>0.65010760401721668</v>
      </c>
      <c r="O1819" s="16"/>
      <c r="P1819" s="16"/>
      <c r="Q1819" s="16">
        <f t="shared" si="144"/>
        <v>0.38561099105918833</v>
      </c>
    </row>
    <row r="1820" spans="4:17" ht="15" thickBot="1" x14ac:dyDescent="0.35">
      <c r="D1820" s="20">
        <f t="shared" si="140"/>
        <v>1814</v>
      </c>
      <c r="E1820" s="20">
        <f t="shared" si="141"/>
        <v>1150</v>
      </c>
      <c r="F1820" s="20">
        <f t="shared" si="142"/>
        <v>3450</v>
      </c>
      <c r="G1820" s="20">
        <v>0.38169814758844406</v>
      </c>
      <c r="H1820" s="50"/>
      <c r="I1820" s="16"/>
      <c r="J1820" s="16"/>
      <c r="K1820" s="16"/>
      <c r="L1820" s="16"/>
      <c r="M1820" s="16">
        <v>1814</v>
      </c>
      <c r="N1820" s="16">
        <f t="shared" si="143"/>
        <v>0.65046628407460549</v>
      </c>
      <c r="O1820" s="16"/>
      <c r="P1820" s="16"/>
      <c r="Q1820" s="16">
        <f t="shared" si="144"/>
        <v>0.38657964183383159</v>
      </c>
    </row>
    <row r="1821" spans="4:17" ht="15" thickBot="1" x14ac:dyDescent="0.35">
      <c r="D1821" s="20">
        <f t="shared" si="140"/>
        <v>1815</v>
      </c>
      <c r="E1821" s="20">
        <f t="shared" si="141"/>
        <v>1250</v>
      </c>
      <c r="F1821" s="20">
        <f t="shared" si="142"/>
        <v>3450</v>
      </c>
      <c r="G1821" s="20">
        <v>0.38176989661486116</v>
      </c>
      <c r="H1821" s="50"/>
      <c r="I1821" s="16"/>
      <c r="J1821" s="16"/>
      <c r="K1821" s="16"/>
      <c r="L1821" s="16"/>
      <c r="M1821" s="16">
        <v>1815</v>
      </c>
      <c r="N1821" s="16">
        <f t="shared" si="143"/>
        <v>0.65082496413199431</v>
      </c>
      <c r="O1821" s="16"/>
      <c r="P1821" s="16"/>
      <c r="Q1821" s="16">
        <f t="shared" si="144"/>
        <v>0.38754865546605755</v>
      </c>
    </row>
    <row r="1822" spans="4:17" ht="15" thickBot="1" x14ac:dyDescent="0.35">
      <c r="D1822" s="20">
        <f t="shared" si="140"/>
        <v>1816</v>
      </c>
      <c r="E1822" s="20">
        <f t="shared" si="141"/>
        <v>1350</v>
      </c>
      <c r="F1822" s="20">
        <f t="shared" si="142"/>
        <v>3450</v>
      </c>
      <c r="G1822" s="20">
        <v>0.3818681680295522</v>
      </c>
      <c r="H1822" s="50"/>
      <c r="I1822" s="16"/>
      <c r="J1822" s="16"/>
      <c r="K1822" s="16"/>
      <c r="L1822" s="16"/>
      <c r="M1822" s="16">
        <v>1816</v>
      </c>
      <c r="N1822" s="16">
        <f t="shared" si="143"/>
        <v>0.65118364418938302</v>
      </c>
      <c r="O1822" s="16"/>
      <c r="P1822" s="16"/>
      <c r="Q1822" s="16">
        <f t="shared" si="144"/>
        <v>0.3885180331383965</v>
      </c>
    </row>
    <row r="1823" spans="4:17" ht="15" thickBot="1" x14ac:dyDescent="0.35">
      <c r="D1823" s="20">
        <f t="shared" si="140"/>
        <v>1817</v>
      </c>
      <c r="E1823" s="20">
        <f t="shared" si="141"/>
        <v>1450</v>
      </c>
      <c r="F1823" s="20">
        <f t="shared" si="142"/>
        <v>3450</v>
      </c>
      <c r="G1823" s="20">
        <v>0.38188263097401259</v>
      </c>
      <c r="H1823" s="50"/>
      <c r="I1823" s="16"/>
      <c r="J1823" s="16"/>
      <c r="K1823" s="16"/>
      <c r="L1823" s="16"/>
      <c r="M1823" s="16">
        <v>1817</v>
      </c>
      <c r="N1823" s="16">
        <f t="shared" si="143"/>
        <v>0.65154232424677183</v>
      </c>
      <c r="O1823" s="16"/>
      <c r="P1823" s="16"/>
      <c r="Q1823" s="16">
        <f t="shared" si="144"/>
        <v>0.3894877760360812</v>
      </c>
    </row>
    <row r="1824" spans="4:17" ht="15" thickBot="1" x14ac:dyDescent="0.35">
      <c r="D1824" s="20">
        <f t="shared" si="140"/>
        <v>1818</v>
      </c>
      <c r="E1824" s="43">
        <f t="shared" si="141"/>
        <v>1550</v>
      </c>
      <c r="F1824" s="43">
        <f t="shared" si="142"/>
        <v>3450</v>
      </c>
      <c r="G1824" s="20">
        <v>0.38190986379751757</v>
      </c>
      <c r="H1824" s="50"/>
      <c r="I1824" s="16"/>
      <c r="J1824" s="16"/>
      <c r="K1824" s="16"/>
      <c r="L1824" s="16"/>
      <c r="M1824" s="16">
        <v>1818</v>
      </c>
      <c r="N1824" s="16">
        <f t="shared" si="143"/>
        <v>0.65190100430416065</v>
      </c>
      <c r="O1824" s="16"/>
      <c r="P1824" s="16"/>
      <c r="Q1824" s="16">
        <f t="shared" si="144"/>
        <v>0.39045788534705811</v>
      </c>
    </row>
    <row r="1825" spans="4:17" ht="15" thickBot="1" x14ac:dyDescent="0.35">
      <c r="D1825" s="20">
        <f t="shared" si="140"/>
        <v>1819</v>
      </c>
      <c r="E1825" s="20">
        <f t="shared" si="141"/>
        <v>1650</v>
      </c>
      <c r="F1825" s="20">
        <f t="shared" si="142"/>
        <v>3450</v>
      </c>
      <c r="G1825" s="20">
        <v>0.38191676058389074</v>
      </c>
      <c r="H1825" s="50"/>
      <c r="I1825" s="16"/>
      <c r="J1825" s="16"/>
      <c r="K1825" s="16"/>
      <c r="L1825" s="16"/>
      <c r="M1825" s="16">
        <v>1819</v>
      </c>
      <c r="N1825" s="16">
        <f t="shared" si="143"/>
        <v>0.65225968436154946</v>
      </c>
      <c r="O1825" s="16"/>
      <c r="P1825" s="16"/>
      <c r="Q1825" s="16">
        <f t="shared" si="144"/>
        <v>0.39142836226200023</v>
      </c>
    </row>
    <row r="1826" spans="4:17" ht="15" thickBot="1" x14ac:dyDescent="0.35">
      <c r="D1826" s="20">
        <f t="shared" si="140"/>
        <v>1820</v>
      </c>
      <c r="E1826" s="20">
        <f t="shared" si="141"/>
        <v>1750</v>
      </c>
      <c r="F1826" s="20">
        <f t="shared" si="142"/>
        <v>3450</v>
      </c>
      <c r="G1826" s="20">
        <v>0.38199184677105574</v>
      </c>
      <c r="H1826" s="50"/>
      <c r="I1826" s="16"/>
      <c r="J1826" s="16"/>
      <c r="K1826" s="16"/>
      <c r="L1826" s="16"/>
      <c r="M1826" s="16">
        <v>1820</v>
      </c>
      <c r="N1826" s="16">
        <f t="shared" si="143"/>
        <v>0.65261836441893828</v>
      </c>
      <c r="O1826" s="16"/>
      <c r="P1826" s="16"/>
      <c r="Q1826" s="16">
        <f t="shared" si="144"/>
        <v>0.39239920797431982</v>
      </c>
    </row>
    <row r="1827" spans="4:17" ht="15" thickBot="1" x14ac:dyDescent="0.35">
      <c r="D1827" s="20">
        <f t="shared" si="140"/>
        <v>1821</v>
      </c>
      <c r="E1827" s="20">
        <f t="shared" si="141"/>
        <v>1850</v>
      </c>
      <c r="F1827" s="20">
        <f t="shared" si="142"/>
        <v>3450</v>
      </c>
      <c r="G1827" s="20">
        <v>0.38212623443049748</v>
      </c>
      <c r="H1827" s="50"/>
      <c r="I1827" s="16"/>
      <c r="J1827" s="16"/>
      <c r="K1827" s="16"/>
      <c r="L1827" s="16"/>
      <c r="M1827" s="16">
        <v>1821</v>
      </c>
      <c r="N1827" s="16">
        <f t="shared" si="143"/>
        <v>0.6529770444763271</v>
      </c>
      <c r="O1827" s="16"/>
      <c r="P1827" s="16"/>
      <c r="Q1827" s="16">
        <f t="shared" si="144"/>
        <v>0.39337042368018144</v>
      </c>
    </row>
    <row r="1828" spans="4:17" ht="15" thickBot="1" x14ac:dyDescent="0.35">
      <c r="D1828" s="20">
        <f t="shared" si="140"/>
        <v>1822</v>
      </c>
      <c r="E1828" s="20">
        <f t="shared" si="141"/>
        <v>1950</v>
      </c>
      <c r="F1828" s="20">
        <f t="shared" si="142"/>
        <v>3450</v>
      </c>
      <c r="G1828" s="20">
        <v>0.38225587206427869</v>
      </c>
      <c r="H1828" s="50"/>
      <c r="I1828" s="16"/>
      <c r="J1828" s="16"/>
      <c r="K1828" s="16"/>
      <c r="L1828" s="16"/>
      <c r="M1828" s="16">
        <v>1822</v>
      </c>
      <c r="N1828" s="16">
        <f t="shared" si="143"/>
        <v>0.65333572453371591</v>
      </c>
      <c r="O1828" s="16"/>
      <c r="P1828" s="16"/>
      <c r="Q1828" s="16">
        <f t="shared" si="144"/>
        <v>0.39434201057851331</v>
      </c>
    </row>
    <row r="1829" spans="4:17" ht="15" thickBot="1" x14ac:dyDescent="0.35">
      <c r="D1829" s="20">
        <f t="shared" si="140"/>
        <v>1823</v>
      </c>
      <c r="E1829" s="20">
        <f t="shared" si="141"/>
        <v>2050</v>
      </c>
      <c r="F1829" s="20">
        <f t="shared" si="142"/>
        <v>3450</v>
      </c>
      <c r="G1829" s="20">
        <v>0.38228564177832769</v>
      </c>
      <c r="H1829" s="50"/>
      <c r="I1829" s="16"/>
      <c r="J1829" s="16"/>
      <c r="K1829" s="16"/>
      <c r="L1829" s="16"/>
      <c r="M1829" s="16">
        <v>1823</v>
      </c>
      <c r="N1829" s="16">
        <f t="shared" si="143"/>
        <v>0.65369440459110473</v>
      </c>
      <c r="O1829" s="16"/>
      <c r="P1829" s="16"/>
      <c r="Q1829" s="16">
        <f t="shared" si="144"/>
        <v>0.39531396987102113</v>
      </c>
    </row>
    <row r="1830" spans="4:17" ht="15" thickBot="1" x14ac:dyDescent="0.35">
      <c r="D1830" s="20">
        <f t="shared" si="140"/>
        <v>1824</v>
      </c>
      <c r="E1830" s="20">
        <f t="shared" si="141"/>
        <v>2150</v>
      </c>
      <c r="F1830" s="20">
        <f t="shared" si="142"/>
        <v>3450</v>
      </c>
      <c r="G1830" s="20">
        <v>0.38236377962399615</v>
      </c>
      <c r="H1830" s="50"/>
      <c r="I1830" s="16"/>
      <c r="J1830" s="16"/>
      <c r="K1830" s="16"/>
      <c r="L1830" s="16"/>
      <c r="M1830" s="16">
        <v>1824</v>
      </c>
      <c r="N1830" s="16">
        <f t="shared" si="143"/>
        <v>0.65405308464849354</v>
      </c>
      <c r="O1830" s="16"/>
      <c r="P1830" s="16"/>
      <c r="Q1830" s="16">
        <f t="shared" si="144"/>
        <v>0.3962863027622005</v>
      </c>
    </row>
    <row r="1831" spans="4:17" ht="15" thickBot="1" x14ac:dyDescent="0.35">
      <c r="D1831" s="20">
        <f t="shared" si="140"/>
        <v>1825</v>
      </c>
      <c r="E1831" s="20">
        <f t="shared" si="141"/>
        <v>2250</v>
      </c>
      <c r="F1831" s="20">
        <f t="shared" si="142"/>
        <v>3450</v>
      </c>
      <c r="G1831" s="20">
        <v>0.38248675244076558</v>
      </c>
      <c r="H1831" s="50"/>
      <c r="I1831" s="16"/>
      <c r="J1831" s="16"/>
      <c r="K1831" s="16"/>
      <c r="L1831" s="16"/>
      <c r="M1831" s="16">
        <v>1825</v>
      </c>
      <c r="N1831" s="16">
        <f t="shared" si="143"/>
        <v>0.65441176470588236</v>
      </c>
      <c r="O1831" s="16"/>
      <c r="P1831" s="16"/>
      <c r="Q1831" s="16">
        <f t="shared" si="144"/>
        <v>0.39725901045934914</v>
      </c>
    </row>
    <row r="1832" spans="4:17" ht="15" thickBot="1" x14ac:dyDescent="0.35">
      <c r="D1832" s="20">
        <f t="shared" si="140"/>
        <v>1826</v>
      </c>
      <c r="E1832" s="20">
        <f t="shared" si="141"/>
        <v>2350</v>
      </c>
      <c r="F1832" s="20">
        <f t="shared" si="142"/>
        <v>3450</v>
      </c>
      <c r="G1832" s="20">
        <v>0.38251445861482491</v>
      </c>
      <c r="H1832" s="50"/>
      <c r="I1832" s="16"/>
      <c r="J1832" s="16"/>
      <c r="K1832" s="16"/>
      <c r="L1832" s="16"/>
      <c r="M1832" s="16">
        <v>1826</v>
      </c>
      <c r="N1832" s="16">
        <f t="shared" si="143"/>
        <v>0.65477044476327118</v>
      </c>
      <c r="O1832" s="16"/>
      <c r="P1832" s="16"/>
      <c r="Q1832" s="16">
        <f t="shared" si="144"/>
        <v>0.39823209417258071</v>
      </c>
    </row>
    <row r="1833" spans="4:17" ht="15" thickBot="1" x14ac:dyDescent="0.35">
      <c r="D1833" s="20">
        <f t="shared" si="140"/>
        <v>1827</v>
      </c>
      <c r="E1833" s="20">
        <f t="shared" si="141"/>
        <v>2450</v>
      </c>
      <c r="F1833" s="20">
        <f t="shared" si="142"/>
        <v>3450</v>
      </c>
      <c r="G1833" s="20">
        <v>0.38275980475361421</v>
      </c>
      <c r="H1833" s="50"/>
      <c r="I1833" s="16"/>
      <c r="J1833" s="16"/>
      <c r="K1833" s="16"/>
      <c r="L1833" s="16"/>
      <c r="M1833" s="16">
        <v>1827</v>
      </c>
      <c r="N1833" s="16">
        <f t="shared" si="143"/>
        <v>0.65512912482065999</v>
      </c>
      <c r="O1833" s="16"/>
      <c r="P1833" s="16"/>
      <c r="Q1833" s="16">
        <f t="shared" si="144"/>
        <v>0.39920555511483696</v>
      </c>
    </row>
    <row r="1834" spans="4:17" ht="15" thickBot="1" x14ac:dyDescent="0.35">
      <c r="D1834" s="20">
        <f t="shared" si="140"/>
        <v>1828</v>
      </c>
      <c r="E1834" s="20">
        <f t="shared" si="141"/>
        <v>2550</v>
      </c>
      <c r="F1834" s="20">
        <f t="shared" si="142"/>
        <v>3450</v>
      </c>
      <c r="G1834" s="20">
        <v>0.38278473561346038</v>
      </c>
      <c r="H1834" s="50"/>
      <c r="I1834" s="16"/>
      <c r="J1834" s="16"/>
      <c r="K1834" s="16"/>
      <c r="L1834" s="16"/>
      <c r="M1834" s="16">
        <v>1828</v>
      </c>
      <c r="N1834" s="16">
        <f t="shared" si="143"/>
        <v>0.65548780487804881</v>
      </c>
      <c r="O1834" s="16"/>
      <c r="P1834" s="16"/>
      <c r="Q1834" s="16">
        <f t="shared" si="144"/>
        <v>0.40017939450190104</v>
      </c>
    </row>
    <row r="1835" spans="4:17" ht="15" thickBot="1" x14ac:dyDescent="0.35">
      <c r="D1835" s="20">
        <f t="shared" si="140"/>
        <v>1829</v>
      </c>
      <c r="E1835" s="20">
        <f t="shared" si="141"/>
        <v>2650</v>
      </c>
      <c r="F1835" s="20">
        <f t="shared" si="142"/>
        <v>3450</v>
      </c>
      <c r="G1835" s="20">
        <v>0.38284871992236191</v>
      </c>
      <c r="H1835" s="50"/>
      <c r="I1835" s="16"/>
      <c r="J1835" s="16"/>
      <c r="K1835" s="16"/>
      <c r="L1835" s="16"/>
      <c r="M1835" s="16">
        <v>1829</v>
      </c>
      <c r="N1835" s="16">
        <f t="shared" si="143"/>
        <v>0.65584648493543762</v>
      </c>
      <c r="O1835" s="16"/>
      <c r="P1835" s="16"/>
      <c r="Q1835" s="16">
        <f t="shared" si="144"/>
        <v>0.40115361355241086</v>
      </c>
    </row>
    <row r="1836" spans="4:17" ht="15" thickBot="1" x14ac:dyDescent="0.35">
      <c r="D1836" s="20">
        <f t="shared" si="140"/>
        <v>1830</v>
      </c>
      <c r="E1836" s="20">
        <f t="shared" si="141"/>
        <v>2750</v>
      </c>
      <c r="F1836" s="20">
        <f t="shared" si="142"/>
        <v>3450</v>
      </c>
      <c r="G1836" s="20">
        <v>0.38295638311040803</v>
      </c>
      <c r="H1836" s="50"/>
      <c r="I1836" s="16"/>
      <c r="J1836" s="16"/>
      <c r="K1836" s="16"/>
      <c r="L1836" s="16"/>
      <c r="M1836" s="16">
        <v>1830</v>
      </c>
      <c r="N1836" s="16">
        <f t="shared" si="143"/>
        <v>0.65620516499282644</v>
      </c>
      <c r="O1836" s="16"/>
      <c r="P1836" s="16"/>
      <c r="Q1836" s="16">
        <f t="shared" si="144"/>
        <v>0.40212821348787114</v>
      </c>
    </row>
    <row r="1837" spans="4:17" ht="15" thickBot="1" x14ac:dyDescent="0.35">
      <c r="D1837" s="20">
        <f t="shared" si="140"/>
        <v>1831</v>
      </c>
      <c r="E1837" s="20">
        <f t="shared" si="141"/>
        <v>2850</v>
      </c>
      <c r="F1837" s="20">
        <f t="shared" si="142"/>
        <v>3450</v>
      </c>
      <c r="G1837" s="20">
        <v>0.38295997750676747</v>
      </c>
      <c r="H1837" s="50"/>
      <c r="I1837" s="16"/>
      <c r="J1837" s="16"/>
      <c r="K1837" s="16"/>
      <c r="L1837" s="16"/>
      <c r="M1837" s="16">
        <v>1831</v>
      </c>
      <c r="N1837" s="16">
        <f t="shared" si="143"/>
        <v>0.65656384505021526</v>
      </c>
      <c r="O1837" s="16"/>
      <c r="P1837" s="16"/>
      <c r="Q1837" s="16">
        <f t="shared" si="144"/>
        <v>0.40310319553266794</v>
      </c>
    </row>
    <row r="1838" spans="4:17" ht="15" thickBot="1" x14ac:dyDescent="0.35">
      <c r="D1838" s="20">
        <f t="shared" si="140"/>
        <v>1832</v>
      </c>
      <c r="E1838" s="47">
        <f t="shared" si="141"/>
        <v>2950</v>
      </c>
      <c r="F1838" s="47">
        <f t="shared" si="142"/>
        <v>3450</v>
      </c>
      <c r="G1838" s="20">
        <v>0.38320726783146236</v>
      </c>
      <c r="H1838" s="50"/>
      <c r="I1838" s="16"/>
      <c r="J1838" s="16"/>
      <c r="K1838" s="16"/>
      <c r="L1838" s="16"/>
      <c r="M1838" s="16">
        <v>1832</v>
      </c>
      <c r="N1838" s="16">
        <f t="shared" si="143"/>
        <v>0.65692252510760407</v>
      </c>
      <c r="O1838" s="16"/>
      <c r="P1838" s="16"/>
      <c r="Q1838" s="16">
        <f t="shared" si="144"/>
        <v>0.40407856091408073</v>
      </c>
    </row>
    <row r="1839" spans="4:17" ht="15" thickBot="1" x14ac:dyDescent="0.35">
      <c r="D1839" s="20">
        <f t="shared" si="140"/>
        <v>1833</v>
      </c>
      <c r="E1839" s="20">
        <f t="shared" si="141"/>
        <v>3050</v>
      </c>
      <c r="F1839" s="20">
        <f t="shared" si="142"/>
        <v>3450</v>
      </c>
      <c r="G1839" s="20">
        <v>0.38327805256197911</v>
      </c>
      <c r="H1839" s="50"/>
      <c r="I1839" s="16"/>
      <c r="J1839" s="16"/>
      <c r="K1839" s="16"/>
      <c r="L1839" s="16"/>
      <c r="M1839" s="16">
        <v>1833</v>
      </c>
      <c r="N1839" s="16">
        <f t="shared" si="143"/>
        <v>0.65728120516499278</v>
      </c>
      <c r="O1839" s="16"/>
      <c r="P1839" s="16"/>
      <c r="Q1839" s="16">
        <f t="shared" si="144"/>
        <v>0.40505431086229615</v>
      </c>
    </row>
    <row r="1840" spans="4:17" ht="15" thickBot="1" x14ac:dyDescent="0.35">
      <c r="D1840" s="20">
        <f t="shared" si="140"/>
        <v>1834</v>
      </c>
      <c r="E1840" s="20">
        <f t="shared" si="141"/>
        <v>3150</v>
      </c>
      <c r="F1840" s="20">
        <f t="shared" si="142"/>
        <v>3450</v>
      </c>
      <c r="G1840" s="20">
        <v>0.38332492115647687</v>
      </c>
      <c r="H1840" s="50"/>
      <c r="I1840" s="16"/>
      <c r="J1840" s="16"/>
      <c r="K1840" s="16"/>
      <c r="L1840" s="16"/>
      <c r="M1840" s="16">
        <v>1834</v>
      </c>
      <c r="N1840" s="16">
        <f t="shared" si="143"/>
        <v>0.65763988522238159</v>
      </c>
      <c r="O1840" s="16"/>
      <c r="P1840" s="16"/>
      <c r="Q1840" s="16">
        <f t="shared" si="144"/>
        <v>0.40603044661042231</v>
      </c>
    </row>
    <row r="1841" spans="4:17" ht="15" thickBot="1" x14ac:dyDescent="0.35">
      <c r="D1841" s="20">
        <f t="shared" si="140"/>
        <v>1835</v>
      </c>
      <c r="E1841" s="20">
        <f t="shared" si="141"/>
        <v>3250</v>
      </c>
      <c r="F1841" s="20">
        <f t="shared" si="142"/>
        <v>3450</v>
      </c>
      <c r="G1841" s="20">
        <v>0.38338473273548246</v>
      </c>
      <c r="H1841" s="50"/>
      <c r="I1841" s="16"/>
      <c r="J1841" s="16"/>
      <c r="K1841" s="16"/>
      <c r="L1841" s="16"/>
      <c r="M1841" s="16">
        <v>1835</v>
      </c>
      <c r="N1841" s="16">
        <f t="shared" si="143"/>
        <v>0.65799856527977041</v>
      </c>
      <c r="O1841" s="16"/>
      <c r="P1841" s="16"/>
      <c r="Q1841" s="16">
        <f t="shared" si="144"/>
        <v>0.4070069693945001</v>
      </c>
    </row>
    <row r="1842" spans="4:17" ht="15" thickBot="1" x14ac:dyDescent="0.35">
      <c r="D1842" s="20">
        <f t="shared" si="140"/>
        <v>1836</v>
      </c>
      <c r="E1842" s="20">
        <f t="shared" si="141"/>
        <v>3350</v>
      </c>
      <c r="F1842" s="20">
        <f t="shared" si="142"/>
        <v>3450</v>
      </c>
      <c r="G1842" s="20">
        <v>0.38345499425799734</v>
      </c>
      <c r="H1842" s="50"/>
      <c r="I1842" s="16"/>
      <c r="J1842" s="16"/>
      <c r="K1842" s="16"/>
      <c r="L1842" s="16"/>
      <c r="M1842" s="16">
        <v>1836</v>
      </c>
      <c r="N1842" s="16">
        <f t="shared" si="143"/>
        <v>0.65835724533715922</v>
      </c>
      <c r="O1842" s="16"/>
      <c r="P1842" s="16"/>
      <c r="Q1842" s="16">
        <f t="shared" si="144"/>
        <v>0.40798388045351858</v>
      </c>
    </row>
    <row r="1843" spans="4:17" ht="15" thickBot="1" x14ac:dyDescent="0.35">
      <c r="D1843" s="20">
        <f t="shared" si="140"/>
        <v>1837</v>
      </c>
      <c r="E1843" s="20">
        <f t="shared" si="141"/>
        <v>3450</v>
      </c>
      <c r="F1843" s="20">
        <f t="shared" si="142"/>
        <v>3450</v>
      </c>
      <c r="G1843" s="20">
        <v>0.3834646456133437</v>
      </c>
      <c r="H1843" s="50"/>
      <c r="I1843" s="16"/>
      <c r="J1843" s="16"/>
      <c r="K1843" s="16"/>
      <c r="L1843" s="16"/>
      <c r="M1843" s="16">
        <v>1837</v>
      </c>
      <c r="N1843" s="16">
        <f t="shared" si="143"/>
        <v>0.65871592539454804</v>
      </c>
      <c r="O1843" s="16"/>
      <c r="P1843" s="16"/>
      <c r="Q1843" s="16">
        <f t="shared" si="144"/>
        <v>0.40896118102942736</v>
      </c>
    </row>
    <row r="1844" spans="4:17" ht="15" thickBot="1" x14ac:dyDescent="0.35">
      <c r="D1844" s="20">
        <f t="shared" si="140"/>
        <v>1838</v>
      </c>
      <c r="E1844" s="20">
        <f t="shared" si="141"/>
        <v>3550</v>
      </c>
      <c r="F1844" s="20">
        <f t="shared" si="142"/>
        <v>3450</v>
      </c>
      <c r="G1844" s="20">
        <v>0.38352287853727923</v>
      </c>
      <c r="H1844" s="50"/>
      <c r="I1844" s="16"/>
      <c r="J1844" s="16"/>
      <c r="K1844" s="16"/>
      <c r="L1844" s="16"/>
      <c r="M1844" s="16">
        <v>1838</v>
      </c>
      <c r="N1844" s="16">
        <f t="shared" si="143"/>
        <v>0.65907460545193686</v>
      </c>
      <c r="O1844" s="16"/>
      <c r="P1844" s="16"/>
      <c r="Q1844" s="16">
        <f t="shared" si="144"/>
        <v>0.40993887236715104</v>
      </c>
    </row>
    <row r="1845" spans="4:17" ht="15" thickBot="1" x14ac:dyDescent="0.35">
      <c r="D1845" s="20">
        <f t="shared" si="140"/>
        <v>1839</v>
      </c>
      <c r="E1845" s="20">
        <f t="shared" si="141"/>
        <v>3650</v>
      </c>
      <c r="F1845" s="20">
        <f t="shared" si="142"/>
        <v>3450</v>
      </c>
      <c r="G1845" s="20">
        <v>0.38357928672336511</v>
      </c>
      <c r="H1845" s="50"/>
      <c r="I1845" s="16"/>
      <c r="J1845" s="16"/>
      <c r="K1845" s="16"/>
      <c r="L1845" s="16"/>
      <c r="M1845" s="16">
        <v>1839</v>
      </c>
      <c r="N1845" s="16">
        <f t="shared" si="143"/>
        <v>0.65943328550932567</v>
      </c>
      <c r="O1845" s="16"/>
      <c r="P1845" s="16"/>
      <c r="Q1845" s="16">
        <f t="shared" si="144"/>
        <v>0.41091695571460224</v>
      </c>
    </row>
    <row r="1846" spans="4:17" ht="15" thickBot="1" x14ac:dyDescent="0.35">
      <c r="D1846" s="20">
        <f t="shared" si="140"/>
        <v>1840</v>
      </c>
      <c r="E1846" s="45">
        <f t="shared" si="141"/>
        <v>3750</v>
      </c>
      <c r="F1846" s="45">
        <f t="shared" si="142"/>
        <v>3450</v>
      </c>
      <c r="G1846" s="20">
        <v>0.3836242279973443</v>
      </c>
      <c r="H1846" s="50"/>
      <c r="I1846" s="16"/>
      <c r="J1846" s="16"/>
      <c r="K1846" s="16"/>
      <c r="L1846" s="16"/>
      <c r="M1846" s="16">
        <v>1840</v>
      </c>
      <c r="N1846" s="16">
        <f t="shared" si="143"/>
        <v>0.65979196556671449</v>
      </c>
      <c r="O1846" s="16"/>
      <c r="P1846" s="16"/>
      <c r="Q1846" s="16">
        <f t="shared" si="144"/>
        <v>0.4118954323226956</v>
      </c>
    </row>
    <row r="1847" spans="4:17" ht="15" thickBot="1" x14ac:dyDescent="0.35">
      <c r="D1847" s="20">
        <f t="shared" si="140"/>
        <v>1841</v>
      </c>
      <c r="E1847" s="20">
        <f t="shared" si="141"/>
        <v>3850</v>
      </c>
      <c r="F1847" s="20">
        <f t="shared" si="142"/>
        <v>3450</v>
      </c>
      <c r="G1847" s="20">
        <v>0.38394343543955528</v>
      </c>
      <c r="H1847" s="50"/>
      <c r="I1847" s="16"/>
      <c r="J1847" s="16"/>
      <c r="K1847" s="16"/>
      <c r="L1847" s="16"/>
      <c r="M1847" s="16">
        <v>1841</v>
      </c>
      <c r="N1847" s="16">
        <f t="shared" si="143"/>
        <v>0.6601506456241033</v>
      </c>
      <c r="O1847" s="16"/>
      <c r="P1847" s="16"/>
      <c r="Q1847" s="16">
        <f t="shared" si="144"/>
        <v>0.41287430344536208</v>
      </c>
    </row>
    <row r="1848" spans="4:17" ht="15" thickBot="1" x14ac:dyDescent="0.35">
      <c r="D1848" s="20">
        <f t="shared" si="140"/>
        <v>1842</v>
      </c>
      <c r="E1848" s="20">
        <f t="shared" si="141"/>
        <v>3950</v>
      </c>
      <c r="F1848" s="20">
        <f t="shared" si="142"/>
        <v>3450</v>
      </c>
      <c r="G1848" s="20">
        <v>0.3841235171500802</v>
      </c>
      <c r="H1848" s="50"/>
      <c r="I1848" s="16"/>
      <c r="J1848" s="16"/>
      <c r="K1848" s="16"/>
      <c r="L1848" s="16"/>
      <c r="M1848" s="16">
        <v>1842</v>
      </c>
      <c r="N1848" s="16">
        <f t="shared" si="143"/>
        <v>0.66050932568149212</v>
      </c>
      <c r="O1848" s="16"/>
      <c r="P1848" s="16"/>
      <c r="Q1848" s="16">
        <f t="shared" si="144"/>
        <v>0.41385357033956183</v>
      </c>
    </row>
    <row r="1849" spans="4:17" ht="15" thickBot="1" x14ac:dyDescent="0.35">
      <c r="D1849" s="20">
        <f t="shared" si="140"/>
        <v>1843</v>
      </c>
      <c r="E1849" s="20">
        <f t="shared" si="141"/>
        <v>4050</v>
      </c>
      <c r="F1849" s="20">
        <f t="shared" si="142"/>
        <v>3450</v>
      </c>
      <c r="G1849" s="20">
        <v>0.38419309304018218</v>
      </c>
      <c r="H1849" s="50"/>
      <c r="I1849" s="16"/>
      <c r="J1849" s="16"/>
      <c r="K1849" s="16"/>
      <c r="L1849" s="16"/>
      <c r="M1849" s="16">
        <v>1843</v>
      </c>
      <c r="N1849" s="16">
        <f t="shared" si="143"/>
        <v>0.66086800573888094</v>
      </c>
      <c r="O1849" s="16"/>
      <c r="P1849" s="16"/>
      <c r="Q1849" s="16">
        <f t="shared" si="144"/>
        <v>0.41483323426529861</v>
      </c>
    </row>
    <row r="1850" spans="4:17" ht="15" thickBot="1" x14ac:dyDescent="0.35">
      <c r="D1850" s="20">
        <f t="shared" si="140"/>
        <v>1844</v>
      </c>
      <c r="E1850" s="20">
        <f t="shared" si="141"/>
        <v>4150</v>
      </c>
      <c r="F1850" s="20">
        <f t="shared" si="142"/>
        <v>3450</v>
      </c>
      <c r="G1850" s="20">
        <v>0.38423877352282965</v>
      </c>
      <c r="H1850" s="50"/>
      <c r="I1850" s="16"/>
      <c r="J1850" s="16"/>
      <c r="K1850" s="16"/>
      <c r="L1850" s="16"/>
      <c r="M1850" s="16">
        <v>1844</v>
      </c>
      <c r="N1850" s="16">
        <f t="shared" si="143"/>
        <v>0.66122668579626975</v>
      </c>
      <c r="O1850" s="16"/>
      <c r="P1850" s="16"/>
      <c r="Q1850" s="16">
        <f t="shared" si="144"/>
        <v>0.41581329648563453</v>
      </c>
    </row>
    <row r="1851" spans="4:17" ht="15" thickBot="1" x14ac:dyDescent="0.35">
      <c r="D1851" s="20">
        <f t="shared" si="140"/>
        <v>1845</v>
      </c>
      <c r="E1851" s="48">
        <f t="shared" si="141"/>
        <v>4250</v>
      </c>
      <c r="F1851" s="48">
        <f t="shared" si="142"/>
        <v>3450</v>
      </c>
      <c r="G1851" s="20">
        <v>0.38438221591966049</v>
      </c>
      <c r="H1851" s="50"/>
      <c r="I1851" s="16"/>
      <c r="J1851" s="16"/>
      <c r="K1851" s="16"/>
      <c r="L1851" s="16"/>
      <c r="M1851" s="16">
        <v>1845</v>
      </c>
      <c r="N1851" s="16">
        <f t="shared" si="143"/>
        <v>0.66158536585365857</v>
      </c>
      <c r="O1851" s="16"/>
      <c r="P1851" s="16"/>
      <c r="Q1851" s="16">
        <f t="shared" si="144"/>
        <v>0.4167937582667029</v>
      </c>
    </row>
    <row r="1852" spans="4:17" ht="15" thickBot="1" x14ac:dyDescent="0.35">
      <c r="D1852" s="20">
        <f t="shared" si="140"/>
        <v>1846</v>
      </c>
      <c r="E1852" s="20">
        <f t="shared" si="141"/>
        <v>4350</v>
      </c>
      <c r="F1852" s="20">
        <f t="shared" si="142"/>
        <v>3450</v>
      </c>
      <c r="G1852" s="20">
        <v>0.38440778495054728</v>
      </c>
      <c r="H1852" s="50"/>
      <c r="I1852" s="16"/>
      <c r="J1852" s="16"/>
      <c r="K1852" s="16"/>
      <c r="L1852" s="16"/>
      <c r="M1852" s="16">
        <v>1846</v>
      </c>
      <c r="N1852" s="16">
        <f t="shared" si="143"/>
        <v>0.66194404591104739</v>
      </c>
      <c r="O1852" s="16"/>
      <c r="P1852" s="16"/>
      <c r="Q1852" s="16">
        <f t="shared" si="144"/>
        <v>0.41777462087772305</v>
      </c>
    </row>
    <row r="1853" spans="4:17" ht="15" thickBot="1" x14ac:dyDescent="0.35">
      <c r="D1853" s="20">
        <f t="shared" si="140"/>
        <v>1847</v>
      </c>
      <c r="E1853" s="20">
        <f t="shared" si="141"/>
        <v>4450</v>
      </c>
      <c r="F1853" s="20">
        <f t="shared" si="142"/>
        <v>3450</v>
      </c>
      <c r="G1853" s="20">
        <v>0.38449968879892771</v>
      </c>
      <c r="H1853" s="50"/>
      <c r="I1853" s="16"/>
      <c r="J1853" s="16"/>
      <c r="K1853" s="16"/>
      <c r="L1853" s="16"/>
      <c r="M1853" s="16">
        <v>1847</v>
      </c>
      <c r="N1853" s="16">
        <f t="shared" si="143"/>
        <v>0.6623027259684362</v>
      </c>
      <c r="O1853" s="16"/>
      <c r="P1853" s="16"/>
      <c r="Q1853" s="16">
        <f t="shared" si="144"/>
        <v>0.41875588559101445</v>
      </c>
    </row>
    <row r="1854" spans="4:17" ht="15" thickBot="1" x14ac:dyDescent="0.35">
      <c r="D1854" s="20">
        <f t="shared" si="140"/>
        <v>1848</v>
      </c>
      <c r="E1854" s="20">
        <f t="shared" si="141"/>
        <v>4550</v>
      </c>
      <c r="F1854" s="20">
        <f t="shared" si="142"/>
        <v>3450</v>
      </c>
      <c r="G1854" s="20">
        <v>0.38457135527514641</v>
      </c>
      <c r="H1854" s="50"/>
      <c r="I1854" s="16"/>
      <c r="J1854" s="16"/>
      <c r="K1854" s="16"/>
      <c r="L1854" s="16"/>
      <c r="M1854" s="16">
        <v>1848</v>
      </c>
      <c r="N1854" s="16">
        <f t="shared" si="143"/>
        <v>0.66266140602582502</v>
      </c>
      <c r="O1854" s="16"/>
      <c r="P1854" s="16"/>
      <c r="Q1854" s="16">
        <f t="shared" si="144"/>
        <v>0.4197375536820111</v>
      </c>
    </row>
    <row r="1855" spans="4:17" ht="15" thickBot="1" x14ac:dyDescent="0.35">
      <c r="D1855" s="20">
        <f t="shared" si="140"/>
        <v>1849</v>
      </c>
      <c r="E1855" s="20">
        <f t="shared" si="141"/>
        <v>4650</v>
      </c>
      <c r="F1855" s="20">
        <f t="shared" si="142"/>
        <v>3450</v>
      </c>
      <c r="G1855" s="20">
        <v>0.3845828699802879</v>
      </c>
      <c r="H1855" s="50"/>
      <c r="I1855" s="16"/>
      <c r="J1855" s="16"/>
      <c r="K1855" s="16"/>
      <c r="L1855" s="16"/>
      <c r="M1855" s="16">
        <v>1849</v>
      </c>
      <c r="N1855" s="16">
        <f t="shared" si="143"/>
        <v>0.66302008608321372</v>
      </c>
      <c r="O1855" s="16"/>
      <c r="P1855" s="16"/>
      <c r="Q1855" s="16">
        <f t="shared" si="144"/>
        <v>0.42071962642927557</v>
      </c>
    </row>
    <row r="1856" spans="4:17" ht="15" thickBot="1" x14ac:dyDescent="0.35">
      <c r="D1856" s="20">
        <f t="shared" si="140"/>
        <v>1850</v>
      </c>
      <c r="E1856" s="20">
        <f t="shared" si="141"/>
        <v>4750</v>
      </c>
      <c r="F1856" s="20">
        <f t="shared" si="142"/>
        <v>3450</v>
      </c>
      <c r="G1856" s="20">
        <v>0.38462311138941846</v>
      </c>
      <c r="H1856" s="50"/>
      <c r="I1856" s="16"/>
      <c r="J1856" s="16"/>
      <c r="K1856" s="16"/>
      <c r="L1856" s="16"/>
      <c r="M1856" s="16">
        <v>1850</v>
      </c>
      <c r="N1856" s="16">
        <f t="shared" si="143"/>
        <v>0.66337876614060254</v>
      </c>
      <c r="O1856" s="16"/>
      <c r="P1856" s="16"/>
      <c r="Q1856" s="16">
        <f t="shared" si="144"/>
        <v>0.42170210511451411</v>
      </c>
    </row>
    <row r="1857" spans="4:17" ht="15" thickBot="1" x14ac:dyDescent="0.35">
      <c r="D1857" s="20">
        <f t="shared" si="140"/>
        <v>1851</v>
      </c>
      <c r="E1857" s="20">
        <f t="shared" si="141"/>
        <v>4850</v>
      </c>
      <c r="F1857" s="20">
        <f t="shared" si="142"/>
        <v>3450</v>
      </c>
      <c r="G1857" s="20">
        <v>0.38463205611831458</v>
      </c>
      <c r="H1857" s="50"/>
      <c r="I1857" s="16"/>
      <c r="J1857" s="16"/>
      <c r="K1857" s="16"/>
      <c r="L1857" s="16"/>
      <c r="M1857" s="16">
        <v>1851</v>
      </c>
      <c r="N1857" s="16">
        <f t="shared" si="143"/>
        <v>0.66373744619799135</v>
      </c>
      <c r="O1857" s="16"/>
      <c r="P1857" s="16"/>
      <c r="Q1857" s="16">
        <f t="shared" si="144"/>
        <v>0.42268499102259016</v>
      </c>
    </row>
    <row r="1858" spans="4:17" ht="15" thickBot="1" x14ac:dyDescent="0.35">
      <c r="D1858" s="20">
        <f t="shared" si="140"/>
        <v>1852</v>
      </c>
      <c r="E1858" s="20">
        <f t="shared" si="141"/>
        <v>4950</v>
      </c>
      <c r="F1858" s="20">
        <f t="shared" si="142"/>
        <v>3450</v>
      </c>
      <c r="G1858" s="20">
        <v>0.38465354393520629</v>
      </c>
      <c r="H1858" s="50"/>
      <c r="I1858" s="16"/>
      <c r="J1858" s="16"/>
      <c r="K1858" s="16"/>
      <c r="L1858" s="16"/>
      <c r="M1858" s="16">
        <v>1852</v>
      </c>
      <c r="N1858" s="16">
        <f t="shared" si="143"/>
        <v>0.66409612625538017</v>
      </c>
      <c r="O1858" s="16"/>
      <c r="P1858" s="16"/>
      <c r="Q1858" s="16">
        <f t="shared" si="144"/>
        <v>0.42366828544153962</v>
      </c>
    </row>
    <row r="1859" spans="4:17" ht="15" thickBot="1" x14ac:dyDescent="0.35">
      <c r="D1859" s="20">
        <f t="shared" si="140"/>
        <v>1853</v>
      </c>
      <c r="E1859" s="20">
        <f t="shared" si="141"/>
        <v>5050</v>
      </c>
      <c r="F1859" s="20">
        <f t="shared" si="142"/>
        <v>3450</v>
      </c>
      <c r="G1859" s="20">
        <v>0.38486752069562591</v>
      </c>
      <c r="H1859" s="50"/>
      <c r="I1859" s="16"/>
      <c r="J1859" s="16"/>
      <c r="K1859" s="16"/>
      <c r="L1859" s="16"/>
      <c r="M1859" s="16">
        <v>1853</v>
      </c>
      <c r="N1859" s="16">
        <f t="shared" si="143"/>
        <v>0.66445480631276899</v>
      </c>
      <c r="O1859" s="16"/>
      <c r="P1859" s="16"/>
      <c r="Q1859" s="16">
        <f t="shared" si="144"/>
        <v>0.42465198966258533</v>
      </c>
    </row>
    <row r="1860" spans="4:17" ht="15" thickBot="1" x14ac:dyDescent="0.35">
      <c r="D1860" s="20">
        <f t="shared" si="140"/>
        <v>1854</v>
      </c>
      <c r="E1860" s="20">
        <f t="shared" si="141"/>
        <v>5150</v>
      </c>
      <c r="F1860" s="20">
        <f t="shared" si="142"/>
        <v>3450</v>
      </c>
      <c r="G1860" s="20">
        <v>0.38493837604495168</v>
      </c>
      <c r="H1860" s="50"/>
      <c r="I1860" s="16"/>
      <c r="J1860" s="16"/>
      <c r="K1860" s="16"/>
      <c r="L1860" s="16"/>
      <c r="M1860" s="16">
        <v>1854</v>
      </c>
      <c r="N1860" s="16">
        <f t="shared" si="143"/>
        <v>0.6648134863701578</v>
      </c>
      <c r="O1860" s="16"/>
      <c r="P1860" s="16"/>
      <c r="Q1860" s="16">
        <f t="shared" si="144"/>
        <v>0.42563610498015186</v>
      </c>
    </row>
    <row r="1861" spans="4:17" ht="15" thickBot="1" x14ac:dyDescent="0.35">
      <c r="D1861" s="20">
        <f t="shared" si="140"/>
        <v>1855</v>
      </c>
      <c r="E1861" s="20">
        <f t="shared" si="141"/>
        <v>5250</v>
      </c>
      <c r="F1861" s="20">
        <f t="shared" si="142"/>
        <v>3450</v>
      </c>
      <c r="G1861" s="20">
        <v>0.38510416897275851</v>
      </c>
      <c r="H1861" s="50"/>
      <c r="I1861" s="16"/>
      <c r="J1861" s="16"/>
      <c r="K1861" s="16"/>
      <c r="L1861" s="16"/>
      <c r="M1861" s="16">
        <v>1855</v>
      </c>
      <c r="N1861" s="16">
        <f t="shared" si="143"/>
        <v>0.66517216642754662</v>
      </c>
      <c r="O1861" s="16"/>
      <c r="P1861" s="16"/>
      <c r="Q1861" s="16">
        <f t="shared" si="144"/>
        <v>0.42662063269188</v>
      </c>
    </row>
    <row r="1862" spans="4:17" ht="15" thickBot="1" x14ac:dyDescent="0.35">
      <c r="D1862" s="20">
        <f t="shared" si="140"/>
        <v>1856</v>
      </c>
      <c r="E1862" s="20">
        <f t="shared" si="141"/>
        <v>50</v>
      </c>
      <c r="F1862" s="20">
        <f t="shared" si="142"/>
        <v>3550</v>
      </c>
      <c r="G1862" s="20">
        <v>0.38518049516655312</v>
      </c>
      <c r="H1862" s="50"/>
      <c r="I1862" s="16"/>
      <c r="J1862" s="16"/>
      <c r="K1862" s="16"/>
      <c r="L1862" s="16"/>
      <c r="M1862" s="16">
        <v>1856</v>
      </c>
      <c r="N1862" s="16">
        <f t="shared" si="143"/>
        <v>0.66553084648493543</v>
      </c>
      <c r="O1862" s="16"/>
      <c r="P1862" s="16"/>
      <c r="Q1862" s="16">
        <f t="shared" si="144"/>
        <v>0.42760557409864203</v>
      </c>
    </row>
    <row r="1863" spans="4:17" ht="15" thickBot="1" x14ac:dyDescent="0.35">
      <c r="D1863" s="20">
        <f t="shared" ref="D1863:D1926" si="145">ROW()-6</f>
        <v>1857</v>
      </c>
      <c r="E1863" s="48">
        <f t="shared" ref="E1863:E1926" si="146">(MOD(D1863-1,53)*100)+50</f>
        <v>150</v>
      </c>
      <c r="F1863" s="48">
        <f t="shared" ref="F1863:F1926" si="147">FLOOR((D1863-1)/53,1)*100+50</f>
        <v>3550</v>
      </c>
      <c r="G1863" s="20">
        <v>0.38527093192663042</v>
      </c>
      <c r="H1863" s="50"/>
      <c r="I1863" s="16"/>
      <c r="J1863" s="16"/>
      <c r="K1863" s="16"/>
      <c r="L1863" s="16"/>
      <c r="M1863" s="16">
        <v>1857</v>
      </c>
      <c r="N1863" s="16">
        <f t="shared" si="143"/>
        <v>0.66588952654232425</v>
      </c>
      <c r="O1863" s="16"/>
      <c r="P1863" s="16"/>
      <c r="Q1863" s="16">
        <f t="shared" si="144"/>
        <v>0.42859093050455604</v>
      </c>
    </row>
    <row r="1864" spans="4:17" ht="15" thickBot="1" x14ac:dyDescent="0.35">
      <c r="D1864" s="20">
        <f t="shared" si="145"/>
        <v>1858</v>
      </c>
      <c r="E1864" s="20">
        <f t="shared" si="146"/>
        <v>250</v>
      </c>
      <c r="F1864" s="20">
        <f t="shared" si="147"/>
        <v>3550</v>
      </c>
      <c r="G1864" s="20">
        <v>0.38529782315249389</v>
      </c>
      <c r="H1864" s="50"/>
      <c r="I1864" s="16"/>
      <c r="J1864" s="16"/>
      <c r="K1864" s="16"/>
      <c r="L1864" s="16"/>
      <c r="M1864" s="16">
        <v>1858</v>
      </c>
      <c r="N1864" s="16">
        <f t="shared" ref="N1864:N1927" si="148">(M1864-0.5)/$L$7</f>
        <v>0.66624820659971307</v>
      </c>
      <c r="O1864" s="16"/>
      <c r="P1864" s="16"/>
      <c r="Q1864" s="16">
        <f t="shared" ref="Q1864:Q1927" si="149">_xlfn.NORM.S.INV(N1864)</f>
        <v>0.42957670321700203</v>
      </c>
    </row>
    <row r="1865" spans="4:17" ht="15" thickBot="1" x14ac:dyDescent="0.35">
      <c r="D1865" s="20">
        <f t="shared" si="145"/>
        <v>1859</v>
      </c>
      <c r="E1865" s="20">
        <f t="shared" si="146"/>
        <v>350</v>
      </c>
      <c r="F1865" s="20">
        <f t="shared" si="147"/>
        <v>3550</v>
      </c>
      <c r="G1865" s="20">
        <v>0.38539701268520155</v>
      </c>
      <c r="H1865" s="50"/>
      <c r="I1865" s="16"/>
      <c r="J1865" s="16"/>
      <c r="K1865" s="16"/>
      <c r="L1865" s="16"/>
      <c r="M1865" s="16">
        <v>1859</v>
      </c>
      <c r="N1865" s="16">
        <f t="shared" si="148"/>
        <v>0.66660688665710188</v>
      </c>
      <c r="O1865" s="16"/>
      <c r="P1865" s="16"/>
      <c r="Q1865" s="16">
        <f t="shared" si="149"/>
        <v>0.43056289354663568</v>
      </c>
    </row>
    <row r="1866" spans="4:17" ht="15" thickBot="1" x14ac:dyDescent="0.35">
      <c r="D1866" s="20">
        <f t="shared" si="145"/>
        <v>1860</v>
      </c>
      <c r="E1866" s="43">
        <f t="shared" si="146"/>
        <v>450</v>
      </c>
      <c r="F1866" s="43">
        <f t="shared" si="147"/>
        <v>3550</v>
      </c>
      <c r="G1866" s="20">
        <v>0.38563691539202527</v>
      </c>
      <c r="H1866" s="50"/>
      <c r="I1866" s="16"/>
      <c r="J1866" s="16"/>
      <c r="K1866" s="16"/>
      <c r="L1866" s="16"/>
      <c r="M1866" s="16">
        <v>1860</v>
      </c>
      <c r="N1866" s="16">
        <f t="shared" si="148"/>
        <v>0.6669655667144907</v>
      </c>
      <c r="O1866" s="16"/>
      <c r="P1866" s="16"/>
      <c r="Q1866" s="16">
        <f t="shared" si="149"/>
        <v>0.43154950280740451</v>
      </c>
    </row>
    <row r="1867" spans="4:17" ht="15" thickBot="1" x14ac:dyDescent="0.35">
      <c r="D1867" s="20">
        <f t="shared" si="145"/>
        <v>1861</v>
      </c>
      <c r="E1867" s="20">
        <f t="shared" si="146"/>
        <v>550</v>
      </c>
      <c r="F1867" s="20">
        <f t="shared" si="147"/>
        <v>3550</v>
      </c>
      <c r="G1867" s="20">
        <v>0.38569616796565787</v>
      </c>
      <c r="H1867" s="50"/>
      <c r="I1867" s="16"/>
      <c r="J1867" s="16"/>
      <c r="K1867" s="16"/>
      <c r="L1867" s="16"/>
      <c r="M1867" s="16">
        <v>1861</v>
      </c>
      <c r="N1867" s="16">
        <f t="shared" si="148"/>
        <v>0.66732424677187951</v>
      </c>
      <c r="O1867" s="16"/>
      <c r="P1867" s="16"/>
      <c r="Q1867" s="16">
        <f t="shared" si="149"/>
        <v>0.43253653231656247</v>
      </c>
    </row>
    <row r="1868" spans="4:17" ht="15" thickBot="1" x14ac:dyDescent="0.35">
      <c r="D1868" s="20">
        <f t="shared" si="145"/>
        <v>1862</v>
      </c>
      <c r="E1868" s="20">
        <f t="shared" si="146"/>
        <v>650</v>
      </c>
      <c r="F1868" s="20">
        <f t="shared" si="147"/>
        <v>3550</v>
      </c>
      <c r="G1868" s="20">
        <v>0.38574055176825123</v>
      </c>
      <c r="H1868" s="50"/>
      <c r="I1868" s="16"/>
      <c r="J1868" s="16"/>
      <c r="K1868" s="16"/>
      <c r="L1868" s="16"/>
      <c r="M1868" s="16">
        <v>1862</v>
      </c>
      <c r="N1868" s="16">
        <f t="shared" si="148"/>
        <v>0.66768292682926833</v>
      </c>
      <c r="O1868" s="16"/>
      <c r="P1868" s="16"/>
      <c r="Q1868" s="16">
        <f t="shared" si="149"/>
        <v>0.43352398339468562</v>
      </c>
    </row>
    <row r="1869" spans="4:17" ht="15" thickBot="1" x14ac:dyDescent="0.35">
      <c r="D1869" s="20">
        <f t="shared" si="145"/>
        <v>1863</v>
      </c>
      <c r="E1869" s="48">
        <f t="shared" si="146"/>
        <v>750</v>
      </c>
      <c r="F1869" s="48">
        <f t="shared" si="147"/>
        <v>3550</v>
      </c>
      <c r="G1869" s="20">
        <v>0.38575653803364585</v>
      </c>
      <c r="H1869" s="50"/>
      <c r="I1869" s="16"/>
      <c r="J1869" s="16"/>
      <c r="K1869" s="16"/>
      <c r="L1869" s="16"/>
      <c r="M1869" s="16">
        <v>1863</v>
      </c>
      <c r="N1869" s="16">
        <f t="shared" si="148"/>
        <v>0.66804160688665715</v>
      </c>
      <c r="O1869" s="16"/>
      <c r="P1869" s="16"/>
      <c r="Q1869" s="16">
        <f t="shared" si="149"/>
        <v>0.43451185736568765</v>
      </c>
    </row>
    <row r="1870" spans="4:17" ht="15" thickBot="1" x14ac:dyDescent="0.35">
      <c r="D1870" s="20">
        <f t="shared" si="145"/>
        <v>1864</v>
      </c>
      <c r="E1870" s="20">
        <f t="shared" si="146"/>
        <v>850</v>
      </c>
      <c r="F1870" s="20">
        <f t="shared" si="147"/>
        <v>3550</v>
      </c>
      <c r="G1870" s="20">
        <v>0.38581077185823665</v>
      </c>
      <c r="H1870" s="50"/>
      <c r="I1870" s="16"/>
      <c r="J1870" s="16"/>
      <c r="K1870" s="16"/>
      <c r="L1870" s="16"/>
      <c r="M1870" s="16">
        <v>1864</v>
      </c>
      <c r="N1870" s="16">
        <f t="shared" si="148"/>
        <v>0.66840028694404596</v>
      </c>
      <c r="O1870" s="16"/>
      <c r="P1870" s="16"/>
      <c r="Q1870" s="16">
        <f t="shared" si="149"/>
        <v>0.43550015555683452</v>
      </c>
    </row>
    <row r="1871" spans="4:17" ht="15" thickBot="1" x14ac:dyDescent="0.35">
      <c r="D1871" s="20">
        <f t="shared" si="145"/>
        <v>1865</v>
      </c>
      <c r="E1871" s="20">
        <f t="shared" si="146"/>
        <v>950</v>
      </c>
      <c r="F1871" s="20">
        <f t="shared" si="147"/>
        <v>3550</v>
      </c>
      <c r="G1871" s="20">
        <v>0.38587484409748096</v>
      </c>
      <c r="H1871" s="50"/>
      <c r="I1871" s="16"/>
      <c r="J1871" s="16"/>
      <c r="K1871" s="16"/>
      <c r="L1871" s="16"/>
      <c r="M1871" s="16">
        <v>1865</v>
      </c>
      <c r="N1871" s="16">
        <f t="shared" si="148"/>
        <v>0.66875896700143467</v>
      </c>
      <c r="O1871" s="16"/>
      <c r="P1871" s="16"/>
      <c r="Q1871" s="16">
        <f t="shared" si="149"/>
        <v>0.43648887929876096</v>
      </c>
    </row>
    <row r="1872" spans="4:17" ht="15" thickBot="1" x14ac:dyDescent="0.35">
      <c r="D1872" s="20">
        <f t="shared" si="145"/>
        <v>1866</v>
      </c>
      <c r="E1872" s="20">
        <f t="shared" si="146"/>
        <v>1050</v>
      </c>
      <c r="F1872" s="20">
        <f t="shared" si="147"/>
        <v>3550</v>
      </c>
      <c r="G1872" s="20">
        <v>0.38591791515397411</v>
      </c>
      <c r="H1872" s="50"/>
      <c r="I1872" s="16"/>
      <c r="J1872" s="16"/>
      <c r="K1872" s="16"/>
      <c r="L1872" s="16"/>
      <c r="M1872" s="16">
        <v>1866</v>
      </c>
      <c r="N1872" s="16">
        <f t="shared" si="148"/>
        <v>0.66911764705882348</v>
      </c>
      <c r="O1872" s="16"/>
      <c r="P1872" s="16"/>
      <c r="Q1872" s="16">
        <f t="shared" si="149"/>
        <v>0.43747802992548618</v>
      </c>
    </row>
    <row r="1873" spans="4:17" ht="15" thickBot="1" x14ac:dyDescent="0.35">
      <c r="D1873" s="20">
        <f t="shared" si="145"/>
        <v>1867</v>
      </c>
      <c r="E1873" s="20">
        <f t="shared" si="146"/>
        <v>1150</v>
      </c>
      <c r="F1873" s="20">
        <f t="shared" si="147"/>
        <v>3550</v>
      </c>
      <c r="G1873" s="20">
        <v>0.38606086473614015</v>
      </c>
      <c r="H1873" s="50"/>
      <c r="I1873" s="16"/>
      <c r="J1873" s="16"/>
      <c r="K1873" s="16"/>
      <c r="L1873" s="16"/>
      <c r="M1873" s="16">
        <v>1867</v>
      </c>
      <c r="N1873" s="16">
        <f t="shared" si="148"/>
        <v>0.6694763271162123</v>
      </c>
      <c r="O1873" s="16"/>
      <c r="P1873" s="16"/>
      <c r="Q1873" s="16">
        <f t="shared" si="149"/>
        <v>0.4384676087744282</v>
      </c>
    </row>
    <row r="1874" spans="4:17" ht="15" thickBot="1" x14ac:dyDescent="0.35">
      <c r="D1874" s="20">
        <f t="shared" si="145"/>
        <v>1868</v>
      </c>
      <c r="E1874" s="20">
        <f t="shared" si="146"/>
        <v>1250</v>
      </c>
      <c r="F1874" s="20">
        <f t="shared" si="147"/>
        <v>3550</v>
      </c>
      <c r="G1874" s="20">
        <v>0.38610631687081232</v>
      </c>
      <c r="H1874" s="50"/>
      <c r="I1874" s="16"/>
      <c r="J1874" s="16"/>
      <c r="K1874" s="16"/>
      <c r="L1874" s="16"/>
      <c r="M1874" s="16">
        <v>1868</v>
      </c>
      <c r="N1874" s="16">
        <f t="shared" si="148"/>
        <v>0.66983500717360112</v>
      </c>
      <c r="O1874" s="16"/>
      <c r="P1874" s="16"/>
      <c r="Q1874" s="16">
        <f t="shared" si="149"/>
        <v>0.43945761718642107</v>
      </c>
    </row>
    <row r="1875" spans="4:17" ht="15" thickBot="1" x14ac:dyDescent="0.35">
      <c r="D1875" s="20">
        <f t="shared" si="145"/>
        <v>1869</v>
      </c>
      <c r="E1875" s="20">
        <f t="shared" si="146"/>
        <v>1350</v>
      </c>
      <c r="F1875" s="20">
        <f t="shared" si="147"/>
        <v>3550</v>
      </c>
      <c r="G1875" s="20">
        <v>0.3861530737695556</v>
      </c>
      <c r="H1875" s="50"/>
      <c r="I1875" s="16"/>
      <c r="J1875" s="16"/>
      <c r="K1875" s="16"/>
      <c r="L1875" s="16"/>
      <c r="M1875" s="16">
        <v>1869</v>
      </c>
      <c r="N1875" s="16">
        <f t="shared" si="148"/>
        <v>0.67019368723098993</v>
      </c>
      <c r="O1875" s="16"/>
      <c r="P1875" s="16"/>
      <c r="Q1875" s="16">
        <f t="shared" si="149"/>
        <v>0.44044805650572993</v>
      </c>
    </row>
    <row r="1876" spans="4:17" ht="15" thickBot="1" x14ac:dyDescent="0.35">
      <c r="D1876" s="20">
        <f t="shared" si="145"/>
        <v>1870</v>
      </c>
      <c r="E1876" s="44">
        <f t="shared" si="146"/>
        <v>1450</v>
      </c>
      <c r="F1876" s="44">
        <f t="shared" si="147"/>
        <v>3550</v>
      </c>
      <c r="G1876" s="20">
        <v>0.38619744891224439</v>
      </c>
      <c r="H1876" s="50"/>
      <c r="I1876" s="16"/>
      <c r="J1876" s="16"/>
      <c r="K1876" s="16"/>
      <c r="L1876" s="16"/>
      <c r="M1876" s="16">
        <v>1870</v>
      </c>
      <c r="N1876" s="16">
        <f t="shared" si="148"/>
        <v>0.67055236728837875</v>
      </c>
      <c r="O1876" s="16"/>
      <c r="P1876" s="16"/>
      <c r="Q1876" s="16">
        <f t="shared" si="149"/>
        <v>0.44143892808006729</v>
      </c>
    </row>
    <row r="1877" spans="4:17" ht="15" thickBot="1" x14ac:dyDescent="0.35">
      <c r="D1877" s="20">
        <f t="shared" si="145"/>
        <v>1871</v>
      </c>
      <c r="E1877" s="20">
        <f t="shared" si="146"/>
        <v>1550</v>
      </c>
      <c r="F1877" s="20">
        <f t="shared" si="147"/>
        <v>3550</v>
      </c>
      <c r="G1877" s="20">
        <v>0.38624075716016948</v>
      </c>
      <c r="H1877" s="50"/>
      <c r="I1877" s="16"/>
      <c r="J1877" s="16"/>
      <c r="K1877" s="16"/>
      <c r="L1877" s="16"/>
      <c r="M1877" s="16">
        <v>1871</v>
      </c>
      <c r="N1877" s="16">
        <f t="shared" si="148"/>
        <v>0.67091104734576756</v>
      </c>
      <c r="O1877" s="16"/>
      <c r="P1877" s="16"/>
      <c r="Q1877" s="16">
        <f t="shared" si="149"/>
        <v>0.44243023326060898</v>
      </c>
    </row>
    <row r="1878" spans="4:17" ht="15" thickBot="1" x14ac:dyDescent="0.35">
      <c r="D1878" s="20">
        <f t="shared" si="145"/>
        <v>1872</v>
      </c>
      <c r="E1878" s="20">
        <f t="shared" si="146"/>
        <v>1650</v>
      </c>
      <c r="F1878" s="20">
        <f t="shared" si="147"/>
        <v>3550</v>
      </c>
      <c r="G1878" s="20">
        <v>0.38635602807951325</v>
      </c>
      <c r="H1878" s="50"/>
      <c r="I1878" s="16"/>
      <c r="J1878" s="16"/>
      <c r="K1878" s="16"/>
      <c r="L1878" s="16"/>
      <c r="M1878" s="16">
        <v>1872</v>
      </c>
      <c r="N1878" s="16">
        <f t="shared" si="148"/>
        <v>0.67126972740315638</v>
      </c>
      <c r="O1878" s="16"/>
      <c r="P1878" s="16"/>
      <c r="Q1878" s="16">
        <f t="shared" si="149"/>
        <v>0.44342197340200989</v>
      </c>
    </row>
    <row r="1879" spans="4:17" ht="15" thickBot="1" x14ac:dyDescent="0.35">
      <c r="D1879" s="20">
        <f t="shared" si="145"/>
        <v>1873</v>
      </c>
      <c r="E1879" s="20">
        <f t="shared" si="146"/>
        <v>1750</v>
      </c>
      <c r="F1879" s="20">
        <f t="shared" si="147"/>
        <v>3550</v>
      </c>
      <c r="G1879" s="20">
        <v>0.3864667766689438</v>
      </c>
      <c r="H1879" s="50"/>
      <c r="I1879" s="16"/>
      <c r="J1879" s="16"/>
      <c r="K1879" s="16"/>
      <c r="L1879" s="16"/>
      <c r="M1879" s="16">
        <v>1873</v>
      </c>
      <c r="N1879" s="16">
        <f t="shared" si="148"/>
        <v>0.6716284074605452</v>
      </c>
      <c r="O1879" s="16"/>
      <c r="P1879" s="16"/>
      <c r="Q1879" s="16">
        <f t="shared" si="149"/>
        <v>0.44441414986242106</v>
      </c>
    </row>
    <row r="1880" spans="4:17" ht="15" thickBot="1" x14ac:dyDescent="0.35">
      <c r="D1880" s="20">
        <f t="shared" si="145"/>
        <v>1874</v>
      </c>
      <c r="E1880" s="20">
        <f t="shared" si="146"/>
        <v>1850</v>
      </c>
      <c r="F1880" s="20">
        <f t="shared" si="147"/>
        <v>3550</v>
      </c>
      <c r="G1880" s="20">
        <v>0.38650553904815932</v>
      </c>
      <c r="H1880" s="50"/>
      <c r="I1880" s="16"/>
      <c r="J1880" s="16"/>
      <c r="K1880" s="16"/>
      <c r="L1880" s="16"/>
      <c r="M1880" s="16">
        <v>1874</v>
      </c>
      <c r="N1880" s="16">
        <f t="shared" si="148"/>
        <v>0.67198708751793401</v>
      </c>
      <c r="O1880" s="16"/>
      <c r="P1880" s="16"/>
      <c r="Q1880" s="16">
        <f t="shared" si="149"/>
        <v>0.44540676400350493</v>
      </c>
    </row>
    <row r="1881" spans="4:17" ht="15" thickBot="1" x14ac:dyDescent="0.35">
      <c r="D1881" s="20">
        <f t="shared" si="145"/>
        <v>1875</v>
      </c>
      <c r="E1881" s="20">
        <f t="shared" si="146"/>
        <v>1950</v>
      </c>
      <c r="F1881" s="20">
        <f t="shared" si="147"/>
        <v>3550</v>
      </c>
      <c r="G1881" s="20">
        <v>0.38653100960049475</v>
      </c>
      <c r="H1881" s="50"/>
      <c r="I1881" s="16"/>
      <c r="J1881" s="16"/>
      <c r="K1881" s="16"/>
      <c r="L1881" s="16"/>
      <c r="M1881" s="16">
        <v>1875</v>
      </c>
      <c r="N1881" s="16">
        <f t="shared" si="148"/>
        <v>0.67234576757532283</v>
      </c>
      <c r="O1881" s="16"/>
      <c r="P1881" s="16"/>
      <c r="Q1881" s="16">
        <f t="shared" si="149"/>
        <v>0.44639981719045196</v>
      </c>
    </row>
    <row r="1882" spans="4:17" ht="15" thickBot="1" x14ac:dyDescent="0.35">
      <c r="D1882" s="20">
        <f t="shared" si="145"/>
        <v>1876</v>
      </c>
      <c r="E1882" s="20">
        <f t="shared" si="146"/>
        <v>2050</v>
      </c>
      <c r="F1882" s="20">
        <f t="shared" si="147"/>
        <v>3550</v>
      </c>
      <c r="G1882" s="20">
        <v>0.38657312879860789</v>
      </c>
      <c r="H1882" s="50"/>
      <c r="I1882" s="16"/>
      <c r="J1882" s="16"/>
      <c r="K1882" s="16"/>
      <c r="L1882" s="16"/>
      <c r="M1882" s="16">
        <v>1876</v>
      </c>
      <c r="N1882" s="16">
        <f t="shared" si="148"/>
        <v>0.67270444763271164</v>
      </c>
      <c r="O1882" s="16"/>
      <c r="P1882" s="16"/>
      <c r="Q1882" s="16">
        <f t="shared" si="149"/>
        <v>0.44739331079199768</v>
      </c>
    </row>
    <row r="1883" spans="4:17" ht="15" thickBot="1" x14ac:dyDescent="0.35">
      <c r="D1883" s="20">
        <f t="shared" si="145"/>
        <v>1877</v>
      </c>
      <c r="E1883" s="20">
        <f t="shared" si="146"/>
        <v>2150</v>
      </c>
      <c r="F1883" s="20">
        <f t="shared" si="147"/>
        <v>3550</v>
      </c>
      <c r="G1883" s="20">
        <v>0.38666702495748989</v>
      </c>
      <c r="H1883" s="50"/>
      <c r="I1883" s="16"/>
      <c r="J1883" s="16"/>
      <c r="K1883" s="16"/>
      <c r="L1883" s="16"/>
      <c r="M1883" s="16">
        <v>1877</v>
      </c>
      <c r="N1883" s="16">
        <f t="shared" si="148"/>
        <v>0.67306312769010046</v>
      </c>
      <c r="O1883" s="16"/>
      <c r="P1883" s="16"/>
      <c r="Q1883" s="16">
        <f t="shared" si="149"/>
        <v>0.44838724618043835</v>
      </c>
    </row>
    <row r="1884" spans="4:17" ht="15" thickBot="1" x14ac:dyDescent="0.35">
      <c r="D1884" s="20">
        <f t="shared" si="145"/>
        <v>1878</v>
      </c>
      <c r="E1884" s="20">
        <f t="shared" si="146"/>
        <v>2250</v>
      </c>
      <c r="F1884" s="20">
        <f t="shared" si="147"/>
        <v>3550</v>
      </c>
      <c r="G1884" s="20">
        <v>0.38667819310814638</v>
      </c>
      <c r="H1884" s="50"/>
      <c r="I1884" s="16"/>
      <c r="J1884" s="16"/>
      <c r="K1884" s="16"/>
      <c r="L1884" s="16"/>
      <c r="M1884" s="16">
        <v>1878</v>
      </c>
      <c r="N1884" s="16">
        <f t="shared" si="148"/>
        <v>0.67342180774748928</v>
      </c>
      <c r="O1884" s="16"/>
      <c r="P1884" s="16"/>
      <c r="Q1884" s="16">
        <f t="shared" si="149"/>
        <v>0.44938162473164783</v>
      </c>
    </row>
    <row r="1885" spans="4:17" ht="15" thickBot="1" x14ac:dyDescent="0.35">
      <c r="D1885" s="20">
        <f t="shared" si="145"/>
        <v>1879</v>
      </c>
      <c r="E1885" s="20">
        <f t="shared" si="146"/>
        <v>2350</v>
      </c>
      <c r="F1885" s="20">
        <f t="shared" si="147"/>
        <v>3550</v>
      </c>
      <c r="G1885" s="20">
        <v>0.3868188807930516</v>
      </c>
      <c r="H1885" s="50"/>
      <c r="I1885" s="16"/>
      <c r="J1885" s="16"/>
      <c r="K1885" s="16"/>
      <c r="L1885" s="16"/>
      <c r="M1885" s="16">
        <v>1879</v>
      </c>
      <c r="N1885" s="16">
        <f t="shared" si="148"/>
        <v>0.67378048780487809</v>
      </c>
      <c r="O1885" s="16"/>
      <c r="P1885" s="16"/>
      <c r="Q1885" s="16">
        <f t="shared" si="149"/>
        <v>0.45037644782509495</v>
      </c>
    </row>
    <row r="1886" spans="4:17" ht="15" thickBot="1" x14ac:dyDescent="0.35">
      <c r="D1886" s="20">
        <f t="shared" si="145"/>
        <v>1880</v>
      </c>
      <c r="E1886" s="20">
        <f t="shared" si="146"/>
        <v>2450</v>
      </c>
      <c r="F1886" s="20">
        <f t="shared" si="147"/>
        <v>3550</v>
      </c>
      <c r="G1886" s="20">
        <v>0.3869334181571325</v>
      </c>
      <c r="H1886" s="50"/>
      <c r="I1886" s="16"/>
      <c r="J1886" s="16"/>
      <c r="K1886" s="16"/>
      <c r="L1886" s="16"/>
      <c r="M1886" s="16">
        <v>1880</v>
      </c>
      <c r="N1886" s="16">
        <f t="shared" si="148"/>
        <v>0.67413916786226691</v>
      </c>
      <c r="O1886" s="16"/>
      <c r="P1886" s="16"/>
      <c r="Q1886" s="16">
        <f t="shared" si="149"/>
        <v>0.45137171684385879</v>
      </c>
    </row>
    <row r="1887" spans="4:17" ht="15" thickBot="1" x14ac:dyDescent="0.35">
      <c r="D1887" s="20">
        <f t="shared" si="145"/>
        <v>1881</v>
      </c>
      <c r="E1887" s="20">
        <f t="shared" si="146"/>
        <v>2550</v>
      </c>
      <c r="F1887" s="20">
        <f t="shared" si="147"/>
        <v>3550</v>
      </c>
      <c r="G1887" s="20">
        <v>0.38701225678942353</v>
      </c>
      <c r="H1887" s="50"/>
      <c r="I1887" s="16"/>
      <c r="J1887" s="16"/>
      <c r="K1887" s="16"/>
      <c r="L1887" s="16"/>
      <c r="M1887" s="16">
        <v>1881</v>
      </c>
      <c r="N1887" s="16">
        <f t="shared" si="148"/>
        <v>0.67449784791965561</v>
      </c>
      <c r="O1887" s="16"/>
      <c r="P1887" s="16"/>
      <c r="Q1887" s="16">
        <f t="shared" si="149"/>
        <v>0.45236743317464684</v>
      </c>
    </row>
    <row r="1888" spans="4:17" ht="15" thickBot="1" x14ac:dyDescent="0.35">
      <c r="D1888" s="20">
        <f t="shared" si="145"/>
        <v>1882</v>
      </c>
      <c r="E1888" s="20">
        <f t="shared" si="146"/>
        <v>2650</v>
      </c>
      <c r="F1888" s="20">
        <f t="shared" si="147"/>
        <v>3550</v>
      </c>
      <c r="G1888" s="20">
        <v>0.38704580230334457</v>
      </c>
      <c r="H1888" s="50"/>
      <c r="I1888" s="16"/>
      <c r="J1888" s="16"/>
      <c r="K1888" s="16"/>
      <c r="L1888" s="16"/>
      <c r="M1888" s="16">
        <v>1882</v>
      </c>
      <c r="N1888" s="16">
        <f t="shared" si="148"/>
        <v>0.67485652797704443</v>
      </c>
      <c r="O1888" s="16"/>
      <c r="P1888" s="16"/>
      <c r="Q1888" s="16">
        <f t="shared" si="149"/>
        <v>0.45336359820781208</v>
      </c>
    </row>
    <row r="1889" spans="4:17" ht="15" thickBot="1" x14ac:dyDescent="0.35">
      <c r="D1889" s="20">
        <f t="shared" si="145"/>
        <v>1883</v>
      </c>
      <c r="E1889" s="45">
        <f t="shared" si="146"/>
        <v>2750</v>
      </c>
      <c r="F1889" s="45">
        <f t="shared" si="147"/>
        <v>3550</v>
      </c>
      <c r="G1889" s="20">
        <v>0.38714205166734533</v>
      </c>
      <c r="H1889" s="50"/>
      <c r="I1889" s="16"/>
      <c r="J1889" s="16"/>
      <c r="K1889" s="16"/>
      <c r="L1889" s="16"/>
      <c r="M1889" s="16">
        <v>1883</v>
      </c>
      <c r="N1889" s="16">
        <f t="shared" si="148"/>
        <v>0.67521520803443325</v>
      </c>
      <c r="O1889" s="16"/>
      <c r="P1889" s="16"/>
      <c r="Q1889" s="16">
        <f t="shared" si="149"/>
        <v>0.45436021333736842</v>
      </c>
    </row>
    <row r="1890" spans="4:17" ht="15" thickBot="1" x14ac:dyDescent="0.35">
      <c r="D1890" s="20">
        <f t="shared" si="145"/>
        <v>1884</v>
      </c>
      <c r="E1890" s="20">
        <f t="shared" si="146"/>
        <v>2850</v>
      </c>
      <c r="F1890" s="20">
        <f t="shared" si="147"/>
        <v>3550</v>
      </c>
      <c r="G1890" s="20">
        <v>0.38745237625290274</v>
      </c>
      <c r="H1890" s="50"/>
      <c r="I1890" s="16"/>
      <c r="J1890" s="16"/>
      <c r="K1890" s="16"/>
      <c r="L1890" s="16"/>
      <c r="M1890" s="16">
        <v>1884</v>
      </c>
      <c r="N1890" s="16">
        <f t="shared" si="148"/>
        <v>0.67557388809182206</v>
      </c>
      <c r="O1890" s="16"/>
      <c r="P1890" s="16"/>
      <c r="Q1890" s="16">
        <f t="shared" si="149"/>
        <v>0.45535727996100944</v>
      </c>
    </row>
    <row r="1891" spans="4:17" ht="15" thickBot="1" x14ac:dyDescent="0.35">
      <c r="D1891" s="20">
        <f t="shared" si="145"/>
        <v>1885</v>
      </c>
      <c r="E1891" s="20">
        <f t="shared" si="146"/>
        <v>2950</v>
      </c>
      <c r="F1891" s="20">
        <f t="shared" si="147"/>
        <v>3550</v>
      </c>
      <c r="G1891" s="20">
        <v>0.38769374497965997</v>
      </c>
      <c r="H1891" s="50"/>
      <c r="I1891" s="16"/>
      <c r="J1891" s="16"/>
      <c r="K1891" s="16"/>
      <c r="L1891" s="16"/>
      <c r="M1891" s="16">
        <v>1885</v>
      </c>
      <c r="N1891" s="16">
        <f t="shared" si="148"/>
        <v>0.67593256814921088</v>
      </c>
      <c r="O1891" s="16"/>
      <c r="P1891" s="16"/>
      <c r="Q1891" s="16">
        <f t="shared" si="149"/>
        <v>0.45635479948012458</v>
      </c>
    </row>
    <row r="1892" spans="4:17" ht="15" thickBot="1" x14ac:dyDescent="0.35">
      <c r="D1892" s="20">
        <f t="shared" si="145"/>
        <v>1886</v>
      </c>
      <c r="E1892" s="48">
        <f t="shared" si="146"/>
        <v>3050</v>
      </c>
      <c r="F1892" s="48">
        <f t="shared" si="147"/>
        <v>3550</v>
      </c>
      <c r="G1892" s="20">
        <v>0.38771435487598871</v>
      </c>
      <c r="H1892" s="50"/>
      <c r="I1892" s="16"/>
      <c r="J1892" s="16"/>
      <c r="K1892" s="16"/>
      <c r="L1892" s="16"/>
      <c r="M1892" s="16">
        <v>1886</v>
      </c>
      <c r="N1892" s="16">
        <f t="shared" si="148"/>
        <v>0.67629124820659969</v>
      </c>
      <c r="O1892" s="16"/>
      <c r="P1892" s="16"/>
      <c r="Q1892" s="16">
        <f t="shared" si="149"/>
        <v>0.45735277329981761</v>
      </c>
    </row>
    <row r="1893" spans="4:17" ht="15" thickBot="1" x14ac:dyDescent="0.35">
      <c r="D1893" s="20">
        <f t="shared" si="145"/>
        <v>1887</v>
      </c>
      <c r="E1893" s="20">
        <f t="shared" si="146"/>
        <v>3150</v>
      </c>
      <c r="F1893" s="20">
        <f t="shared" si="147"/>
        <v>3550</v>
      </c>
      <c r="G1893" s="20">
        <v>0.3877661794897313</v>
      </c>
      <c r="H1893" s="50"/>
      <c r="I1893" s="16"/>
      <c r="J1893" s="16"/>
      <c r="K1893" s="16"/>
      <c r="L1893" s="16"/>
      <c r="M1893" s="16">
        <v>1887</v>
      </c>
      <c r="N1893" s="16">
        <f t="shared" si="148"/>
        <v>0.67664992826398851</v>
      </c>
      <c r="O1893" s="16"/>
      <c r="P1893" s="16"/>
      <c r="Q1893" s="16">
        <f t="shared" si="149"/>
        <v>0.45835120282892222</v>
      </c>
    </row>
    <row r="1894" spans="4:17" ht="15" thickBot="1" x14ac:dyDescent="0.35">
      <c r="D1894" s="20">
        <f t="shared" si="145"/>
        <v>1888</v>
      </c>
      <c r="E1894" s="20">
        <f t="shared" si="146"/>
        <v>3250</v>
      </c>
      <c r="F1894" s="20">
        <f t="shared" si="147"/>
        <v>3550</v>
      </c>
      <c r="G1894" s="20">
        <v>0.38783341356339357</v>
      </c>
      <c r="H1894" s="50"/>
      <c r="I1894" s="16"/>
      <c r="J1894" s="16"/>
      <c r="K1894" s="16"/>
      <c r="L1894" s="16"/>
      <c r="M1894" s="16">
        <v>1888</v>
      </c>
      <c r="N1894" s="16">
        <f t="shared" si="148"/>
        <v>0.67700860832137733</v>
      </c>
      <c r="O1894" s="16"/>
      <c r="P1894" s="16"/>
      <c r="Q1894" s="16">
        <f t="shared" si="149"/>
        <v>0.45935008948002087</v>
      </c>
    </row>
    <row r="1895" spans="4:17" ht="15" thickBot="1" x14ac:dyDescent="0.35">
      <c r="D1895" s="20">
        <f t="shared" si="145"/>
        <v>1889</v>
      </c>
      <c r="E1895" s="20">
        <f t="shared" si="146"/>
        <v>3350</v>
      </c>
      <c r="F1895" s="20">
        <f t="shared" si="147"/>
        <v>3550</v>
      </c>
      <c r="G1895" s="20">
        <v>0.38783909059585969</v>
      </c>
      <c r="H1895" s="50"/>
      <c r="I1895" s="16"/>
      <c r="J1895" s="16"/>
      <c r="K1895" s="16"/>
      <c r="L1895" s="16"/>
      <c r="M1895" s="16">
        <v>1889</v>
      </c>
      <c r="N1895" s="16">
        <f t="shared" si="148"/>
        <v>0.67736728837876614</v>
      </c>
      <c r="O1895" s="16"/>
      <c r="P1895" s="16"/>
      <c r="Q1895" s="16">
        <f t="shared" si="149"/>
        <v>0.46034943466946204</v>
      </c>
    </row>
    <row r="1896" spans="4:17" ht="15" thickBot="1" x14ac:dyDescent="0.35">
      <c r="D1896" s="20">
        <f t="shared" si="145"/>
        <v>1890</v>
      </c>
      <c r="E1896" s="20">
        <f t="shared" si="146"/>
        <v>3450</v>
      </c>
      <c r="F1896" s="20">
        <f t="shared" si="147"/>
        <v>3550</v>
      </c>
      <c r="G1896" s="20">
        <v>0.3878783603999888</v>
      </c>
      <c r="H1896" s="50"/>
      <c r="I1896" s="16"/>
      <c r="J1896" s="16"/>
      <c r="K1896" s="16"/>
      <c r="L1896" s="16"/>
      <c r="M1896" s="16">
        <v>1890</v>
      </c>
      <c r="N1896" s="16">
        <f t="shared" si="148"/>
        <v>0.67772596843615496</v>
      </c>
      <c r="O1896" s="16"/>
      <c r="P1896" s="16"/>
      <c r="Q1896" s="16">
        <f t="shared" si="149"/>
        <v>0.46134923981737819</v>
      </c>
    </row>
    <row r="1897" spans="4:17" ht="15" thickBot="1" x14ac:dyDescent="0.35">
      <c r="D1897" s="20">
        <f t="shared" si="145"/>
        <v>1891</v>
      </c>
      <c r="E1897" s="20">
        <f t="shared" si="146"/>
        <v>3550</v>
      </c>
      <c r="F1897" s="20">
        <f t="shared" si="147"/>
        <v>3550</v>
      </c>
      <c r="G1897" s="20">
        <v>0.38788585977450285</v>
      </c>
      <c r="H1897" s="50"/>
      <c r="I1897" s="16"/>
      <c r="J1897" s="16"/>
      <c r="K1897" s="16"/>
      <c r="L1897" s="16"/>
      <c r="M1897" s="16">
        <v>1891</v>
      </c>
      <c r="N1897" s="16">
        <f t="shared" si="148"/>
        <v>0.67808464849354377</v>
      </c>
      <c r="O1897" s="16"/>
      <c r="P1897" s="16"/>
      <c r="Q1897" s="16">
        <f t="shared" si="149"/>
        <v>0.46234950634770222</v>
      </c>
    </row>
    <row r="1898" spans="4:17" ht="15" thickBot="1" x14ac:dyDescent="0.35">
      <c r="D1898" s="20">
        <f t="shared" si="145"/>
        <v>1892</v>
      </c>
      <c r="E1898" s="20">
        <f t="shared" si="146"/>
        <v>3650</v>
      </c>
      <c r="F1898" s="20">
        <f t="shared" si="147"/>
        <v>3550</v>
      </c>
      <c r="G1898" s="20">
        <v>0.38792157113279507</v>
      </c>
      <c r="H1898" s="50"/>
      <c r="I1898" s="16"/>
      <c r="J1898" s="16"/>
      <c r="K1898" s="16"/>
      <c r="L1898" s="16"/>
      <c r="M1898" s="16">
        <v>1892</v>
      </c>
      <c r="N1898" s="16">
        <f t="shared" si="148"/>
        <v>0.67844332855093259</v>
      </c>
      <c r="O1898" s="16"/>
      <c r="P1898" s="16"/>
      <c r="Q1898" s="16">
        <f t="shared" si="149"/>
        <v>0.46335023568818712</v>
      </c>
    </row>
    <row r="1899" spans="4:17" ht="15" thickBot="1" x14ac:dyDescent="0.35">
      <c r="D1899" s="20">
        <f t="shared" si="145"/>
        <v>1893</v>
      </c>
      <c r="E1899" s="20">
        <f t="shared" si="146"/>
        <v>3750</v>
      </c>
      <c r="F1899" s="20">
        <f t="shared" si="147"/>
        <v>3550</v>
      </c>
      <c r="G1899" s="20">
        <v>0.38793630961383485</v>
      </c>
      <c r="H1899" s="50"/>
      <c r="I1899" s="16"/>
      <c r="J1899" s="16"/>
      <c r="K1899" s="16"/>
      <c r="L1899" s="16"/>
      <c r="M1899" s="16">
        <v>1893</v>
      </c>
      <c r="N1899" s="16">
        <f t="shared" si="148"/>
        <v>0.67880200860832141</v>
      </c>
      <c r="O1899" s="16"/>
      <c r="P1899" s="16"/>
      <c r="Q1899" s="16">
        <f t="shared" si="149"/>
        <v>0.46435142927042217</v>
      </c>
    </row>
    <row r="1900" spans="4:17" ht="15" thickBot="1" x14ac:dyDescent="0.35">
      <c r="D1900" s="20">
        <f t="shared" si="145"/>
        <v>1894</v>
      </c>
      <c r="E1900" s="20">
        <f t="shared" si="146"/>
        <v>3850</v>
      </c>
      <c r="F1900" s="20">
        <f t="shared" si="147"/>
        <v>3550</v>
      </c>
      <c r="G1900" s="20">
        <v>0.38794974120333614</v>
      </c>
      <c r="H1900" s="50"/>
      <c r="I1900" s="16"/>
      <c r="J1900" s="16"/>
      <c r="K1900" s="16"/>
      <c r="L1900" s="16"/>
      <c r="M1900" s="16">
        <v>1894</v>
      </c>
      <c r="N1900" s="16">
        <f t="shared" si="148"/>
        <v>0.67916068866571022</v>
      </c>
      <c r="O1900" s="16"/>
      <c r="P1900" s="16"/>
      <c r="Q1900" s="16">
        <f t="shared" si="149"/>
        <v>0.46535308852985247</v>
      </c>
    </row>
    <row r="1901" spans="4:17" ht="15" thickBot="1" x14ac:dyDescent="0.35">
      <c r="D1901" s="20">
        <f t="shared" si="145"/>
        <v>1895</v>
      </c>
      <c r="E1901" s="20">
        <f t="shared" si="146"/>
        <v>3950</v>
      </c>
      <c r="F1901" s="20">
        <f t="shared" si="147"/>
        <v>3550</v>
      </c>
      <c r="G1901" s="20">
        <v>0.38797272844241748</v>
      </c>
      <c r="H1901" s="50"/>
      <c r="I1901" s="16"/>
      <c r="J1901" s="16"/>
      <c r="K1901" s="16"/>
      <c r="L1901" s="16"/>
      <c r="M1901" s="16">
        <v>1895</v>
      </c>
      <c r="N1901" s="16">
        <f t="shared" si="148"/>
        <v>0.67951936872309904</v>
      </c>
      <c r="O1901" s="16"/>
      <c r="P1901" s="16"/>
      <c r="Q1901" s="16">
        <f t="shared" si="149"/>
        <v>0.46635521490579601</v>
      </c>
    </row>
    <row r="1902" spans="4:17" ht="15" thickBot="1" x14ac:dyDescent="0.35">
      <c r="D1902" s="20">
        <f t="shared" si="145"/>
        <v>1896</v>
      </c>
      <c r="E1902" s="20">
        <f t="shared" si="146"/>
        <v>4050</v>
      </c>
      <c r="F1902" s="20">
        <f t="shared" si="147"/>
        <v>3550</v>
      </c>
      <c r="G1902" s="20">
        <v>0.3881543558529208</v>
      </c>
      <c r="H1902" s="50"/>
      <c r="I1902" s="16"/>
      <c r="J1902" s="16"/>
      <c r="K1902" s="16"/>
      <c r="L1902" s="16"/>
      <c r="M1902" s="16">
        <v>1896</v>
      </c>
      <c r="N1902" s="16">
        <f t="shared" si="148"/>
        <v>0.67987804878048785</v>
      </c>
      <c r="O1902" s="16"/>
      <c r="P1902" s="16"/>
      <c r="Q1902" s="16">
        <f t="shared" si="149"/>
        <v>0.46735780984146208</v>
      </c>
    </row>
    <row r="1903" spans="4:17" ht="15" thickBot="1" x14ac:dyDescent="0.35">
      <c r="D1903" s="20">
        <f t="shared" si="145"/>
        <v>1897</v>
      </c>
      <c r="E1903" s="20">
        <f t="shared" si="146"/>
        <v>4150</v>
      </c>
      <c r="F1903" s="20">
        <f t="shared" si="147"/>
        <v>3550</v>
      </c>
      <c r="G1903" s="20">
        <v>0.38832479120410635</v>
      </c>
      <c r="H1903" s="50"/>
      <c r="I1903" s="16"/>
      <c r="J1903" s="16"/>
      <c r="K1903" s="16"/>
      <c r="L1903" s="16"/>
      <c r="M1903" s="16">
        <v>1897</v>
      </c>
      <c r="N1903" s="16">
        <f t="shared" si="148"/>
        <v>0.68023672883787656</v>
      </c>
      <c r="O1903" s="16"/>
      <c r="P1903" s="16"/>
      <c r="Q1903" s="16">
        <f t="shared" si="149"/>
        <v>0.46836087478396987</v>
      </c>
    </row>
    <row r="1904" spans="4:17" ht="15" thickBot="1" x14ac:dyDescent="0.35">
      <c r="D1904" s="20">
        <f t="shared" si="145"/>
        <v>1898</v>
      </c>
      <c r="E1904" s="20">
        <f t="shared" si="146"/>
        <v>4250</v>
      </c>
      <c r="F1904" s="20">
        <f t="shared" si="147"/>
        <v>3550</v>
      </c>
      <c r="G1904" s="20">
        <v>0.38832963891572808</v>
      </c>
      <c r="H1904" s="50"/>
      <c r="I1904" s="16"/>
      <c r="J1904" s="16"/>
      <c r="K1904" s="16"/>
      <c r="L1904" s="16"/>
      <c r="M1904" s="16">
        <v>1898</v>
      </c>
      <c r="N1904" s="16">
        <f t="shared" si="148"/>
        <v>0.68059540889526537</v>
      </c>
      <c r="O1904" s="16"/>
      <c r="P1904" s="16"/>
      <c r="Q1904" s="16">
        <f t="shared" si="149"/>
        <v>0.46936441118436739</v>
      </c>
    </row>
    <row r="1905" spans="4:17" ht="15" thickBot="1" x14ac:dyDescent="0.35">
      <c r="D1905" s="20">
        <f t="shared" si="145"/>
        <v>1899</v>
      </c>
      <c r="E1905" s="20">
        <f t="shared" si="146"/>
        <v>4350</v>
      </c>
      <c r="F1905" s="20">
        <f t="shared" si="147"/>
        <v>3550</v>
      </c>
      <c r="G1905" s="20">
        <v>0.38835615213524843</v>
      </c>
      <c r="H1905" s="50"/>
      <c r="I1905" s="16"/>
      <c r="J1905" s="16"/>
      <c r="K1905" s="16"/>
      <c r="L1905" s="16"/>
      <c r="M1905" s="16">
        <v>1899</v>
      </c>
      <c r="N1905" s="16">
        <f t="shared" si="148"/>
        <v>0.68095408895265419</v>
      </c>
      <c r="O1905" s="16"/>
      <c r="P1905" s="16"/>
      <c r="Q1905" s="16">
        <f t="shared" si="149"/>
        <v>0.47036842049764804</v>
      </c>
    </row>
    <row r="1906" spans="4:17" ht="15" thickBot="1" x14ac:dyDescent="0.35">
      <c r="D1906" s="20">
        <f t="shared" si="145"/>
        <v>1900</v>
      </c>
      <c r="E1906" s="20">
        <f t="shared" si="146"/>
        <v>4450</v>
      </c>
      <c r="F1906" s="20">
        <f t="shared" si="147"/>
        <v>3550</v>
      </c>
      <c r="G1906" s="20">
        <v>0.38843341922837571</v>
      </c>
      <c r="H1906" s="50"/>
      <c r="I1906" s="16"/>
      <c r="J1906" s="16"/>
      <c r="K1906" s="16"/>
      <c r="L1906" s="16"/>
      <c r="M1906" s="16">
        <v>1900</v>
      </c>
      <c r="N1906" s="16">
        <f t="shared" si="148"/>
        <v>0.68131276901004301</v>
      </c>
      <c r="O1906" s="16"/>
      <c r="P1906" s="16"/>
      <c r="Q1906" s="16">
        <f t="shared" si="149"/>
        <v>0.47137290418277178</v>
      </c>
    </row>
    <row r="1907" spans="4:17" ht="15" thickBot="1" x14ac:dyDescent="0.35">
      <c r="D1907" s="20">
        <f t="shared" si="145"/>
        <v>1901</v>
      </c>
      <c r="E1907" s="20">
        <f t="shared" si="146"/>
        <v>4550</v>
      </c>
      <c r="F1907" s="20">
        <f t="shared" si="147"/>
        <v>3550</v>
      </c>
      <c r="G1907" s="20">
        <v>0.38843575667046565</v>
      </c>
      <c r="H1907" s="50"/>
      <c r="I1907" s="16"/>
      <c r="J1907" s="16"/>
      <c r="K1907" s="16"/>
      <c r="L1907" s="16"/>
      <c r="M1907" s="16">
        <v>1901</v>
      </c>
      <c r="N1907" s="16">
        <f t="shared" si="148"/>
        <v>0.68167144906743182</v>
      </c>
      <c r="O1907" s="16"/>
      <c r="P1907" s="16"/>
      <c r="Q1907" s="16">
        <f t="shared" si="149"/>
        <v>0.47237786370268137</v>
      </c>
    </row>
    <row r="1908" spans="4:17" ht="15" thickBot="1" x14ac:dyDescent="0.35">
      <c r="D1908" s="20">
        <f t="shared" si="145"/>
        <v>1902</v>
      </c>
      <c r="E1908" s="20">
        <f t="shared" si="146"/>
        <v>4650</v>
      </c>
      <c r="F1908" s="20">
        <f t="shared" si="147"/>
        <v>3550</v>
      </c>
      <c r="G1908" s="20">
        <v>0.38846600721442159</v>
      </c>
      <c r="H1908" s="50"/>
      <c r="I1908" s="16"/>
      <c r="J1908" s="16"/>
      <c r="K1908" s="16"/>
      <c r="L1908" s="16"/>
      <c r="M1908" s="16">
        <v>1902</v>
      </c>
      <c r="N1908" s="16">
        <f t="shared" si="148"/>
        <v>0.68203012912482064</v>
      </c>
      <c r="O1908" s="16"/>
      <c r="P1908" s="16"/>
      <c r="Q1908" s="16">
        <f t="shared" si="149"/>
        <v>0.4733833005243232</v>
      </c>
    </row>
    <row r="1909" spans="4:17" ht="15" thickBot="1" x14ac:dyDescent="0.35">
      <c r="D1909" s="20">
        <f t="shared" si="145"/>
        <v>1903</v>
      </c>
      <c r="E1909" s="20">
        <f t="shared" si="146"/>
        <v>4750</v>
      </c>
      <c r="F1909" s="20">
        <f t="shared" si="147"/>
        <v>3550</v>
      </c>
      <c r="G1909" s="20">
        <v>0.38847662218291512</v>
      </c>
      <c r="H1909" s="50"/>
      <c r="I1909" s="16"/>
      <c r="J1909" s="16"/>
      <c r="K1909" s="16"/>
      <c r="L1909" s="16"/>
      <c r="M1909" s="16">
        <v>1903</v>
      </c>
      <c r="N1909" s="16">
        <f t="shared" si="148"/>
        <v>0.68238880918220945</v>
      </c>
      <c r="O1909" s="16"/>
      <c r="P1909" s="16"/>
      <c r="Q1909" s="16">
        <f t="shared" si="149"/>
        <v>0.47438921611866447</v>
      </c>
    </row>
    <row r="1910" spans="4:17" ht="15" thickBot="1" x14ac:dyDescent="0.35">
      <c r="D1910" s="20">
        <f t="shared" si="145"/>
        <v>1904</v>
      </c>
      <c r="E1910" s="20">
        <f t="shared" si="146"/>
        <v>4850</v>
      </c>
      <c r="F1910" s="20">
        <f t="shared" si="147"/>
        <v>3550</v>
      </c>
      <c r="G1910" s="20">
        <v>0.38850502380457647</v>
      </c>
      <c r="H1910" s="50"/>
      <c r="I1910" s="16"/>
      <c r="J1910" s="16"/>
      <c r="K1910" s="16"/>
      <c r="L1910" s="16"/>
      <c r="M1910" s="16">
        <v>1904</v>
      </c>
      <c r="N1910" s="16">
        <f t="shared" si="148"/>
        <v>0.68274748923959827</v>
      </c>
      <c r="O1910" s="16"/>
      <c r="P1910" s="16"/>
      <c r="Q1910" s="16">
        <f t="shared" si="149"/>
        <v>0.47539561196071395</v>
      </c>
    </row>
    <row r="1911" spans="4:17" ht="15" thickBot="1" x14ac:dyDescent="0.35">
      <c r="D1911" s="20">
        <f t="shared" si="145"/>
        <v>1905</v>
      </c>
      <c r="E1911" s="20">
        <f t="shared" si="146"/>
        <v>4950</v>
      </c>
      <c r="F1911" s="20">
        <f t="shared" si="147"/>
        <v>3550</v>
      </c>
      <c r="G1911" s="20">
        <v>0.38853372296079375</v>
      </c>
      <c r="H1911" s="50"/>
      <c r="I1911" s="16"/>
      <c r="J1911" s="16"/>
      <c r="K1911" s="16"/>
      <c r="L1911" s="16"/>
      <c r="M1911" s="16">
        <v>1905</v>
      </c>
      <c r="N1911" s="16">
        <f t="shared" si="148"/>
        <v>0.68310616929698709</v>
      </c>
      <c r="O1911" s="16"/>
      <c r="P1911" s="16"/>
      <c r="Q1911" s="16">
        <f t="shared" si="149"/>
        <v>0.47640248952953945</v>
      </c>
    </row>
    <row r="1912" spans="4:17" ht="15" thickBot="1" x14ac:dyDescent="0.35">
      <c r="D1912" s="20">
        <f t="shared" si="145"/>
        <v>1906</v>
      </c>
      <c r="E1912" s="20">
        <f t="shared" si="146"/>
        <v>5050</v>
      </c>
      <c r="F1912" s="20">
        <f t="shared" si="147"/>
        <v>3550</v>
      </c>
      <c r="G1912" s="20">
        <v>0.38863881640501652</v>
      </c>
      <c r="H1912" s="50"/>
      <c r="I1912" s="16"/>
      <c r="J1912" s="16"/>
      <c r="K1912" s="16"/>
      <c r="L1912" s="16"/>
      <c r="M1912" s="16">
        <v>1906</v>
      </c>
      <c r="N1912" s="16">
        <f t="shared" si="148"/>
        <v>0.6834648493543759</v>
      </c>
      <c r="O1912" s="16"/>
      <c r="P1912" s="16"/>
      <c r="Q1912" s="16">
        <f t="shared" si="149"/>
        <v>0.47740985030828814</v>
      </c>
    </row>
    <row r="1913" spans="4:17" ht="15" thickBot="1" x14ac:dyDescent="0.35">
      <c r="D1913" s="20">
        <f t="shared" si="145"/>
        <v>1907</v>
      </c>
      <c r="E1913" s="20">
        <f t="shared" si="146"/>
        <v>5150</v>
      </c>
      <c r="F1913" s="20">
        <f t="shared" si="147"/>
        <v>3550</v>
      </c>
      <c r="G1913" s="20">
        <v>0.3887293514070615</v>
      </c>
      <c r="H1913" s="50"/>
      <c r="I1913" s="16"/>
      <c r="J1913" s="16"/>
      <c r="K1913" s="16"/>
      <c r="L1913" s="16"/>
      <c r="M1913" s="16">
        <v>1907</v>
      </c>
      <c r="N1913" s="16">
        <f t="shared" si="148"/>
        <v>0.68382352941176472</v>
      </c>
      <c r="O1913" s="16"/>
      <c r="P1913" s="16"/>
      <c r="Q1913" s="16">
        <f t="shared" si="149"/>
        <v>0.47841769578420501</v>
      </c>
    </row>
    <row r="1914" spans="4:17" ht="15" thickBot="1" x14ac:dyDescent="0.35">
      <c r="D1914" s="20">
        <f t="shared" si="145"/>
        <v>1908</v>
      </c>
      <c r="E1914" s="20">
        <f t="shared" si="146"/>
        <v>5250</v>
      </c>
      <c r="F1914" s="20">
        <f t="shared" si="147"/>
        <v>3550</v>
      </c>
      <c r="G1914" s="20">
        <v>0.3887421038934275</v>
      </c>
      <c r="H1914" s="50"/>
      <c r="I1914" s="16"/>
      <c r="J1914" s="16"/>
      <c r="K1914" s="16"/>
      <c r="L1914" s="16"/>
      <c r="M1914" s="16">
        <v>1908</v>
      </c>
      <c r="N1914" s="16">
        <f t="shared" si="148"/>
        <v>0.68418220946915353</v>
      </c>
      <c r="O1914" s="16"/>
      <c r="P1914" s="16"/>
      <c r="Q1914" s="16">
        <f t="shared" si="149"/>
        <v>0.4794260274486532</v>
      </c>
    </row>
    <row r="1915" spans="4:17" ht="15" thickBot="1" x14ac:dyDescent="0.35">
      <c r="D1915" s="20">
        <f t="shared" si="145"/>
        <v>1909</v>
      </c>
      <c r="E1915" s="48">
        <f t="shared" si="146"/>
        <v>50</v>
      </c>
      <c r="F1915" s="48">
        <f t="shared" si="147"/>
        <v>3650</v>
      </c>
      <c r="G1915" s="20">
        <v>0.38882011421733759</v>
      </c>
      <c r="H1915" s="50"/>
      <c r="I1915" s="16"/>
      <c r="J1915" s="16"/>
      <c r="K1915" s="16"/>
      <c r="L1915" s="16"/>
      <c r="M1915" s="16">
        <v>1909</v>
      </c>
      <c r="N1915" s="16">
        <f t="shared" si="148"/>
        <v>0.68454088952654235</v>
      </c>
      <c r="O1915" s="16"/>
      <c r="P1915" s="16"/>
      <c r="Q1915" s="16">
        <f t="shared" si="149"/>
        <v>0.48043484679713244</v>
      </c>
    </row>
    <row r="1916" spans="4:17" ht="15" thickBot="1" x14ac:dyDescent="0.35">
      <c r="D1916" s="20">
        <f t="shared" si="145"/>
        <v>1910</v>
      </c>
      <c r="E1916" s="20">
        <f t="shared" si="146"/>
        <v>150</v>
      </c>
      <c r="F1916" s="20">
        <f t="shared" si="147"/>
        <v>3650</v>
      </c>
      <c r="G1916" s="20">
        <v>0.38885315104810625</v>
      </c>
      <c r="H1916" s="50"/>
      <c r="I1916" s="16"/>
      <c r="J1916" s="16"/>
      <c r="K1916" s="16"/>
      <c r="L1916" s="16"/>
      <c r="M1916" s="16">
        <v>1910</v>
      </c>
      <c r="N1916" s="16">
        <f t="shared" si="148"/>
        <v>0.68489956958393117</v>
      </c>
      <c r="O1916" s="16"/>
      <c r="P1916" s="16"/>
      <c r="Q1916" s="16">
        <f t="shared" si="149"/>
        <v>0.48144415532929941</v>
      </c>
    </row>
    <row r="1917" spans="4:17" ht="15" thickBot="1" x14ac:dyDescent="0.35">
      <c r="D1917" s="20">
        <f t="shared" si="145"/>
        <v>1911</v>
      </c>
      <c r="E1917" s="20">
        <f t="shared" si="146"/>
        <v>250</v>
      </c>
      <c r="F1917" s="20">
        <f t="shared" si="147"/>
        <v>3650</v>
      </c>
      <c r="G1917" s="20">
        <v>0.38888518235723524</v>
      </c>
      <c r="H1917" s="50"/>
      <c r="I1917" s="16"/>
      <c r="J1917" s="16"/>
      <c r="K1917" s="16"/>
      <c r="L1917" s="16"/>
      <c r="M1917" s="16">
        <v>1911</v>
      </c>
      <c r="N1917" s="16">
        <f t="shared" si="148"/>
        <v>0.68525824964131998</v>
      </c>
      <c r="O1917" s="16"/>
      <c r="P1917" s="16"/>
      <c r="Q1917" s="16">
        <f t="shared" si="149"/>
        <v>0.48245395454898754</v>
      </c>
    </row>
    <row r="1918" spans="4:17" ht="15" thickBot="1" x14ac:dyDescent="0.35">
      <c r="D1918" s="20">
        <f t="shared" si="145"/>
        <v>1912</v>
      </c>
      <c r="E1918" s="20">
        <f t="shared" si="146"/>
        <v>350</v>
      </c>
      <c r="F1918" s="20">
        <f t="shared" si="147"/>
        <v>3650</v>
      </c>
      <c r="G1918" s="20">
        <v>0.38890141848070892</v>
      </c>
      <c r="H1918" s="50"/>
      <c r="I1918" s="16"/>
      <c r="J1918" s="16"/>
      <c r="K1918" s="16"/>
      <c r="L1918" s="16"/>
      <c r="M1918" s="16">
        <v>1912</v>
      </c>
      <c r="N1918" s="16">
        <f t="shared" si="148"/>
        <v>0.6856169296987088</v>
      </c>
      <c r="O1918" s="16"/>
      <c r="P1918" s="16"/>
      <c r="Q1918" s="16">
        <f t="shared" si="149"/>
        <v>0.4834642459642261</v>
      </c>
    </row>
    <row r="1919" spans="4:17" ht="15" thickBot="1" x14ac:dyDescent="0.35">
      <c r="D1919" s="20">
        <f t="shared" si="145"/>
        <v>1913</v>
      </c>
      <c r="E1919" s="20">
        <f t="shared" si="146"/>
        <v>450</v>
      </c>
      <c r="F1919" s="20">
        <f t="shared" si="147"/>
        <v>3650</v>
      </c>
      <c r="G1919" s="20">
        <v>0.38894677250126497</v>
      </c>
      <c r="H1919" s="50"/>
      <c r="I1919" s="16"/>
      <c r="J1919" s="16"/>
      <c r="K1919" s="16"/>
      <c r="L1919" s="16"/>
      <c r="M1919" s="16">
        <v>1913</v>
      </c>
      <c r="N1919" s="16">
        <f t="shared" si="148"/>
        <v>0.68597560975609762</v>
      </c>
      <c r="O1919" s="16"/>
      <c r="P1919" s="16"/>
      <c r="Q1919" s="16">
        <f t="shared" si="149"/>
        <v>0.48447503108726098</v>
      </c>
    </row>
    <row r="1920" spans="4:17" ht="15" thickBot="1" x14ac:dyDescent="0.35">
      <c r="D1920" s="20">
        <f t="shared" si="145"/>
        <v>1914</v>
      </c>
      <c r="E1920" s="20">
        <f t="shared" si="146"/>
        <v>550</v>
      </c>
      <c r="F1920" s="20">
        <f t="shared" si="147"/>
        <v>3650</v>
      </c>
      <c r="G1920" s="20">
        <v>0.38913926401923438</v>
      </c>
      <c r="H1920" s="50"/>
      <c r="I1920" s="16"/>
      <c r="J1920" s="16"/>
      <c r="K1920" s="16"/>
      <c r="L1920" s="16"/>
      <c r="M1920" s="16">
        <v>1914</v>
      </c>
      <c r="N1920" s="16">
        <f t="shared" si="148"/>
        <v>0.68633428981348632</v>
      </c>
      <c r="O1920" s="16"/>
      <c r="P1920" s="16"/>
      <c r="Q1920" s="16">
        <f t="shared" si="149"/>
        <v>0.48548631143457371</v>
      </c>
    </row>
    <row r="1921" spans="4:17" ht="15" thickBot="1" x14ac:dyDescent="0.35">
      <c r="D1921" s="20">
        <f t="shared" si="145"/>
        <v>1915</v>
      </c>
      <c r="E1921" s="20">
        <f t="shared" si="146"/>
        <v>650</v>
      </c>
      <c r="F1921" s="20">
        <f t="shared" si="147"/>
        <v>3650</v>
      </c>
      <c r="G1921" s="20">
        <v>0.38927492968100674</v>
      </c>
      <c r="H1921" s="50"/>
      <c r="I1921" s="16"/>
      <c r="J1921" s="16"/>
      <c r="K1921" s="16"/>
      <c r="L1921" s="16"/>
      <c r="M1921" s="16">
        <v>1915</v>
      </c>
      <c r="N1921" s="16">
        <f t="shared" si="148"/>
        <v>0.68669296987087514</v>
      </c>
      <c r="O1921" s="16"/>
      <c r="P1921" s="16"/>
      <c r="Q1921" s="16">
        <f t="shared" si="149"/>
        <v>0.48649808852690329</v>
      </c>
    </row>
    <row r="1922" spans="4:17" ht="15" thickBot="1" x14ac:dyDescent="0.35">
      <c r="D1922" s="20">
        <f t="shared" si="145"/>
        <v>1916</v>
      </c>
      <c r="E1922" s="20">
        <f t="shared" si="146"/>
        <v>750</v>
      </c>
      <c r="F1922" s="20">
        <f t="shared" si="147"/>
        <v>3650</v>
      </c>
      <c r="G1922" s="20">
        <v>0.38928929404020501</v>
      </c>
      <c r="H1922" s="50"/>
      <c r="I1922" s="16"/>
      <c r="J1922" s="16"/>
      <c r="K1922" s="16"/>
      <c r="L1922" s="16"/>
      <c r="M1922" s="16">
        <v>1916</v>
      </c>
      <c r="N1922" s="16">
        <f t="shared" si="148"/>
        <v>0.68705164992826395</v>
      </c>
      <c r="O1922" s="16"/>
      <c r="P1922" s="16"/>
      <c r="Q1922" s="16">
        <f t="shared" si="149"/>
        <v>0.48751036388926439</v>
      </c>
    </row>
    <row r="1923" spans="4:17" ht="15" thickBot="1" x14ac:dyDescent="0.35">
      <c r="D1923" s="20">
        <f t="shared" si="145"/>
        <v>1917</v>
      </c>
      <c r="E1923" s="20">
        <f t="shared" si="146"/>
        <v>850</v>
      </c>
      <c r="F1923" s="20">
        <f t="shared" si="147"/>
        <v>3650</v>
      </c>
      <c r="G1923" s="20">
        <v>0.38930431791325559</v>
      </c>
      <c r="H1923" s="50"/>
      <c r="I1923" s="16"/>
      <c r="J1923" s="16"/>
      <c r="K1923" s="16"/>
      <c r="L1923" s="16"/>
      <c r="M1923" s="16">
        <v>1917</v>
      </c>
      <c r="N1923" s="16">
        <f t="shared" si="148"/>
        <v>0.68741032998565277</v>
      </c>
      <c r="O1923" s="16"/>
      <c r="P1923" s="16"/>
      <c r="Q1923" s="16">
        <f t="shared" si="149"/>
        <v>0.48852313905096884</v>
      </c>
    </row>
    <row r="1924" spans="4:17" ht="15" thickBot="1" x14ac:dyDescent="0.35">
      <c r="D1924" s="20">
        <f t="shared" si="145"/>
        <v>1918</v>
      </c>
      <c r="E1924" s="20">
        <f t="shared" si="146"/>
        <v>950</v>
      </c>
      <c r="F1924" s="20">
        <f t="shared" si="147"/>
        <v>3650</v>
      </c>
      <c r="G1924" s="20">
        <v>0.38938996635989331</v>
      </c>
      <c r="H1924" s="50"/>
      <c r="I1924" s="16"/>
      <c r="J1924" s="16"/>
      <c r="K1924" s="16"/>
      <c r="L1924" s="16"/>
      <c r="M1924" s="16">
        <v>1918</v>
      </c>
      <c r="N1924" s="16">
        <f t="shared" si="148"/>
        <v>0.68776901004304158</v>
      </c>
      <c r="O1924" s="16"/>
      <c r="P1924" s="16"/>
      <c r="Q1924" s="16">
        <f t="shared" si="149"/>
        <v>0.48953641554564636</v>
      </c>
    </row>
    <row r="1925" spans="4:17" ht="15" thickBot="1" x14ac:dyDescent="0.35">
      <c r="D1925" s="20">
        <f t="shared" si="145"/>
        <v>1919</v>
      </c>
      <c r="E1925" s="20">
        <f t="shared" si="146"/>
        <v>1050</v>
      </c>
      <c r="F1925" s="20">
        <f t="shared" si="147"/>
        <v>3650</v>
      </c>
      <c r="G1925" s="20">
        <v>0.38942310118075824</v>
      </c>
      <c r="H1925" s="50"/>
      <c r="I1925" s="16"/>
      <c r="J1925" s="16"/>
      <c r="K1925" s="16"/>
      <c r="L1925" s="16"/>
      <c r="M1925" s="16">
        <v>1919</v>
      </c>
      <c r="N1925" s="16">
        <f t="shared" si="148"/>
        <v>0.6881276901004304</v>
      </c>
      <c r="O1925" s="16"/>
      <c r="P1925" s="16"/>
      <c r="Q1925" s="16">
        <f t="shared" si="149"/>
        <v>0.49055019491126423</v>
      </c>
    </row>
    <row r="1926" spans="4:17" ht="15" thickBot="1" x14ac:dyDescent="0.35">
      <c r="D1926" s="20">
        <f t="shared" si="145"/>
        <v>1920</v>
      </c>
      <c r="E1926" s="20">
        <f t="shared" si="146"/>
        <v>1150</v>
      </c>
      <c r="F1926" s="20">
        <f t="shared" si="147"/>
        <v>3650</v>
      </c>
      <c r="G1926" s="20">
        <v>0.38942850045335681</v>
      </c>
      <c r="H1926" s="50"/>
      <c r="I1926" s="16"/>
      <c r="J1926" s="16"/>
      <c r="K1926" s="16"/>
      <c r="L1926" s="16"/>
      <c r="M1926" s="16">
        <v>1920</v>
      </c>
      <c r="N1926" s="16">
        <f t="shared" si="148"/>
        <v>0.68848637015781922</v>
      </c>
      <c r="O1926" s="16"/>
      <c r="P1926" s="16"/>
      <c r="Q1926" s="16">
        <f t="shared" si="149"/>
        <v>0.49156447869014919</v>
      </c>
    </row>
    <row r="1927" spans="4:17" ht="15" thickBot="1" x14ac:dyDescent="0.35">
      <c r="D1927" s="20">
        <f t="shared" ref="D1927:D1990" si="150">ROW()-6</f>
        <v>1921</v>
      </c>
      <c r="E1927" s="20">
        <f t="shared" ref="E1927:E1990" si="151">(MOD(D1927-1,53)*100)+50</f>
        <v>1250</v>
      </c>
      <c r="F1927" s="20">
        <f t="shared" ref="F1927:F1990" si="152">FLOOR((D1927-1)/53,1)*100+50</f>
        <v>3650</v>
      </c>
      <c r="G1927" s="20">
        <v>0.38954187711267479</v>
      </c>
      <c r="H1927" s="50"/>
      <c r="I1927" s="16"/>
      <c r="J1927" s="16"/>
      <c r="K1927" s="16"/>
      <c r="L1927" s="16"/>
      <c r="M1927" s="16">
        <v>1921</v>
      </c>
      <c r="N1927" s="16">
        <f t="shared" si="148"/>
        <v>0.68884505021520803</v>
      </c>
      <c r="O1927" s="16"/>
      <c r="P1927" s="16"/>
      <c r="Q1927" s="16">
        <f t="shared" si="149"/>
        <v>0.49257926842900646</v>
      </c>
    </row>
    <row r="1928" spans="4:17" ht="15" thickBot="1" x14ac:dyDescent="0.35">
      <c r="D1928" s="20">
        <f t="shared" si="150"/>
        <v>1922</v>
      </c>
      <c r="E1928" s="20">
        <f t="shared" si="151"/>
        <v>1350</v>
      </c>
      <c r="F1928" s="20">
        <f t="shared" si="152"/>
        <v>3650</v>
      </c>
      <c r="G1928" s="20">
        <v>0.3895614683315054</v>
      </c>
      <c r="H1928" s="50"/>
      <c r="I1928" s="16"/>
      <c r="J1928" s="16"/>
      <c r="K1928" s="16"/>
      <c r="L1928" s="16"/>
      <c r="M1928" s="16">
        <v>1922</v>
      </c>
      <c r="N1928" s="16">
        <f t="shared" ref="N1928:N1991" si="153">(M1928-0.5)/$L$7</f>
        <v>0.68920373027259685</v>
      </c>
      <c r="O1928" s="16"/>
      <c r="P1928" s="16"/>
      <c r="Q1928" s="16">
        <f t="shared" ref="Q1928:Q1991" si="154">_xlfn.NORM.S.INV(N1928)</f>
        <v>0.49359456567894278</v>
      </c>
    </row>
    <row r="1929" spans="4:17" ht="15" thickBot="1" x14ac:dyDescent="0.35">
      <c r="D1929" s="20">
        <f t="shared" si="150"/>
        <v>1923</v>
      </c>
      <c r="E1929" s="20">
        <f t="shared" si="151"/>
        <v>1450</v>
      </c>
      <c r="F1929" s="20">
        <f t="shared" si="152"/>
        <v>3650</v>
      </c>
      <c r="G1929" s="20">
        <v>0.38958223642178313</v>
      </c>
      <c r="H1929" s="50"/>
      <c r="I1929" s="16"/>
      <c r="J1929" s="16"/>
      <c r="K1929" s="16"/>
      <c r="L1929" s="16"/>
      <c r="M1929" s="16">
        <v>1923</v>
      </c>
      <c r="N1929" s="16">
        <f t="shared" si="153"/>
        <v>0.68956241032998566</v>
      </c>
      <c r="O1929" s="16"/>
      <c r="P1929" s="16"/>
      <c r="Q1929" s="16">
        <f t="shared" si="154"/>
        <v>0.4946103719954858</v>
      </c>
    </row>
    <row r="1930" spans="4:17" ht="15" thickBot="1" x14ac:dyDescent="0.35">
      <c r="D1930" s="20">
        <f t="shared" si="150"/>
        <v>1924</v>
      </c>
      <c r="E1930" s="20">
        <f t="shared" si="151"/>
        <v>1550</v>
      </c>
      <c r="F1930" s="20">
        <f t="shared" si="152"/>
        <v>3650</v>
      </c>
      <c r="G1930" s="20">
        <v>0.38958311308810128</v>
      </c>
      <c r="H1930" s="50"/>
      <c r="I1930" s="16"/>
      <c r="J1930" s="16"/>
      <c r="K1930" s="16"/>
      <c r="L1930" s="16"/>
      <c r="M1930" s="16">
        <v>1924</v>
      </c>
      <c r="N1930" s="16">
        <f t="shared" si="153"/>
        <v>0.68992109038737448</v>
      </c>
      <c r="O1930" s="16"/>
      <c r="P1930" s="16"/>
      <c r="Q1930" s="16">
        <f t="shared" si="154"/>
        <v>0.49562668893860612</v>
      </c>
    </row>
    <row r="1931" spans="4:17" ht="15" thickBot="1" x14ac:dyDescent="0.35">
      <c r="D1931" s="20">
        <f t="shared" si="150"/>
        <v>1925</v>
      </c>
      <c r="E1931" s="20">
        <f t="shared" si="151"/>
        <v>1650</v>
      </c>
      <c r="F1931" s="20">
        <f t="shared" si="152"/>
        <v>3650</v>
      </c>
      <c r="G1931" s="20">
        <v>0.38963037873112183</v>
      </c>
      <c r="H1931" s="50"/>
      <c r="I1931" s="16"/>
      <c r="J1931" s="16"/>
      <c r="K1931" s="16"/>
      <c r="L1931" s="16"/>
      <c r="M1931" s="16">
        <v>1925</v>
      </c>
      <c r="N1931" s="16">
        <f t="shared" si="153"/>
        <v>0.6902797704447633</v>
      </c>
      <c r="O1931" s="16"/>
      <c r="P1931" s="16"/>
      <c r="Q1931" s="16">
        <f t="shared" si="154"/>
        <v>0.49664351807273832</v>
      </c>
    </row>
    <row r="1932" spans="4:17" ht="15" thickBot="1" x14ac:dyDescent="0.35">
      <c r="D1932" s="20">
        <f t="shared" si="150"/>
        <v>1926</v>
      </c>
      <c r="E1932" s="47">
        <f t="shared" si="151"/>
        <v>1750</v>
      </c>
      <c r="F1932" s="47">
        <f t="shared" si="152"/>
        <v>3650</v>
      </c>
      <c r="G1932" s="20">
        <v>0.38965827607386216</v>
      </c>
      <c r="H1932" s="50"/>
      <c r="I1932" s="16"/>
      <c r="J1932" s="16"/>
      <c r="K1932" s="16"/>
      <c r="L1932" s="16"/>
      <c r="M1932" s="16">
        <v>1926</v>
      </c>
      <c r="N1932" s="16">
        <f t="shared" si="153"/>
        <v>0.69063845050215211</v>
      </c>
      <c r="O1932" s="16"/>
      <c r="P1932" s="16"/>
      <c r="Q1932" s="16">
        <f t="shared" si="154"/>
        <v>0.49766086096680179</v>
      </c>
    </row>
    <row r="1933" spans="4:17" ht="15" thickBot="1" x14ac:dyDescent="0.35">
      <c r="D1933" s="20">
        <f t="shared" si="150"/>
        <v>1927</v>
      </c>
      <c r="E1933" s="20">
        <f t="shared" si="151"/>
        <v>1850</v>
      </c>
      <c r="F1933" s="20">
        <f t="shared" si="152"/>
        <v>3650</v>
      </c>
      <c r="G1933" s="20">
        <v>0.38968079652754217</v>
      </c>
      <c r="H1933" s="50"/>
      <c r="I1933" s="16"/>
      <c r="J1933" s="16"/>
      <c r="K1933" s="16"/>
      <c r="L1933" s="16"/>
      <c r="M1933" s="16">
        <v>1927</v>
      </c>
      <c r="N1933" s="16">
        <f t="shared" si="153"/>
        <v>0.69099713055954093</v>
      </c>
      <c r="O1933" s="16"/>
      <c r="P1933" s="16"/>
      <c r="Q1933" s="16">
        <f t="shared" si="154"/>
        <v>0.49867871919422341</v>
      </c>
    </row>
    <row r="1934" spans="4:17" ht="15" thickBot="1" x14ac:dyDescent="0.35">
      <c r="D1934" s="20">
        <f t="shared" si="150"/>
        <v>1928</v>
      </c>
      <c r="E1934" s="20">
        <f t="shared" si="151"/>
        <v>1950</v>
      </c>
      <c r="F1934" s="20">
        <f t="shared" si="152"/>
        <v>3650</v>
      </c>
      <c r="G1934" s="20">
        <v>0.38975600838842228</v>
      </c>
      <c r="H1934" s="50"/>
      <c r="I1934" s="16"/>
      <c r="J1934" s="16"/>
      <c r="K1934" s="16"/>
      <c r="L1934" s="16"/>
      <c r="M1934" s="16">
        <v>1928</v>
      </c>
      <c r="N1934" s="16">
        <f t="shared" si="153"/>
        <v>0.69135581061692974</v>
      </c>
      <c r="O1934" s="16"/>
      <c r="P1934" s="16"/>
      <c r="Q1934" s="16">
        <f t="shared" si="154"/>
        <v>0.49969709433295789</v>
      </c>
    </row>
    <row r="1935" spans="4:17" ht="15" thickBot="1" x14ac:dyDescent="0.35">
      <c r="D1935" s="20">
        <f t="shared" si="150"/>
        <v>1929</v>
      </c>
      <c r="E1935" s="20">
        <f t="shared" si="151"/>
        <v>2050</v>
      </c>
      <c r="F1935" s="20">
        <f t="shared" si="152"/>
        <v>3650</v>
      </c>
      <c r="G1935" s="20">
        <v>0.38993423959706308</v>
      </c>
      <c r="H1935" s="50"/>
      <c r="I1935" s="16"/>
      <c r="J1935" s="16"/>
      <c r="K1935" s="16"/>
      <c r="L1935" s="16"/>
      <c r="M1935" s="16">
        <v>1929</v>
      </c>
      <c r="N1935" s="16">
        <f t="shared" si="153"/>
        <v>0.69171449067431856</v>
      </c>
      <c r="O1935" s="16"/>
      <c r="P1935" s="16"/>
      <c r="Q1935" s="16">
        <f t="shared" si="154"/>
        <v>0.50071598796551064</v>
      </c>
    </row>
    <row r="1936" spans="4:17" ht="15" thickBot="1" x14ac:dyDescent="0.35">
      <c r="D1936" s="20">
        <f t="shared" si="150"/>
        <v>1930</v>
      </c>
      <c r="E1936" s="20">
        <f t="shared" si="151"/>
        <v>2150</v>
      </c>
      <c r="F1936" s="20">
        <f t="shared" si="152"/>
        <v>3650</v>
      </c>
      <c r="G1936" s="20">
        <v>0.38995730131378326</v>
      </c>
      <c r="H1936" s="50"/>
      <c r="I1936" s="16"/>
      <c r="J1936" s="16"/>
      <c r="K1936" s="16"/>
      <c r="L1936" s="16"/>
      <c r="M1936" s="16">
        <v>1930</v>
      </c>
      <c r="N1936" s="16">
        <f t="shared" si="153"/>
        <v>0.69207317073170727</v>
      </c>
      <c r="O1936" s="16"/>
      <c r="P1936" s="16"/>
      <c r="Q1936" s="16">
        <f t="shared" si="154"/>
        <v>0.50173540167895836</v>
      </c>
    </row>
    <row r="1937" spans="4:17" ht="15" thickBot="1" x14ac:dyDescent="0.35">
      <c r="D1937" s="20">
        <f t="shared" si="150"/>
        <v>1931</v>
      </c>
      <c r="E1937" s="20">
        <f t="shared" si="151"/>
        <v>2250</v>
      </c>
      <c r="F1937" s="20">
        <f t="shared" si="152"/>
        <v>3650</v>
      </c>
      <c r="G1937" s="20">
        <v>0.3899986501417424</v>
      </c>
      <c r="H1937" s="50"/>
      <c r="I1937" s="16"/>
      <c r="J1937" s="16"/>
      <c r="K1937" s="16"/>
      <c r="L1937" s="16"/>
      <c r="M1937" s="16">
        <v>1931</v>
      </c>
      <c r="N1937" s="16">
        <f t="shared" si="153"/>
        <v>0.69243185078909608</v>
      </c>
      <c r="O1937" s="16"/>
      <c r="P1937" s="16"/>
      <c r="Q1937" s="16">
        <f t="shared" si="154"/>
        <v>0.50275533706497277</v>
      </c>
    </row>
    <row r="1938" spans="4:17" ht="15" thickBot="1" x14ac:dyDescent="0.35">
      <c r="D1938" s="20">
        <f t="shared" si="150"/>
        <v>1932</v>
      </c>
      <c r="E1938" s="20">
        <f t="shared" si="151"/>
        <v>2350</v>
      </c>
      <c r="F1938" s="20">
        <f t="shared" si="152"/>
        <v>3650</v>
      </c>
      <c r="G1938" s="20">
        <v>0.39006796370896496</v>
      </c>
      <c r="H1938" s="50"/>
      <c r="I1938" s="16"/>
      <c r="J1938" s="16"/>
      <c r="K1938" s="16"/>
      <c r="L1938" s="16"/>
      <c r="M1938" s="16">
        <v>1932</v>
      </c>
      <c r="N1938" s="16">
        <f t="shared" si="153"/>
        <v>0.6927905308464849</v>
      </c>
      <c r="O1938" s="16"/>
      <c r="P1938" s="16"/>
      <c r="Q1938" s="16">
        <f t="shared" si="154"/>
        <v>0.50377579571984088</v>
      </c>
    </row>
    <row r="1939" spans="4:17" ht="15" thickBot="1" x14ac:dyDescent="0.35">
      <c r="D1939" s="20">
        <f t="shared" si="150"/>
        <v>1933</v>
      </c>
      <c r="E1939" s="20">
        <f t="shared" si="151"/>
        <v>2450</v>
      </c>
      <c r="F1939" s="20">
        <f t="shared" si="152"/>
        <v>3650</v>
      </c>
      <c r="G1939" s="20">
        <v>0.39021686562869778</v>
      </c>
      <c r="H1939" s="50"/>
      <c r="I1939" s="16"/>
      <c r="J1939" s="16"/>
      <c r="K1939" s="16"/>
      <c r="L1939" s="16"/>
      <c r="M1939" s="16">
        <v>1933</v>
      </c>
      <c r="N1939" s="16">
        <f t="shared" si="153"/>
        <v>0.69314921090387371</v>
      </c>
      <c r="O1939" s="16"/>
      <c r="P1939" s="16"/>
      <c r="Q1939" s="16">
        <f t="shared" si="154"/>
        <v>0.5047967792444884</v>
      </c>
    </row>
    <row r="1940" spans="4:17" ht="15" thickBot="1" x14ac:dyDescent="0.35">
      <c r="D1940" s="20">
        <f t="shared" si="150"/>
        <v>1934</v>
      </c>
      <c r="E1940" s="20">
        <f t="shared" si="151"/>
        <v>2550</v>
      </c>
      <c r="F1940" s="20">
        <f t="shared" si="152"/>
        <v>3650</v>
      </c>
      <c r="G1940" s="20">
        <v>0.39025125085241796</v>
      </c>
      <c r="H1940" s="50"/>
      <c r="I1940" s="16"/>
      <c r="J1940" s="16"/>
      <c r="K1940" s="16"/>
      <c r="L1940" s="16"/>
      <c r="M1940" s="16">
        <v>1934</v>
      </c>
      <c r="N1940" s="16">
        <f t="shared" si="153"/>
        <v>0.69350789096126253</v>
      </c>
      <c r="O1940" s="16"/>
      <c r="P1940" s="16"/>
      <c r="Q1940" s="16">
        <f t="shared" si="154"/>
        <v>0.50581828924450123</v>
      </c>
    </row>
    <row r="1941" spans="4:17" ht="15" thickBot="1" x14ac:dyDescent="0.35">
      <c r="D1941" s="20">
        <f t="shared" si="150"/>
        <v>1935</v>
      </c>
      <c r="E1941" s="20">
        <f t="shared" si="151"/>
        <v>2650</v>
      </c>
      <c r="F1941" s="20">
        <f t="shared" si="152"/>
        <v>3650</v>
      </c>
      <c r="G1941" s="20">
        <v>0.39029748751052357</v>
      </c>
      <c r="H1941" s="50"/>
      <c r="I1941" s="16"/>
      <c r="J1941" s="16"/>
      <c r="K1941" s="16"/>
      <c r="L1941" s="16"/>
      <c r="M1941" s="16">
        <v>1935</v>
      </c>
      <c r="N1941" s="16">
        <f t="shared" si="153"/>
        <v>0.69386657101865135</v>
      </c>
      <c r="O1941" s="16"/>
      <c r="P1941" s="16"/>
      <c r="Q1941" s="16">
        <f t="shared" si="154"/>
        <v>0.50684032733014883</v>
      </c>
    </row>
    <row r="1942" spans="4:17" ht="15" thickBot="1" x14ac:dyDescent="0.35">
      <c r="D1942" s="20">
        <f t="shared" si="150"/>
        <v>1936</v>
      </c>
      <c r="E1942" s="20">
        <f t="shared" si="151"/>
        <v>2750</v>
      </c>
      <c r="F1942" s="20">
        <f t="shared" si="152"/>
        <v>3650</v>
      </c>
      <c r="G1942" s="20">
        <v>0.39039570623882591</v>
      </c>
      <c r="H1942" s="50"/>
      <c r="I1942" s="16"/>
      <c r="J1942" s="16"/>
      <c r="K1942" s="16"/>
      <c r="L1942" s="16"/>
      <c r="M1942" s="16">
        <v>1936</v>
      </c>
      <c r="N1942" s="16">
        <f t="shared" si="153"/>
        <v>0.69422525107604016</v>
      </c>
      <c r="O1942" s="16"/>
      <c r="P1942" s="16"/>
      <c r="Q1942" s="16">
        <f t="shared" si="154"/>
        <v>0.50786289511640614</v>
      </c>
    </row>
    <row r="1943" spans="4:17" ht="15" thickBot="1" x14ac:dyDescent="0.35">
      <c r="D1943" s="20">
        <f t="shared" si="150"/>
        <v>1937</v>
      </c>
      <c r="E1943" s="20">
        <f t="shared" si="151"/>
        <v>2850</v>
      </c>
      <c r="F1943" s="20">
        <f t="shared" si="152"/>
        <v>3650</v>
      </c>
      <c r="G1943" s="20">
        <v>0.39051200721555235</v>
      </c>
      <c r="H1943" s="50"/>
      <c r="I1943" s="16"/>
      <c r="J1943" s="16"/>
      <c r="K1943" s="16"/>
      <c r="L1943" s="16"/>
      <c r="M1943" s="16">
        <v>1937</v>
      </c>
      <c r="N1943" s="16">
        <f t="shared" si="153"/>
        <v>0.69458393113342898</v>
      </c>
      <c r="O1943" s="16"/>
      <c r="P1943" s="16"/>
      <c r="Q1943" s="16">
        <f t="shared" si="154"/>
        <v>0.50888599422297665</v>
      </c>
    </row>
    <row r="1944" spans="4:17" ht="15" thickBot="1" x14ac:dyDescent="0.35">
      <c r="D1944" s="20">
        <f t="shared" si="150"/>
        <v>1938</v>
      </c>
      <c r="E1944" s="20">
        <f t="shared" si="151"/>
        <v>2950</v>
      </c>
      <c r="F1944" s="20">
        <f t="shared" si="152"/>
        <v>3650</v>
      </c>
      <c r="G1944" s="20">
        <v>0.39054418746895125</v>
      </c>
      <c r="H1944" s="50"/>
      <c r="I1944" s="16"/>
      <c r="J1944" s="16"/>
      <c r="K1944" s="16"/>
      <c r="L1944" s="16"/>
      <c r="M1944" s="16">
        <v>1938</v>
      </c>
      <c r="N1944" s="16">
        <f t="shared" si="153"/>
        <v>0.69494261119081779</v>
      </c>
      <c r="O1944" s="16"/>
      <c r="P1944" s="16"/>
      <c r="Q1944" s="16">
        <f t="shared" si="154"/>
        <v>0.5099096262743148</v>
      </c>
    </row>
    <row r="1945" spans="4:17" ht="15" thickBot="1" x14ac:dyDescent="0.35">
      <c r="D1945" s="20">
        <f t="shared" si="150"/>
        <v>1939</v>
      </c>
      <c r="E1945" s="20">
        <f t="shared" si="151"/>
        <v>3050</v>
      </c>
      <c r="F1945" s="20">
        <f t="shared" si="152"/>
        <v>3650</v>
      </c>
      <c r="G1945" s="20">
        <v>0.39069420307711117</v>
      </c>
      <c r="H1945" s="50"/>
      <c r="I1945" s="16"/>
      <c r="J1945" s="16"/>
      <c r="K1945" s="16"/>
      <c r="L1945" s="16"/>
      <c r="M1945" s="16">
        <v>1939</v>
      </c>
      <c r="N1945" s="16">
        <f t="shared" si="153"/>
        <v>0.69530129124820661</v>
      </c>
      <c r="O1945" s="16"/>
      <c r="P1945" s="16"/>
      <c r="Q1945" s="16">
        <f t="shared" si="154"/>
        <v>0.51093379289965002</v>
      </c>
    </row>
    <row r="1946" spans="4:17" ht="15" thickBot="1" x14ac:dyDescent="0.35">
      <c r="D1946" s="20">
        <f t="shared" si="150"/>
        <v>1940</v>
      </c>
      <c r="E1946" s="20">
        <f t="shared" si="151"/>
        <v>3150</v>
      </c>
      <c r="F1946" s="20">
        <f t="shared" si="152"/>
        <v>3650</v>
      </c>
      <c r="G1946" s="20">
        <v>0.39075800406457795</v>
      </c>
      <c r="H1946" s="50"/>
      <c r="I1946" s="16"/>
      <c r="J1946" s="16"/>
      <c r="K1946" s="16"/>
      <c r="L1946" s="16"/>
      <c r="M1946" s="16">
        <v>1940</v>
      </c>
      <c r="N1946" s="16">
        <f t="shared" si="153"/>
        <v>0.69565997130559543</v>
      </c>
      <c r="O1946" s="16"/>
      <c r="P1946" s="16"/>
      <c r="Q1946" s="16">
        <f t="shared" si="154"/>
        <v>0.51195849573300822</v>
      </c>
    </row>
    <row r="1947" spans="4:17" ht="15" thickBot="1" x14ac:dyDescent="0.35">
      <c r="D1947" s="20">
        <f t="shared" si="150"/>
        <v>1941</v>
      </c>
      <c r="E1947" s="20">
        <f t="shared" si="151"/>
        <v>3250</v>
      </c>
      <c r="F1947" s="20">
        <f t="shared" si="152"/>
        <v>3650</v>
      </c>
      <c r="G1947" s="20">
        <v>0.39084477264793316</v>
      </c>
      <c r="H1947" s="50"/>
      <c r="I1947" s="16"/>
      <c r="J1947" s="16"/>
      <c r="K1947" s="16"/>
      <c r="L1947" s="16"/>
      <c r="M1947" s="16">
        <v>1941</v>
      </c>
      <c r="N1947" s="16">
        <f t="shared" si="153"/>
        <v>0.69601865136298424</v>
      </c>
      <c r="O1947" s="16"/>
      <c r="P1947" s="16"/>
      <c r="Q1947" s="16">
        <f t="shared" si="154"/>
        <v>0.51298373641323636</v>
      </c>
    </row>
    <row r="1948" spans="4:17" ht="15" thickBot="1" x14ac:dyDescent="0.35">
      <c r="D1948" s="20">
        <f t="shared" si="150"/>
        <v>1942</v>
      </c>
      <c r="E1948" s="20">
        <f t="shared" si="151"/>
        <v>3350</v>
      </c>
      <c r="F1948" s="20">
        <f t="shared" si="152"/>
        <v>3650</v>
      </c>
      <c r="G1948" s="20">
        <v>0.39084719153074576</v>
      </c>
      <c r="H1948" s="50"/>
      <c r="I1948" s="16"/>
      <c r="J1948" s="16"/>
      <c r="K1948" s="16"/>
      <c r="L1948" s="16"/>
      <c r="M1948" s="16">
        <v>1942</v>
      </c>
      <c r="N1948" s="16">
        <f t="shared" si="153"/>
        <v>0.69637733142037306</v>
      </c>
      <c r="O1948" s="16"/>
      <c r="P1948" s="16"/>
      <c r="Q1948" s="16">
        <f t="shared" si="154"/>
        <v>0.51400951658402516</v>
      </c>
    </row>
    <row r="1949" spans="4:17" ht="15" thickBot="1" x14ac:dyDescent="0.35">
      <c r="D1949" s="20">
        <f t="shared" si="150"/>
        <v>1943</v>
      </c>
      <c r="E1949" s="45">
        <f t="shared" si="151"/>
        <v>3450</v>
      </c>
      <c r="F1949" s="45">
        <f t="shared" si="152"/>
        <v>3650</v>
      </c>
      <c r="G1949" s="20">
        <v>0.39107764056540162</v>
      </c>
      <c r="H1949" s="50"/>
      <c r="I1949" s="16"/>
      <c r="J1949" s="16"/>
      <c r="K1949" s="16"/>
      <c r="L1949" s="16"/>
      <c r="M1949" s="16">
        <v>1943</v>
      </c>
      <c r="N1949" s="16">
        <f t="shared" si="153"/>
        <v>0.69673601147776187</v>
      </c>
      <c r="O1949" s="16"/>
      <c r="P1949" s="16"/>
      <c r="Q1949" s="16">
        <f t="shared" si="154"/>
        <v>0.51503583789393281</v>
      </c>
    </row>
    <row r="1950" spans="4:17" ht="15" thickBot="1" x14ac:dyDescent="0.35">
      <c r="D1950" s="20">
        <f t="shared" si="150"/>
        <v>1944</v>
      </c>
      <c r="E1950" s="20">
        <f t="shared" si="151"/>
        <v>3550</v>
      </c>
      <c r="F1950" s="20">
        <f t="shared" si="152"/>
        <v>3650</v>
      </c>
      <c r="G1950" s="20">
        <v>0.39108400130272836</v>
      </c>
      <c r="H1950" s="50"/>
      <c r="I1950" s="16"/>
      <c r="J1950" s="16"/>
      <c r="K1950" s="16"/>
      <c r="L1950" s="16"/>
      <c r="M1950" s="16">
        <v>1944</v>
      </c>
      <c r="N1950" s="16">
        <f t="shared" si="153"/>
        <v>0.69709469153515069</v>
      </c>
      <c r="O1950" s="16"/>
      <c r="P1950" s="16"/>
      <c r="Q1950" s="16">
        <f t="shared" si="154"/>
        <v>0.51606270199640825</v>
      </c>
    </row>
    <row r="1951" spans="4:17" ht="15" thickBot="1" x14ac:dyDescent="0.35">
      <c r="D1951" s="20">
        <f t="shared" si="150"/>
        <v>1945</v>
      </c>
      <c r="E1951" s="20">
        <f t="shared" si="151"/>
        <v>3650</v>
      </c>
      <c r="F1951" s="20">
        <f t="shared" si="152"/>
        <v>3650</v>
      </c>
      <c r="G1951" s="20">
        <v>0.39128314008469817</v>
      </c>
      <c r="H1951" s="50"/>
      <c r="I1951" s="16"/>
      <c r="J1951" s="16"/>
      <c r="K1951" s="16"/>
      <c r="L1951" s="16"/>
      <c r="M1951" s="16">
        <v>1945</v>
      </c>
      <c r="N1951" s="16">
        <f t="shared" si="153"/>
        <v>0.69745337159253951</v>
      </c>
      <c r="O1951" s="16"/>
      <c r="P1951" s="16"/>
      <c r="Q1951" s="16">
        <f t="shared" si="154"/>
        <v>0.51709011054981568</v>
      </c>
    </row>
    <row r="1952" spans="4:17" ht="15" thickBot="1" x14ac:dyDescent="0.35">
      <c r="D1952" s="20">
        <f t="shared" si="150"/>
        <v>1946</v>
      </c>
      <c r="E1952" s="20">
        <f t="shared" si="151"/>
        <v>3750</v>
      </c>
      <c r="F1952" s="20">
        <f t="shared" si="152"/>
        <v>3650</v>
      </c>
      <c r="G1952" s="20">
        <v>0.39134564913365683</v>
      </c>
      <c r="H1952" s="50"/>
      <c r="I1952" s="16"/>
      <c r="J1952" s="16"/>
      <c r="K1952" s="16"/>
      <c r="L1952" s="16"/>
      <c r="M1952" s="16">
        <v>1946</v>
      </c>
      <c r="N1952" s="16">
        <f t="shared" si="153"/>
        <v>0.69781205164992821</v>
      </c>
      <c r="O1952" s="16"/>
      <c r="P1952" s="16"/>
      <c r="Q1952" s="16">
        <f t="shared" si="154"/>
        <v>0.5181180652174574</v>
      </c>
    </row>
    <row r="1953" spans="4:17" ht="15" thickBot="1" x14ac:dyDescent="0.35">
      <c r="D1953" s="20">
        <f t="shared" si="150"/>
        <v>1947</v>
      </c>
      <c r="E1953" s="20">
        <f t="shared" si="151"/>
        <v>3850</v>
      </c>
      <c r="F1953" s="20">
        <f t="shared" si="152"/>
        <v>3650</v>
      </c>
      <c r="G1953" s="20">
        <v>0.39153724890174568</v>
      </c>
      <c r="H1953" s="50"/>
      <c r="I1953" s="16"/>
      <c r="J1953" s="16"/>
      <c r="K1953" s="16"/>
      <c r="L1953" s="16"/>
      <c r="M1953" s="16">
        <v>1947</v>
      </c>
      <c r="N1953" s="16">
        <f t="shared" si="153"/>
        <v>0.69817073170731703</v>
      </c>
      <c r="O1953" s="16"/>
      <c r="P1953" s="16"/>
      <c r="Q1953" s="16">
        <f t="shared" si="154"/>
        <v>0.51914656766759937</v>
      </c>
    </row>
    <row r="1954" spans="4:17" ht="15" thickBot="1" x14ac:dyDescent="0.35">
      <c r="D1954" s="20">
        <f t="shared" si="150"/>
        <v>1948</v>
      </c>
      <c r="E1954" s="20">
        <f t="shared" si="151"/>
        <v>3950</v>
      </c>
      <c r="F1954" s="20">
        <f t="shared" si="152"/>
        <v>3650</v>
      </c>
      <c r="G1954" s="20">
        <v>0.39160264158852071</v>
      </c>
      <c r="H1954" s="50"/>
      <c r="I1954" s="16"/>
      <c r="J1954" s="16"/>
      <c r="K1954" s="16"/>
      <c r="L1954" s="16"/>
      <c r="M1954" s="16">
        <v>1948</v>
      </c>
      <c r="N1954" s="16">
        <f t="shared" si="153"/>
        <v>0.69852941176470584</v>
      </c>
      <c r="O1954" s="16"/>
      <c r="P1954" s="16"/>
      <c r="Q1954" s="16">
        <f t="shared" si="154"/>
        <v>0.52017561957349345</v>
      </c>
    </row>
    <row r="1955" spans="4:17" ht="15" thickBot="1" x14ac:dyDescent="0.35">
      <c r="D1955" s="20">
        <f t="shared" si="150"/>
        <v>1949</v>
      </c>
      <c r="E1955" s="20">
        <f t="shared" si="151"/>
        <v>4050</v>
      </c>
      <c r="F1955" s="20">
        <f t="shared" si="152"/>
        <v>3650</v>
      </c>
      <c r="G1955" s="20">
        <v>0.39162841589260017</v>
      </c>
      <c r="H1955" s="50"/>
      <c r="I1955" s="16"/>
      <c r="J1955" s="16"/>
      <c r="K1955" s="16"/>
      <c r="L1955" s="16"/>
      <c r="M1955" s="16">
        <v>1949</v>
      </c>
      <c r="N1955" s="16">
        <f t="shared" si="153"/>
        <v>0.69888809182209466</v>
      </c>
      <c r="O1955" s="16"/>
      <c r="P1955" s="16"/>
      <c r="Q1955" s="16">
        <f t="shared" si="154"/>
        <v>0.52120522261340296</v>
      </c>
    </row>
    <row r="1956" spans="4:17" ht="15" thickBot="1" x14ac:dyDescent="0.35">
      <c r="D1956" s="20">
        <f t="shared" si="150"/>
        <v>1950</v>
      </c>
      <c r="E1956" s="20">
        <f t="shared" si="151"/>
        <v>4150</v>
      </c>
      <c r="F1956" s="20">
        <f t="shared" si="152"/>
        <v>3650</v>
      </c>
      <c r="G1956" s="20">
        <v>0.39177840860850188</v>
      </c>
      <c r="H1956" s="50"/>
      <c r="I1956" s="16"/>
      <c r="J1956" s="16"/>
      <c r="K1956" s="16"/>
      <c r="L1956" s="16"/>
      <c r="M1956" s="16">
        <v>1950</v>
      </c>
      <c r="N1956" s="16">
        <f t="shared" si="153"/>
        <v>0.69924677187948348</v>
      </c>
      <c r="O1956" s="16"/>
      <c r="P1956" s="16"/>
      <c r="Q1956" s="16">
        <f t="shared" si="154"/>
        <v>0.52223537847062673</v>
      </c>
    </row>
    <row r="1957" spans="4:17" ht="15" thickBot="1" x14ac:dyDescent="0.35">
      <c r="D1957" s="20">
        <f t="shared" si="150"/>
        <v>1951</v>
      </c>
      <c r="E1957" s="45">
        <f t="shared" si="151"/>
        <v>4250</v>
      </c>
      <c r="F1957" s="45">
        <f t="shared" si="152"/>
        <v>3650</v>
      </c>
      <c r="G1957" s="20">
        <v>0.39179053769974509</v>
      </c>
      <c r="H1957" s="50"/>
      <c r="I1957" s="16"/>
      <c r="J1957" s="16"/>
      <c r="K1957" s="16"/>
      <c r="L1957" s="16"/>
      <c r="M1957" s="16">
        <v>1951</v>
      </c>
      <c r="N1957" s="16">
        <f t="shared" si="153"/>
        <v>0.69960545193687229</v>
      </c>
      <c r="O1957" s="16"/>
      <c r="P1957" s="16"/>
      <c r="Q1957" s="16">
        <f t="shared" si="154"/>
        <v>0.52326608883352377</v>
      </c>
    </row>
    <row r="1958" spans="4:17" ht="15" thickBot="1" x14ac:dyDescent="0.35">
      <c r="D1958" s="20">
        <f t="shared" si="150"/>
        <v>1952</v>
      </c>
      <c r="E1958" s="20">
        <f t="shared" si="151"/>
        <v>4350</v>
      </c>
      <c r="F1958" s="20">
        <f t="shared" si="152"/>
        <v>3650</v>
      </c>
      <c r="G1958" s="20">
        <v>0.39180668325474893</v>
      </c>
      <c r="H1958" s="50"/>
      <c r="I1958" s="16"/>
      <c r="J1958" s="16"/>
      <c r="K1958" s="16"/>
      <c r="L1958" s="16"/>
      <c r="M1958" s="16">
        <v>1952</v>
      </c>
      <c r="N1958" s="16">
        <f t="shared" si="153"/>
        <v>0.69996413199426111</v>
      </c>
      <c r="O1958" s="16"/>
      <c r="P1958" s="16"/>
      <c r="Q1958" s="16">
        <f t="shared" si="154"/>
        <v>0.52429735539553801</v>
      </c>
    </row>
    <row r="1959" spans="4:17" ht="15" thickBot="1" x14ac:dyDescent="0.35">
      <c r="D1959" s="20">
        <f t="shared" si="150"/>
        <v>1953</v>
      </c>
      <c r="E1959" s="20">
        <f t="shared" si="151"/>
        <v>4450</v>
      </c>
      <c r="F1959" s="20">
        <f t="shared" si="152"/>
        <v>3650</v>
      </c>
      <c r="G1959" s="20">
        <v>0.39201514717448616</v>
      </c>
      <c r="H1959" s="50"/>
      <c r="I1959" s="16"/>
      <c r="J1959" s="16"/>
      <c r="K1959" s="16"/>
      <c r="L1959" s="16"/>
      <c r="M1959" s="16">
        <v>1953</v>
      </c>
      <c r="N1959" s="16">
        <f t="shared" si="153"/>
        <v>0.70032281205164992</v>
      </c>
      <c r="O1959" s="16"/>
      <c r="P1959" s="16"/>
      <c r="Q1959" s="16">
        <f t="shared" si="154"/>
        <v>0.52532917985522309</v>
      </c>
    </row>
    <row r="1960" spans="4:17" ht="15" thickBot="1" x14ac:dyDescent="0.35">
      <c r="D1960" s="20">
        <f t="shared" si="150"/>
        <v>1954</v>
      </c>
      <c r="E1960" s="20">
        <f t="shared" si="151"/>
        <v>4550</v>
      </c>
      <c r="F1960" s="20">
        <f t="shared" si="152"/>
        <v>3650</v>
      </c>
      <c r="G1960" s="20">
        <v>0.39216079983034074</v>
      </c>
      <c r="H1960" s="50"/>
      <c r="I1960" s="16"/>
      <c r="J1960" s="16"/>
      <c r="K1960" s="16"/>
      <c r="L1960" s="16"/>
      <c r="M1960" s="16">
        <v>1954</v>
      </c>
      <c r="N1960" s="16">
        <f t="shared" si="153"/>
        <v>0.70068149210903874</v>
      </c>
      <c r="O1960" s="16"/>
      <c r="P1960" s="16"/>
      <c r="Q1960" s="16">
        <f t="shared" si="154"/>
        <v>0.52636156391626743</v>
      </c>
    </row>
    <row r="1961" spans="4:17" ht="15" thickBot="1" x14ac:dyDescent="0.35">
      <c r="D1961" s="20">
        <f t="shared" si="150"/>
        <v>1955</v>
      </c>
      <c r="E1961" s="20">
        <f t="shared" si="151"/>
        <v>4650</v>
      </c>
      <c r="F1961" s="20">
        <f t="shared" si="152"/>
        <v>3650</v>
      </c>
      <c r="G1961" s="20">
        <v>0.39223075697909959</v>
      </c>
      <c r="H1961" s="50"/>
      <c r="I1961" s="16"/>
      <c r="J1961" s="16"/>
      <c r="K1961" s="16"/>
      <c r="L1961" s="16"/>
      <c r="M1961" s="16">
        <v>1955</v>
      </c>
      <c r="N1961" s="16">
        <f t="shared" si="153"/>
        <v>0.70104017216642756</v>
      </c>
      <c r="O1961" s="16"/>
      <c r="P1961" s="16"/>
      <c r="Q1961" s="16">
        <f t="shared" si="154"/>
        <v>0.52739450928751908</v>
      </c>
    </row>
    <row r="1962" spans="4:17" ht="15" thickBot="1" x14ac:dyDescent="0.35">
      <c r="D1962" s="20">
        <f t="shared" si="150"/>
        <v>1956</v>
      </c>
      <c r="E1962" s="20">
        <f t="shared" si="151"/>
        <v>4750</v>
      </c>
      <c r="F1962" s="20">
        <f t="shared" si="152"/>
        <v>3650</v>
      </c>
      <c r="G1962" s="20">
        <v>0.39226486027137836</v>
      </c>
      <c r="H1962" s="50"/>
      <c r="I1962" s="16"/>
      <c r="J1962" s="16"/>
      <c r="K1962" s="16"/>
      <c r="L1962" s="16"/>
      <c r="M1962" s="16">
        <v>1956</v>
      </c>
      <c r="N1962" s="16">
        <f t="shared" si="153"/>
        <v>0.70139885222381637</v>
      </c>
      <c r="O1962" s="16"/>
      <c r="P1962" s="16"/>
      <c r="Q1962" s="16">
        <f t="shared" si="154"/>
        <v>0.52842801768301095</v>
      </c>
    </row>
    <row r="1963" spans="4:17" ht="15" thickBot="1" x14ac:dyDescent="0.35">
      <c r="D1963" s="20">
        <f t="shared" si="150"/>
        <v>1957</v>
      </c>
      <c r="E1963" s="20">
        <f t="shared" si="151"/>
        <v>4850</v>
      </c>
      <c r="F1963" s="20">
        <f t="shared" si="152"/>
        <v>3650</v>
      </c>
      <c r="G1963" s="20">
        <v>0.39232873431108367</v>
      </c>
      <c r="H1963" s="50"/>
      <c r="I1963" s="16"/>
      <c r="J1963" s="16"/>
      <c r="K1963" s="16"/>
      <c r="L1963" s="16"/>
      <c r="M1963" s="16">
        <v>1957</v>
      </c>
      <c r="N1963" s="16">
        <f t="shared" si="153"/>
        <v>0.70175753228120519</v>
      </c>
      <c r="O1963" s="16"/>
      <c r="P1963" s="16"/>
      <c r="Q1963" s="16">
        <f t="shared" si="154"/>
        <v>0.52946209082198725</v>
      </c>
    </row>
    <row r="1964" spans="4:17" ht="15" thickBot="1" x14ac:dyDescent="0.35">
      <c r="D1964" s="20">
        <f t="shared" si="150"/>
        <v>1958</v>
      </c>
      <c r="E1964" s="20">
        <f t="shared" si="151"/>
        <v>4950</v>
      </c>
      <c r="F1964" s="20">
        <f t="shared" si="152"/>
        <v>3650</v>
      </c>
      <c r="G1964" s="20">
        <v>0.39240009179568952</v>
      </c>
      <c r="H1964" s="50"/>
      <c r="I1964" s="16"/>
      <c r="J1964" s="16"/>
      <c r="K1964" s="16"/>
      <c r="L1964" s="16"/>
      <c r="M1964" s="16">
        <v>1958</v>
      </c>
      <c r="N1964" s="16">
        <f t="shared" si="153"/>
        <v>0.702116212338594</v>
      </c>
      <c r="O1964" s="16"/>
      <c r="P1964" s="16"/>
      <c r="Q1964" s="16">
        <f t="shared" si="154"/>
        <v>0.53049673042892798</v>
      </c>
    </row>
    <row r="1965" spans="4:17" ht="15" thickBot="1" x14ac:dyDescent="0.35">
      <c r="D1965" s="20">
        <f t="shared" si="150"/>
        <v>1959</v>
      </c>
      <c r="E1965" s="20">
        <f t="shared" si="151"/>
        <v>5050</v>
      </c>
      <c r="F1965" s="20">
        <f t="shared" si="152"/>
        <v>3650</v>
      </c>
      <c r="G1965" s="20">
        <v>0.39273793349203917</v>
      </c>
      <c r="H1965" s="50"/>
      <c r="I1965" s="16"/>
      <c r="J1965" s="16"/>
      <c r="K1965" s="16"/>
      <c r="L1965" s="16"/>
      <c r="M1965" s="16">
        <v>1959</v>
      </c>
      <c r="N1965" s="16">
        <f t="shared" si="153"/>
        <v>0.70247489239598282</v>
      </c>
      <c r="O1965" s="16"/>
      <c r="P1965" s="16"/>
      <c r="Q1965" s="16">
        <f t="shared" si="154"/>
        <v>0.53153193823357436</v>
      </c>
    </row>
    <row r="1966" spans="4:17" ht="15" thickBot="1" x14ac:dyDescent="0.35">
      <c r="D1966" s="20">
        <f t="shared" si="150"/>
        <v>1960</v>
      </c>
      <c r="E1966" s="20">
        <f t="shared" si="151"/>
        <v>5150</v>
      </c>
      <c r="F1966" s="20">
        <f t="shared" si="152"/>
        <v>3650</v>
      </c>
      <c r="G1966" s="20">
        <v>0.39276745059031248</v>
      </c>
      <c r="H1966" s="50"/>
      <c r="I1966" s="16"/>
      <c r="J1966" s="16"/>
      <c r="K1966" s="16"/>
      <c r="L1966" s="16"/>
      <c r="M1966" s="16">
        <v>1960</v>
      </c>
      <c r="N1966" s="16">
        <f t="shared" si="153"/>
        <v>0.70283357245337164</v>
      </c>
      <c r="O1966" s="16"/>
      <c r="P1966" s="16"/>
      <c r="Q1966" s="16">
        <f t="shared" si="154"/>
        <v>0.53256771597095609</v>
      </c>
    </row>
    <row r="1967" spans="4:17" ht="15" thickBot="1" x14ac:dyDescent="0.35">
      <c r="D1967" s="20">
        <f t="shared" si="150"/>
        <v>1961</v>
      </c>
      <c r="E1967" s="20">
        <f t="shared" si="151"/>
        <v>5250</v>
      </c>
      <c r="F1967" s="20">
        <f t="shared" si="152"/>
        <v>3650</v>
      </c>
      <c r="G1967" s="20">
        <v>0.39291157203497784</v>
      </c>
      <c r="H1967" s="50"/>
      <c r="I1967" s="16"/>
      <c r="J1967" s="16"/>
      <c r="K1967" s="16"/>
      <c r="L1967" s="16"/>
      <c r="M1967" s="16">
        <v>1961</v>
      </c>
      <c r="N1967" s="16">
        <f t="shared" si="153"/>
        <v>0.70319225251076045</v>
      </c>
      <c r="O1967" s="16"/>
      <c r="P1967" s="16"/>
      <c r="Q1967" s="16">
        <f t="shared" si="154"/>
        <v>0.53360406538141636</v>
      </c>
    </row>
    <row r="1968" spans="4:17" ht="15" thickBot="1" x14ac:dyDescent="0.35">
      <c r="D1968" s="20">
        <f t="shared" si="150"/>
        <v>1962</v>
      </c>
      <c r="E1968" s="20">
        <f t="shared" si="151"/>
        <v>50</v>
      </c>
      <c r="F1968" s="20">
        <f t="shared" si="152"/>
        <v>3750</v>
      </c>
      <c r="G1968" s="20">
        <v>0.39297407460471639</v>
      </c>
      <c r="H1968" s="50"/>
      <c r="I1968" s="16"/>
      <c r="J1968" s="16"/>
      <c r="K1968" s="16"/>
      <c r="L1968" s="16"/>
      <c r="M1968" s="16">
        <v>1962</v>
      </c>
      <c r="N1968" s="16">
        <f t="shared" si="153"/>
        <v>0.70355093256814916</v>
      </c>
      <c r="O1968" s="16"/>
      <c r="P1968" s="16"/>
      <c r="Q1968" s="16">
        <f t="shared" si="154"/>
        <v>0.53464098821063755</v>
      </c>
    </row>
    <row r="1969" spans="4:17" ht="15" thickBot="1" x14ac:dyDescent="0.35">
      <c r="D1969" s="20">
        <f t="shared" si="150"/>
        <v>1963</v>
      </c>
      <c r="E1969" s="20">
        <f t="shared" si="151"/>
        <v>150</v>
      </c>
      <c r="F1969" s="20">
        <f t="shared" si="152"/>
        <v>3750</v>
      </c>
      <c r="G1969" s="20">
        <v>0.39340370006804981</v>
      </c>
      <c r="H1969" s="50"/>
      <c r="I1969" s="16"/>
      <c r="J1969" s="16"/>
      <c r="K1969" s="16"/>
      <c r="L1969" s="16"/>
      <c r="M1969" s="16">
        <v>1963</v>
      </c>
      <c r="N1969" s="16">
        <f t="shared" si="153"/>
        <v>0.70390961262553797</v>
      </c>
      <c r="O1969" s="16"/>
      <c r="P1969" s="16"/>
      <c r="Q1969" s="16">
        <f t="shared" si="154"/>
        <v>0.53567848620966962</v>
      </c>
    </row>
    <row r="1970" spans="4:17" ht="15" thickBot="1" x14ac:dyDescent="0.35">
      <c r="D1970" s="20">
        <f t="shared" si="150"/>
        <v>1964</v>
      </c>
      <c r="E1970" s="20">
        <f t="shared" si="151"/>
        <v>250</v>
      </c>
      <c r="F1970" s="20">
        <f t="shared" si="152"/>
        <v>3750</v>
      </c>
      <c r="G1970" s="20">
        <v>0.39341896254427483</v>
      </c>
      <c r="H1970" s="50"/>
      <c r="I1970" s="16"/>
      <c r="J1970" s="16"/>
      <c r="K1970" s="16"/>
      <c r="L1970" s="16"/>
      <c r="M1970" s="16">
        <v>1964</v>
      </c>
      <c r="N1970" s="16">
        <f t="shared" si="153"/>
        <v>0.70426829268292679</v>
      </c>
      <c r="O1970" s="16"/>
      <c r="P1970" s="16"/>
      <c r="Q1970" s="16">
        <f t="shared" si="154"/>
        <v>0.53671656113495403</v>
      </c>
    </row>
    <row r="1971" spans="4:17" ht="15" thickBot="1" x14ac:dyDescent="0.35">
      <c r="D1971" s="20">
        <f t="shared" si="150"/>
        <v>1965</v>
      </c>
      <c r="E1971" s="20">
        <f t="shared" si="151"/>
        <v>350</v>
      </c>
      <c r="F1971" s="20">
        <f t="shared" si="152"/>
        <v>3750</v>
      </c>
      <c r="G1971" s="20">
        <v>0.39342803916551927</v>
      </c>
      <c r="H1971" s="50"/>
      <c r="I1971" s="16"/>
      <c r="J1971" s="16"/>
      <c r="K1971" s="16"/>
      <c r="L1971" s="16"/>
      <c r="M1971" s="16">
        <v>1965</v>
      </c>
      <c r="N1971" s="16">
        <f t="shared" si="153"/>
        <v>0.7046269727403156</v>
      </c>
      <c r="O1971" s="16"/>
      <c r="P1971" s="16"/>
      <c r="Q1971" s="16">
        <f t="shared" si="154"/>
        <v>0.53775521474835131</v>
      </c>
    </row>
    <row r="1972" spans="4:17" ht="15" thickBot="1" x14ac:dyDescent="0.35">
      <c r="D1972" s="20">
        <f t="shared" si="150"/>
        <v>1966</v>
      </c>
      <c r="E1972" s="20">
        <f t="shared" si="151"/>
        <v>450</v>
      </c>
      <c r="F1972" s="20">
        <f t="shared" si="152"/>
        <v>3750</v>
      </c>
      <c r="G1972" s="20">
        <v>0.39355525077294751</v>
      </c>
      <c r="H1972" s="50"/>
      <c r="I1972" s="16"/>
      <c r="J1972" s="16"/>
      <c r="K1972" s="16"/>
      <c r="L1972" s="16"/>
      <c r="M1972" s="16">
        <v>1966</v>
      </c>
      <c r="N1972" s="16">
        <f t="shared" si="153"/>
        <v>0.70498565279770442</v>
      </c>
      <c r="O1972" s="16"/>
      <c r="P1972" s="16"/>
      <c r="Q1972" s="16">
        <f t="shared" si="154"/>
        <v>0.5387944488171692</v>
      </c>
    </row>
    <row r="1973" spans="4:17" ht="15" thickBot="1" x14ac:dyDescent="0.35">
      <c r="D1973" s="20">
        <f t="shared" si="150"/>
        <v>1967</v>
      </c>
      <c r="E1973" s="20">
        <f t="shared" si="151"/>
        <v>550</v>
      </c>
      <c r="F1973" s="20">
        <f t="shared" si="152"/>
        <v>3750</v>
      </c>
      <c r="G1973" s="20">
        <v>0.39361057898394697</v>
      </c>
      <c r="H1973" s="50"/>
      <c r="I1973" s="16"/>
      <c r="J1973" s="16"/>
      <c r="K1973" s="16"/>
      <c r="L1973" s="16"/>
      <c r="M1973" s="16">
        <v>1967</v>
      </c>
      <c r="N1973" s="16">
        <f t="shared" si="153"/>
        <v>0.70534433285509324</v>
      </c>
      <c r="O1973" s="16"/>
      <c r="P1973" s="16"/>
      <c r="Q1973" s="16">
        <f t="shared" si="154"/>
        <v>0.53983426511418708</v>
      </c>
    </row>
    <row r="1974" spans="4:17" ht="15" thickBot="1" x14ac:dyDescent="0.35">
      <c r="D1974" s="20">
        <f t="shared" si="150"/>
        <v>1968</v>
      </c>
      <c r="E1974" s="20">
        <f t="shared" si="151"/>
        <v>650</v>
      </c>
      <c r="F1974" s="20">
        <f t="shared" si="152"/>
        <v>3750</v>
      </c>
      <c r="G1974" s="20">
        <v>0.39361178264206292</v>
      </c>
      <c r="H1974" s="50"/>
      <c r="I1974" s="16"/>
      <c r="J1974" s="16"/>
      <c r="K1974" s="16"/>
      <c r="L1974" s="16"/>
      <c r="M1974" s="16">
        <v>1968</v>
      </c>
      <c r="N1974" s="16">
        <f t="shared" si="153"/>
        <v>0.70570301291248205</v>
      </c>
      <c r="O1974" s="16"/>
      <c r="P1974" s="16"/>
      <c r="Q1974" s="16">
        <f t="shared" si="154"/>
        <v>0.54087466541768547</v>
      </c>
    </row>
    <row r="1975" spans="4:17" ht="15" thickBot="1" x14ac:dyDescent="0.35">
      <c r="D1975" s="20">
        <f t="shared" si="150"/>
        <v>1969</v>
      </c>
      <c r="E1975" s="20">
        <f t="shared" si="151"/>
        <v>750</v>
      </c>
      <c r="F1975" s="20">
        <f t="shared" si="152"/>
        <v>3750</v>
      </c>
      <c r="G1975" s="20">
        <v>0.3936147505103138</v>
      </c>
      <c r="H1975" s="50"/>
      <c r="I1975" s="16"/>
      <c r="J1975" s="16"/>
      <c r="K1975" s="16"/>
      <c r="L1975" s="16"/>
      <c r="M1975" s="16">
        <v>1969</v>
      </c>
      <c r="N1975" s="16">
        <f t="shared" si="153"/>
        <v>0.70606169296987087</v>
      </c>
      <c r="O1975" s="16"/>
      <c r="P1975" s="16"/>
      <c r="Q1975" s="16">
        <f t="shared" si="154"/>
        <v>0.54191565151147125</v>
      </c>
    </row>
    <row r="1976" spans="4:17" ht="15" thickBot="1" x14ac:dyDescent="0.35">
      <c r="D1976" s="20">
        <f t="shared" si="150"/>
        <v>1970</v>
      </c>
      <c r="E1976" s="20">
        <f t="shared" si="151"/>
        <v>850</v>
      </c>
      <c r="F1976" s="20">
        <f t="shared" si="152"/>
        <v>3750</v>
      </c>
      <c r="G1976" s="20">
        <v>0.39363379580074576</v>
      </c>
      <c r="H1976" s="50"/>
      <c r="I1976" s="16"/>
      <c r="J1976" s="16"/>
      <c r="K1976" s="16"/>
      <c r="L1976" s="16"/>
      <c r="M1976" s="16">
        <v>1970</v>
      </c>
      <c r="N1976" s="16">
        <f t="shared" si="153"/>
        <v>0.70642037302725968</v>
      </c>
      <c r="O1976" s="16"/>
      <c r="P1976" s="16"/>
      <c r="Q1976" s="16">
        <f t="shared" si="154"/>
        <v>0.54295722518490674</v>
      </c>
    </row>
    <row r="1977" spans="4:17" ht="15" thickBot="1" x14ac:dyDescent="0.35">
      <c r="D1977" s="20">
        <f t="shared" si="150"/>
        <v>1971</v>
      </c>
      <c r="E1977" s="20">
        <f t="shared" si="151"/>
        <v>950</v>
      </c>
      <c r="F1977" s="20">
        <f t="shared" si="152"/>
        <v>3750</v>
      </c>
      <c r="G1977" s="20">
        <v>0.3936576581543883</v>
      </c>
      <c r="H1977" s="50"/>
      <c r="I1977" s="16"/>
      <c r="J1977" s="16"/>
      <c r="K1977" s="16"/>
      <c r="L1977" s="16"/>
      <c r="M1977" s="16">
        <v>1971</v>
      </c>
      <c r="N1977" s="16">
        <f t="shared" si="153"/>
        <v>0.7067790530846485</v>
      </c>
      <c r="O1977" s="16"/>
      <c r="P1977" s="16"/>
      <c r="Q1977" s="16">
        <f t="shared" si="154"/>
        <v>0.54399938823293559</v>
      </c>
    </row>
    <row r="1978" spans="4:17" ht="15" thickBot="1" x14ac:dyDescent="0.35">
      <c r="D1978" s="20">
        <f t="shared" si="150"/>
        <v>1972</v>
      </c>
      <c r="E1978" s="20">
        <f t="shared" si="151"/>
        <v>1050</v>
      </c>
      <c r="F1978" s="20">
        <f t="shared" si="152"/>
        <v>3750</v>
      </c>
      <c r="G1978" s="20">
        <v>0.39366854424027364</v>
      </c>
      <c r="H1978" s="50"/>
      <c r="I1978" s="16"/>
      <c r="J1978" s="16"/>
      <c r="K1978" s="16"/>
      <c r="L1978" s="16"/>
      <c r="M1978" s="16">
        <v>1972</v>
      </c>
      <c r="N1978" s="16">
        <f t="shared" si="153"/>
        <v>0.70713773314203732</v>
      </c>
      <c r="O1978" s="16"/>
      <c r="P1978" s="16"/>
      <c r="Q1978" s="16">
        <f t="shared" si="154"/>
        <v>0.54504214245611271</v>
      </c>
    </row>
    <row r="1979" spans="4:17" ht="15" thickBot="1" x14ac:dyDescent="0.35">
      <c r="D1979" s="20">
        <f t="shared" si="150"/>
        <v>1973</v>
      </c>
      <c r="E1979" s="20">
        <f t="shared" si="151"/>
        <v>1150</v>
      </c>
      <c r="F1979" s="20">
        <f t="shared" si="152"/>
        <v>3750</v>
      </c>
      <c r="G1979" s="20">
        <v>0.39367014265843087</v>
      </c>
      <c r="H1979" s="50"/>
      <c r="I1979" s="16"/>
      <c r="J1979" s="16"/>
      <c r="K1979" s="16"/>
      <c r="L1979" s="16"/>
      <c r="M1979" s="16">
        <v>1973</v>
      </c>
      <c r="N1979" s="16">
        <f t="shared" si="153"/>
        <v>0.70749641319942613</v>
      </c>
      <c r="O1979" s="16"/>
      <c r="P1979" s="16"/>
      <c r="Q1979" s="16">
        <f t="shared" si="154"/>
        <v>0.54608548966062942</v>
      </c>
    </row>
    <row r="1980" spans="4:17" ht="15" thickBot="1" x14ac:dyDescent="0.35">
      <c r="D1980" s="20">
        <f t="shared" si="150"/>
        <v>1974</v>
      </c>
      <c r="E1980" s="47">
        <f t="shared" si="151"/>
        <v>1250</v>
      </c>
      <c r="F1980" s="47">
        <f t="shared" si="152"/>
        <v>3750</v>
      </c>
      <c r="G1980" s="20">
        <v>0.39389781215702535</v>
      </c>
      <c r="H1980" s="50"/>
      <c r="I1980" s="16"/>
      <c r="J1980" s="16"/>
      <c r="K1980" s="16"/>
      <c r="L1980" s="16"/>
      <c r="M1980" s="16">
        <v>1974</v>
      </c>
      <c r="N1980" s="16">
        <f t="shared" si="153"/>
        <v>0.70785509325681495</v>
      </c>
      <c r="O1980" s="16"/>
      <c r="P1980" s="16"/>
      <c r="Q1980" s="16">
        <f t="shared" si="154"/>
        <v>0.54712943165834405</v>
      </c>
    </row>
    <row r="1981" spans="4:17" ht="15" thickBot="1" x14ac:dyDescent="0.35">
      <c r="D1981" s="20">
        <f t="shared" si="150"/>
        <v>1975</v>
      </c>
      <c r="E1981" s="43">
        <f t="shared" si="151"/>
        <v>1350</v>
      </c>
      <c r="F1981" s="43">
        <f t="shared" si="152"/>
        <v>3750</v>
      </c>
      <c r="G1981" s="20">
        <v>0.39396601940289538</v>
      </c>
      <c r="H1981" s="50"/>
      <c r="I1981" s="16"/>
      <c r="J1981" s="16"/>
      <c r="K1981" s="16"/>
      <c r="L1981" s="16"/>
      <c r="M1981" s="16">
        <v>1975</v>
      </c>
      <c r="N1981" s="16">
        <f t="shared" si="153"/>
        <v>0.70821377331420376</v>
      </c>
      <c r="O1981" s="16"/>
      <c r="P1981" s="16"/>
      <c r="Q1981" s="16">
        <f t="shared" si="154"/>
        <v>0.54817397026680836</v>
      </c>
    </row>
    <row r="1982" spans="4:17" ht="15" thickBot="1" x14ac:dyDescent="0.35">
      <c r="D1982" s="20">
        <f t="shared" si="150"/>
        <v>1976</v>
      </c>
      <c r="E1982" s="20">
        <f t="shared" si="151"/>
        <v>1450</v>
      </c>
      <c r="F1982" s="20">
        <f t="shared" si="152"/>
        <v>3750</v>
      </c>
      <c r="G1982" s="20">
        <v>0.39398407872475305</v>
      </c>
      <c r="H1982" s="50"/>
      <c r="I1982" s="16"/>
      <c r="J1982" s="16"/>
      <c r="K1982" s="16"/>
      <c r="L1982" s="16"/>
      <c r="M1982" s="16">
        <v>1976</v>
      </c>
      <c r="N1982" s="16">
        <f t="shared" si="153"/>
        <v>0.70857245337159258</v>
      </c>
      <c r="O1982" s="16"/>
      <c r="P1982" s="16"/>
      <c r="Q1982" s="16">
        <f t="shared" si="154"/>
        <v>0.54921910730929668</v>
      </c>
    </row>
    <row r="1983" spans="4:17" ht="15" thickBot="1" x14ac:dyDescent="0.35">
      <c r="D1983" s="20">
        <f t="shared" si="150"/>
        <v>1977</v>
      </c>
      <c r="E1983" s="20">
        <f t="shared" si="151"/>
        <v>1550</v>
      </c>
      <c r="F1983" s="20">
        <f t="shared" si="152"/>
        <v>3750</v>
      </c>
      <c r="G1983" s="20">
        <v>0.3939899549733577</v>
      </c>
      <c r="H1983" s="50"/>
      <c r="I1983" s="16"/>
      <c r="J1983" s="16"/>
      <c r="K1983" s="16"/>
      <c r="L1983" s="16"/>
      <c r="M1983" s="16">
        <v>1977</v>
      </c>
      <c r="N1983" s="16">
        <f t="shared" si="153"/>
        <v>0.7089311334289814</v>
      </c>
      <c r="O1983" s="16"/>
      <c r="P1983" s="16"/>
      <c r="Q1983" s="16">
        <f t="shared" si="154"/>
        <v>0.55026484461483516</v>
      </c>
    </row>
    <row r="1984" spans="4:17" ht="15" thickBot="1" x14ac:dyDescent="0.35">
      <c r="D1984" s="20">
        <f t="shared" si="150"/>
        <v>1978</v>
      </c>
      <c r="E1984" s="20">
        <f t="shared" si="151"/>
        <v>1650</v>
      </c>
      <c r="F1984" s="20">
        <f t="shared" si="152"/>
        <v>3750</v>
      </c>
      <c r="G1984" s="20">
        <v>0.39413188940871019</v>
      </c>
      <c r="H1984" s="50"/>
      <c r="I1984" s="16"/>
      <c r="J1984" s="16"/>
      <c r="K1984" s="16"/>
      <c r="L1984" s="16"/>
      <c r="M1984" s="16">
        <v>1978</v>
      </c>
      <c r="N1984" s="16">
        <f t="shared" si="153"/>
        <v>0.70928981348637021</v>
      </c>
      <c r="O1984" s="16"/>
      <c r="P1984" s="16"/>
      <c r="Q1984" s="16">
        <f t="shared" si="154"/>
        <v>0.5513111840182281</v>
      </c>
    </row>
    <row r="1985" spans="4:17" ht="15" thickBot="1" x14ac:dyDescent="0.35">
      <c r="D1985" s="20">
        <f t="shared" si="150"/>
        <v>1979</v>
      </c>
      <c r="E1985" s="20">
        <f t="shared" si="151"/>
        <v>1750</v>
      </c>
      <c r="F1985" s="20">
        <f t="shared" si="152"/>
        <v>3750</v>
      </c>
      <c r="G1985" s="20">
        <v>0.39425264186068931</v>
      </c>
      <c r="H1985" s="50"/>
      <c r="I1985" s="16"/>
      <c r="J1985" s="16"/>
      <c r="K1985" s="16"/>
      <c r="L1985" s="16"/>
      <c r="M1985" s="16">
        <v>1979</v>
      </c>
      <c r="N1985" s="16">
        <f t="shared" si="153"/>
        <v>0.70964849354375892</v>
      </c>
      <c r="O1985" s="16"/>
      <c r="P1985" s="16"/>
      <c r="Q1985" s="16">
        <f t="shared" si="154"/>
        <v>0.55235812736008971</v>
      </c>
    </row>
    <row r="1986" spans="4:17" ht="15" thickBot="1" x14ac:dyDescent="0.35">
      <c r="D1986" s="20">
        <f t="shared" si="150"/>
        <v>1980</v>
      </c>
      <c r="E1986" s="20">
        <f t="shared" si="151"/>
        <v>1850</v>
      </c>
      <c r="F1986" s="20">
        <f t="shared" si="152"/>
        <v>3750</v>
      </c>
      <c r="G1986" s="20">
        <v>0.39427313257237312</v>
      </c>
      <c r="H1986" s="50"/>
      <c r="I1986" s="16"/>
      <c r="J1986" s="16"/>
      <c r="K1986" s="16"/>
      <c r="L1986" s="16"/>
      <c r="M1986" s="16">
        <v>1980</v>
      </c>
      <c r="N1986" s="16">
        <f t="shared" si="153"/>
        <v>0.71000717360114773</v>
      </c>
      <c r="O1986" s="16"/>
      <c r="P1986" s="16"/>
      <c r="Q1986" s="16">
        <f t="shared" si="154"/>
        <v>0.55340567648687167</v>
      </c>
    </row>
    <row r="1987" spans="4:17" ht="15" thickBot="1" x14ac:dyDescent="0.35">
      <c r="D1987" s="20">
        <f t="shared" si="150"/>
        <v>1981</v>
      </c>
      <c r="E1987" s="20">
        <f t="shared" si="151"/>
        <v>1950</v>
      </c>
      <c r="F1987" s="20">
        <f t="shared" si="152"/>
        <v>3750</v>
      </c>
      <c r="G1987" s="20">
        <v>0.39434429540131144</v>
      </c>
      <c r="H1987" s="50"/>
      <c r="I1987" s="16"/>
      <c r="J1987" s="16"/>
      <c r="K1987" s="16"/>
      <c r="L1987" s="16"/>
      <c r="M1987" s="16">
        <v>1981</v>
      </c>
      <c r="N1987" s="16">
        <f t="shared" si="153"/>
        <v>0.71036585365853655</v>
      </c>
      <c r="O1987" s="16"/>
      <c r="P1987" s="16"/>
      <c r="Q1987" s="16">
        <f t="shared" si="154"/>
        <v>0.55445383325089237</v>
      </c>
    </row>
    <row r="1988" spans="4:17" ht="15" thickBot="1" x14ac:dyDescent="0.35">
      <c r="D1988" s="20">
        <f t="shared" si="150"/>
        <v>1982</v>
      </c>
      <c r="E1988" s="20">
        <f t="shared" si="151"/>
        <v>2050</v>
      </c>
      <c r="F1988" s="20">
        <f t="shared" si="152"/>
        <v>3750</v>
      </c>
      <c r="G1988" s="20">
        <v>0.39444012859045952</v>
      </c>
      <c r="H1988" s="50"/>
      <c r="I1988" s="16"/>
      <c r="J1988" s="16"/>
      <c r="K1988" s="16"/>
      <c r="L1988" s="16"/>
      <c r="M1988" s="16">
        <v>1982</v>
      </c>
      <c r="N1988" s="16">
        <f t="shared" si="153"/>
        <v>0.71072453371592537</v>
      </c>
      <c r="O1988" s="16"/>
      <c r="P1988" s="16"/>
      <c r="Q1988" s="16">
        <f t="shared" si="154"/>
        <v>0.55550259951036596</v>
      </c>
    </row>
    <row r="1989" spans="4:17" ht="15" thickBot="1" x14ac:dyDescent="0.35">
      <c r="D1989" s="20">
        <f t="shared" si="150"/>
        <v>1983</v>
      </c>
      <c r="E1989" s="47">
        <f t="shared" si="151"/>
        <v>2150</v>
      </c>
      <c r="F1989" s="47">
        <f t="shared" si="152"/>
        <v>3750</v>
      </c>
      <c r="G1989" s="20">
        <v>0.39457318815421183</v>
      </c>
      <c r="H1989" s="50"/>
      <c r="I1989" s="16"/>
      <c r="J1989" s="16"/>
      <c r="K1989" s="16"/>
      <c r="L1989" s="16"/>
      <c r="M1989" s="16">
        <v>1983</v>
      </c>
      <c r="N1989" s="16">
        <f t="shared" si="153"/>
        <v>0.71108321377331418</v>
      </c>
      <c r="O1989" s="16"/>
      <c r="P1989" s="16"/>
      <c r="Q1989" s="16">
        <f t="shared" si="154"/>
        <v>0.55655197712943349</v>
      </c>
    </row>
    <row r="1990" spans="4:17" ht="15" thickBot="1" x14ac:dyDescent="0.35">
      <c r="D1990" s="20">
        <f t="shared" si="150"/>
        <v>1984</v>
      </c>
      <c r="E1990" s="20">
        <f t="shared" si="151"/>
        <v>2250</v>
      </c>
      <c r="F1990" s="20">
        <f t="shared" si="152"/>
        <v>3750</v>
      </c>
      <c r="G1990" s="20">
        <v>0.3946351002259148</v>
      </c>
      <c r="H1990" s="50"/>
      <c r="I1990" s="16"/>
      <c r="J1990" s="16"/>
      <c r="K1990" s="16"/>
      <c r="L1990" s="16"/>
      <c r="M1990" s="16">
        <v>1984</v>
      </c>
      <c r="N1990" s="16">
        <f t="shared" si="153"/>
        <v>0.711441893830703</v>
      </c>
      <c r="O1990" s="16"/>
      <c r="P1990" s="16"/>
      <c r="Q1990" s="16">
        <f t="shared" si="154"/>
        <v>0.55760196797819095</v>
      </c>
    </row>
    <row r="1991" spans="4:17" ht="15" thickBot="1" x14ac:dyDescent="0.35">
      <c r="D1991" s="20">
        <f t="shared" ref="D1991:D2054" si="155">ROW()-6</f>
        <v>1985</v>
      </c>
      <c r="E1991" s="20">
        <f t="shared" ref="E1991:E2054" si="156">(MOD(D1991-1,53)*100)+50</f>
        <v>2350</v>
      </c>
      <c r="F1991" s="20">
        <f t="shared" ref="F1991:F2054" si="157">FLOOR((D1991-1)/53,1)*100+50</f>
        <v>3750</v>
      </c>
      <c r="G1991" s="20">
        <v>0.39473534005968791</v>
      </c>
      <c r="H1991" s="50"/>
      <c r="I1991" s="16"/>
      <c r="J1991" s="16"/>
      <c r="K1991" s="16"/>
      <c r="L1991" s="16"/>
      <c r="M1991" s="16">
        <v>1985</v>
      </c>
      <c r="N1991" s="16">
        <f t="shared" si="153"/>
        <v>0.71180057388809181</v>
      </c>
      <c r="O1991" s="16"/>
      <c r="P1991" s="16"/>
      <c r="Q1991" s="16">
        <f t="shared" si="154"/>
        <v>0.55865257393271961</v>
      </c>
    </row>
    <row r="1992" spans="4:17" ht="15" thickBot="1" x14ac:dyDescent="0.35">
      <c r="D1992" s="20">
        <f t="shared" si="155"/>
        <v>1986</v>
      </c>
      <c r="E1992" s="20">
        <f t="shared" si="156"/>
        <v>2450</v>
      </c>
      <c r="F1992" s="20">
        <f t="shared" si="157"/>
        <v>3750</v>
      </c>
      <c r="G1992" s="20">
        <v>0.39474505332272058</v>
      </c>
      <c r="H1992" s="50"/>
      <c r="I1992" s="16"/>
      <c r="J1992" s="16"/>
      <c r="K1992" s="16"/>
      <c r="L1992" s="16"/>
      <c r="M1992" s="16">
        <v>1986</v>
      </c>
      <c r="N1992" s="16">
        <f t="shared" ref="N1992:N2055" si="158">(M1992-0.5)/$L$7</f>
        <v>0.71215925394548063</v>
      </c>
      <c r="O1992" s="16"/>
      <c r="P1992" s="16"/>
      <c r="Q1992" s="16">
        <f t="shared" ref="Q1992:Q2055" si="159">_xlfn.NORM.S.INV(N1992)</f>
        <v>0.55970379687511707</v>
      </c>
    </row>
    <row r="1993" spans="4:17" ht="15" thickBot="1" x14ac:dyDescent="0.35">
      <c r="D1993" s="20">
        <f t="shared" si="155"/>
        <v>1987</v>
      </c>
      <c r="E1993" s="20">
        <f t="shared" si="156"/>
        <v>2550</v>
      </c>
      <c r="F1993" s="20">
        <f t="shared" si="157"/>
        <v>3750</v>
      </c>
      <c r="G1993" s="20">
        <v>0.39475965678301073</v>
      </c>
      <c r="H1993" s="50"/>
      <c r="I1993" s="16"/>
      <c r="J1993" s="16"/>
      <c r="K1993" s="16"/>
      <c r="L1993" s="16"/>
      <c r="M1993" s="16">
        <v>1987</v>
      </c>
      <c r="N1993" s="16">
        <f t="shared" si="158"/>
        <v>0.71251793400286945</v>
      </c>
      <c r="O1993" s="16"/>
      <c r="P1993" s="16"/>
      <c r="Q1993" s="16">
        <f t="shared" si="159"/>
        <v>0.56075563869352629</v>
      </c>
    </row>
    <row r="1994" spans="4:17" ht="15" thickBot="1" x14ac:dyDescent="0.35">
      <c r="D1994" s="20">
        <f t="shared" si="155"/>
        <v>1988</v>
      </c>
      <c r="E1994" s="20">
        <f t="shared" si="156"/>
        <v>2650</v>
      </c>
      <c r="F1994" s="20">
        <f t="shared" si="157"/>
        <v>3750</v>
      </c>
      <c r="G1994" s="20">
        <v>0.39481146984797655</v>
      </c>
      <c r="H1994" s="50"/>
      <c r="I1994" s="16"/>
      <c r="J1994" s="16"/>
      <c r="K1994" s="16"/>
      <c r="L1994" s="16"/>
      <c r="M1994" s="16">
        <v>1988</v>
      </c>
      <c r="N1994" s="16">
        <f t="shared" si="158"/>
        <v>0.71287661406025826</v>
      </c>
      <c r="O1994" s="16"/>
      <c r="P1994" s="16"/>
      <c r="Q1994" s="16">
        <f t="shared" si="159"/>
        <v>0.56180810128216707</v>
      </c>
    </row>
    <row r="1995" spans="4:17" ht="15" thickBot="1" x14ac:dyDescent="0.35">
      <c r="D1995" s="20">
        <f t="shared" si="155"/>
        <v>1989</v>
      </c>
      <c r="E1995" s="20">
        <f t="shared" si="156"/>
        <v>2750</v>
      </c>
      <c r="F1995" s="20">
        <f t="shared" si="157"/>
        <v>3750</v>
      </c>
      <c r="G1995" s="20">
        <v>0.39489865905099236</v>
      </c>
      <c r="H1995" s="50"/>
      <c r="I1995" s="16"/>
      <c r="J1995" s="16"/>
      <c r="K1995" s="16"/>
      <c r="L1995" s="16"/>
      <c r="M1995" s="16">
        <v>1989</v>
      </c>
      <c r="N1995" s="16">
        <f t="shared" si="158"/>
        <v>0.71323529411764708</v>
      </c>
      <c r="O1995" s="16"/>
      <c r="P1995" s="16"/>
      <c r="Q1995" s="16">
        <f t="shared" si="159"/>
        <v>0.56286118654136574</v>
      </c>
    </row>
    <row r="1996" spans="4:17" ht="15" thickBot="1" x14ac:dyDescent="0.35">
      <c r="D1996" s="20">
        <f t="shared" si="155"/>
        <v>1990</v>
      </c>
      <c r="E1996" s="20">
        <f t="shared" si="156"/>
        <v>2850</v>
      </c>
      <c r="F1996" s="20">
        <f t="shared" si="157"/>
        <v>3750</v>
      </c>
      <c r="G1996" s="20">
        <v>0.39492577733884815</v>
      </c>
      <c r="H1996" s="50"/>
      <c r="I1996" s="16"/>
      <c r="J1996" s="16"/>
      <c r="K1996" s="16"/>
      <c r="L1996" s="16"/>
      <c r="M1996" s="16">
        <v>1990</v>
      </c>
      <c r="N1996" s="16">
        <f t="shared" si="158"/>
        <v>0.71359397417503589</v>
      </c>
      <c r="O1996" s="16"/>
      <c r="P1996" s="16"/>
      <c r="Q1996" s="16">
        <f t="shared" si="159"/>
        <v>0.56391489637758696</v>
      </c>
    </row>
    <row r="1997" spans="4:17" ht="15" thickBot="1" x14ac:dyDescent="0.35">
      <c r="D1997" s="20">
        <f t="shared" si="155"/>
        <v>1991</v>
      </c>
      <c r="E1997" s="20">
        <f t="shared" si="156"/>
        <v>2950</v>
      </c>
      <c r="F1997" s="20">
        <f t="shared" si="157"/>
        <v>3750</v>
      </c>
      <c r="G1997" s="20">
        <v>0.394976276327553</v>
      </c>
      <c r="H1997" s="50"/>
      <c r="I1997" s="16"/>
      <c r="J1997" s="16"/>
      <c r="K1997" s="16"/>
      <c r="L1997" s="16"/>
      <c r="M1997" s="16">
        <v>1991</v>
      </c>
      <c r="N1997" s="16">
        <f t="shared" si="158"/>
        <v>0.71395265423242471</v>
      </c>
      <c r="O1997" s="16"/>
      <c r="P1997" s="16"/>
      <c r="Q1997" s="16">
        <f t="shared" si="159"/>
        <v>0.56496923270346355</v>
      </c>
    </row>
    <row r="1998" spans="4:17" ht="15" thickBot="1" x14ac:dyDescent="0.35">
      <c r="D1998" s="20">
        <f t="shared" si="155"/>
        <v>1992</v>
      </c>
      <c r="E1998" s="44">
        <f t="shared" si="156"/>
        <v>3050</v>
      </c>
      <c r="F1998" s="44">
        <f t="shared" si="157"/>
        <v>3750</v>
      </c>
      <c r="G1998" s="20">
        <v>0.39501436836113718</v>
      </c>
      <c r="H1998" s="50"/>
      <c r="I1998" s="16"/>
      <c r="J1998" s="16"/>
      <c r="K1998" s="16"/>
      <c r="L1998" s="16"/>
      <c r="M1998" s="16">
        <v>1992</v>
      </c>
      <c r="N1998" s="16">
        <f t="shared" si="158"/>
        <v>0.71431133428981353</v>
      </c>
      <c r="O1998" s="16"/>
      <c r="P1998" s="16"/>
      <c r="Q1998" s="16">
        <f t="shared" si="159"/>
        <v>0.56602419743782928</v>
      </c>
    </row>
    <row r="1999" spans="4:17" ht="15" thickBot="1" x14ac:dyDescent="0.35">
      <c r="D1999" s="20">
        <f t="shared" si="155"/>
        <v>1993</v>
      </c>
      <c r="E1999" s="20">
        <f t="shared" si="156"/>
        <v>3150</v>
      </c>
      <c r="F1999" s="20">
        <f t="shared" si="157"/>
        <v>3750</v>
      </c>
      <c r="G1999" s="20">
        <v>0.39502963530063628</v>
      </c>
      <c r="H1999" s="50"/>
      <c r="I1999" s="16"/>
      <c r="J1999" s="16"/>
      <c r="K1999" s="16"/>
      <c r="L1999" s="16"/>
      <c r="M1999" s="16">
        <v>1993</v>
      </c>
      <c r="N1999" s="16">
        <f t="shared" si="158"/>
        <v>0.71467001434720234</v>
      </c>
      <c r="O1999" s="16"/>
      <c r="P1999" s="16"/>
      <c r="Q1999" s="16">
        <f t="shared" si="159"/>
        <v>0.56707979250574858</v>
      </c>
    </row>
    <row r="2000" spans="4:17" ht="15" thickBot="1" x14ac:dyDescent="0.35">
      <c r="D2000" s="20">
        <f t="shared" si="155"/>
        <v>1994</v>
      </c>
      <c r="E2000" s="20">
        <f t="shared" si="156"/>
        <v>3250</v>
      </c>
      <c r="F2000" s="20">
        <f t="shared" si="157"/>
        <v>3750</v>
      </c>
      <c r="G2000" s="20">
        <v>0.39515902355467203</v>
      </c>
      <c r="H2000" s="50"/>
      <c r="I2000" s="16"/>
      <c r="J2000" s="16"/>
      <c r="K2000" s="16"/>
      <c r="L2000" s="16"/>
      <c r="M2000" s="16">
        <v>1994</v>
      </c>
      <c r="N2000" s="16">
        <f t="shared" si="158"/>
        <v>0.71502869440459116</v>
      </c>
      <c r="O2000" s="16"/>
      <c r="P2000" s="16"/>
      <c r="Q2000" s="16">
        <f t="shared" si="159"/>
        <v>0.56813601983854956</v>
      </c>
    </row>
    <row r="2001" spans="4:17" ht="15" thickBot="1" x14ac:dyDescent="0.35">
      <c r="D2001" s="20">
        <f t="shared" si="155"/>
        <v>1995</v>
      </c>
      <c r="E2001" s="20">
        <f t="shared" si="156"/>
        <v>3350</v>
      </c>
      <c r="F2001" s="20">
        <f t="shared" si="157"/>
        <v>3750</v>
      </c>
      <c r="G2001" s="20">
        <v>0.39530895027958801</v>
      </c>
      <c r="H2001" s="50"/>
      <c r="I2001" s="16"/>
      <c r="J2001" s="16"/>
      <c r="K2001" s="16"/>
      <c r="L2001" s="16"/>
      <c r="M2001" s="16">
        <v>1995</v>
      </c>
      <c r="N2001" s="16">
        <f t="shared" si="158"/>
        <v>0.71538737446197986</v>
      </c>
      <c r="O2001" s="16"/>
      <c r="P2001" s="16"/>
      <c r="Q2001" s="16">
        <f t="shared" si="159"/>
        <v>0.56919288137385415</v>
      </c>
    </row>
    <row r="2002" spans="4:17" ht="15" thickBot="1" x14ac:dyDescent="0.35">
      <c r="D2002" s="20">
        <f t="shared" si="155"/>
        <v>1996</v>
      </c>
      <c r="E2002" s="20">
        <f t="shared" si="156"/>
        <v>3450</v>
      </c>
      <c r="F2002" s="20">
        <f t="shared" si="157"/>
        <v>3750</v>
      </c>
      <c r="G2002" s="20">
        <v>0.39533209525805002</v>
      </c>
      <c r="H2002" s="50"/>
      <c r="I2002" s="16"/>
      <c r="J2002" s="16"/>
      <c r="K2002" s="16"/>
      <c r="L2002" s="16"/>
      <c r="M2002" s="16">
        <v>1996</v>
      </c>
      <c r="N2002" s="16">
        <f t="shared" si="158"/>
        <v>0.71574605451936868</v>
      </c>
      <c r="O2002" s="16"/>
      <c r="P2002" s="16"/>
      <c r="Q2002" s="16">
        <f t="shared" si="159"/>
        <v>0.57025037905561271</v>
      </c>
    </row>
    <row r="2003" spans="4:17" ht="15" thickBot="1" x14ac:dyDescent="0.35">
      <c r="D2003" s="20">
        <f t="shared" si="155"/>
        <v>1997</v>
      </c>
      <c r="E2003" s="20">
        <f t="shared" si="156"/>
        <v>3550</v>
      </c>
      <c r="F2003" s="20">
        <f t="shared" si="157"/>
        <v>3750</v>
      </c>
      <c r="G2003" s="20">
        <v>0.39534198907317397</v>
      </c>
      <c r="H2003" s="50"/>
      <c r="I2003" s="16"/>
      <c r="J2003" s="16"/>
      <c r="K2003" s="16"/>
      <c r="L2003" s="16"/>
      <c r="M2003" s="16">
        <v>1997</v>
      </c>
      <c r="N2003" s="16">
        <f t="shared" si="158"/>
        <v>0.7161047345767575</v>
      </c>
      <c r="O2003" s="16"/>
      <c r="P2003" s="16"/>
      <c r="Q2003" s="16">
        <f t="shared" si="159"/>
        <v>0.57130851483413292</v>
      </c>
    </row>
    <row r="2004" spans="4:17" ht="15" thickBot="1" x14ac:dyDescent="0.35">
      <c r="D2004" s="20">
        <f t="shared" si="155"/>
        <v>1998</v>
      </c>
      <c r="E2004" s="20">
        <f t="shared" si="156"/>
        <v>3650</v>
      </c>
      <c r="F2004" s="20">
        <f t="shared" si="157"/>
        <v>3750</v>
      </c>
      <c r="G2004" s="20">
        <v>0.39537520684574912</v>
      </c>
      <c r="H2004" s="50"/>
      <c r="I2004" s="16"/>
      <c r="J2004" s="16"/>
      <c r="K2004" s="16"/>
      <c r="L2004" s="16"/>
      <c r="M2004" s="16">
        <v>1998</v>
      </c>
      <c r="N2004" s="16">
        <f t="shared" si="158"/>
        <v>0.71646341463414631</v>
      </c>
      <c r="O2004" s="16"/>
      <c r="P2004" s="16"/>
      <c r="Q2004" s="16">
        <f t="shared" si="159"/>
        <v>0.57236729066611425</v>
      </c>
    </row>
    <row r="2005" spans="4:17" ht="15" thickBot="1" x14ac:dyDescent="0.35">
      <c r="D2005" s="20">
        <f t="shared" si="155"/>
        <v>1999</v>
      </c>
      <c r="E2005" s="20">
        <f t="shared" si="156"/>
        <v>3750</v>
      </c>
      <c r="F2005" s="20">
        <f t="shared" si="157"/>
        <v>3750</v>
      </c>
      <c r="G2005" s="20">
        <v>0.39542501841724037</v>
      </c>
      <c r="H2005" s="50"/>
      <c r="I2005" s="16"/>
      <c r="J2005" s="16"/>
      <c r="K2005" s="16"/>
      <c r="L2005" s="16"/>
      <c r="M2005" s="16">
        <v>1999</v>
      </c>
      <c r="N2005" s="16">
        <f t="shared" si="158"/>
        <v>0.71682209469153513</v>
      </c>
      <c r="O2005" s="16"/>
      <c r="P2005" s="16"/>
      <c r="Q2005" s="16">
        <f t="shared" si="159"/>
        <v>0.57342670851468025</v>
      </c>
    </row>
    <row r="2006" spans="4:17" ht="15" thickBot="1" x14ac:dyDescent="0.35">
      <c r="D2006" s="20">
        <f t="shared" si="155"/>
        <v>2000</v>
      </c>
      <c r="E2006" s="20">
        <f t="shared" si="156"/>
        <v>3850</v>
      </c>
      <c r="F2006" s="20">
        <f t="shared" si="157"/>
        <v>3750</v>
      </c>
      <c r="G2006" s="20">
        <v>0.39569893999957345</v>
      </c>
      <c r="H2006" s="50"/>
      <c r="I2006" s="16"/>
      <c r="J2006" s="16"/>
      <c r="K2006" s="16"/>
      <c r="L2006" s="16"/>
      <c r="M2006" s="16">
        <v>2000</v>
      </c>
      <c r="N2006" s="16">
        <f t="shared" si="158"/>
        <v>0.71718077474892394</v>
      </c>
      <c r="O2006" s="16"/>
      <c r="P2006" s="16"/>
      <c r="Q2006" s="16">
        <f t="shared" si="159"/>
        <v>0.57448677034941065</v>
      </c>
    </row>
    <row r="2007" spans="4:17" ht="15" thickBot="1" x14ac:dyDescent="0.35">
      <c r="D2007" s="20">
        <f t="shared" si="155"/>
        <v>2001</v>
      </c>
      <c r="E2007" s="20">
        <f t="shared" si="156"/>
        <v>3950</v>
      </c>
      <c r="F2007" s="20">
        <f t="shared" si="157"/>
        <v>3750</v>
      </c>
      <c r="G2007" s="20">
        <v>0.39573231312946089</v>
      </c>
      <c r="H2007" s="50"/>
      <c r="I2007" s="16"/>
      <c r="J2007" s="16"/>
      <c r="K2007" s="16"/>
      <c r="L2007" s="16"/>
      <c r="M2007" s="16">
        <v>2001</v>
      </c>
      <c r="N2007" s="16">
        <f t="shared" si="158"/>
        <v>0.71753945480631276</v>
      </c>
      <c r="O2007" s="16"/>
      <c r="P2007" s="16"/>
      <c r="Q2007" s="16">
        <f t="shared" si="159"/>
        <v>0.57554747814637464</v>
      </c>
    </row>
    <row r="2008" spans="4:17" ht="15" thickBot="1" x14ac:dyDescent="0.35">
      <c r="D2008" s="20">
        <f t="shared" si="155"/>
        <v>2002</v>
      </c>
      <c r="E2008" s="20">
        <f t="shared" si="156"/>
        <v>4050</v>
      </c>
      <c r="F2008" s="20">
        <f t="shared" si="157"/>
        <v>3750</v>
      </c>
      <c r="G2008" s="20">
        <v>0.39586885930110699</v>
      </c>
      <c r="H2008" s="50"/>
      <c r="I2008" s="16"/>
      <c r="J2008" s="16"/>
      <c r="K2008" s="16"/>
      <c r="L2008" s="16"/>
      <c r="M2008" s="16">
        <v>2002</v>
      </c>
      <c r="N2008" s="16">
        <f t="shared" si="158"/>
        <v>0.71789813486370158</v>
      </c>
      <c r="O2008" s="16"/>
      <c r="P2008" s="16"/>
      <c r="Q2008" s="16">
        <f t="shared" si="159"/>
        <v>0.5766088338881642</v>
      </c>
    </row>
    <row r="2009" spans="4:17" ht="15" thickBot="1" x14ac:dyDescent="0.35">
      <c r="D2009" s="20">
        <f t="shared" si="155"/>
        <v>2003</v>
      </c>
      <c r="E2009" s="20">
        <f t="shared" si="156"/>
        <v>4150</v>
      </c>
      <c r="F2009" s="20">
        <f t="shared" si="157"/>
        <v>3750</v>
      </c>
      <c r="G2009" s="20">
        <v>0.39592640430754367</v>
      </c>
      <c r="H2009" s="50"/>
      <c r="I2009" s="16"/>
      <c r="J2009" s="16"/>
      <c r="K2009" s="16"/>
      <c r="L2009" s="16"/>
      <c r="M2009" s="16">
        <v>2003</v>
      </c>
      <c r="N2009" s="16">
        <f t="shared" si="158"/>
        <v>0.71825681492109039</v>
      </c>
      <c r="O2009" s="16"/>
      <c r="P2009" s="16"/>
      <c r="Q2009" s="16">
        <f t="shared" si="159"/>
        <v>0.5776708395639274</v>
      </c>
    </row>
    <row r="2010" spans="4:17" ht="15" thickBot="1" x14ac:dyDescent="0.35">
      <c r="D2010" s="20">
        <f t="shared" si="155"/>
        <v>2004</v>
      </c>
      <c r="E2010" s="43">
        <f t="shared" si="156"/>
        <v>4250</v>
      </c>
      <c r="F2010" s="43">
        <f t="shared" si="157"/>
        <v>3750</v>
      </c>
      <c r="G2010" s="20">
        <v>0.39640511243763027</v>
      </c>
      <c r="H2010" s="50"/>
      <c r="I2010" s="16"/>
      <c r="J2010" s="16"/>
      <c r="K2010" s="16"/>
      <c r="L2010" s="16"/>
      <c r="M2010" s="16">
        <v>2004</v>
      </c>
      <c r="N2010" s="16">
        <f t="shared" si="158"/>
        <v>0.71861549497847921</v>
      </c>
      <c r="O2010" s="16"/>
      <c r="P2010" s="16"/>
      <c r="Q2010" s="16">
        <f t="shared" si="159"/>
        <v>0.57873349716940148</v>
      </c>
    </row>
    <row r="2011" spans="4:17" ht="15" thickBot="1" x14ac:dyDescent="0.35">
      <c r="D2011" s="20">
        <f t="shared" si="155"/>
        <v>2005</v>
      </c>
      <c r="E2011" s="20">
        <f t="shared" si="156"/>
        <v>4350</v>
      </c>
      <c r="F2011" s="20">
        <f t="shared" si="157"/>
        <v>3750</v>
      </c>
      <c r="G2011" s="20">
        <v>0.39645271709196223</v>
      </c>
      <c r="H2011" s="50"/>
      <c r="I2011" s="16"/>
      <c r="J2011" s="16"/>
      <c r="K2011" s="16"/>
      <c r="L2011" s="16"/>
      <c r="M2011" s="16">
        <v>2005</v>
      </c>
      <c r="N2011" s="16">
        <f t="shared" si="158"/>
        <v>0.71897417503586802</v>
      </c>
      <c r="O2011" s="16"/>
      <c r="P2011" s="16"/>
      <c r="Q2011" s="16">
        <f t="shared" si="159"/>
        <v>0.57979680870694739</v>
      </c>
    </row>
    <row r="2012" spans="4:17" ht="15" thickBot="1" x14ac:dyDescent="0.35">
      <c r="D2012" s="20">
        <f t="shared" si="155"/>
        <v>2006</v>
      </c>
      <c r="E2012" s="20">
        <f t="shared" si="156"/>
        <v>4450</v>
      </c>
      <c r="F2012" s="20">
        <f t="shared" si="157"/>
        <v>3750</v>
      </c>
      <c r="G2012" s="20">
        <v>0.39649252077254488</v>
      </c>
      <c r="H2012" s="50"/>
      <c r="I2012" s="16"/>
      <c r="J2012" s="16"/>
      <c r="K2012" s="16"/>
      <c r="L2012" s="16"/>
      <c r="M2012" s="16">
        <v>2006</v>
      </c>
      <c r="N2012" s="16">
        <f t="shared" si="158"/>
        <v>0.71933285509325684</v>
      </c>
      <c r="O2012" s="16"/>
      <c r="P2012" s="16"/>
      <c r="Q2012" s="16">
        <f t="shared" si="159"/>
        <v>0.58086077618558296</v>
      </c>
    </row>
    <row r="2013" spans="4:17" ht="15" thickBot="1" x14ac:dyDescent="0.35">
      <c r="D2013" s="20">
        <f t="shared" si="155"/>
        <v>2007</v>
      </c>
      <c r="E2013" s="20">
        <f t="shared" si="156"/>
        <v>4550</v>
      </c>
      <c r="F2013" s="20">
        <f t="shared" si="157"/>
        <v>3750</v>
      </c>
      <c r="G2013" s="20">
        <v>0.3965010122219918</v>
      </c>
      <c r="H2013" s="50"/>
      <c r="I2013" s="16"/>
      <c r="J2013" s="16"/>
      <c r="K2013" s="16"/>
      <c r="L2013" s="16"/>
      <c r="M2013" s="16">
        <v>2007</v>
      </c>
      <c r="N2013" s="16">
        <f t="shared" si="158"/>
        <v>0.71969153515064566</v>
      </c>
      <c r="O2013" s="16"/>
      <c r="P2013" s="16"/>
      <c r="Q2013" s="16">
        <f t="shared" si="159"/>
        <v>0.58192540162101736</v>
      </c>
    </row>
    <row r="2014" spans="4:17" ht="15" thickBot="1" x14ac:dyDescent="0.35">
      <c r="D2014" s="20">
        <f t="shared" si="155"/>
        <v>2008</v>
      </c>
      <c r="E2014" s="20">
        <f t="shared" si="156"/>
        <v>4650</v>
      </c>
      <c r="F2014" s="20">
        <f t="shared" si="157"/>
        <v>3750</v>
      </c>
      <c r="G2014" s="20">
        <v>0.39655784246246156</v>
      </c>
      <c r="H2014" s="50"/>
      <c r="I2014" s="16"/>
      <c r="J2014" s="16"/>
      <c r="K2014" s="16"/>
      <c r="L2014" s="16"/>
      <c r="M2014" s="16">
        <v>2008</v>
      </c>
      <c r="N2014" s="16">
        <f t="shared" si="158"/>
        <v>0.72005021520803447</v>
      </c>
      <c r="O2014" s="16"/>
      <c r="P2014" s="16"/>
      <c r="Q2014" s="16">
        <f t="shared" si="159"/>
        <v>0.58299068703568535</v>
      </c>
    </row>
    <row r="2015" spans="4:17" ht="15" thickBot="1" x14ac:dyDescent="0.35">
      <c r="D2015" s="20">
        <f t="shared" si="155"/>
        <v>2009</v>
      </c>
      <c r="E2015" s="20">
        <f t="shared" si="156"/>
        <v>4750</v>
      </c>
      <c r="F2015" s="20">
        <f t="shared" si="157"/>
        <v>3750</v>
      </c>
      <c r="G2015" s="20">
        <v>0.39663814619131865</v>
      </c>
      <c r="H2015" s="50"/>
      <c r="I2015" s="16"/>
      <c r="J2015" s="16"/>
      <c r="K2015" s="16"/>
      <c r="L2015" s="16"/>
      <c r="M2015" s="16">
        <v>2009</v>
      </c>
      <c r="N2015" s="16">
        <f t="shared" si="158"/>
        <v>0.72040889526542329</v>
      </c>
      <c r="O2015" s="16"/>
      <c r="P2015" s="16"/>
      <c r="Q2015" s="16">
        <f t="shared" si="159"/>
        <v>0.58405663445878298</v>
      </c>
    </row>
    <row r="2016" spans="4:17" ht="15" thickBot="1" x14ac:dyDescent="0.35">
      <c r="D2016" s="20">
        <f t="shared" si="155"/>
        <v>2010</v>
      </c>
      <c r="E2016" s="20">
        <f t="shared" si="156"/>
        <v>4850</v>
      </c>
      <c r="F2016" s="20">
        <f t="shared" si="157"/>
        <v>3750</v>
      </c>
      <c r="G2016" s="20">
        <v>0.39670401550845574</v>
      </c>
      <c r="H2016" s="50"/>
      <c r="I2016" s="16"/>
      <c r="J2016" s="16"/>
      <c r="K2016" s="16"/>
      <c r="L2016" s="16"/>
      <c r="M2016" s="16">
        <v>2010</v>
      </c>
      <c r="N2016" s="16">
        <f t="shared" si="158"/>
        <v>0.7207675753228121</v>
      </c>
      <c r="O2016" s="16"/>
      <c r="P2016" s="16"/>
      <c r="Q2016" s="16">
        <f t="shared" si="159"/>
        <v>0.58512324592630094</v>
      </c>
    </row>
    <row r="2017" spans="4:17" ht="15" thickBot="1" x14ac:dyDescent="0.35">
      <c r="D2017" s="20">
        <f t="shared" si="155"/>
        <v>2011</v>
      </c>
      <c r="E2017" s="20">
        <f t="shared" si="156"/>
        <v>4950</v>
      </c>
      <c r="F2017" s="20">
        <f t="shared" si="157"/>
        <v>3750</v>
      </c>
      <c r="G2017" s="20">
        <v>0.39679410211642485</v>
      </c>
      <c r="H2017" s="50"/>
      <c r="I2017" s="16"/>
      <c r="J2017" s="16"/>
      <c r="K2017" s="16"/>
      <c r="L2017" s="16"/>
      <c r="M2017" s="16">
        <v>2011</v>
      </c>
      <c r="N2017" s="16">
        <f t="shared" si="158"/>
        <v>0.72112625538020081</v>
      </c>
      <c r="O2017" s="16"/>
      <c r="P2017" s="16"/>
      <c r="Q2017" s="16">
        <f t="shared" si="159"/>
        <v>0.58619052348105938</v>
      </c>
    </row>
    <row r="2018" spans="4:17" ht="15" thickBot="1" x14ac:dyDescent="0.35">
      <c r="D2018" s="20">
        <f t="shared" si="155"/>
        <v>2012</v>
      </c>
      <c r="E2018" s="20">
        <f t="shared" si="156"/>
        <v>5050</v>
      </c>
      <c r="F2018" s="20">
        <f t="shared" si="157"/>
        <v>3750</v>
      </c>
      <c r="G2018" s="20">
        <v>0.39680713951268576</v>
      </c>
      <c r="H2018" s="50"/>
      <c r="I2018" s="16"/>
      <c r="J2018" s="16"/>
      <c r="K2018" s="16"/>
      <c r="L2018" s="16"/>
      <c r="M2018" s="16">
        <v>2012</v>
      </c>
      <c r="N2018" s="16">
        <f t="shared" si="158"/>
        <v>0.72148493543758963</v>
      </c>
      <c r="O2018" s="16"/>
      <c r="P2018" s="16"/>
      <c r="Q2018" s="16">
        <f t="shared" si="159"/>
        <v>0.58725846917274527</v>
      </c>
    </row>
    <row r="2019" spans="4:17" ht="15" thickBot="1" x14ac:dyDescent="0.35">
      <c r="D2019" s="20">
        <f t="shared" si="155"/>
        <v>2013</v>
      </c>
      <c r="E2019" s="20">
        <f t="shared" si="156"/>
        <v>5150</v>
      </c>
      <c r="F2019" s="20">
        <f t="shared" si="157"/>
        <v>3750</v>
      </c>
      <c r="G2019" s="20">
        <v>0.39683964000985167</v>
      </c>
      <c r="H2019" s="50"/>
      <c r="I2019" s="16"/>
      <c r="J2019" s="16"/>
      <c r="K2019" s="16"/>
      <c r="L2019" s="16"/>
      <c r="M2019" s="16">
        <v>2013</v>
      </c>
      <c r="N2019" s="16">
        <f t="shared" si="158"/>
        <v>0.72184361549497844</v>
      </c>
      <c r="O2019" s="16"/>
      <c r="P2019" s="16"/>
      <c r="Q2019" s="16">
        <f t="shared" si="159"/>
        <v>0.58832708505794529</v>
      </c>
    </row>
    <row r="2020" spans="4:17" ht="15" thickBot="1" x14ac:dyDescent="0.35">
      <c r="D2020" s="20">
        <f t="shared" si="155"/>
        <v>2014</v>
      </c>
      <c r="E2020" s="20">
        <f t="shared" si="156"/>
        <v>5250</v>
      </c>
      <c r="F2020" s="20">
        <f t="shared" si="157"/>
        <v>3750</v>
      </c>
      <c r="G2020" s="20">
        <v>0.39686258128189866</v>
      </c>
      <c r="H2020" s="50"/>
      <c r="I2020" s="16"/>
      <c r="J2020" s="16"/>
      <c r="K2020" s="16"/>
      <c r="L2020" s="16"/>
      <c r="M2020" s="16">
        <v>2014</v>
      </c>
      <c r="N2020" s="16">
        <f t="shared" si="158"/>
        <v>0.72220229555236726</v>
      </c>
      <c r="O2020" s="16"/>
      <c r="P2020" s="16"/>
      <c r="Q2020" s="16">
        <f t="shared" si="159"/>
        <v>0.58939637320018323</v>
      </c>
    </row>
    <row r="2021" spans="4:17" ht="15" thickBot="1" x14ac:dyDescent="0.35">
      <c r="D2021" s="20">
        <f t="shared" si="155"/>
        <v>2015</v>
      </c>
      <c r="E2021" s="20">
        <f t="shared" si="156"/>
        <v>50</v>
      </c>
      <c r="F2021" s="20">
        <f t="shared" si="157"/>
        <v>3850</v>
      </c>
      <c r="G2021" s="20">
        <v>0.39686888535605575</v>
      </c>
      <c r="H2021" s="50"/>
      <c r="I2021" s="16"/>
      <c r="J2021" s="16"/>
      <c r="K2021" s="16"/>
      <c r="L2021" s="16"/>
      <c r="M2021" s="16">
        <v>2015</v>
      </c>
      <c r="N2021" s="16">
        <f t="shared" si="158"/>
        <v>0.72256097560975607</v>
      </c>
      <c r="O2021" s="16"/>
      <c r="P2021" s="16"/>
      <c r="Q2021" s="16">
        <f t="shared" si="159"/>
        <v>0.59046633566995521</v>
      </c>
    </row>
    <row r="2022" spans="4:17" ht="15" thickBot="1" x14ac:dyDescent="0.35">
      <c r="D2022" s="20">
        <f t="shared" si="155"/>
        <v>2016</v>
      </c>
      <c r="E2022" s="20">
        <f t="shared" si="156"/>
        <v>150</v>
      </c>
      <c r="F2022" s="20">
        <f t="shared" si="157"/>
        <v>3850</v>
      </c>
      <c r="G2022" s="20">
        <v>0.39692537219144652</v>
      </c>
      <c r="H2022" s="50"/>
      <c r="I2022" s="16"/>
      <c r="J2022" s="16"/>
      <c r="K2022" s="16"/>
      <c r="L2022" s="16"/>
      <c r="M2022" s="16">
        <v>2016</v>
      </c>
      <c r="N2022" s="16">
        <f t="shared" si="158"/>
        <v>0.72291965566714489</v>
      </c>
      <c r="O2022" s="16"/>
      <c r="P2022" s="16"/>
      <c r="Q2022" s="16">
        <f t="shared" si="159"/>
        <v>0.59153697454476595</v>
      </c>
    </row>
    <row r="2023" spans="4:17" ht="15" thickBot="1" x14ac:dyDescent="0.35">
      <c r="D2023" s="20">
        <f t="shared" si="155"/>
        <v>2017</v>
      </c>
      <c r="E2023" s="44">
        <f t="shared" si="156"/>
        <v>250</v>
      </c>
      <c r="F2023" s="44">
        <f t="shared" si="157"/>
        <v>3850</v>
      </c>
      <c r="G2023" s="20">
        <v>0.39693461822509946</v>
      </c>
      <c r="H2023" s="50"/>
      <c r="I2023" s="16"/>
      <c r="J2023" s="16"/>
      <c r="K2023" s="16"/>
      <c r="L2023" s="16"/>
      <c r="M2023" s="16">
        <v>2017</v>
      </c>
      <c r="N2023" s="16">
        <f t="shared" si="158"/>
        <v>0.72327833572453371</v>
      </c>
      <c r="O2023" s="16"/>
      <c r="P2023" s="16"/>
      <c r="Q2023" s="16">
        <f t="shared" si="159"/>
        <v>0.59260829190916486</v>
      </c>
    </row>
    <row r="2024" spans="4:17" ht="15" thickBot="1" x14ac:dyDescent="0.35">
      <c r="D2024" s="20">
        <f t="shared" si="155"/>
        <v>2018</v>
      </c>
      <c r="E2024" s="43">
        <f t="shared" si="156"/>
        <v>350</v>
      </c>
      <c r="F2024" s="43">
        <f t="shared" si="157"/>
        <v>3850</v>
      </c>
      <c r="G2024" s="20">
        <v>0.39704652029130799</v>
      </c>
      <c r="H2024" s="50"/>
      <c r="I2024" s="16"/>
      <c r="J2024" s="16"/>
      <c r="K2024" s="16"/>
      <c r="L2024" s="16"/>
      <c r="M2024" s="16">
        <v>2018</v>
      </c>
      <c r="N2024" s="16">
        <f t="shared" si="158"/>
        <v>0.72363701578192252</v>
      </c>
      <c r="O2024" s="16"/>
      <c r="P2024" s="16"/>
      <c r="Q2024" s="16">
        <f t="shared" si="159"/>
        <v>0.59368028985478305</v>
      </c>
    </row>
    <row r="2025" spans="4:17" ht="15" thickBot="1" x14ac:dyDescent="0.35">
      <c r="D2025" s="20">
        <f t="shared" si="155"/>
        <v>2019</v>
      </c>
      <c r="E2025" s="20">
        <f t="shared" si="156"/>
        <v>450</v>
      </c>
      <c r="F2025" s="20">
        <f t="shared" si="157"/>
        <v>3850</v>
      </c>
      <c r="G2025" s="20">
        <v>0.39713220982116015</v>
      </c>
      <c r="H2025" s="50"/>
      <c r="I2025" s="16"/>
      <c r="J2025" s="16"/>
      <c r="K2025" s="16"/>
      <c r="L2025" s="16"/>
      <c r="M2025" s="16">
        <v>2019</v>
      </c>
      <c r="N2025" s="16">
        <f t="shared" si="158"/>
        <v>0.72399569583931134</v>
      </c>
      <c r="O2025" s="16"/>
      <c r="P2025" s="16"/>
      <c r="Q2025" s="16">
        <f t="shared" si="159"/>
        <v>0.59475297048036979</v>
      </c>
    </row>
    <row r="2026" spans="4:17" ht="15" thickBot="1" x14ac:dyDescent="0.35">
      <c r="D2026" s="20">
        <f t="shared" si="155"/>
        <v>2020</v>
      </c>
      <c r="E2026" s="20">
        <f t="shared" si="156"/>
        <v>550</v>
      </c>
      <c r="F2026" s="20">
        <f t="shared" si="157"/>
        <v>3850</v>
      </c>
      <c r="G2026" s="20">
        <v>0.39721184065077014</v>
      </c>
      <c r="H2026" s="50"/>
      <c r="I2026" s="16"/>
      <c r="J2026" s="16"/>
      <c r="K2026" s="16"/>
      <c r="L2026" s="16"/>
      <c r="M2026" s="16">
        <v>2020</v>
      </c>
      <c r="N2026" s="16">
        <f t="shared" si="158"/>
        <v>0.72435437589670015</v>
      </c>
      <c r="O2026" s="16"/>
      <c r="P2026" s="16"/>
      <c r="Q2026" s="16">
        <f t="shared" si="159"/>
        <v>0.59582633589182954</v>
      </c>
    </row>
    <row r="2027" spans="4:17" ht="15" thickBot="1" x14ac:dyDescent="0.35">
      <c r="D2027" s="20">
        <f t="shared" si="155"/>
        <v>2021</v>
      </c>
      <c r="E2027" s="20">
        <f t="shared" si="156"/>
        <v>650</v>
      </c>
      <c r="F2027" s="20">
        <f t="shared" si="157"/>
        <v>3850</v>
      </c>
      <c r="G2027" s="20">
        <v>0.39723208014528527</v>
      </c>
      <c r="H2027" s="50"/>
      <c r="I2027" s="16"/>
      <c r="J2027" s="16"/>
      <c r="K2027" s="16"/>
      <c r="L2027" s="16"/>
      <c r="M2027" s="16">
        <v>2021</v>
      </c>
      <c r="N2027" s="16">
        <f t="shared" si="158"/>
        <v>0.72471305595408897</v>
      </c>
      <c r="O2027" s="16"/>
      <c r="P2027" s="16"/>
      <c r="Q2027" s="16">
        <f t="shared" si="159"/>
        <v>0.59690038820225988</v>
      </c>
    </row>
    <row r="2028" spans="4:17" ht="15" thickBot="1" x14ac:dyDescent="0.35">
      <c r="D2028" s="20">
        <f t="shared" si="155"/>
        <v>2022</v>
      </c>
      <c r="E2028" s="43">
        <f t="shared" si="156"/>
        <v>750</v>
      </c>
      <c r="F2028" s="43">
        <f t="shared" si="157"/>
        <v>3850</v>
      </c>
      <c r="G2028" s="20">
        <v>0.39738034336438233</v>
      </c>
      <c r="H2028" s="50"/>
      <c r="I2028" s="16"/>
      <c r="J2028" s="16"/>
      <c r="K2028" s="16"/>
      <c r="L2028" s="16"/>
      <c r="M2028" s="16">
        <v>2022</v>
      </c>
      <c r="N2028" s="16">
        <f t="shared" si="158"/>
        <v>0.72507173601147779</v>
      </c>
      <c r="O2028" s="16"/>
      <c r="P2028" s="16"/>
      <c r="Q2028" s="16">
        <f t="shared" si="159"/>
        <v>0.59797512953198761</v>
      </c>
    </row>
    <row r="2029" spans="4:17" ht="15" thickBot="1" x14ac:dyDescent="0.35">
      <c r="D2029" s="20">
        <f t="shared" si="155"/>
        <v>2023</v>
      </c>
      <c r="E2029" s="44">
        <f t="shared" si="156"/>
        <v>850</v>
      </c>
      <c r="F2029" s="44">
        <f t="shared" si="157"/>
        <v>3850</v>
      </c>
      <c r="G2029" s="20">
        <v>0.39739980481942294</v>
      </c>
      <c r="H2029" s="50"/>
      <c r="I2029" s="16"/>
      <c r="J2029" s="16"/>
      <c r="K2029" s="16"/>
      <c r="L2029" s="16"/>
      <c r="M2029" s="16">
        <v>2023</v>
      </c>
      <c r="N2029" s="16">
        <f t="shared" si="158"/>
        <v>0.7254304160688666</v>
      </c>
      <c r="O2029" s="16"/>
      <c r="P2029" s="16"/>
      <c r="Q2029" s="16">
        <f t="shared" si="159"/>
        <v>0.59905056200860762</v>
      </c>
    </row>
    <row r="2030" spans="4:17" ht="15" thickBot="1" x14ac:dyDescent="0.35">
      <c r="D2030" s="20">
        <f t="shared" si="155"/>
        <v>2024</v>
      </c>
      <c r="E2030" s="20">
        <f t="shared" si="156"/>
        <v>950</v>
      </c>
      <c r="F2030" s="20">
        <f t="shared" si="157"/>
        <v>3850</v>
      </c>
      <c r="G2030" s="20">
        <v>0.3974258922063415</v>
      </c>
      <c r="H2030" s="50"/>
      <c r="I2030" s="16"/>
      <c r="J2030" s="16"/>
      <c r="K2030" s="16"/>
      <c r="L2030" s="16"/>
      <c r="M2030" s="16">
        <v>2024</v>
      </c>
      <c r="N2030" s="16">
        <f t="shared" si="158"/>
        <v>0.72578909612625542</v>
      </c>
      <c r="O2030" s="16"/>
      <c r="P2030" s="16"/>
      <c r="Q2030" s="16">
        <f t="shared" si="159"/>
        <v>0.60012668776702094</v>
      </c>
    </row>
    <row r="2031" spans="4:17" ht="15" thickBot="1" x14ac:dyDescent="0.35">
      <c r="D2031" s="20">
        <f t="shared" si="155"/>
        <v>2025</v>
      </c>
      <c r="E2031" s="20">
        <f t="shared" si="156"/>
        <v>1050</v>
      </c>
      <c r="F2031" s="20">
        <f t="shared" si="157"/>
        <v>3850</v>
      </c>
      <c r="G2031" s="20">
        <v>0.3975368806244885</v>
      </c>
      <c r="H2031" s="50"/>
      <c r="I2031" s="16"/>
      <c r="J2031" s="16"/>
      <c r="K2031" s="16"/>
      <c r="L2031" s="16"/>
      <c r="M2031" s="16">
        <v>2025</v>
      </c>
      <c r="N2031" s="16">
        <f t="shared" si="158"/>
        <v>0.72614777618364423</v>
      </c>
      <c r="O2031" s="16"/>
      <c r="P2031" s="16"/>
      <c r="Q2031" s="16">
        <f t="shared" si="159"/>
        <v>0.60120350894947183</v>
      </c>
    </row>
    <row r="2032" spans="4:17" ht="15" thickBot="1" x14ac:dyDescent="0.35">
      <c r="D2032" s="20">
        <f t="shared" si="155"/>
        <v>2026</v>
      </c>
      <c r="E2032" s="20">
        <f t="shared" si="156"/>
        <v>1150</v>
      </c>
      <c r="F2032" s="20">
        <f t="shared" si="157"/>
        <v>3850</v>
      </c>
      <c r="G2032" s="20">
        <v>0.3975416131045621</v>
      </c>
      <c r="H2032" s="50"/>
      <c r="I2032" s="16"/>
      <c r="J2032" s="16"/>
      <c r="K2032" s="16"/>
      <c r="L2032" s="16"/>
      <c r="M2032" s="16">
        <v>2026</v>
      </c>
      <c r="N2032" s="16">
        <f t="shared" si="158"/>
        <v>0.72650645624103305</v>
      </c>
      <c r="O2032" s="16"/>
      <c r="P2032" s="16"/>
      <c r="Q2032" s="16">
        <f t="shared" si="159"/>
        <v>0.60228102770558778</v>
      </c>
    </row>
    <row r="2033" spans="4:17" ht="15" thickBot="1" x14ac:dyDescent="0.35">
      <c r="D2033" s="20">
        <f t="shared" si="155"/>
        <v>2027</v>
      </c>
      <c r="E2033" s="20">
        <f t="shared" si="156"/>
        <v>1250</v>
      </c>
      <c r="F2033" s="20">
        <f t="shared" si="157"/>
        <v>3850</v>
      </c>
      <c r="G2033" s="20">
        <v>0.3975462176441959</v>
      </c>
      <c r="H2033" s="50"/>
      <c r="I2033" s="16"/>
      <c r="J2033" s="16"/>
      <c r="K2033" s="16"/>
      <c r="L2033" s="16"/>
      <c r="M2033" s="16">
        <v>2027</v>
      </c>
      <c r="N2033" s="16">
        <f t="shared" si="158"/>
        <v>0.72686513629842175</v>
      </c>
      <c r="O2033" s="16"/>
      <c r="P2033" s="16"/>
      <c r="Q2033" s="16">
        <f t="shared" si="159"/>
        <v>0.6033592461924161</v>
      </c>
    </row>
    <row r="2034" spans="4:17" ht="15" thickBot="1" x14ac:dyDescent="0.35">
      <c r="D2034" s="20">
        <f t="shared" si="155"/>
        <v>2028</v>
      </c>
      <c r="E2034" s="20">
        <f t="shared" si="156"/>
        <v>1350</v>
      </c>
      <c r="F2034" s="20">
        <f t="shared" si="157"/>
        <v>3850</v>
      </c>
      <c r="G2034" s="20">
        <v>0.39761854606573904</v>
      </c>
      <c r="H2034" s="50"/>
      <c r="I2034" s="16"/>
      <c r="J2034" s="16"/>
      <c r="K2034" s="16"/>
      <c r="L2034" s="16"/>
      <c r="M2034" s="16">
        <v>2028</v>
      </c>
      <c r="N2034" s="16">
        <f t="shared" si="158"/>
        <v>0.72722381635581057</v>
      </c>
      <c r="O2034" s="16"/>
      <c r="P2034" s="16"/>
      <c r="Q2034" s="16">
        <f t="shared" si="159"/>
        <v>0.60443816657446614</v>
      </c>
    </row>
    <row r="2035" spans="4:17" ht="15" thickBot="1" x14ac:dyDescent="0.35">
      <c r="D2035" s="20">
        <f t="shared" si="155"/>
        <v>2029</v>
      </c>
      <c r="E2035" s="20">
        <f t="shared" si="156"/>
        <v>1450</v>
      </c>
      <c r="F2035" s="20">
        <f t="shared" si="157"/>
        <v>3850</v>
      </c>
      <c r="G2035" s="20">
        <v>0.39781269684095433</v>
      </c>
      <c r="H2035" s="50"/>
      <c r="I2035" s="16"/>
      <c r="J2035" s="16"/>
      <c r="K2035" s="16"/>
      <c r="L2035" s="16"/>
      <c r="M2035" s="16">
        <v>2029</v>
      </c>
      <c r="N2035" s="16">
        <f t="shared" si="158"/>
        <v>0.72758249641319939</v>
      </c>
      <c r="O2035" s="16"/>
      <c r="P2035" s="16"/>
      <c r="Q2035" s="16">
        <f t="shared" si="159"/>
        <v>0.60551779102374415</v>
      </c>
    </row>
    <row r="2036" spans="4:17" ht="15" thickBot="1" x14ac:dyDescent="0.35">
      <c r="D2036" s="20">
        <f t="shared" si="155"/>
        <v>2030</v>
      </c>
      <c r="E2036" s="20">
        <f t="shared" si="156"/>
        <v>1550</v>
      </c>
      <c r="F2036" s="20">
        <f t="shared" si="157"/>
        <v>3850</v>
      </c>
      <c r="G2036" s="20">
        <v>0.39782407931408498</v>
      </c>
      <c r="H2036" s="50"/>
      <c r="I2036" s="16"/>
      <c r="J2036" s="16"/>
      <c r="K2036" s="16"/>
      <c r="L2036" s="16"/>
      <c r="M2036" s="16">
        <v>2030</v>
      </c>
      <c r="N2036" s="16">
        <f t="shared" si="158"/>
        <v>0.7279411764705882</v>
      </c>
      <c r="O2036" s="16"/>
      <c r="P2036" s="16"/>
      <c r="Q2036" s="16">
        <f t="shared" si="159"/>
        <v>0.60659812171979666</v>
      </c>
    </row>
    <row r="2037" spans="4:17" ht="15" thickBot="1" x14ac:dyDescent="0.35">
      <c r="D2037" s="20">
        <f t="shared" si="155"/>
        <v>2031</v>
      </c>
      <c r="E2037" s="44">
        <f t="shared" si="156"/>
        <v>1650</v>
      </c>
      <c r="F2037" s="44">
        <f t="shared" si="157"/>
        <v>3850</v>
      </c>
      <c r="G2037" s="20">
        <v>0.39794625170374953</v>
      </c>
      <c r="H2037" s="50"/>
      <c r="I2037" s="16"/>
      <c r="J2037" s="16"/>
      <c r="K2037" s="16"/>
      <c r="L2037" s="16"/>
      <c r="M2037" s="16">
        <v>2031</v>
      </c>
      <c r="N2037" s="16">
        <f t="shared" si="158"/>
        <v>0.72829985652797702</v>
      </c>
      <c r="O2037" s="16"/>
      <c r="P2037" s="16"/>
      <c r="Q2037" s="16">
        <f t="shared" si="159"/>
        <v>0.60767916084974716</v>
      </c>
    </row>
    <row r="2038" spans="4:17" ht="15" thickBot="1" x14ac:dyDescent="0.35">
      <c r="D2038" s="20">
        <f t="shared" si="155"/>
        <v>2032</v>
      </c>
      <c r="E2038" s="20">
        <f t="shared" si="156"/>
        <v>1750</v>
      </c>
      <c r="F2038" s="20">
        <f t="shared" si="157"/>
        <v>3850</v>
      </c>
      <c r="G2038" s="20">
        <v>0.39794768058038393</v>
      </c>
      <c r="H2038" s="50"/>
      <c r="I2038" s="16"/>
      <c r="J2038" s="16"/>
      <c r="K2038" s="16"/>
      <c r="L2038" s="16"/>
      <c r="M2038" s="16">
        <v>2032</v>
      </c>
      <c r="N2038" s="16">
        <f t="shared" si="158"/>
        <v>0.72865853658536583</v>
      </c>
      <c r="O2038" s="16"/>
      <c r="P2038" s="16"/>
      <c r="Q2038" s="16">
        <f t="shared" si="159"/>
        <v>0.60876091060833881</v>
      </c>
    </row>
    <row r="2039" spans="4:17" ht="15" thickBot="1" x14ac:dyDescent="0.35">
      <c r="D2039" s="20">
        <f t="shared" si="155"/>
        <v>2033</v>
      </c>
      <c r="E2039" s="20">
        <f t="shared" si="156"/>
        <v>1850</v>
      </c>
      <c r="F2039" s="20">
        <f t="shared" si="157"/>
        <v>3850</v>
      </c>
      <c r="G2039" s="20">
        <v>0.39802318769956091</v>
      </c>
      <c r="H2039" s="50"/>
      <c r="I2039" s="16"/>
      <c r="J2039" s="16"/>
      <c r="K2039" s="16"/>
      <c r="L2039" s="16"/>
      <c r="M2039" s="16">
        <v>2033</v>
      </c>
      <c r="N2039" s="16">
        <f t="shared" si="158"/>
        <v>0.72901721664275465</v>
      </c>
      <c r="O2039" s="16"/>
      <c r="P2039" s="16"/>
      <c r="Q2039" s="16">
        <f t="shared" si="159"/>
        <v>0.60984337319797222</v>
      </c>
    </row>
    <row r="2040" spans="4:17" ht="15" thickBot="1" x14ac:dyDescent="0.35">
      <c r="D2040" s="20">
        <f t="shared" si="155"/>
        <v>2034</v>
      </c>
      <c r="E2040" s="47">
        <f t="shared" si="156"/>
        <v>1950</v>
      </c>
      <c r="F2040" s="47">
        <f t="shared" si="157"/>
        <v>3850</v>
      </c>
      <c r="G2040" s="20">
        <v>0.39802444366473405</v>
      </c>
      <c r="H2040" s="50"/>
      <c r="I2040" s="16"/>
      <c r="J2040" s="16"/>
      <c r="K2040" s="16"/>
      <c r="L2040" s="16"/>
      <c r="M2040" s="16">
        <v>2034</v>
      </c>
      <c r="N2040" s="16">
        <f t="shared" si="158"/>
        <v>0.72937589670014347</v>
      </c>
      <c r="O2040" s="16"/>
      <c r="P2040" s="16"/>
      <c r="Q2040" s="16">
        <f t="shared" si="159"/>
        <v>0.61092655082874692</v>
      </c>
    </row>
    <row r="2041" spans="4:17" ht="15" thickBot="1" x14ac:dyDescent="0.35">
      <c r="D2041" s="20">
        <f t="shared" si="155"/>
        <v>2035</v>
      </c>
      <c r="E2041" s="20">
        <f t="shared" si="156"/>
        <v>2050</v>
      </c>
      <c r="F2041" s="20">
        <f t="shared" si="157"/>
        <v>3850</v>
      </c>
      <c r="G2041" s="20">
        <v>0.39805415689047474</v>
      </c>
      <c r="H2041" s="50"/>
      <c r="I2041" s="16"/>
      <c r="J2041" s="16"/>
      <c r="K2041" s="16"/>
      <c r="L2041" s="16"/>
      <c r="M2041" s="16">
        <v>2035</v>
      </c>
      <c r="N2041" s="16">
        <f t="shared" si="158"/>
        <v>0.72973457675753228</v>
      </c>
      <c r="O2041" s="16"/>
      <c r="P2041" s="16"/>
      <c r="Q2041" s="16">
        <f t="shared" si="159"/>
        <v>0.61201044571850205</v>
      </c>
    </row>
    <row r="2042" spans="4:17" ht="15" thickBot="1" x14ac:dyDescent="0.35">
      <c r="D2042" s="20">
        <f t="shared" si="155"/>
        <v>2036</v>
      </c>
      <c r="E2042" s="47">
        <f t="shared" si="156"/>
        <v>2150</v>
      </c>
      <c r="F2042" s="47">
        <f t="shared" si="157"/>
        <v>3850</v>
      </c>
      <c r="G2042" s="20">
        <v>0.39807707974492323</v>
      </c>
      <c r="H2042" s="50"/>
      <c r="I2042" s="16"/>
      <c r="J2042" s="16"/>
      <c r="K2042" s="16"/>
      <c r="L2042" s="16"/>
      <c r="M2042" s="16">
        <v>2036</v>
      </c>
      <c r="N2042" s="16">
        <f t="shared" si="158"/>
        <v>0.7300932568149211</v>
      </c>
      <c r="O2042" s="16"/>
      <c r="P2042" s="16"/>
      <c r="Q2042" s="16">
        <f t="shared" si="159"/>
        <v>0.61309506009285741</v>
      </c>
    </row>
    <row r="2043" spans="4:17" ht="15" thickBot="1" x14ac:dyDescent="0.35">
      <c r="D2043" s="20">
        <f t="shared" si="155"/>
        <v>2037</v>
      </c>
      <c r="E2043" s="20">
        <f t="shared" si="156"/>
        <v>2250</v>
      </c>
      <c r="F2043" s="20">
        <f t="shared" si="157"/>
        <v>3850</v>
      </c>
      <c r="G2043" s="20">
        <v>0.39821706566773996</v>
      </c>
      <c r="H2043" s="50"/>
      <c r="I2043" s="16"/>
      <c r="J2043" s="16"/>
      <c r="K2043" s="16"/>
      <c r="L2043" s="16"/>
      <c r="M2043" s="16">
        <v>2037</v>
      </c>
      <c r="N2043" s="16">
        <f t="shared" si="158"/>
        <v>0.73045193687230991</v>
      </c>
      <c r="O2043" s="16"/>
      <c r="P2043" s="16"/>
      <c r="Q2043" s="16">
        <f t="shared" si="159"/>
        <v>0.614180396185255</v>
      </c>
    </row>
    <row r="2044" spans="4:17" ht="15" thickBot="1" x14ac:dyDescent="0.35">
      <c r="D2044" s="20">
        <f t="shared" si="155"/>
        <v>2038</v>
      </c>
      <c r="E2044" s="43">
        <f t="shared" si="156"/>
        <v>2350</v>
      </c>
      <c r="F2044" s="43">
        <f t="shared" si="157"/>
        <v>3850</v>
      </c>
      <c r="G2044" s="20">
        <v>0.39823681073227951</v>
      </c>
      <c r="H2044" s="50"/>
      <c r="I2044" s="16"/>
      <c r="J2044" s="16"/>
      <c r="K2044" s="16"/>
      <c r="L2044" s="16"/>
      <c r="M2044" s="16">
        <v>2038</v>
      </c>
      <c r="N2044" s="16">
        <f t="shared" si="158"/>
        <v>0.73081061692969873</v>
      </c>
      <c r="O2044" s="16"/>
      <c r="P2044" s="16"/>
      <c r="Q2044" s="16">
        <f t="shared" si="159"/>
        <v>0.61526645623699827</v>
      </c>
    </row>
    <row r="2045" spans="4:17" ht="15" thickBot="1" x14ac:dyDescent="0.35">
      <c r="D2045" s="20">
        <f t="shared" si="155"/>
        <v>2039</v>
      </c>
      <c r="E2045" s="20">
        <f t="shared" si="156"/>
        <v>2450</v>
      </c>
      <c r="F2045" s="20">
        <f t="shared" si="157"/>
        <v>3850</v>
      </c>
      <c r="G2045" s="20">
        <v>0.39841623482547134</v>
      </c>
      <c r="H2045" s="50"/>
      <c r="I2045" s="16"/>
      <c r="J2045" s="16"/>
      <c r="K2045" s="16"/>
      <c r="L2045" s="16"/>
      <c r="M2045" s="16">
        <v>2039</v>
      </c>
      <c r="N2045" s="16">
        <f t="shared" si="158"/>
        <v>0.73116929698708755</v>
      </c>
      <c r="O2045" s="16"/>
      <c r="P2045" s="16"/>
      <c r="Q2045" s="16">
        <f t="shared" si="159"/>
        <v>0.61635324249729806</v>
      </c>
    </row>
    <row r="2046" spans="4:17" ht="15" thickBot="1" x14ac:dyDescent="0.35">
      <c r="D2046" s="20">
        <f t="shared" si="155"/>
        <v>2040</v>
      </c>
      <c r="E2046" s="20">
        <f t="shared" si="156"/>
        <v>2550</v>
      </c>
      <c r="F2046" s="20">
        <f t="shared" si="157"/>
        <v>3850</v>
      </c>
      <c r="G2046" s="20">
        <v>0.39843177880825326</v>
      </c>
      <c r="H2046" s="50"/>
      <c r="I2046" s="16"/>
      <c r="J2046" s="16"/>
      <c r="K2046" s="16"/>
      <c r="L2046" s="16"/>
      <c r="M2046" s="16">
        <v>2040</v>
      </c>
      <c r="N2046" s="16">
        <f t="shared" si="158"/>
        <v>0.73152797704447636</v>
      </c>
      <c r="O2046" s="16"/>
      <c r="P2046" s="16"/>
      <c r="Q2046" s="16">
        <f t="shared" si="159"/>
        <v>0.61744075722331049</v>
      </c>
    </row>
    <row r="2047" spans="4:17" ht="15" thickBot="1" x14ac:dyDescent="0.35">
      <c r="D2047" s="20">
        <f t="shared" si="155"/>
        <v>2041</v>
      </c>
      <c r="E2047" s="20">
        <f t="shared" si="156"/>
        <v>2650</v>
      </c>
      <c r="F2047" s="20">
        <f t="shared" si="157"/>
        <v>3850</v>
      </c>
      <c r="G2047" s="20">
        <v>0.39863593221749982</v>
      </c>
      <c r="H2047" s="50"/>
      <c r="I2047" s="16"/>
      <c r="J2047" s="16"/>
      <c r="K2047" s="16"/>
      <c r="L2047" s="16"/>
      <c r="M2047" s="16">
        <v>2041</v>
      </c>
      <c r="N2047" s="16">
        <f t="shared" si="158"/>
        <v>0.73188665710186518</v>
      </c>
      <c r="O2047" s="16"/>
      <c r="P2047" s="16"/>
      <c r="Q2047" s="16">
        <f t="shared" si="159"/>
        <v>0.61852900268018141</v>
      </c>
    </row>
    <row r="2048" spans="4:17" ht="15" thickBot="1" x14ac:dyDescent="0.35">
      <c r="D2048" s="20">
        <f t="shared" si="155"/>
        <v>2042</v>
      </c>
      <c r="E2048" s="20">
        <f t="shared" si="156"/>
        <v>2750</v>
      </c>
      <c r="F2048" s="20">
        <f t="shared" si="157"/>
        <v>3850</v>
      </c>
      <c r="G2048" s="20">
        <v>0.39871621061653745</v>
      </c>
      <c r="H2048" s="50"/>
      <c r="I2048" s="16"/>
      <c r="J2048" s="16"/>
      <c r="K2048" s="16"/>
      <c r="L2048" s="16"/>
      <c r="M2048" s="16">
        <v>2042</v>
      </c>
      <c r="N2048" s="16">
        <f t="shared" si="158"/>
        <v>0.732245337159254</v>
      </c>
      <c r="O2048" s="16"/>
      <c r="P2048" s="16"/>
      <c r="Q2048" s="16">
        <f t="shared" si="159"/>
        <v>0.61961798114108868</v>
      </c>
    </row>
    <row r="2049" spans="4:17" ht="15" thickBot="1" x14ac:dyDescent="0.35">
      <c r="D2049" s="20">
        <f t="shared" si="155"/>
        <v>2043</v>
      </c>
      <c r="E2049" s="20">
        <f t="shared" si="156"/>
        <v>2850</v>
      </c>
      <c r="F2049" s="20">
        <f t="shared" si="157"/>
        <v>3850</v>
      </c>
      <c r="G2049" s="20">
        <v>0.39873096145759229</v>
      </c>
      <c r="H2049" s="50"/>
      <c r="I2049" s="16"/>
      <c r="J2049" s="16"/>
      <c r="K2049" s="16"/>
      <c r="L2049" s="16"/>
      <c r="M2049" s="16">
        <v>2043</v>
      </c>
      <c r="N2049" s="16">
        <f t="shared" si="158"/>
        <v>0.7326040172166427</v>
      </c>
      <c r="O2049" s="16"/>
      <c r="P2049" s="16"/>
      <c r="Q2049" s="16">
        <f t="shared" si="159"/>
        <v>0.62070769488728439</v>
      </c>
    </row>
    <row r="2050" spans="4:17" ht="15" thickBot="1" x14ac:dyDescent="0.35">
      <c r="D2050" s="20">
        <f t="shared" si="155"/>
        <v>2044</v>
      </c>
      <c r="E2050" s="48">
        <f t="shared" si="156"/>
        <v>2950</v>
      </c>
      <c r="F2050" s="48">
        <f t="shared" si="157"/>
        <v>3850</v>
      </c>
      <c r="G2050" s="20">
        <v>0.39885014551473852</v>
      </c>
      <c r="H2050" s="50"/>
      <c r="I2050" s="16"/>
      <c r="J2050" s="16"/>
      <c r="K2050" s="16"/>
      <c r="L2050" s="16"/>
      <c r="M2050" s="16">
        <v>2044</v>
      </c>
      <c r="N2050" s="16">
        <f t="shared" si="158"/>
        <v>0.73296269727403152</v>
      </c>
      <c r="O2050" s="16"/>
      <c r="P2050" s="16"/>
      <c r="Q2050" s="16">
        <f t="shared" si="159"/>
        <v>0.62179814620813945</v>
      </c>
    </row>
    <row r="2051" spans="4:17" ht="15" thickBot="1" x14ac:dyDescent="0.35">
      <c r="D2051" s="20">
        <f t="shared" si="155"/>
        <v>2045</v>
      </c>
      <c r="E2051" s="20">
        <f t="shared" si="156"/>
        <v>3050</v>
      </c>
      <c r="F2051" s="20">
        <f t="shared" si="157"/>
        <v>3850</v>
      </c>
      <c r="G2051" s="20">
        <v>0.3990263043438656</v>
      </c>
      <c r="H2051" s="50"/>
      <c r="I2051" s="16"/>
      <c r="J2051" s="16"/>
      <c r="K2051" s="16"/>
      <c r="L2051" s="16"/>
      <c r="M2051" s="16">
        <v>2045</v>
      </c>
      <c r="N2051" s="16">
        <f t="shared" si="158"/>
        <v>0.73332137733142033</v>
      </c>
      <c r="O2051" s="16"/>
      <c r="P2051" s="16"/>
      <c r="Q2051" s="16">
        <f t="shared" si="159"/>
        <v>0.62288933740118491</v>
      </c>
    </row>
    <row r="2052" spans="4:17" ht="15" thickBot="1" x14ac:dyDescent="0.35">
      <c r="D2052" s="20">
        <f t="shared" si="155"/>
        <v>2046</v>
      </c>
      <c r="E2052" s="20">
        <f t="shared" si="156"/>
        <v>3150</v>
      </c>
      <c r="F2052" s="20">
        <f t="shared" si="157"/>
        <v>3850</v>
      </c>
      <c r="G2052" s="20">
        <v>0.39929107018213272</v>
      </c>
      <c r="H2052" s="50"/>
      <c r="I2052" s="16"/>
      <c r="J2052" s="16"/>
      <c r="K2052" s="16"/>
      <c r="L2052" s="16"/>
      <c r="M2052" s="16">
        <v>2046</v>
      </c>
      <c r="N2052" s="16">
        <f t="shared" si="158"/>
        <v>0.73368005738880915</v>
      </c>
      <c r="O2052" s="16"/>
      <c r="P2052" s="16"/>
      <c r="Q2052" s="16">
        <f t="shared" si="159"/>
        <v>0.62398127077215726</v>
      </c>
    </row>
    <row r="2053" spans="4:17" ht="15" thickBot="1" x14ac:dyDescent="0.35">
      <c r="D2053" s="20">
        <f t="shared" si="155"/>
        <v>2047</v>
      </c>
      <c r="E2053" s="20">
        <f t="shared" si="156"/>
        <v>3250</v>
      </c>
      <c r="F2053" s="20">
        <f t="shared" si="157"/>
        <v>3850</v>
      </c>
      <c r="G2053" s="20">
        <v>0.39929394378237226</v>
      </c>
      <c r="H2053" s="50"/>
      <c r="I2053" s="16"/>
      <c r="J2053" s="16"/>
      <c r="K2053" s="16"/>
      <c r="L2053" s="16"/>
      <c r="M2053" s="16">
        <v>2047</v>
      </c>
      <c r="N2053" s="16">
        <f t="shared" si="158"/>
        <v>0.73403873744619796</v>
      </c>
      <c r="O2053" s="16"/>
      <c r="P2053" s="16"/>
      <c r="Q2053" s="16">
        <f t="shared" si="159"/>
        <v>0.62507394863504151</v>
      </c>
    </row>
    <row r="2054" spans="4:17" ht="15" thickBot="1" x14ac:dyDescent="0.35">
      <c r="D2054" s="20">
        <f t="shared" si="155"/>
        <v>2048</v>
      </c>
      <c r="E2054" s="20">
        <f t="shared" si="156"/>
        <v>3350</v>
      </c>
      <c r="F2054" s="20">
        <f t="shared" si="157"/>
        <v>3850</v>
      </c>
      <c r="G2054" s="20">
        <v>0.39938846940587924</v>
      </c>
      <c r="H2054" s="50"/>
      <c r="I2054" s="16"/>
      <c r="J2054" s="16"/>
      <c r="K2054" s="16"/>
      <c r="L2054" s="16"/>
      <c r="M2054" s="16">
        <v>2048</v>
      </c>
      <c r="N2054" s="16">
        <f t="shared" si="158"/>
        <v>0.73439741750358678</v>
      </c>
      <c r="O2054" s="16"/>
      <c r="P2054" s="16"/>
      <c r="Q2054" s="16">
        <f t="shared" si="159"/>
        <v>0.62616737331211547</v>
      </c>
    </row>
    <row r="2055" spans="4:17" ht="15" thickBot="1" x14ac:dyDescent="0.35">
      <c r="D2055" s="20">
        <f t="shared" ref="D2055:D2118" si="160">ROW()-6</f>
        <v>2049</v>
      </c>
      <c r="E2055" s="20">
        <f t="shared" ref="E2055:E2118" si="161">(MOD(D2055-1,53)*100)+50</f>
        <v>3450</v>
      </c>
      <c r="F2055" s="20">
        <f t="shared" ref="F2055:F2118" si="162">FLOOR((D2055-1)/53,1)*100+50</f>
        <v>3850</v>
      </c>
      <c r="G2055" s="20">
        <v>0.39949641860518181</v>
      </c>
      <c r="H2055" s="50"/>
      <c r="I2055" s="16"/>
      <c r="J2055" s="16"/>
      <c r="K2055" s="16"/>
      <c r="L2055" s="16"/>
      <c r="M2055" s="16">
        <v>2049</v>
      </c>
      <c r="N2055" s="16">
        <f t="shared" si="158"/>
        <v>0.7347560975609756</v>
      </c>
      <c r="O2055" s="16"/>
      <c r="P2055" s="16"/>
      <c r="Q2055" s="16">
        <f t="shared" si="159"/>
        <v>0.62726154713399584</v>
      </c>
    </row>
    <row r="2056" spans="4:17" ht="15" thickBot="1" x14ac:dyDescent="0.35">
      <c r="D2056" s="20">
        <f t="shared" si="160"/>
        <v>2050</v>
      </c>
      <c r="E2056" s="20">
        <f t="shared" si="161"/>
        <v>3550</v>
      </c>
      <c r="F2056" s="20">
        <f t="shared" si="162"/>
        <v>3850</v>
      </c>
      <c r="G2056" s="20">
        <v>0.39955569669347113</v>
      </c>
      <c r="H2056" s="50"/>
      <c r="I2056" s="16"/>
      <c r="J2056" s="16"/>
      <c r="K2056" s="16"/>
      <c r="L2056" s="16"/>
      <c r="M2056" s="16">
        <v>2050</v>
      </c>
      <c r="N2056" s="16">
        <f t="shared" ref="N2056:N2119" si="163">(M2056-0.5)/$L$7</f>
        <v>0.73511477761836441</v>
      </c>
      <c r="O2056" s="16"/>
      <c r="P2056" s="16"/>
      <c r="Q2056" s="16">
        <f t="shared" ref="Q2056:Q2119" si="164">_xlfn.NORM.S.INV(N2056)</f>
        <v>0.62835647243968062</v>
      </c>
    </row>
    <row r="2057" spans="4:17" ht="15" thickBot="1" x14ac:dyDescent="0.35">
      <c r="D2057" s="20">
        <f t="shared" si="160"/>
        <v>2051</v>
      </c>
      <c r="E2057" s="20">
        <f t="shared" si="161"/>
        <v>3650</v>
      </c>
      <c r="F2057" s="20">
        <f t="shared" si="162"/>
        <v>3850</v>
      </c>
      <c r="G2057" s="20">
        <v>0.39976826841064372</v>
      </c>
      <c r="H2057" s="50"/>
      <c r="I2057" s="16"/>
      <c r="J2057" s="16"/>
      <c r="K2057" s="16"/>
      <c r="L2057" s="16"/>
      <c r="M2057" s="16">
        <v>2051</v>
      </c>
      <c r="N2057" s="16">
        <f t="shared" si="163"/>
        <v>0.73547345767575323</v>
      </c>
      <c r="O2057" s="16"/>
      <c r="P2057" s="16"/>
      <c r="Q2057" s="16">
        <f t="shared" si="164"/>
        <v>0.62945215157659573</v>
      </c>
    </row>
    <row r="2058" spans="4:17" ht="15" thickBot="1" x14ac:dyDescent="0.35">
      <c r="D2058" s="20">
        <f t="shared" si="160"/>
        <v>2052</v>
      </c>
      <c r="E2058" s="20">
        <f t="shared" si="161"/>
        <v>3750</v>
      </c>
      <c r="F2058" s="20">
        <f t="shared" si="162"/>
        <v>3850</v>
      </c>
      <c r="G2058" s="20">
        <v>0.3998541919475066</v>
      </c>
      <c r="H2058" s="50"/>
      <c r="I2058" s="16"/>
      <c r="J2058" s="16"/>
      <c r="K2058" s="16"/>
      <c r="L2058" s="16"/>
      <c r="M2058" s="16">
        <v>2052</v>
      </c>
      <c r="N2058" s="16">
        <f t="shared" si="163"/>
        <v>0.73583213773314204</v>
      </c>
      <c r="O2058" s="16"/>
      <c r="P2058" s="16"/>
      <c r="Q2058" s="16">
        <f t="shared" si="164"/>
        <v>0.63054858690063964</v>
      </c>
    </row>
    <row r="2059" spans="4:17" ht="15" thickBot="1" x14ac:dyDescent="0.35">
      <c r="D2059" s="20">
        <f t="shared" si="160"/>
        <v>2053</v>
      </c>
      <c r="E2059" s="20">
        <f t="shared" si="161"/>
        <v>3850</v>
      </c>
      <c r="F2059" s="20">
        <f t="shared" si="162"/>
        <v>3850</v>
      </c>
      <c r="G2059" s="20">
        <v>0.39987045955356726</v>
      </c>
      <c r="H2059" s="50"/>
      <c r="I2059" s="16"/>
      <c r="J2059" s="16"/>
      <c r="K2059" s="16"/>
      <c r="L2059" s="16"/>
      <c r="M2059" s="16">
        <v>2053</v>
      </c>
      <c r="N2059" s="16">
        <f t="shared" si="163"/>
        <v>0.73619081779053086</v>
      </c>
      <c r="O2059" s="16"/>
      <c r="P2059" s="16"/>
      <c r="Q2059" s="16">
        <f t="shared" si="164"/>
        <v>0.63164578077623101</v>
      </c>
    </row>
    <row r="2060" spans="4:17" ht="15" thickBot="1" x14ac:dyDescent="0.35">
      <c r="D2060" s="20">
        <f t="shared" si="160"/>
        <v>2054</v>
      </c>
      <c r="E2060" s="20">
        <f t="shared" si="161"/>
        <v>3950</v>
      </c>
      <c r="F2060" s="20">
        <f t="shared" si="162"/>
        <v>3850</v>
      </c>
      <c r="G2060" s="20">
        <v>0.4002092194114828</v>
      </c>
      <c r="H2060" s="50"/>
      <c r="I2060" s="16"/>
      <c r="J2060" s="16"/>
      <c r="K2060" s="16"/>
      <c r="L2060" s="16"/>
      <c r="M2060" s="16">
        <v>2054</v>
      </c>
      <c r="N2060" s="16">
        <f t="shared" si="163"/>
        <v>0.73654949784791968</v>
      </c>
      <c r="O2060" s="16"/>
      <c r="P2060" s="16"/>
      <c r="Q2060" s="16">
        <f t="shared" si="164"/>
        <v>0.63274373557635089</v>
      </c>
    </row>
    <row r="2061" spans="4:17" ht="15" thickBot="1" x14ac:dyDescent="0.35">
      <c r="D2061" s="20">
        <f t="shared" si="160"/>
        <v>2055</v>
      </c>
      <c r="E2061" s="20">
        <f t="shared" si="161"/>
        <v>4050</v>
      </c>
      <c r="F2061" s="20">
        <f t="shared" si="162"/>
        <v>3850</v>
      </c>
      <c r="G2061" s="20">
        <v>0.40022143484528439</v>
      </c>
      <c r="H2061" s="50"/>
      <c r="I2061" s="16"/>
      <c r="J2061" s="16"/>
      <c r="K2061" s="16"/>
      <c r="L2061" s="16"/>
      <c r="M2061" s="16">
        <v>2055</v>
      </c>
      <c r="N2061" s="16">
        <f t="shared" si="163"/>
        <v>0.73690817790530849</v>
      </c>
      <c r="O2061" s="16"/>
      <c r="P2061" s="16"/>
      <c r="Q2061" s="16">
        <f t="shared" si="164"/>
        <v>0.63384245368259318</v>
      </c>
    </row>
    <row r="2062" spans="4:17" ht="15" thickBot="1" x14ac:dyDescent="0.35">
      <c r="D2062" s="20">
        <f t="shared" si="160"/>
        <v>2056</v>
      </c>
      <c r="E2062" s="20">
        <f t="shared" si="161"/>
        <v>4150</v>
      </c>
      <c r="F2062" s="20">
        <f t="shared" si="162"/>
        <v>3850</v>
      </c>
      <c r="G2062" s="20">
        <v>0.40040967586272169</v>
      </c>
      <c r="H2062" s="50"/>
      <c r="I2062" s="16"/>
      <c r="J2062" s="16"/>
      <c r="K2062" s="16"/>
      <c r="L2062" s="16"/>
      <c r="M2062" s="16">
        <v>2056</v>
      </c>
      <c r="N2062" s="16">
        <f t="shared" si="163"/>
        <v>0.73726685796269731</v>
      </c>
      <c r="O2062" s="16"/>
      <c r="P2062" s="16"/>
      <c r="Q2062" s="16">
        <f t="shared" si="164"/>
        <v>0.63494193748520911</v>
      </c>
    </row>
    <row r="2063" spans="4:17" ht="15" thickBot="1" x14ac:dyDescent="0.35">
      <c r="D2063" s="20">
        <f t="shared" si="160"/>
        <v>2057</v>
      </c>
      <c r="E2063" s="20">
        <f t="shared" si="161"/>
        <v>4250</v>
      </c>
      <c r="F2063" s="20">
        <f t="shared" si="162"/>
        <v>3850</v>
      </c>
      <c r="G2063" s="20">
        <v>0.40060708659995131</v>
      </c>
      <c r="H2063" s="50"/>
      <c r="I2063" s="16"/>
      <c r="J2063" s="16"/>
      <c r="K2063" s="16"/>
      <c r="L2063" s="16"/>
      <c r="M2063" s="16">
        <v>2057</v>
      </c>
      <c r="N2063" s="16">
        <f t="shared" si="163"/>
        <v>0.73762553802008612</v>
      </c>
      <c r="O2063" s="16"/>
      <c r="P2063" s="16"/>
      <c r="Q2063" s="16">
        <f t="shared" si="164"/>
        <v>0.63604218938315382</v>
      </c>
    </row>
    <row r="2064" spans="4:17" ht="15" thickBot="1" x14ac:dyDescent="0.35">
      <c r="D2064" s="20">
        <f t="shared" si="160"/>
        <v>2058</v>
      </c>
      <c r="E2064" s="20">
        <f t="shared" si="161"/>
        <v>4350</v>
      </c>
      <c r="F2064" s="20">
        <f t="shared" si="162"/>
        <v>3850</v>
      </c>
      <c r="G2064" s="20">
        <v>0.4010200831958089</v>
      </c>
      <c r="H2064" s="50"/>
      <c r="I2064" s="16"/>
      <c r="J2064" s="16"/>
      <c r="K2064" s="16"/>
      <c r="L2064" s="16"/>
      <c r="M2064" s="16">
        <v>2058</v>
      </c>
      <c r="N2064" s="16">
        <f t="shared" si="163"/>
        <v>0.73798421807747494</v>
      </c>
      <c r="O2064" s="16"/>
      <c r="P2064" s="16"/>
      <c r="Q2064" s="16">
        <f t="shared" si="164"/>
        <v>0.63714321178413513</v>
      </c>
    </row>
    <row r="2065" spans="4:17" ht="15" thickBot="1" x14ac:dyDescent="0.35">
      <c r="D2065" s="20">
        <f t="shared" si="160"/>
        <v>2059</v>
      </c>
      <c r="E2065" s="20">
        <f t="shared" si="161"/>
        <v>4450</v>
      </c>
      <c r="F2065" s="20">
        <f t="shared" si="162"/>
        <v>3850</v>
      </c>
      <c r="G2065" s="20">
        <v>0.40143522303291129</v>
      </c>
      <c r="H2065" s="50"/>
      <c r="I2065" s="16"/>
      <c r="J2065" s="16"/>
      <c r="K2065" s="16"/>
      <c r="L2065" s="16"/>
      <c r="M2065" s="16">
        <v>2059</v>
      </c>
      <c r="N2065" s="16">
        <f t="shared" si="163"/>
        <v>0.73834289813486376</v>
      </c>
      <c r="O2065" s="16"/>
      <c r="P2065" s="16"/>
      <c r="Q2065" s="16">
        <f t="shared" si="164"/>
        <v>0.63824500710465981</v>
      </c>
    </row>
    <row r="2066" spans="4:17" ht="15" thickBot="1" x14ac:dyDescent="0.35">
      <c r="D2066" s="20">
        <f t="shared" si="160"/>
        <v>2060</v>
      </c>
      <c r="E2066" s="20">
        <f t="shared" si="161"/>
        <v>4550</v>
      </c>
      <c r="F2066" s="20">
        <f t="shared" si="162"/>
        <v>3850</v>
      </c>
      <c r="G2066" s="20">
        <v>0.40176327952467594</v>
      </c>
      <c r="H2066" s="50"/>
      <c r="I2066" s="16"/>
      <c r="J2066" s="16"/>
      <c r="K2066" s="16"/>
      <c r="L2066" s="16"/>
      <c r="M2066" s="16">
        <v>2060</v>
      </c>
      <c r="N2066" s="16">
        <f t="shared" si="163"/>
        <v>0.73870157819225246</v>
      </c>
      <c r="O2066" s="16"/>
      <c r="P2066" s="16"/>
      <c r="Q2066" s="16">
        <f t="shared" si="164"/>
        <v>0.63934757777008144</v>
      </c>
    </row>
    <row r="2067" spans="4:17" ht="15" thickBot="1" x14ac:dyDescent="0.35">
      <c r="D2067" s="20">
        <f t="shared" si="160"/>
        <v>2061</v>
      </c>
      <c r="E2067" s="20">
        <f t="shared" si="161"/>
        <v>4650</v>
      </c>
      <c r="F2067" s="20">
        <f t="shared" si="162"/>
        <v>3850</v>
      </c>
      <c r="G2067" s="20">
        <v>0.40180096079946442</v>
      </c>
      <c r="H2067" s="50"/>
      <c r="I2067" s="16"/>
      <c r="J2067" s="16"/>
      <c r="K2067" s="16"/>
      <c r="L2067" s="16"/>
      <c r="M2067" s="16">
        <v>2061</v>
      </c>
      <c r="N2067" s="16">
        <f t="shared" si="163"/>
        <v>0.73906025824964128</v>
      </c>
      <c r="O2067" s="16"/>
      <c r="P2067" s="16"/>
      <c r="Q2067" s="16">
        <f t="shared" si="164"/>
        <v>0.64045092621464972</v>
      </c>
    </row>
    <row r="2068" spans="4:17" ht="15" thickBot="1" x14ac:dyDescent="0.35">
      <c r="D2068" s="20">
        <f t="shared" si="160"/>
        <v>2062</v>
      </c>
      <c r="E2068" s="48">
        <f t="shared" si="161"/>
        <v>4750</v>
      </c>
      <c r="F2068" s="48">
        <f t="shared" si="162"/>
        <v>3850</v>
      </c>
      <c r="G2068" s="20">
        <v>0.40181846505025781</v>
      </c>
      <c r="H2068" s="50"/>
      <c r="I2068" s="16"/>
      <c r="J2068" s="16"/>
      <c r="K2068" s="16"/>
      <c r="L2068" s="16"/>
      <c r="M2068" s="16">
        <v>2062</v>
      </c>
      <c r="N2068" s="16">
        <f t="shared" si="163"/>
        <v>0.73941893830703009</v>
      </c>
      <c r="O2068" s="16"/>
      <c r="P2068" s="16"/>
      <c r="Q2068" s="16">
        <f t="shared" si="164"/>
        <v>0.64155505488155873</v>
      </c>
    </row>
    <row r="2069" spans="4:17" ht="15" thickBot="1" x14ac:dyDescent="0.35">
      <c r="D2069" s="20">
        <f t="shared" si="160"/>
        <v>2063</v>
      </c>
      <c r="E2069" s="47">
        <f t="shared" si="161"/>
        <v>4850</v>
      </c>
      <c r="F2069" s="47">
        <f t="shared" si="162"/>
        <v>3850</v>
      </c>
      <c r="G2069" s="20">
        <v>0.40203686196747179</v>
      </c>
      <c r="H2069" s="50"/>
      <c r="I2069" s="16"/>
      <c r="J2069" s="16"/>
      <c r="K2069" s="16"/>
      <c r="L2069" s="16"/>
      <c r="M2069" s="16">
        <v>2063</v>
      </c>
      <c r="N2069" s="16">
        <f t="shared" si="163"/>
        <v>0.73977761836441891</v>
      </c>
      <c r="O2069" s="16"/>
      <c r="P2069" s="16"/>
      <c r="Q2069" s="16">
        <f t="shared" si="164"/>
        <v>0.64265996622299337</v>
      </c>
    </row>
    <row r="2070" spans="4:17" ht="15" thickBot="1" x14ac:dyDescent="0.35">
      <c r="D2070" s="20">
        <f t="shared" si="160"/>
        <v>2064</v>
      </c>
      <c r="E2070" s="20">
        <f t="shared" si="161"/>
        <v>4950</v>
      </c>
      <c r="F2070" s="20">
        <f t="shared" si="162"/>
        <v>3850</v>
      </c>
      <c r="G2070" s="20">
        <v>0.4020565545580958</v>
      </c>
      <c r="H2070" s="50"/>
      <c r="I2070" s="16"/>
      <c r="J2070" s="16"/>
      <c r="K2070" s="16"/>
      <c r="L2070" s="16"/>
      <c r="M2070" s="16">
        <v>2064</v>
      </c>
      <c r="N2070" s="16">
        <f t="shared" si="163"/>
        <v>0.74013629842180773</v>
      </c>
      <c r="O2070" s="16"/>
      <c r="P2070" s="16"/>
      <c r="Q2070" s="16">
        <f t="shared" si="164"/>
        <v>0.64376566270018276</v>
      </c>
    </row>
    <row r="2071" spans="4:17" ht="15" thickBot="1" x14ac:dyDescent="0.35">
      <c r="D2071" s="20">
        <f t="shared" si="160"/>
        <v>2065</v>
      </c>
      <c r="E2071" s="20">
        <f t="shared" si="161"/>
        <v>5050</v>
      </c>
      <c r="F2071" s="20">
        <f t="shared" si="162"/>
        <v>3850</v>
      </c>
      <c r="G2071" s="20">
        <v>0.40222361345574076</v>
      </c>
      <c r="H2071" s="50"/>
      <c r="I2071" s="16"/>
      <c r="J2071" s="16"/>
      <c r="K2071" s="16"/>
      <c r="L2071" s="16"/>
      <c r="M2071" s="16">
        <v>2065</v>
      </c>
      <c r="N2071" s="16">
        <f t="shared" si="163"/>
        <v>0.74049497847919654</v>
      </c>
      <c r="O2071" s="16"/>
      <c r="P2071" s="16"/>
      <c r="Q2071" s="16">
        <f t="shared" si="164"/>
        <v>0.64487214678344551</v>
      </c>
    </row>
    <row r="2072" spans="4:17" ht="15" thickBot="1" x14ac:dyDescent="0.35">
      <c r="D2072" s="20">
        <f t="shared" si="160"/>
        <v>2066</v>
      </c>
      <c r="E2072" s="20">
        <f t="shared" si="161"/>
        <v>5150</v>
      </c>
      <c r="F2072" s="20">
        <f t="shared" si="162"/>
        <v>3850</v>
      </c>
      <c r="G2072" s="20">
        <v>0.40234543506379289</v>
      </c>
      <c r="H2072" s="50"/>
      <c r="I2072" s="16"/>
      <c r="J2072" s="16"/>
      <c r="K2072" s="16"/>
      <c r="L2072" s="16"/>
      <c r="M2072" s="16">
        <v>2066</v>
      </c>
      <c r="N2072" s="16">
        <f t="shared" si="163"/>
        <v>0.74085365853658536</v>
      </c>
      <c r="O2072" s="16"/>
      <c r="P2072" s="16"/>
      <c r="Q2072" s="16">
        <f t="shared" si="164"/>
        <v>0.64597942095224226</v>
      </c>
    </row>
    <row r="2073" spans="4:17" ht="15" thickBot="1" x14ac:dyDescent="0.35">
      <c r="D2073" s="20">
        <f t="shared" si="160"/>
        <v>2067</v>
      </c>
      <c r="E2073" s="44">
        <f t="shared" si="161"/>
        <v>5250</v>
      </c>
      <c r="F2073" s="44">
        <f t="shared" si="162"/>
        <v>3850</v>
      </c>
      <c r="G2073" s="20">
        <v>0.40252950005107918</v>
      </c>
      <c r="H2073" s="50"/>
      <c r="I2073" s="16"/>
      <c r="J2073" s="16"/>
      <c r="K2073" s="16"/>
      <c r="L2073" s="16"/>
      <c r="M2073" s="16">
        <v>2067</v>
      </c>
      <c r="N2073" s="16">
        <f t="shared" si="163"/>
        <v>0.74121233859397417</v>
      </c>
      <c r="O2073" s="16"/>
      <c r="P2073" s="16"/>
      <c r="Q2073" s="16">
        <f t="shared" si="164"/>
        <v>0.64708748769522595</v>
      </c>
    </row>
    <row r="2074" spans="4:17" ht="15" thickBot="1" x14ac:dyDescent="0.35">
      <c r="D2074" s="20">
        <f t="shared" si="160"/>
        <v>2068</v>
      </c>
      <c r="E2074" s="20">
        <f t="shared" si="161"/>
        <v>50</v>
      </c>
      <c r="F2074" s="20">
        <f t="shared" si="162"/>
        <v>3950</v>
      </c>
      <c r="G2074" s="20">
        <v>0.40253384566525635</v>
      </c>
      <c r="H2074" s="50"/>
      <c r="I2074" s="16"/>
      <c r="J2074" s="16"/>
      <c r="K2074" s="16"/>
      <c r="L2074" s="16"/>
      <c r="M2074" s="16">
        <v>2068</v>
      </c>
      <c r="N2074" s="16">
        <f t="shared" si="163"/>
        <v>0.74157101865136299</v>
      </c>
      <c r="O2074" s="16"/>
      <c r="P2074" s="16"/>
      <c r="Q2074" s="16">
        <f t="shared" si="164"/>
        <v>0.64819634951028904</v>
      </c>
    </row>
    <row r="2075" spans="4:17" ht="15" thickBot="1" x14ac:dyDescent="0.35">
      <c r="D2075" s="20">
        <f t="shared" si="160"/>
        <v>2069</v>
      </c>
      <c r="E2075" s="20">
        <f t="shared" si="161"/>
        <v>150</v>
      </c>
      <c r="F2075" s="20">
        <f t="shared" si="162"/>
        <v>3950</v>
      </c>
      <c r="G2075" s="20">
        <v>0.4026532488659722</v>
      </c>
      <c r="H2075" s="50"/>
      <c r="I2075" s="16"/>
      <c r="J2075" s="16"/>
      <c r="K2075" s="16"/>
      <c r="L2075" s="16"/>
      <c r="M2075" s="16">
        <v>2069</v>
      </c>
      <c r="N2075" s="16">
        <f t="shared" si="163"/>
        <v>0.74192969870875181</v>
      </c>
      <c r="O2075" s="16"/>
      <c r="P2075" s="16"/>
      <c r="Q2075" s="16">
        <f t="shared" si="164"/>
        <v>0.64930600890461865</v>
      </c>
    </row>
    <row r="2076" spans="4:17" ht="15" thickBot="1" x14ac:dyDescent="0.35">
      <c r="D2076" s="20">
        <f t="shared" si="160"/>
        <v>2070</v>
      </c>
      <c r="E2076" s="44">
        <f t="shared" si="161"/>
        <v>250</v>
      </c>
      <c r="F2076" s="44">
        <f t="shared" si="162"/>
        <v>3950</v>
      </c>
      <c r="G2076" s="20">
        <v>0.40281958883981595</v>
      </c>
      <c r="H2076" s="50"/>
      <c r="I2076" s="16"/>
      <c r="J2076" s="16"/>
      <c r="K2076" s="16"/>
      <c r="L2076" s="16"/>
      <c r="M2076" s="16">
        <v>2070</v>
      </c>
      <c r="N2076" s="16">
        <f t="shared" si="163"/>
        <v>0.74228837876614062</v>
      </c>
      <c r="O2076" s="16"/>
      <c r="P2076" s="16"/>
      <c r="Q2076" s="16">
        <f t="shared" si="164"/>
        <v>0.6504164683947451</v>
      </c>
    </row>
    <row r="2077" spans="4:17" ht="15" thickBot="1" x14ac:dyDescent="0.35">
      <c r="D2077" s="20">
        <f t="shared" si="160"/>
        <v>2071</v>
      </c>
      <c r="E2077" s="20">
        <f t="shared" si="161"/>
        <v>350</v>
      </c>
      <c r="F2077" s="20">
        <f t="shared" si="162"/>
        <v>3950</v>
      </c>
      <c r="G2077" s="20">
        <v>0.40287455963151914</v>
      </c>
      <c r="H2077" s="50"/>
      <c r="I2077" s="16"/>
      <c r="J2077" s="16"/>
      <c r="K2077" s="16"/>
      <c r="L2077" s="16"/>
      <c r="M2077" s="16">
        <v>2071</v>
      </c>
      <c r="N2077" s="16">
        <f t="shared" si="163"/>
        <v>0.74264705882352944</v>
      </c>
      <c r="O2077" s="16"/>
      <c r="P2077" s="16"/>
      <c r="Q2077" s="16">
        <f t="shared" si="164"/>
        <v>0.65152773050659363</v>
      </c>
    </row>
    <row r="2078" spans="4:17" ht="15" thickBot="1" x14ac:dyDescent="0.35">
      <c r="D2078" s="20">
        <f t="shared" si="160"/>
        <v>2072</v>
      </c>
      <c r="E2078" s="20">
        <f t="shared" si="161"/>
        <v>450</v>
      </c>
      <c r="F2078" s="20">
        <f t="shared" si="162"/>
        <v>3950</v>
      </c>
      <c r="G2078" s="20">
        <v>0.40296770611493649</v>
      </c>
      <c r="H2078" s="50"/>
      <c r="I2078" s="16"/>
      <c r="J2078" s="16"/>
      <c r="K2078" s="16"/>
      <c r="L2078" s="16"/>
      <c r="M2078" s="16">
        <v>2072</v>
      </c>
      <c r="N2078" s="16">
        <f t="shared" si="163"/>
        <v>0.74300573888091825</v>
      </c>
      <c r="O2078" s="16"/>
      <c r="P2078" s="16"/>
      <c r="Q2078" s="16">
        <f t="shared" si="164"/>
        <v>0.65263979777553727</v>
      </c>
    </row>
    <row r="2079" spans="4:17" ht="15" thickBot="1" x14ac:dyDescent="0.35">
      <c r="D2079" s="20">
        <f t="shared" si="160"/>
        <v>2073</v>
      </c>
      <c r="E2079" s="20">
        <f t="shared" si="161"/>
        <v>550</v>
      </c>
      <c r="F2079" s="20">
        <f t="shared" si="162"/>
        <v>3950</v>
      </c>
      <c r="G2079" s="20">
        <v>0.40297134430652493</v>
      </c>
      <c r="H2079" s="50"/>
      <c r="I2079" s="16"/>
      <c r="J2079" s="16"/>
      <c r="K2079" s="16"/>
      <c r="L2079" s="16"/>
      <c r="M2079" s="16">
        <v>2073</v>
      </c>
      <c r="N2079" s="16">
        <f t="shared" si="163"/>
        <v>0.74336441893830707</v>
      </c>
      <c r="O2079" s="16"/>
      <c r="P2079" s="16"/>
      <c r="Q2079" s="16">
        <f t="shared" si="164"/>
        <v>0.65375267274644699</v>
      </c>
    </row>
    <row r="2080" spans="4:17" ht="15" thickBot="1" x14ac:dyDescent="0.35">
      <c r="D2080" s="20">
        <f t="shared" si="160"/>
        <v>2074</v>
      </c>
      <c r="E2080" s="20">
        <f t="shared" si="161"/>
        <v>650</v>
      </c>
      <c r="F2080" s="20">
        <f t="shared" si="162"/>
        <v>3950</v>
      </c>
      <c r="G2080" s="20">
        <v>0.40301279803279511</v>
      </c>
      <c r="H2080" s="50"/>
      <c r="I2080" s="16"/>
      <c r="J2080" s="16"/>
      <c r="K2080" s="16"/>
      <c r="L2080" s="16"/>
      <c r="M2080" s="16">
        <v>2074</v>
      </c>
      <c r="N2080" s="16">
        <f t="shared" si="163"/>
        <v>0.74372309899569589</v>
      </c>
      <c r="O2080" s="16"/>
      <c r="P2080" s="16"/>
      <c r="Q2080" s="16">
        <f t="shared" si="164"/>
        <v>0.65486635797374781</v>
      </c>
    </row>
    <row r="2081" spans="4:17" ht="15" thickBot="1" x14ac:dyDescent="0.35">
      <c r="D2081" s="20">
        <f t="shared" si="160"/>
        <v>2075</v>
      </c>
      <c r="E2081" s="20">
        <f t="shared" si="161"/>
        <v>750</v>
      </c>
      <c r="F2081" s="20">
        <f t="shared" si="162"/>
        <v>3950</v>
      </c>
      <c r="G2081" s="20">
        <v>0.40312301007268869</v>
      </c>
      <c r="H2081" s="50"/>
      <c r="I2081" s="16"/>
      <c r="J2081" s="16"/>
      <c r="K2081" s="16"/>
      <c r="L2081" s="16"/>
      <c r="M2081" s="16">
        <v>2075</v>
      </c>
      <c r="N2081" s="16">
        <f t="shared" si="163"/>
        <v>0.7440817790530847</v>
      </c>
      <c r="O2081" s="16"/>
      <c r="P2081" s="16"/>
      <c r="Q2081" s="16">
        <f t="shared" si="164"/>
        <v>0.65598085602146783</v>
      </c>
    </row>
    <row r="2082" spans="4:17" ht="15" thickBot="1" x14ac:dyDescent="0.35">
      <c r="D2082" s="20">
        <f t="shared" si="160"/>
        <v>2076</v>
      </c>
      <c r="E2082" s="20">
        <f t="shared" si="161"/>
        <v>850</v>
      </c>
      <c r="F2082" s="20">
        <f t="shared" si="162"/>
        <v>3950</v>
      </c>
      <c r="G2082" s="20">
        <v>0.40329477608671832</v>
      </c>
      <c r="H2082" s="50"/>
      <c r="I2082" s="16"/>
      <c r="J2082" s="16"/>
      <c r="K2082" s="16"/>
      <c r="L2082" s="16"/>
      <c r="M2082" s="16">
        <v>2076</v>
      </c>
      <c r="N2082" s="16">
        <f t="shared" si="163"/>
        <v>0.74444045911047341</v>
      </c>
      <c r="O2082" s="16"/>
      <c r="P2082" s="16"/>
      <c r="Q2082" s="16">
        <f t="shared" si="164"/>
        <v>0.65709616946329386</v>
      </c>
    </row>
    <row r="2083" spans="4:17" ht="15" thickBot="1" x14ac:dyDescent="0.35">
      <c r="D2083" s="20">
        <f t="shared" si="160"/>
        <v>2077</v>
      </c>
      <c r="E2083" s="20">
        <f t="shared" si="161"/>
        <v>950</v>
      </c>
      <c r="F2083" s="20">
        <f t="shared" si="162"/>
        <v>3950</v>
      </c>
      <c r="G2083" s="20">
        <v>0.40341113164487602</v>
      </c>
      <c r="H2083" s="50"/>
      <c r="I2083" s="16"/>
      <c r="J2083" s="16"/>
      <c r="K2083" s="16"/>
      <c r="L2083" s="16"/>
      <c r="M2083" s="16">
        <v>2077</v>
      </c>
      <c r="N2083" s="16">
        <f t="shared" si="163"/>
        <v>0.74479913916786222</v>
      </c>
      <c r="O2083" s="16"/>
      <c r="P2083" s="16"/>
      <c r="Q2083" s="16">
        <f t="shared" si="164"/>
        <v>0.65821230088262472</v>
      </c>
    </row>
    <row r="2084" spans="4:17" ht="15" thickBot="1" x14ac:dyDescent="0.35">
      <c r="D2084" s="20">
        <f t="shared" si="160"/>
        <v>2078</v>
      </c>
      <c r="E2084" s="48">
        <f t="shared" si="161"/>
        <v>1050</v>
      </c>
      <c r="F2084" s="48">
        <f t="shared" si="162"/>
        <v>3950</v>
      </c>
      <c r="G2084" s="20">
        <v>0.40342971817070161</v>
      </c>
      <c r="H2084" s="50"/>
      <c r="I2084" s="16"/>
      <c r="J2084" s="16"/>
      <c r="K2084" s="16"/>
      <c r="L2084" s="16"/>
      <c r="M2084" s="16">
        <v>2078</v>
      </c>
      <c r="N2084" s="16">
        <f t="shared" si="163"/>
        <v>0.74515781922525104</v>
      </c>
      <c r="O2084" s="16"/>
      <c r="P2084" s="16"/>
      <c r="Q2084" s="16">
        <f t="shared" si="164"/>
        <v>0.65932925287262478</v>
      </c>
    </row>
    <row r="2085" spans="4:17" ht="15" thickBot="1" x14ac:dyDescent="0.35">
      <c r="D2085" s="20">
        <f t="shared" si="160"/>
        <v>2079</v>
      </c>
      <c r="E2085" s="45">
        <f t="shared" si="161"/>
        <v>1150</v>
      </c>
      <c r="F2085" s="45">
        <f t="shared" si="162"/>
        <v>3950</v>
      </c>
      <c r="G2085" s="20">
        <v>0.40350442400528569</v>
      </c>
      <c r="H2085" s="50"/>
      <c r="I2085" s="16"/>
      <c r="J2085" s="16"/>
      <c r="K2085" s="16"/>
      <c r="L2085" s="16"/>
      <c r="M2085" s="16">
        <v>2079</v>
      </c>
      <c r="N2085" s="16">
        <f t="shared" si="163"/>
        <v>0.74551649928263986</v>
      </c>
      <c r="O2085" s="16"/>
      <c r="P2085" s="16"/>
      <c r="Q2085" s="16">
        <f t="shared" si="164"/>
        <v>0.66044702803627753</v>
      </c>
    </row>
    <row r="2086" spans="4:17" ht="15" thickBot="1" x14ac:dyDescent="0.35">
      <c r="D2086" s="20">
        <f t="shared" si="160"/>
        <v>2080</v>
      </c>
      <c r="E2086" s="20">
        <f t="shared" si="161"/>
        <v>1250</v>
      </c>
      <c r="F2086" s="20">
        <f t="shared" si="162"/>
        <v>3950</v>
      </c>
      <c r="G2086" s="20">
        <v>0.40354500084173595</v>
      </c>
      <c r="H2086" s="50"/>
      <c r="I2086" s="16"/>
      <c r="J2086" s="16"/>
      <c r="K2086" s="16"/>
      <c r="L2086" s="16"/>
      <c r="M2086" s="16">
        <v>2080</v>
      </c>
      <c r="N2086" s="16">
        <f t="shared" si="163"/>
        <v>0.74587517934002867</v>
      </c>
      <c r="O2086" s="16"/>
      <c r="P2086" s="16"/>
      <c r="Q2086" s="16">
        <f t="shared" si="164"/>
        <v>0.661565628986443</v>
      </c>
    </row>
    <row r="2087" spans="4:17" ht="15" thickBot="1" x14ac:dyDescent="0.35">
      <c r="D2087" s="20">
        <f t="shared" si="160"/>
        <v>2081</v>
      </c>
      <c r="E2087" s="20">
        <f t="shared" si="161"/>
        <v>1350</v>
      </c>
      <c r="F2087" s="20">
        <f t="shared" si="162"/>
        <v>3950</v>
      </c>
      <c r="G2087" s="20">
        <v>0.40362613295005267</v>
      </c>
      <c r="H2087" s="50"/>
      <c r="I2087" s="16"/>
      <c r="J2087" s="16"/>
      <c r="K2087" s="16"/>
      <c r="L2087" s="16"/>
      <c r="M2087" s="16">
        <v>2081</v>
      </c>
      <c r="N2087" s="16">
        <f t="shared" si="163"/>
        <v>0.74623385939741749</v>
      </c>
      <c r="O2087" s="16"/>
      <c r="P2087" s="16"/>
      <c r="Q2087" s="16">
        <f t="shared" si="164"/>
        <v>0.66268505834591007</v>
      </c>
    </row>
    <row r="2088" spans="4:17" ht="15" thickBot="1" x14ac:dyDescent="0.35">
      <c r="D2088" s="20">
        <f t="shared" si="160"/>
        <v>2082</v>
      </c>
      <c r="E2088" s="20">
        <f t="shared" si="161"/>
        <v>1450</v>
      </c>
      <c r="F2088" s="20">
        <f t="shared" si="162"/>
        <v>3950</v>
      </c>
      <c r="G2088" s="20">
        <v>0.40366037524250481</v>
      </c>
      <c r="H2088" s="50"/>
      <c r="I2088" s="16"/>
      <c r="J2088" s="16"/>
      <c r="K2088" s="16"/>
      <c r="L2088" s="16"/>
      <c r="M2088" s="16">
        <v>2082</v>
      </c>
      <c r="N2088" s="16">
        <f t="shared" si="163"/>
        <v>0.7465925394548063</v>
      </c>
      <c r="O2088" s="16"/>
      <c r="P2088" s="16"/>
      <c r="Q2088" s="16">
        <f t="shared" si="164"/>
        <v>0.66380531874745252</v>
      </c>
    </row>
    <row r="2089" spans="4:17" ht="15" thickBot="1" x14ac:dyDescent="0.35">
      <c r="D2089" s="20">
        <f t="shared" si="160"/>
        <v>2083</v>
      </c>
      <c r="E2089" s="44">
        <f t="shared" si="161"/>
        <v>1550</v>
      </c>
      <c r="F2089" s="44">
        <f t="shared" si="162"/>
        <v>3950</v>
      </c>
      <c r="G2089" s="20">
        <v>0.40376354260807296</v>
      </c>
      <c r="H2089" s="50"/>
      <c r="I2089" s="16"/>
      <c r="J2089" s="16"/>
      <c r="K2089" s="16"/>
      <c r="L2089" s="16"/>
      <c r="M2089" s="16">
        <v>2083</v>
      </c>
      <c r="N2089" s="16">
        <f t="shared" si="163"/>
        <v>0.74695121951219512</v>
      </c>
      <c r="O2089" s="16"/>
      <c r="P2089" s="16"/>
      <c r="Q2089" s="16">
        <f t="shared" si="164"/>
        <v>0.66492641283388665</v>
      </c>
    </row>
    <row r="2090" spans="4:17" ht="15" thickBot="1" x14ac:dyDescent="0.35">
      <c r="D2090" s="20">
        <f t="shared" si="160"/>
        <v>2084</v>
      </c>
      <c r="E2090" s="20">
        <f t="shared" si="161"/>
        <v>1650</v>
      </c>
      <c r="F2090" s="20">
        <f t="shared" si="162"/>
        <v>3950</v>
      </c>
      <c r="G2090" s="20">
        <v>0.40389576171067954</v>
      </c>
      <c r="H2090" s="50"/>
      <c r="I2090" s="16"/>
      <c r="J2090" s="16"/>
      <c r="K2090" s="16"/>
      <c r="L2090" s="16"/>
      <c r="M2090" s="16">
        <v>2084</v>
      </c>
      <c r="N2090" s="16">
        <f t="shared" si="163"/>
        <v>0.74730989956958394</v>
      </c>
      <c r="O2090" s="16"/>
      <c r="P2090" s="16"/>
      <c r="Q2090" s="16">
        <f t="shared" si="164"/>
        <v>0.66604834325812534</v>
      </c>
    </row>
    <row r="2091" spans="4:17" ht="15" thickBot="1" x14ac:dyDescent="0.35">
      <c r="D2091" s="20">
        <f t="shared" si="160"/>
        <v>2085</v>
      </c>
      <c r="E2091" s="20">
        <f t="shared" si="161"/>
        <v>1750</v>
      </c>
      <c r="F2091" s="20">
        <f t="shared" si="162"/>
        <v>3950</v>
      </c>
      <c r="G2091" s="20">
        <v>0.40415281606804698</v>
      </c>
      <c r="H2091" s="50"/>
      <c r="I2091" s="16"/>
      <c r="J2091" s="16"/>
      <c r="K2091" s="16"/>
      <c r="L2091" s="16"/>
      <c r="M2091" s="16">
        <v>2085</v>
      </c>
      <c r="N2091" s="16">
        <f t="shared" si="163"/>
        <v>0.74766857962697275</v>
      </c>
      <c r="O2091" s="16"/>
      <c r="P2091" s="16"/>
      <c r="Q2091" s="16">
        <f t="shared" si="164"/>
        <v>0.66717111268323592</v>
      </c>
    </row>
    <row r="2092" spans="4:17" ht="15" thickBot="1" x14ac:dyDescent="0.35">
      <c r="D2092" s="20">
        <f t="shared" si="160"/>
        <v>2086</v>
      </c>
      <c r="E2092" s="20">
        <f t="shared" si="161"/>
        <v>1850</v>
      </c>
      <c r="F2092" s="20">
        <f t="shared" si="162"/>
        <v>3950</v>
      </c>
      <c r="G2092" s="20">
        <v>0.40415308526551502</v>
      </c>
      <c r="H2092" s="50"/>
      <c r="I2092" s="16"/>
      <c r="J2092" s="16"/>
      <c r="K2092" s="16"/>
      <c r="L2092" s="16"/>
      <c r="M2092" s="16">
        <v>2086</v>
      </c>
      <c r="N2092" s="16">
        <f t="shared" si="163"/>
        <v>0.74802725968436157</v>
      </c>
      <c r="O2092" s="16"/>
      <c r="P2092" s="16"/>
      <c r="Q2092" s="16">
        <f t="shared" si="164"/>
        <v>0.66829472378249688</v>
      </c>
    </row>
    <row r="2093" spans="4:17" ht="15" thickBot="1" x14ac:dyDescent="0.35">
      <c r="D2093" s="20">
        <f t="shared" si="160"/>
        <v>2087</v>
      </c>
      <c r="E2093" s="20">
        <f t="shared" si="161"/>
        <v>1950</v>
      </c>
      <c r="F2093" s="20">
        <f t="shared" si="162"/>
        <v>3950</v>
      </c>
      <c r="G2093" s="20">
        <v>0.40420328191459753</v>
      </c>
      <c r="H2093" s="50"/>
      <c r="I2093" s="16"/>
      <c r="J2093" s="16"/>
      <c r="K2093" s="16"/>
      <c r="L2093" s="16"/>
      <c r="M2093" s="16">
        <v>2087</v>
      </c>
      <c r="N2093" s="16">
        <f t="shared" si="163"/>
        <v>0.74838593974175038</v>
      </c>
      <c r="O2093" s="16"/>
      <c r="P2093" s="16"/>
      <c r="Q2093" s="16">
        <f t="shared" si="164"/>
        <v>0.66941917923945549</v>
      </c>
    </row>
    <row r="2094" spans="4:17" ht="15" thickBot="1" x14ac:dyDescent="0.35">
      <c r="D2094" s="20">
        <f t="shared" si="160"/>
        <v>2088</v>
      </c>
      <c r="E2094" s="20">
        <f t="shared" si="161"/>
        <v>2050</v>
      </c>
      <c r="F2094" s="20">
        <f t="shared" si="162"/>
        <v>3950</v>
      </c>
      <c r="G2094" s="20">
        <v>0.40421290065911031</v>
      </c>
      <c r="H2094" s="50"/>
      <c r="I2094" s="16"/>
      <c r="J2094" s="16"/>
      <c r="K2094" s="16"/>
      <c r="L2094" s="16"/>
      <c r="M2094" s="16">
        <v>2088</v>
      </c>
      <c r="N2094" s="16">
        <f t="shared" si="163"/>
        <v>0.7487446197991392</v>
      </c>
      <c r="O2094" s="16"/>
      <c r="P2094" s="16"/>
      <c r="Q2094" s="16">
        <f t="shared" si="164"/>
        <v>0.67054448174798553</v>
      </c>
    </row>
    <row r="2095" spans="4:17" ht="15" thickBot="1" x14ac:dyDescent="0.35">
      <c r="D2095" s="20">
        <f t="shared" si="160"/>
        <v>2089</v>
      </c>
      <c r="E2095" s="20">
        <f t="shared" si="161"/>
        <v>2150</v>
      </c>
      <c r="F2095" s="20">
        <f t="shared" si="162"/>
        <v>3950</v>
      </c>
      <c r="G2095" s="20">
        <v>0.40427587973272378</v>
      </c>
      <c r="H2095" s="50"/>
      <c r="I2095" s="16"/>
      <c r="J2095" s="16"/>
      <c r="K2095" s="16"/>
      <c r="L2095" s="16"/>
      <c r="M2095" s="16">
        <v>2089</v>
      </c>
      <c r="N2095" s="16">
        <f t="shared" si="163"/>
        <v>0.74910329985652802</v>
      </c>
      <c r="O2095" s="16"/>
      <c r="P2095" s="16"/>
      <c r="Q2095" s="16">
        <f t="shared" si="164"/>
        <v>0.6716706340123445</v>
      </c>
    </row>
    <row r="2096" spans="4:17" ht="15" thickBot="1" x14ac:dyDescent="0.35">
      <c r="D2096" s="20">
        <f t="shared" si="160"/>
        <v>2090</v>
      </c>
      <c r="E2096" s="20">
        <f t="shared" si="161"/>
        <v>2250</v>
      </c>
      <c r="F2096" s="20">
        <f t="shared" si="162"/>
        <v>3950</v>
      </c>
      <c r="G2096" s="20">
        <v>0.40428227628150309</v>
      </c>
      <c r="H2096" s="50"/>
      <c r="I2096" s="16"/>
      <c r="J2096" s="16"/>
      <c r="K2096" s="16"/>
      <c r="L2096" s="16"/>
      <c r="M2096" s="16">
        <v>2090</v>
      </c>
      <c r="N2096" s="16">
        <f t="shared" si="163"/>
        <v>0.74946197991391683</v>
      </c>
      <c r="O2096" s="16"/>
      <c r="P2096" s="16"/>
      <c r="Q2096" s="16">
        <f t="shared" si="164"/>
        <v>0.67279763874723375</v>
      </c>
    </row>
    <row r="2097" spans="4:17" ht="15" thickBot="1" x14ac:dyDescent="0.35">
      <c r="D2097" s="20">
        <f t="shared" si="160"/>
        <v>2091</v>
      </c>
      <c r="E2097" s="20">
        <f t="shared" si="161"/>
        <v>2350</v>
      </c>
      <c r="F2097" s="20">
        <f t="shared" si="162"/>
        <v>3950</v>
      </c>
      <c r="G2097" s="20">
        <v>0.40439176157901463</v>
      </c>
      <c r="H2097" s="50"/>
      <c r="I2097" s="16"/>
      <c r="J2097" s="16"/>
      <c r="K2097" s="16"/>
      <c r="L2097" s="16"/>
      <c r="M2097" s="16">
        <v>2091</v>
      </c>
      <c r="N2097" s="16">
        <f t="shared" si="163"/>
        <v>0.74982065997130565</v>
      </c>
      <c r="O2097" s="16"/>
      <c r="P2097" s="16"/>
      <c r="Q2097" s="16">
        <f t="shared" si="164"/>
        <v>0.673925498677857</v>
      </c>
    </row>
    <row r="2098" spans="4:17" ht="15" thickBot="1" x14ac:dyDescent="0.35">
      <c r="D2098" s="20">
        <f t="shared" si="160"/>
        <v>2092</v>
      </c>
      <c r="E2098" s="43">
        <f t="shared" si="161"/>
        <v>2450</v>
      </c>
      <c r="F2098" s="43">
        <f t="shared" si="162"/>
        <v>3950</v>
      </c>
      <c r="G2098" s="20">
        <v>0.40442007100795435</v>
      </c>
      <c r="H2098" s="50"/>
      <c r="I2098" s="16"/>
      <c r="J2098" s="16"/>
      <c r="K2098" s="16"/>
      <c r="L2098" s="16"/>
      <c r="M2098" s="16">
        <v>2092</v>
      </c>
      <c r="N2098" s="16">
        <f t="shared" si="163"/>
        <v>0.75017934002869435</v>
      </c>
      <c r="O2098" s="16"/>
      <c r="P2098" s="16"/>
      <c r="Q2098" s="16">
        <f t="shared" si="164"/>
        <v>0.67505421653998043</v>
      </c>
    </row>
    <row r="2099" spans="4:17" ht="15" thickBot="1" x14ac:dyDescent="0.35">
      <c r="D2099" s="20">
        <f t="shared" si="160"/>
        <v>2093</v>
      </c>
      <c r="E2099" s="20">
        <f t="shared" si="161"/>
        <v>2550</v>
      </c>
      <c r="F2099" s="20">
        <f t="shared" si="162"/>
        <v>3950</v>
      </c>
      <c r="G2099" s="20">
        <v>0.40462264588981051</v>
      </c>
      <c r="H2099" s="50"/>
      <c r="I2099" s="16"/>
      <c r="J2099" s="16"/>
      <c r="K2099" s="16"/>
      <c r="L2099" s="16"/>
      <c r="M2099" s="16">
        <v>2093</v>
      </c>
      <c r="N2099" s="16">
        <f t="shared" si="163"/>
        <v>0.75053802008608317</v>
      </c>
      <c r="O2099" s="16"/>
      <c r="P2099" s="16"/>
      <c r="Q2099" s="16">
        <f t="shared" si="164"/>
        <v>0.67618379507998938</v>
      </c>
    </row>
    <row r="2100" spans="4:17" ht="15" thickBot="1" x14ac:dyDescent="0.35">
      <c r="D2100" s="20">
        <f t="shared" si="160"/>
        <v>2094</v>
      </c>
      <c r="E2100" s="20">
        <f t="shared" si="161"/>
        <v>2650</v>
      </c>
      <c r="F2100" s="20">
        <f t="shared" si="162"/>
        <v>3950</v>
      </c>
      <c r="G2100" s="20">
        <v>0.40481486036828995</v>
      </c>
      <c r="H2100" s="50"/>
      <c r="I2100" s="16"/>
      <c r="J2100" s="16"/>
      <c r="K2100" s="16"/>
      <c r="L2100" s="16"/>
      <c r="M2100" s="16">
        <v>2094</v>
      </c>
      <c r="N2100" s="16">
        <f t="shared" si="163"/>
        <v>0.75089670014347198</v>
      </c>
      <c r="O2100" s="16"/>
      <c r="P2100" s="16"/>
      <c r="Q2100" s="16">
        <f t="shared" si="164"/>
        <v>0.67731423705495308</v>
      </c>
    </row>
    <row r="2101" spans="4:17" ht="15" thickBot="1" x14ac:dyDescent="0.35">
      <c r="D2101" s="20">
        <f t="shared" si="160"/>
        <v>2095</v>
      </c>
      <c r="E2101" s="20">
        <f t="shared" si="161"/>
        <v>2750</v>
      </c>
      <c r="F2101" s="20">
        <f t="shared" si="162"/>
        <v>3950</v>
      </c>
      <c r="G2101" s="20">
        <v>0.40481635076945066</v>
      </c>
      <c r="H2101" s="50"/>
      <c r="I2101" s="16"/>
      <c r="J2101" s="16"/>
      <c r="K2101" s="16"/>
      <c r="L2101" s="16"/>
      <c r="M2101" s="16">
        <v>2095</v>
      </c>
      <c r="N2101" s="16">
        <f t="shared" si="163"/>
        <v>0.7512553802008608</v>
      </c>
      <c r="O2101" s="16"/>
      <c r="P2101" s="16"/>
      <c r="Q2101" s="16">
        <f t="shared" si="164"/>
        <v>0.67844554523268352</v>
      </c>
    </row>
    <row r="2102" spans="4:17" ht="15" thickBot="1" x14ac:dyDescent="0.35">
      <c r="D2102" s="20">
        <f t="shared" si="160"/>
        <v>2096</v>
      </c>
      <c r="E2102" s="20">
        <f t="shared" si="161"/>
        <v>2850</v>
      </c>
      <c r="F2102" s="20">
        <f t="shared" si="162"/>
        <v>3950</v>
      </c>
      <c r="G2102" s="20">
        <v>0.40481763990963443</v>
      </c>
      <c r="H2102" s="50"/>
      <c r="I2102" s="16"/>
      <c r="J2102" s="16"/>
      <c r="K2102" s="16"/>
      <c r="L2102" s="16"/>
      <c r="M2102" s="16">
        <v>2096</v>
      </c>
      <c r="N2102" s="16">
        <f t="shared" si="163"/>
        <v>0.75161406025824962</v>
      </c>
      <c r="O2102" s="16"/>
      <c r="P2102" s="16"/>
      <c r="Q2102" s="16">
        <f t="shared" si="164"/>
        <v>0.67957772239179393</v>
      </c>
    </row>
    <row r="2103" spans="4:17" ht="15" thickBot="1" x14ac:dyDescent="0.35">
      <c r="D2103" s="20">
        <f t="shared" si="160"/>
        <v>2097</v>
      </c>
      <c r="E2103" s="20">
        <f t="shared" si="161"/>
        <v>2950</v>
      </c>
      <c r="F2103" s="20">
        <f t="shared" si="162"/>
        <v>3950</v>
      </c>
      <c r="G2103" s="20">
        <v>0.40515701612024912</v>
      </c>
      <c r="H2103" s="50"/>
      <c r="I2103" s="16"/>
      <c r="J2103" s="16"/>
      <c r="K2103" s="16"/>
      <c r="L2103" s="16"/>
      <c r="M2103" s="16">
        <v>2097</v>
      </c>
      <c r="N2103" s="16">
        <f t="shared" si="163"/>
        <v>0.75197274031563843</v>
      </c>
      <c r="O2103" s="16"/>
      <c r="P2103" s="16"/>
      <c r="Q2103" s="16">
        <f t="shared" si="164"/>
        <v>0.68071077132176561</v>
      </c>
    </row>
    <row r="2104" spans="4:17" ht="15" thickBot="1" x14ac:dyDescent="0.35">
      <c r="D2104" s="20">
        <f t="shared" si="160"/>
        <v>2098</v>
      </c>
      <c r="E2104" s="20">
        <f t="shared" si="161"/>
        <v>3050</v>
      </c>
      <c r="F2104" s="20">
        <f t="shared" si="162"/>
        <v>3950</v>
      </c>
      <c r="G2104" s="20">
        <v>0.40540493928075683</v>
      </c>
      <c r="H2104" s="50"/>
      <c r="I2104" s="16"/>
      <c r="J2104" s="16"/>
      <c r="K2104" s="16"/>
      <c r="L2104" s="16"/>
      <c r="M2104" s="16">
        <v>2098</v>
      </c>
      <c r="N2104" s="16">
        <f t="shared" si="163"/>
        <v>0.75233142037302725</v>
      </c>
      <c r="O2104" s="16"/>
      <c r="P2104" s="16"/>
      <c r="Q2104" s="16">
        <f t="shared" si="164"/>
        <v>0.68184469482300414</v>
      </c>
    </row>
    <row r="2105" spans="4:17" ht="15" thickBot="1" x14ac:dyDescent="0.35">
      <c r="D2105" s="20">
        <f t="shared" si="160"/>
        <v>2099</v>
      </c>
      <c r="E2105" s="20">
        <f t="shared" si="161"/>
        <v>3150</v>
      </c>
      <c r="F2105" s="20">
        <f t="shared" si="162"/>
        <v>3950</v>
      </c>
      <c r="G2105" s="20">
        <v>0.40552605594536772</v>
      </c>
      <c r="H2105" s="50"/>
      <c r="I2105" s="16"/>
      <c r="J2105" s="16"/>
      <c r="K2105" s="16"/>
      <c r="L2105" s="16"/>
      <c r="M2105" s="16">
        <v>2099</v>
      </c>
      <c r="N2105" s="16">
        <f t="shared" si="163"/>
        <v>0.75269010043041606</v>
      </c>
      <c r="O2105" s="16"/>
      <c r="P2105" s="16"/>
      <c r="Q2105" s="16">
        <f t="shared" si="164"/>
        <v>0.68297949570690686</v>
      </c>
    </row>
    <row r="2106" spans="4:17" ht="15" thickBot="1" x14ac:dyDescent="0.35">
      <c r="D2106" s="20">
        <f t="shared" si="160"/>
        <v>2100</v>
      </c>
      <c r="E2106" s="20">
        <f t="shared" si="161"/>
        <v>3250</v>
      </c>
      <c r="F2106" s="20">
        <f t="shared" si="162"/>
        <v>3950</v>
      </c>
      <c r="G2106" s="20">
        <v>0.40555214598308797</v>
      </c>
      <c r="H2106" s="50"/>
      <c r="I2106" s="16"/>
      <c r="J2106" s="16"/>
      <c r="K2106" s="16"/>
      <c r="L2106" s="16"/>
      <c r="M2106" s="16">
        <v>2100</v>
      </c>
      <c r="N2106" s="16">
        <f t="shared" si="163"/>
        <v>0.75304878048780488</v>
      </c>
      <c r="O2106" s="16"/>
      <c r="P2106" s="16"/>
      <c r="Q2106" s="16">
        <f t="shared" si="164"/>
        <v>0.68411517679592171</v>
      </c>
    </row>
    <row r="2107" spans="4:17" ht="15" thickBot="1" x14ac:dyDescent="0.35">
      <c r="D2107" s="20">
        <f t="shared" si="160"/>
        <v>2101</v>
      </c>
      <c r="E2107" s="20">
        <f t="shared" si="161"/>
        <v>3350</v>
      </c>
      <c r="F2107" s="20">
        <f t="shared" si="162"/>
        <v>3950</v>
      </c>
      <c r="G2107" s="20">
        <v>0.4056784357166664</v>
      </c>
      <c r="H2107" s="50"/>
      <c r="I2107" s="16"/>
      <c r="J2107" s="16"/>
      <c r="K2107" s="16"/>
      <c r="L2107" s="16"/>
      <c r="M2107" s="16">
        <v>2101</v>
      </c>
      <c r="N2107" s="16">
        <f t="shared" si="163"/>
        <v>0.7534074605451937</v>
      </c>
      <c r="O2107" s="16"/>
      <c r="P2107" s="16"/>
      <c r="Q2107" s="16">
        <f t="shared" si="164"/>
        <v>0.68525174092361352</v>
      </c>
    </row>
    <row r="2108" spans="4:17" ht="15" thickBot="1" x14ac:dyDescent="0.35">
      <c r="D2108" s="20">
        <f t="shared" si="160"/>
        <v>2102</v>
      </c>
      <c r="E2108" s="48">
        <f t="shared" si="161"/>
        <v>3450</v>
      </c>
      <c r="F2108" s="48">
        <f t="shared" si="162"/>
        <v>3950</v>
      </c>
      <c r="G2108" s="20">
        <v>0.40583396139967098</v>
      </c>
      <c r="H2108" s="50"/>
      <c r="I2108" s="16"/>
      <c r="J2108" s="16"/>
      <c r="K2108" s="16"/>
      <c r="L2108" s="16"/>
      <c r="M2108" s="16">
        <v>2102</v>
      </c>
      <c r="N2108" s="16">
        <f t="shared" si="163"/>
        <v>0.75376614060258251</v>
      </c>
      <c r="O2108" s="16"/>
      <c r="P2108" s="16"/>
      <c r="Q2108" s="16">
        <f t="shared" si="164"/>
        <v>0.68638919093472583</v>
      </c>
    </row>
    <row r="2109" spans="4:17" ht="15" thickBot="1" x14ac:dyDescent="0.35">
      <c r="D2109" s="20">
        <f t="shared" si="160"/>
        <v>2103</v>
      </c>
      <c r="E2109" s="20">
        <f t="shared" si="161"/>
        <v>3550</v>
      </c>
      <c r="F2109" s="20">
        <f t="shared" si="162"/>
        <v>3950</v>
      </c>
      <c r="G2109" s="20">
        <v>0.40621796122950582</v>
      </c>
      <c r="H2109" s="50"/>
      <c r="I2109" s="16"/>
      <c r="J2109" s="16"/>
      <c r="K2109" s="16"/>
      <c r="L2109" s="16"/>
      <c r="M2109" s="16">
        <v>2103</v>
      </c>
      <c r="N2109" s="16">
        <f t="shared" si="163"/>
        <v>0.75412482065997133</v>
      </c>
      <c r="O2109" s="16"/>
      <c r="P2109" s="16"/>
      <c r="Q2109" s="16">
        <f t="shared" si="164"/>
        <v>0.68752752968524566</v>
      </c>
    </row>
    <row r="2110" spans="4:17" ht="15" thickBot="1" x14ac:dyDescent="0.35">
      <c r="D2110" s="20">
        <f t="shared" si="160"/>
        <v>2104</v>
      </c>
      <c r="E2110" s="47">
        <f t="shared" si="161"/>
        <v>3650</v>
      </c>
      <c r="F2110" s="47">
        <f t="shared" si="162"/>
        <v>3950</v>
      </c>
      <c r="G2110" s="20">
        <v>0.40633954524244797</v>
      </c>
      <c r="H2110" s="50"/>
      <c r="I2110" s="16"/>
      <c r="J2110" s="16"/>
      <c r="K2110" s="16"/>
      <c r="L2110" s="16"/>
      <c r="M2110" s="16">
        <v>2104</v>
      </c>
      <c r="N2110" s="16">
        <f t="shared" si="163"/>
        <v>0.75448350071736014</v>
      </c>
      <c r="O2110" s="16"/>
      <c r="P2110" s="16"/>
      <c r="Q2110" s="16">
        <f t="shared" si="164"/>
        <v>0.68866676004246885</v>
      </c>
    </row>
    <row r="2111" spans="4:17" ht="15" thickBot="1" x14ac:dyDescent="0.35">
      <c r="D2111" s="20">
        <f t="shared" si="160"/>
        <v>2105</v>
      </c>
      <c r="E2111" s="20">
        <f t="shared" si="161"/>
        <v>3750</v>
      </c>
      <c r="F2111" s="20">
        <f t="shared" si="162"/>
        <v>3950</v>
      </c>
      <c r="G2111" s="20">
        <v>0.40642961200752048</v>
      </c>
      <c r="H2111" s="50"/>
      <c r="I2111" s="16"/>
      <c r="J2111" s="16"/>
      <c r="K2111" s="16"/>
      <c r="L2111" s="16"/>
      <c r="M2111" s="16">
        <v>2105</v>
      </c>
      <c r="N2111" s="16">
        <f t="shared" si="163"/>
        <v>0.75484218077474896</v>
      </c>
      <c r="O2111" s="16"/>
      <c r="P2111" s="16"/>
      <c r="Q2111" s="16">
        <f t="shared" si="164"/>
        <v>0.68980688488506425</v>
      </c>
    </row>
    <row r="2112" spans="4:17" ht="15" thickBot="1" x14ac:dyDescent="0.35">
      <c r="D2112" s="20">
        <f t="shared" si="160"/>
        <v>2106</v>
      </c>
      <c r="E2112" s="48">
        <f t="shared" si="161"/>
        <v>3850</v>
      </c>
      <c r="F2112" s="48">
        <f t="shared" si="162"/>
        <v>3950</v>
      </c>
      <c r="G2112" s="20">
        <v>0.40676929920016924</v>
      </c>
      <c r="H2112" s="50"/>
      <c r="I2112" s="16"/>
      <c r="J2112" s="16"/>
      <c r="K2112" s="16"/>
      <c r="L2112" s="16"/>
      <c r="M2112" s="16">
        <v>2106</v>
      </c>
      <c r="N2112" s="16">
        <f t="shared" si="163"/>
        <v>0.75520086083213778</v>
      </c>
      <c r="O2112" s="16"/>
      <c r="P2112" s="16"/>
      <c r="Q2112" s="16">
        <f t="shared" si="164"/>
        <v>0.69094790710313814</v>
      </c>
    </row>
    <row r="2113" spans="4:17" ht="15" thickBot="1" x14ac:dyDescent="0.35">
      <c r="D2113" s="20">
        <f t="shared" si="160"/>
        <v>2107</v>
      </c>
      <c r="E2113" s="47">
        <f t="shared" si="161"/>
        <v>3950</v>
      </c>
      <c r="F2113" s="47">
        <f t="shared" si="162"/>
        <v>3950</v>
      </c>
      <c r="G2113" s="20">
        <v>0.40699405846870407</v>
      </c>
      <c r="H2113" s="50"/>
      <c r="I2113" s="16"/>
      <c r="J2113" s="16"/>
      <c r="K2113" s="16"/>
      <c r="L2113" s="16"/>
      <c r="M2113" s="16">
        <v>2107</v>
      </c>
      <c r="N2113" s="16">
        <f t="shared" si="163"/>
        <v>0.75555954088952659</v>
      </c>
      <c r="O2113" s="16"/>
      <c r="P2113" s="16"/>
      <c r="Q2113" s="16">
        <f t="shared" si="164"/>
        <v>0.69208982959830423</v>
      </c>
    </row>
    <row r="2114" spans="4:17" ht="15" thickBot="1" x14ac:dyDescent="0.35">
      <c r="D2114" s="20">
        <f t="shared" si="160"/>
        <v>2108</v>
      </c>
      <c r="E2114" s="47">
        <f t="shared" si="161"/>
        <v>4050</v>
      </c>
      <c r="F2114" s="47">
        <f t="shared" si="162"/>
        <v>3950</v>
      </c>
      <c r="G2114" s="20">
        <v>0.40705166967670509</v>
      </c>
      <c r="H2114" s="50"/>
      <c r="I2114" s="16"/>
      <c r="J2114" s="16"/>
      <c r="K2114" s="16"/>
      <c r="L2114" s="16"/>
      <c r="M2114" s="16">
        <v>2108</v>
      </c>
      <c r="N2114" s="16">
        <f t="shared" si="163"/>
        <v>0.7559182209469153</v>
      </c>
      <c r="O2114" s="16"/>
      <c r="P2114" s="16"/>
      <c r="Q2114" s="16">
        <f t="shared" si="164"/>
        <v>0.69323265528374434</v>
      </c>
    </row>
    <row r="2115" spans="4:17" ht="15" thickBot="1" x14ac:dyDescent="0.35">
      <c r="D2115" s="20">
        <f t="shared" si="160"/>
        <v>2109</v>
      </c>
      <c r="E2115" s="20">
        <f t="shared" si="161"/>
        <v>4150</v>
      </c>
      <c r="F2115" s="20">
        <f t="shared" si="162"/>
        <v>3950</v>
      </c>
      <c r="G2115" s="20">
        <v>0.40706929148705351</v>
      </c>
      <c r="H2115" s="50"/>
      <c r="I2115" s="16"/>
      <c r="J2115" s="16"/>
      <c r="K2115" s="16"/>
      <c r="L2115" s="16"/>
      <c r="M2115" s="16">
        <v>2109</v>
      </c>
      <c r="N2115" s="16">
        <f t="shared" si="163"/>
        <v>0.75627690100430411</v>
      </c>
      <c r="O2115" s="16"/>
      <c r="P2115" s="16"/>
      <c r="Q2115" s="16">
        <f t="shared" si="164"/>
        <v>0.69437638708428173</v>
      </c>
    </row>
    <row r="2116" spans="4:17" ht="15" thickBot="1" x14ac:dyDescent="0.35">
      <c r="D2116" s="20">
        <f t="shared" si="160"/>
        <v>2110</v>
      </c>
      <c r="E2116" s="20">
        <f t="shared" si="161"/>
        <v>4250</v>
      </c>
      <c r="F2116" s="20">
        <f t="shared" si="162"/>
        <v>3950</v>
      </c>
      <c r="G2116" s="20">
        <v>0.40717157264489756</v>
      </c>
      <c r="H2116" s="50"/>
      <c r="I2116" s="16"/>
      <c r="J2116" s="16"/>
      <c r="K2116" s="16"/>
      <c r="L2116" s="16"/>
      <c r="M2116" s="16">
        <v>2110</v>
      </c>
      <c r="N2116" s="16">
        <f t="shared" si="163"/>
        <v>0.75663558106169293</v>
      </c>
      <c r="O2116" s="16"/>
      <c r="P2116" s="16"/>
      <c r="Q2116" s="16">
        <f t="shared" si="164"/>
        <v>0.69552102793644344</v>
      </c>
    </row>
    <row r="2117" spans="4:17" ht="15" thickBot="1" x14ac:dyDescent="0.35">
      <c r="D2117" s="20">
        <f t="shared" si="160"/>
        <v>2111</v>
      </c>
      <c r="E2117" s="20">
        <f t="shared" si="161"/>
        <v>4350</v>
      </c>
      <c r="F2117" s="20">
        <f t="shared" si="162"/>
        <v>3950</v>
      </c>
      <c r="G2117" s="20">
        <v>0.40723289019501319</v>
      </c>
      <c r="H2117" s="50"/>
      <c r="I2117" s="16"/>
      <c r="J2117" s="16"/>
      <c r="K2117" s="16"/>
      <c r="L2117" s="16"/>
      <c r="M2117" s="16">
        <v>2111</v>
      </c>
      <c r="N2117" s="16">
        <f t="shared" si="163"/>
        <v>0.75699426111908175</v>
      </c>
      <c r="O2117" s="16"/>
      <c r="P2117" s="16"/>
      <c r="Q2117" s="16">
        <f t="shared" si="164"/>
        <v>0.69666658078852928</v>
      </c>
    </row>
    <row r="2118" spans="4:17" ht="15" thickBot="1" x14ac:dyDescent="0.35">
      <c r="D2118" s="20">
        <f t="shared" si="160"/>
        <v>2112</v>
      </c>
      <c r="E2118" s="20">
        <f t="shared" si="161"/>
        <v>4450</v>
      </c>
      <c r="F2118" s="20">
        <f t="shared" si="162"/>
        <v>3950</v>
      </c>
      <c r="G2118" s="20">
        <v>0.40736466303252583</v>
      </c>
      <c r="H2118" s="50"/>
      <c r="I2118" s="16"/>
      <c r="J2118" s="16"/>
      <c r="K2118" s="16"/>
      <c r="L2118" s="16"/>
      <c r="M2118" s="16">
        <v>2112</v>
      </c>
      <c r="N2118" s="16">
        <f t="shared" si="163"/>
        <v>0.75735294117647056</v>
      </c>
      <c r="O2118" s="16"/>
      <c r="P2118" s="16"/>
      <c r="Q2118" s="16">
        <f t="shared" si="164"/>
        <v>0.6978130486006846</v>
      </c>
    </row>
    <row r="2119" spans="4:17" ht="15" thickBot="1" x14ac:dyDescent="0.35">
      <c r="D2119" s="20">
        <f t="shared" ref="D2119:D2182" si="165">ROW()-6</f>
        <v>2113</v>
      </c>
      <c r="E2119" s="20">
        <f t="shared" ref="E2119:E2182" si="166">(MOD(D2119-1,53)*100)+50</f>
        <v>4550</v>
      </c>
      <c r="F2119" s="20">
        <f t="shared" ref="F2119:F2182" si="167">FLOOR((D2119-1)/53,1)*100+50</f>
        <v>3950</v>
      </c>
      <c r="G2119" s="20">
        <v>0.40751920779539208</v>
      </c>
      <c r="H2119" s="50"/>
      <c r="I2119" s="16"/>
      <c r="J2119" s="16"/>
      <c r="K2119" s="16"/>
      <c r="L2119" s="16"/>
      <c r="M2119" s="16">
        <v>2113</v>
      </c>
      <c r="N2119" s="16">
        <f t="shared" si="163"/>
        <v>0.75771162123385938</v>
      </c>
      <c r="O2119" s="16"/>
      <c r="P2119" s="16"/>
      <c r="Q2119" s="16">
        <f t="shared" si="164"/>
        <v>0.69896043434496191</v>
      </c>
    </row>
    <row r="2120" spans="4:17" ht="15" thickBot="1" x14ac:dyDescent="0.35">
      <c r="D2120" s="20">
        <f t="shared" si="165"/>
        <v>2114</v>
      </c>
      <c r="E2120" s="20">
        <f t="shared" si="166"/>
        <v>4650</v>
      </c>
      <c r="F2120" s="20">
        <f t="shared" si="167"/>
        <v>3950</v>
      </c>
      <c r="G2120" s="20">
        <v>0.40768041589487725</v>
      </c>
      <c r="H2120" s="50"/>
      <c r="I2120" s="16"/>
      <c r="J2120" s="16"/>
      <c r="K2120" s="16"/>
      <c r="L2120" s="16"/>
      <c r="M2120" s="16">
        <v>2114</v>
      </c>
      <c r="N2120" s="16">
        <f t="shared" ref="N2120:N2183" si="168">(M2120-0.5)/$L$7</f>
        <v>0.75807030129124819</v>
      </c>
      <c r="O2120" s="16"/>
      <c r="P2120" s="16"/>
      <c r="Q2120" s="16">
        <f t="shared" ref="Q2120:Q2183" si="169">_xlfn.NORM.S.INV(N2120)</f>
        <v>0.70010874100539633</v>
      </c>
    </row>
    <row r="2121" spans="4:17" ht="15" thickBot="1" x14ac:dyDescent="0.35">
      <c r="D2121" s="20">
        <f t="shared" si="165"/>
        <v>2115</v>
      </c>
      <c r="E2121" s="20">
        <f t="shared" si="166"/>
        <v>4750</v>
      </c>
      <c r="F2121" s="20">
        <f t="shared" si="167"/>
        <v>3950</v>
      </c>
      <c r="G2121" s="20">
        <v>0.40776259516744345</v>
      </c>
      <c r="H2121" s="50"/>
      <c r="I2121" s="16"/>
      <c r="J2121" s="16"/>
      <c r="K2121" s="16"/>
      <c r="L2121" s="16"/>
      <c r="M2121" s="16">
        <v>2115</v>
      </c>
      <c r="N2121" s="16">
        <f t="shared" si="168"/>
        <v>0.75842898134863701</v>
      </c>
      <c r="O2121" s="16"/>
      <c r="P2121" s="16"/>
      <c r="Q2121" s="16">
        <f t="shared" si="169"/>
        <v>0.70125797157807224</v>
      </c>
    </row>
    <row r="2122" spans="4:17" ht="15" thickBot="1" x14ac:dyDescent="0.35">
      <c r="D2122" s="20">
        <f t="shared" si="165"/>
        <v>2116</v>
      </c>
      <c r="E2122" s="20">
        <f t="shared" si="166"/>
        <v>4850</v>
      </c>
      <c r="F2122" s="20">
        <f t="shared" si="167"/>
        <v>3950</v>
      </c>
      <c r="G2122" s="20">
        <v>0.40787465506729276</v>
      </c>
      <c r="H2122" s="50"/>
      <c r="I2122" s="16"/>
      <c r="J2122" s="16"/>
      <c r="K2122" s="16"/>
      <c r="L2122" s="16"/>
      <c r="M2122" s="16">
        <v>2116</v>
      </c>
      <c r="N2122" s="16">
        <f t="shared" si="168"/>
        <v>0.75878766140602583</v>
      </c>
      <c r="O2122" s="16"/>
      <c r="P2122" s="16"/>
      <c r="Q2122" s="16">
        <f t="shared" si="169"/>
        <v>0.70240812907119476</v>
      </c>
    </row>
    <row r="2123" spans="4:17" ht="15" thickBot="1" x14ac:dyDescent="0.35">
      <c r="D2123" s="20">
        <f t="shared" si="165"/>
        <v>2117</v>
      </c>
      <c r="E2123" s="20">
        <f t="shared" si="166"/>
        <v>4950</v>
      </c>
      <c r="F2123" s="20">
        <f t="shared" si="167"/>
        <v>3950</v>
      </c>
      <c r="G2123" s="20">
        <v>0.4079455587758552</v>
      </c>
      <c r="H2123" s="50"/>
      <c r="I2123" s="16"/>
      <c r="J2123" s="16"/>
      <c r="K2123" s="16"/>
      <c r="L2123" s="16"/>
      <c r="M2123" s="16">
        <v>2117</v>
      </c>
      <c r="N2123" s="16">
        <f t="shared" si="168"/>
        <v>0.75914634146341464</v>
      </c>
      <c r="O2123" s="16"/>
      <c r="P2123" s="16"/>
      <c r="Q2123" s="16">
        <f t="shared" si="169"/>
        <v>0.70355921650516096</v>
      </c>
    </row>
    <row r="2124" spans="4:17" ht="15" thickBot="1" x14ac:dyDescent="0.35">
      <c r="D2124" s="20">
        <f t="shared" si="165"/>
        <v>2118</v>
      </c>
      <c r="E2124" s="20">
        <f t="shared" si="166"/>
        <v>5050</v>
      </c>
      <c r="F2124" s="20">
        <f t="shared" si="167"/>
        <v>3950</v>
      </c>
      <c r="G2124" s="20">
        <v>0.40799019922058077</v>
      </c>
      <c r="H2124" s="50"/>
      <c r="I2124" s="16"/>
      <c r="J2124" s="16"/>
      <c r="K2124" s="16"/>
      <c r="L2124" s="16"/>
      <c r="M2124" s="16">
        <v>2118</v>
      </c>
      <c r="N2124" s="16">
        <f t="shared" si="168"/>
        <v>0.75950502152080346</v>
      </c>
      <c r="O2124" s="16"/>
      <c r="P2124" s="16"/>
      <c r="Q2124" s="16">
        <f t="shared" si="169"/>
        <v>0.70471123691262905</v>
      </c>
    </row>
    <row r="2125" spans="4:17" ht="15" thickBot="1" x14ac:dyDescent="0.35">
      <c r="D2125" s="20">
        <f t="shared" si="165"/>
        <v>2119</v>
      </c>
      <c r="E2125" s="20">
        <f t="shared" si="166"/>
        <v>5150</v>
      </c>
      <c r="F2125" s="20">
        <f t="shared" si="167"/>
        <v>3950</v>
      </c>
      <c r="G2125" s="20">
        <v>0.40803860036522893</v>
      </c>
      <c r="H2125" s="50"/>
      <c r="I2125" s="16"/>
      <c r="J2125" s="16"/>
      <c r="K2125" s="16"/>
      <c r="L2125" s="16"/>
      <c r="M2125" s="16">
        <v>2119</v>
      </c>
      <c r="N2125" s="16">
        <f t="shared" si="168"/>
        <v>0.75986370157819227</v>
      </c>
      <c r="O2125" s="16"/>
      <c r="P2125" s="16"/>
      <c r="Q2125" s="16">
        <f t="shared" si="169"/>
        <v>0.70586419333859551</v>
      </c>
    </row>
    <row r="2126" spans="4:17" ht="15" thickBot="1" x14ac:dyDescent="0.35">
      <c r="D2126" s="20">
        <f t="shared" si="165"/>
        <v>2120</v>
      </c>
      <c r="E2126" s="20">
        <f t="shared" si="166"/>
        <v>5250</v>
      </c>
      <c r="F2126" s="20">
        <f t="shared" si="167"/>
        <v>3950</v>
      </c>
      <c r="G2126" s="20">
        <v>0.40821626635830743</v>
      </c>
      <c r="H2126" s="50"/>
      <c r="I2126" s="16"/>
      <c r="J2126" s="16"/>
      <c r="K2126" s="16"/>
      <c r="L2126" s="16"/>
      <c r="M2126" s="16">
        <v>2120</v>
      </c>
      <c r="N2126" s="16">
        <f t="shared" si="168"/>
        <v>0.76022238163558109</v>
      </c>
      <c r="O2126" s="16"/>
      <c r="P2126" s="16"/>
      <c r="Q2126" s="16">
        <f t="shared" si="169"/>
        <v>0.70701808884046136</v>
      </c>
    </row>
    <row r="2127" spans="4:17" ht="15" thickBot="1" x14ac:dyDescent="0.35">
      <c r="D2127" s="20">
        <f t="shared" si="165"/>
        <v>2121</v>
      </c>
      <c r="E2127" s="20">
        <f t="shared" si="166"/>
        <v>50</v>
      </c>
      <c r="F2127" s="20">
        <f t="shared" si="167"/>
        <v>4050</v>
      </c>
      <c r="G2127" s="20">
        <v>0.40828442714977436</v>
      </c>
      <c r="H2127" s="50"/>
      <c r="I2127" s="16"/>
      <c r="J2127" s="16"/>
      <c r="K2127" s="16"/>
      <c r="L2127" s="16"/>
      <c r="M2127" s="16">
        <v>2121</v>
      </c>
      <c r="N2127" s="16">
        <f t="shared" si="168"/>
        <v>0.76058106169296991</v>
      </c>
      <c r="O2127" s="16"/>
      <c r="P2127" s="16"/>
      <c r="Q2127" s="16">
        <f t="shared" si="169"/>
        <v>0.70817292648810803</v>
      </c>
    </row>
    <row r="2128" spans="4:17" ht="15" thickBot="1" x14ac:dyDescent="0.35">
      <c r="D2128" s="20">
        <f t="shared" si="165"/>
        <v>2122</v>
      </c>
      <c r="E2128" s="48">
        <f t="shared" si="166"/>
        <v>150</v>
      </c>
      <c r="F2128" s="48">
        <f t="shared" si="167"/>
        <v>4050</v>
      </c>
      <c r="G2128" s="20">
        <v>0.40829189868619897</v>
      </c>
      <c r="H2128" s="50"/>
      <c r="I2128" s="16"/>
      <c r="J2128" s="16"/>
      <c r="K2128" s="16"/>
      <c r="L2128" s="16"/>
      <c r="M2128" s="16">
        <v>2122</v>
      </c>
      <c r="N2128" s="16">
        <f t="shared" si="168"/>
        <v>0.76093974175035872</v>
      </c>
      <c r="O2128" s="16"/>
      <c r="P2128" s="16"/>
      <c r="Q2128" s="16">
        <f t="shared" si="169"/>
        <v>0.7093287093639723</v>
      </c>
    </row>
    <row r="2129" spans="4:17" ht="15" thickBot="1" x14ac:dyDescent="0.35">
      <c r="D2129" s="20">
        <f t="shared" si="165"/>
        <v>2123</v>
      </c>
      <c r="E2129" s="45">
        <f t="shared" si="166"/>
        <v>250</v>
      </c>
      <c r="F2129" s="45">
        <f t="shared" si="167"/>
        <v>4050</v>
      </c>
      <c r="G2129" s="20">
        <v>0.40829314571458747</v>
      </c>
      <c r="H2129" s="50"/>
      <c r="I2129" s="16"/>
      <c r="J2129" s="16"/>
      <c r="K2129" s="16"/>
      <c r="L2129" s="16"/>
      <c r="M2129" s="16">
        <v>2123</v>
      </c>
      <c r="N2129" s="16">
        <f t="shared" si="168"/>
        <v>0.76129842180774754</v>
      </c>
      <c r="O2129" s="16"/>
      <c r="P2129" s="16"/>
      <c r="Q2129" s="16">
        <f t="shared" si="169"/>
        <v>0.71048544056311713</v>
      </c>
    </row>
    <row r="2130" spans="4:17" ht="15" thickBot="1" x14ac:dyDescent="0.35">
      <c r="D2130" s="20">
        <f t="shared" si="165"/>
        <v>2124</v>
      </c>
      <c r="E2130" s="20">
        <f t="shared" si="166"/>
        <v>350</v>
      </c>
      <c r="F2130" s="20">
        <f t="shared" si="167"/>
        <v>4050</v>
      </c>
      <c r="G2130" s="20">
        <v>0.40836549681884643</v>
      </c>
      <c r="H2130" s="50"/>
      <c r="I2130" s="16"/>
      <c r="J2130" s="16"/>
      <c r="K2130" s="16"/>
      <c r="L2130" s="16"/>
      <c r="M2130" s="16">
        <v>2124</v>
      </c>
      <c r="N2130" s="16">
        <f t="shared" si="168"/>
        <v>0.76165710186513624</v>
      </c>
      <c r="O2130" s="16"/>
      <c r="P2130" s="16"/>
      <c r="Q2130" s="16">
        <f t="shared" si="169"/>
        <v>0.71164312319330925</v>
      </c>
    </row>
    <row r="2131" spans="4:17" ht="15" thickBot="1" x14ac:dyDescent="0.35">
      <c r="D2131" s="20">
        <f t="shared" si="165"/>
        <v>2125</v>
      </c>
      <c r="E2131" s="20">
        <f t="shared" si="166"/>
        <v>450</v>
      </c>
      <c r="F2131" s="20">
        <f t="shared" si="167"/>
        <v>4050</v>
      </c>
      <c r="G2131" s="20">
        <v>0.40841609275294488</v>
      </c>
      <c r="H2131" s="50"/>
      <c r="I2131" s="16"/>
      <c r="J2131" s="16"/>
      <c r="K2131" s="16"/>
      <c r="L2131" s="16"/>
      <c r="M2131" s="16">
        <v>2125</v>
      </c>
      <c r="N2131" s="16">
        <f t="shared" si="168"/>
        <v>0.76201578192252506</v>
      </c>
      <c r="O2131" s="16"/>
      <c r="P2131" s="16"/>
      <c r="Q2131" s="16">
        <f t="shared" si="169"/>
        <v>0.71280176037509191</v>
      </c>
    </row>
    <row r="2132" spans="4:17" ht="15" thickBot="1" x14ac:dyDescent="0.35">
      <c r="D2132" s="20">
        <f t="shared" si="165"/>
        <v>2126</v>
      </c>
      <c r="E2132" s="20">
        <f t="shared" si="166"/>
        <v>550</v>
      </c>
      <c r="F2132" s="20">
        <f t="shared" si="167"/>
        <v>4050</v>
      </c>
      <c r="G2132" s="20">
        <v>0.40845227052089605</v>
      </c>
      <c r="H2132" s="50"/>
      <c r="I2132" s="16"/>
      <c r="J2132" s="16"/>
      <c r="K2132" s="16"/>
      <c r="L2132" s="16"/>
      <c r="M2132" s="16">
        <v>2126</v>
      </c>
      <c r="N2132" s="16">
        <f t="shared" si="168"/>
        <v>0.76237446197991388</v>
      </c>
      <c r="O2132" s="16"/>
      <c r="P2132" s="16"/>
      <c r="Q2132" s="16">
        <f t="shared" si="169"/>
        <v>0.71396135524186277</v>
      </c>
    </row>
    <row r="2133" spans="4:17" ht="15" thickBot="1" x14ac:dyDescent="0.35">
      <c r="D2133" s="20">
        <f t="shared" si="165"/>
        <v>2127</v>
      </c>
      <c r="E2133" s="20">
        <f t="shared" si="166"/>
        <v>650</v>
      </c>
      <c r="F2133" s="20">
        <f t="shared" si="167"/>
        <v>4050</v>
      </c>
      <c r="G2133" s="20">
        <v>0.40850694472732779</v>
      </c>
      <c r="H2133" s="50"/>
      <c r="I2133" s="16"/>
      <c r="J2133" s="16"/>
      <c r="K2133" s="16"/>
      <c r="L2133" s="16"/>
      <c r="M2133" s="16">
        <v>2127</v>
      </c>
      <c r="N2133" s="16">
        <f t="shared" si="168"/>
        <v>0.76273314203730269</v>
      </c>
      <c r="O2133" s="16"/>
      <c r="P2133" s="16"/>
      <c r="Q2133" s="16">
        <f t="shared" si="169"/>
        <v>0.71512191093994781</v>
      </c>
    </row>
    <row r="2134" spans="4:17" ht="15" thickBot="1" x14ac:dyDescent="0.35">
      <c r="D2134" s="20">
        <f t="shared" si="165"/>
        <v>2128</v>
      </c>
      <c r="E2134" s="20">
        <f t="shared" si="166"/>
        <v>750</v>
      </c>
      <c r="F2134" s="20">
        <f t="shared" si="167"/>
        <v>4050</v>
      </c>
      <c r="G2134" s="20">
        <v>0.40851935803765799</v>
      </c>
      <c r="H2134" s="50"/>
      <c r="I2134" s="16"/>
      <c r="J2134" s="16"/>
      <c r="K2134" s="16"/>
      <c r="L2134" s="16"/>
      <c r="M2134" s="16">
        <v>2128</v>
      </c>
      <c r="N2134" s="16">
        <f t="shared" si="168"/>
        <v>0.76309182209469151</v>
      </c>
      <c r="O2134" s="16"/>
      <c r="P2134" s="16"/>
      <c r="Q2134" s="16">
        <f t="shared" si="169"/>
        <v>0.71628343062867905</v>
      </c>
    </row>
    <row r="2135" spans="4:17" ht="15" thickBot="1" x14ac:dyDescent="0.35">
      <c r="D2135" s="20">
        <f t="shared" si="165"/>
        <v>2129</v>
      </c>
      <c r="E2135" s="20">
        <f t="shared" si="166"/>
        <v>850</v>
      </c>
      <c r="F2135" s="20">
        <f t="shared" si="167"/>
        <v>4050</v>
      </c>
      <c r="G2135" s="20">
        <v>0.40854659758723677</v>
      </c>
      <c r="H2135" s="50"/>
      <c r="I2135" s="16"/>
      <c r="J2135" s="16"/>
      <c r="K2135" s="16"/>
      <c r="L2135" s="16"/>
      <c r="M2135" s="16">
        <v>2129</v>
      </c>
      <c r="N2135" s="16">
        <f t="shared" si="168"/>
        <v>0.76345050215208032</v>
      </c>
      <c r="O2135" s="16"/>
      <c r="P2135" s="16"/>
      <c r="Q2135" s="16">
        <f t="shared" si="169"/>
        <v>0.71744591748047404</v>
      </c>
    </row>
    <row r="2136" spans="4:17" ht="15" thickBot="1" x14ac:dyDescent="0.35">
      <c r="D2136" s="20">
        <f t="shared" si="165"/>
        <v>2130</v>
      </c>
      <c r="E2136" s="20">
        <f t="shared" si="166"/>
        <v>950</v>
      </c>
      <c r="F2136" s="20">
        <f t="shared" si="167"/>
        <v>4050</v>
      </c>
      <c r="G2136" s="20">
        <v>0.40858890357124128</v>
      </c>
      <c r="H2136" s="50"/>
      <c r="I2136" s="16"/>
      <c r="J2136" s="16"/>
      <c r="K2136" s="16"/>
      <c r="L2136" s="16"/>
      <c r="M2136" s="16">
        <v>2130</v>
      </c>
      <c r="N2136" s="16">
        <f t="shared" si="168"/>
        <v>0.76380918220946914</v>
      </c>
      <c r="O2136" s="16"/>
      <c r="P2136" s="16"/>
      <c r="Q2136" s="16">
        <f t="shared" si="169"/>
        <v>0.71860937468090946</v>
      </c>
    </row>
    <row r="2137" spans="4:17" ht="15" thickBot="1" x14ac:dyDescent="0.35">
      <c r="D2137" s="20">
        <f t="shared" si="165"/>
        <v>2131</v>
      </c>
      <c r="E2137" s="44">
        <f t="shared" si="166"/>
        <v>1050</v>
      </c>
      <c r="F2137" s="44">
        <f t="shared" si="167"/>
        <v>4050</v>
      </c>
      <c r="G2137" s="20">
        <v>0.40861547961834399</v>
      </c>
      <c r="H2137" s="50"/>
      <c r="I2137" s="16"/>
      <c r="J2137" s="16"/>
      <c r="K2137" s="16"/>
      <c r="L2137" s="16"/>
      <c r="M2137" s="16">
        <v>2131</v>
      </c>
      <c r="N2137" s="16">
        <f t="shared" si="168"/>
        <v>0.76416786226685796</v>
      </c>
      <c r="O2137" s="16"/>
      <c r="P2137" s="16"/>
      <c r="Q2137" s="16">
        <f t="shared" si="169"/>
        <v>0.71977380542880454</v>
      </c>
    </row>
    <row r="2138" spans="4:17" ht="15" thickBot="1" x14ac:dyDescent="0.35">
      <c r="D2138" s="20">
        <f t="shared" si="165"/>
        <v>2132</v>
      </c>
      <c r="E2138" s="20">
        <f t="shared" si="166"/>
        <v>1150</v>
      </c>
      <c r="F2138" s="20">
        <f t="shared" si="167"/>
        <v>4050</v>
      </c>
      <c r="G2138" s="20">
        <v>0.40865044229632763</v>
      </c>
      <c r="H2138" s="50"/>
      <c r="I2138" s="16"/>
      <c r="J2138" s="16"/>
      <c r="K2138" s="16"/>
      <c r="L2138" s="16"/>
      <c r="M2138" s="16">
        <v>2132</v>
      </c>
      <c r="N2138" s="16">
        <f t="shared" si="168"/>
        <v>0.76452654232424677</v>
      </c>
      <c r="O2138" s="16"/>
      <c r="P2138" s="16"/>
      <c r="Q2138" s="16">
        <f t="shared" si="169"/>
        <v>0.72093921293629504</v>
      </c>
    </row>
    <row r="2139" spans="4:17" ht="15" thickBot="1" x14ac:dyDescent="0.35">
      <c r="D2139" s="20">
        <f t="shared" si="165"/>
        <v>2133</v>
      </c>
      <c r="E2139" s="48">
        <f t="shared" si="166"/>
        <v>1250</v>
      </c>
      <c r="F2139" s="48">
        <f t="shared" si="167"/>
        <v>4050</v>
      </c>
      <c r="G2139" s="20">
        <v>0.40872467597891671</v>
      </c>
      <c r="H2139" s="50"/>
      <c r="I2139" s="16"/>
      <c r="J2139" s="16"/>
      <c r="K2139" s="16"/>
      <c r="L2139" s="16"/>
      <c r="M2139" s="16">
        <v>2133</v>
      </c>
      <c r="N2139" s="16">
        <f t="shared" si="168"/>
        <v>0.76488522238163559</v>
      </c>
      <c r="O2139" s="16"/>
      <c r="P2139" s="16"/>
      <c r="Q2139" s="16">
        <f t="shared" si="169"/>
        <v>0.72210560042891747</v>
      </c>
    </row>
    <row r="2140" spans="4:17" ht="15" thickBot="1" x14ac:dyDescent="0.35">
      <c r="D2140" s="20">
        <f t="shared" si="165"/>
        <v>2134</v>
      </c>
      <c r="E2140" s="43">
        <f t="shared" si="166"/>
        <v>1350</v>
      </c>
      <c r="F2140" s="43">
        <f t="shared" si="167"/>
        <v>4050</v>
      </c>
      <c r="G2140" s="20">
        <v>0.40882791325772316</v>
      </c>
      <c r="H2140" s="50"/>
      <c r="I2140" s="16"/>
      <c r="J2140" s="16"/>
      <c r="K2140" s="16"/>
      <c r="L2140" s="16"/>
      <c r="M2140" s="16">
        <v>2134</v>
      </c>
      <c r="N2140" s="16">
        <f t="shared" si="168"/>
        <v>0.7652439024390244</v>
      </c>
      <c r="O2140" s="16"/>
      <c r="P2140" s="16"/>
      <c r="Q2140" s="16">
        <f t="shared" si="169"/>
        <v>0.72327297114568678</v>
      </c>
    </row>
    <row r="2141" spans="4:17" ht="15" thickBot="1" x14ac:dyDescent="0.35">
      <c r="D2141" s="20">
        <f t="shared" si="165"/>
        <v>2135</v>
      </c>
      <c r="E2141" s="20">
        <f t="shared" si="166"/>
        <v>1450</v>
      </c>
      <c r="F2141" s="20">
        <f t="shared" si="167"/>
        <v>4050</v>
      </c>
      <c r="G2141" s="20">
        <v>0.40898927791698858</v>
      </c>
      <c r="H2141" s="50"/>
      <c r="I2141" s="16"/>
      <c r="J2141" s="16"/>
      <c r="K2141" s="16"/>
      <c r="L2141" s="16"/>
      <c r="M2141" s="16">
        <v>2135</v>
      </c>
      <c r="N2141" s="16">
        <f t="shared" si="168"/>
        <v>0.76560258249641322</v>
      </c>
      <c r="O2141" s="16"/>
      <c r="P2141" s="16"/>
      <c r="Q2141" s="16">
        <f t="shared" si="169"/>
        <v>0.72444132833917729</v>
      </c>
    </row>
    <row r="2142" spans="4:17" ht="15" thickBot="1" x14ac:dyDescent="0.35">
      <c r="D2142" s="20">
        <f t="shared" si="165"/>
        <v>2136</v>
      </c>
      <c r="E2142" s="20">
        <f t="shared" si="166"/>
        <v>1550</v>
      </c>
      <c r="F2142" s="20">
        <f t="shared" si="167"/>
        <v>4050</v>
      </c>
      <c r="G2142" s="20">
        <v>0.40911636656337336</v>
      </c>
      <c r="H2142" s="50"/>
      <c r="I2142" s="16"/>
      <c r="J2142" s="16"/>
      <c r="K2142" s="16"/>
      <c r="L2142" s="16"/>
      <c r="M2142" s="16">
        <v>2136</v>
      </c>
      <c r="N2142" s="16">
        <f t="shared" si="168"/>
        <v>0.76596126255380204</v>
      </c>
      <c r="O2142" s="16"/>
      <c r="P2142" s="16"/>
      <c r="Q2142" s="16">
        <f t="shared" si="169"/>
        <v>0.72561067527560552</v>
      </c>
    </row>
    <row r="2143" spans="4:17" ht="15" thickBot="1" x14ac:dyDescent="0.35">
      <c r="D2143" s="20">
        <f t="shared" si="165"/>
        <v>2137</v>
      </c>
      <c r="E2143" s="20">
        <f t="shared" si="166"/>
        <v>1650</v>
      </c>
      <c r="F2143" s="20">
        <f t="shared" si="167"/>
        <v>4050</v>
      </c>
      <c r="G2143" s="20">
        <v>0.40923532375277633</v>
      </c>
      <c r="H2143" s="50"/>
      <c r="I2143" s="16"/>
      <c r="J2143" s="16"/>
      <c r="K2143" s="16"/>
      <c r="L2143" s="16"/>
      <c r="M2143" s="16">
        <v>2137</v>
      </c>
      <c r="N2143" s="16">
        <f t="shared" si="168"/>
        <v>0.76631994261119085</v>
      </c>
      <c r="O2143" s="16"/>
      <c r="P2143" s="16"/>
      <c r="Q2143" s="16">
        <f t="shared" si="169"/>
        <v>0.7267810152349109</v>
      </c>
    </row>
    <row r="2144" spans="4:17" ht="15" thickBot="1" x14ac:dyDescent="0.35">
      <c r="D2144" s="20">
        <f t="shared" si="165"/>
        <v>2138</v>
      </c>
      <c r="E2144" s="20">
        <f t="shared" si="166"/>
        <v>1750</v>
      </c>
      <c r="F2144" s="20">
        <f t="shared" si="167"/>
        <v>4050</v>
      </c>
      <c r="G2144" s="20">
        <v>0.40931109812644384</v>
      </c>
      <c r="H2144" s="50"/>
      <c r="I2144" s="16"/>
      <c r="J2144" s="16"/>
      <c r="K2144" s="16"/>
      <c r="L2144" s="16"/>
      <c r="M2144" s="16">
        <v>2138</v>
      </c>
      <c r="N2144" s="16">
        <f t="shared" si="168"/>
        <v>0.76667862266857967</v>
      </c>
      <c r="O2144" s="16"/>
      <c r="P2144" s="16"/>
      <c r="Q2144" s="16">
        <f t="shared" si="169"/>
        <v>0.72795235151083948</v>
      </c>
    </row>
    <row r="2145" spans="4:17" ht="15" thickBot="1" x14ac:dyDescent="0.35">
      <c r="D2145" s="20">
        <f t="shared" si="165"/>
        <v>2139</v>
      </c>
      <c r="E2145" s="20">
        <f t="shared" si="166"/>
        <v>1850</v>
      </c>
      <c r="F2145" s="20">
        <f t="shared" si="167"/>
        <v>4050</v>
      </c>
      <c r="G2145" s="20">
        <v>0.40941279799389618</v>
      </c>
      <c r="H2145" s="50"/>
      <c r="I2145" s="16"/>
      <c r="J2145" s="16"/>
      <c r="K2145" s="16"/>
      <c r="L2145" s="16"/>
      <c r="M2145" s="16">
        <v>2139</v>
      </c>
      <c r="N2145" s="16">
        <f t="shared" si="168"/>
        <v>0.76703730272596848</v>
      </c>
      <c r="O2145" s="16"/>
      <c r="P2145" s="16"/>
      <c r="Q2145" s="16">
        <f t="shared" si="169"/>
        <v>0.72912468741102621</v>
      </c>
    </row>
    <row r="2146" spans="4:17" ht="15" thickBot="1" x14ac:dyDescent="0.35">
      <c r="D2146" s="20">
        <f t="shared" si="165"/>
        <v>2140</v>
      </c>
      <c r="E2146" s="20">
        <f t="shared" si="166"/>
        <v>1950</v>
      </c>
      <c r="F2146" s="20">
        <f t="shared" si="167"/>
        <v>4050</v>
      </c>
      <c r="G2146" s="20">
        <v>0.40943224264840905</v>
      </c>
      <c r="H2146" s="50"/>
      <c r="I2146" s="16"/>
      <c r="J2146" s="16"/>
      <c r="K2146" s="16"/>
      <c r="L2146" s="16"/>
      <c r="M2146" s="16">
        <v>2140</v>
      </c>
      <c r="N2146" s="16">
        <f t="shared" si="168"/>
        <v>0.7673959827833573</v>
      </c>
      <c r="O2146" s="16"/>
      <c r="P2146" s="16"/>
      <c r="Q2146" s="16">
        <f t="shared" si="169"/>
        <v>0.73029802625707907</v>
      </c>
    </row>
    <row r="2147" spans="4:17" ht="15" thickBot="1" x14ac:dyDescent="0.35">
      <c r="D2147" s="20">
        <f t="shared" si="165"/>
        <v>2141</v>
      </c>
      <c r="E2147" s="20">
        <f t="shared" si="166"/>
        <v>2050</v>
      </c>
      <c r="F2147" s="20">
        <f t="shared" si="167"/>
        <v>4050</v>
      </c>
      <c r="G2147" s="20">
        <v>0.40958002667687654</v>
      </c>
      <c r="H2147" s="50"/>
      <c r="I2147" s="16"/>
      <c r="J2147" s="16"/>
      <c r="K2147" s="16"/>
      <c r="L2147" s="16"/>
      <c r="M2147" s="16">
        <v>2141</v>
      </c>
      <c r="N2147" s="16">
        <f t="shared" si="168"/>
        <v>0.767754662840746</v>
      </c>
      <c r="O2147" s="16"/>
      <c r="P2147" s="16"/>
      <c r="Q2147" s="16">
        <f t="shared" si="169"/>
        <v>0.73147237138466448</v>
      </c>
    </row>
    <row r="2148" spans="4:17" ht="15" thickBot="1" x14ac:dyDescent="0.35">
      <c r="D2148" s="20">
        <f t="shared" si="165"/>
        <v>2142</v>
      </c>
      <c r="E2148" s="20">
        <f t="shared" si="166"/>
        <v>2150</v>
      </c>
      <c r="F2148" s="20">
        <f t="shared" si="167"/>
        <v>4050</v>
      </c>
      <c r="G2148" s="20">
        <v>0.40970136756627562</v>
      </c>
      <c r="H2148" s="50"/>
      <c r="I2148" s="16"/>
      <c r="J2148" s="16"/>
      <c r="K2148" s="16"/>
      <c r="L2148" s="16"/>
      <c r="M2148" s="16">
        <v>2142</v>
      </c>
      <c r="N2148" s="16">
        <f t="shared" si="168"/>
        <v>0.76811334289813482</v>
      </c>
      <c r="O2148" s="16"/>
      <c r="P2148" s="16"/>
      <c r="Q2148" s="16">
        <f t="shared" si="169"/>
        <v>0.73264772614359142</v>
      </c>
    </row>
    <row r="2149" spans="4:17" ht="15" thickBot="1" x14ac:dyDescent="0.35">
      <c r="D2149" s="20">
        <f t="shared" si="165"/>
        <v>2143</v>
      </c>
      <c r="E2149" s="20">
        <f t="shared" si="166"/>
        <v>2250</v>
      </c>
      <c r="F2149" s="20">
        <f t="shared" si="167"/>
        <v>4050</v>
      </c>
      <c r="G2149" s="20">
        <v>0.40970688604554661</v>
      </c>
      <c r="H2149" s="50"/>
      <c r="I2149" s="16"/>
      <c r="J2149" s="16"/>
      <c r="K2149" s="16"/>
      <c r="L2149" s="16"/>
      <c r="M2149" s="16">
        <v>2143</v>
      </c>
      <c r="N2149" s="16">
        <f t="shared" si="168"/>
        <v>0.76847202295552364</v>
      </c>
      <c r="O2149" s="16"/>
      <c r="P2149" s="16"/>
      <c r="Q2149" s="16">
        <f t="shared" si="169"/>
        <v>0.73382409389789827</v>
      </c>
    </row>
    <row r="2150" spans="4:17" ht="15" thickBot="1" x14ac:dyDescent="0.35">
      <c r="D2150" s="20">
        <f t="shared" si="165"/>
        <v>2144</v>
      </c>
      <c r="E2150" s="20">
        <f t="shared" si="166"/>
        <v>2350</v>
      </c>
      <c r="F2150" s="20">
        <f t="shared" si="167"/>
        <v>4050</v>
      </c>
      <c r="G2150" s="20">
        <v>0.40975125225111675</v>
      </c>
      <c r="H2150" s="50"/>
      <c r="I2150" s="16"/>
      <c r="J2150" s="16"/>
      <c r="K2150" s="16"/>
      <c r="L2150" s="16"/>
      <c r="M2150" s="16">
        <v>2144</v>
      </c>
      <c r="N2150" s="16">
        <f t="shared" si="168"/>
        <v>0.76883070301291245</v>
      </c>
      <c r="O2150" s="16"/>
      <c r="P2150" s="16"/>
      <c r="Q2150" s="16">
        <f t="shared" si="169"/>
        <v>0.73500147802593829</v>
      </c>
    </row>
    <row r="2151" spans="4:17" ht="15" thickBot="1" x14ac:dyDescent="0.35">
      <c r="D2151" s="20">
        <f t="shared" si="165"/>
        <v>2145</v>
      </c>
      <c r="E2151" s="48">
        <f t="shared" si="166"/>
        <v>2450</v>
      </c>
      <c r="F2151" s="48">
        <f t="shared" si="167"/>
        <v>4050</v>
      </c>
      <c r="G2151" s="20">
        <v>0.40989688812153241</v>
      </c>
      <c r="H2151" s="50"/>
      <c r="I2151" s="16"/>
      <c r="J2151" s="16"/>
      <c r="K2151" s="16"/>
      <c r="L2151" s="16"/>
      <c r="M2151" s="16">
        <v>2145</v>
      </c>
      <c r="N2151" s="16">
        <f t="shared" si="168"/>
        <v>0.76918938307030127</v>
      </c>
      <c r="O2151" s="16"/>
      <c r="P2151" s="16"/>
      <c r="Q2151" s="16">
        <f t="shared" si="169"/>
        <v>0.73617988192046735</v>
      </c>
    </row>
    <row r="2152" spans="4:17" ht="15" thickBot="1" x14ac:dyDescent="0.35">
      <c r="D2152" s="20">
        <f t="shared" si="165"/>
        <v>2146</v>
      </c>
      <c r="E2152" s="20">
        <f t="shared" si="166"/>
        <v>2550</v>
      </c>
      <c r="F2152" s="20">
        <f t="shared" si="167"/>
        <v>4050</v>
      </c>
      <c r="G2152" s="20">
        <v>0.41018172316940688</v>
      </c>
      <c r="H2152" s="50"/>
      <c r="I2152" s="16"/>
      <c r="J2152" s="16"/>
      <c r="K2152" s="16"/>
      <c r="L2152" s="16"/>
      <c r="M2152" s="16">
        <v>2146</v>
      </c>
      <c r="N2152" s="16">
        <f t="shared" si="168"/>
        <v>0.76954806312769009</v>
      </c>
      <c r="O2152" s="16"/>
      <c r="P2152" s="16"/>
      <c r="Q2152" s="16">
        <f t="shared" si="169"/>
        <v>0.73735930898873114</v>
      </c>
    </row>
    <row r="2153" spans="4:17" ht="15" thickBot="1" x14ac:dyDescent="0.35">
      <c r="D2153" s="20">
        <f t="shared" si="165"/>
        <v>2147</v>
      </c>
      <c r="E2153" s="20">
        <f t="shared" si="166"/>
        <v>2650</v>
      </c>
      <c r="F2153" s="20">
        <f t="shared" si="167"/>
        <v>4050</v>
      </c>
      <c r="G2153" s="20">
        <v>0.41022510022567182</v>
      </c>
      <c r="H2153" s="50"/>
      <c r="I2153" s="16"/>
      <c r="J2153" s="16"/>
      <c r="K2153" s="16"/>
      <c r="L2153" s="16"/>
      <c r="M2153" s="16">
        <v>2147</v>
      </c>
      <c r="N2153" s="16">
        <f t="shared" si="168"/>
        <v>0.7699067431850789</v>
      </c>
      <c r="O2153" s="16"/>
      <c r="P2153" s="16"/>
      <c r="Q2153" s="16">
        <f t="shared" si="169"/>
        <v>0.73853976265255361</v>
      </c>
    </row>
    <row r="2154" spans="4:17" ht="15" thickBot="1" x14ac:dyDescent="0.35">
      <c r="D2154" s="20">
        <f t="shared" si="165"/>
        <v>2148</v>
      </c>
      <c r="E2154" s="20">
        <f t="shared" si="166"/>
        <v>2750</v>
      </c>
      <c r="F2154" s="20">
        <f t="shared" si="167"/>
        <v>4050</v>
      </c>
      <c r="G2154" s="20">
        <v>0.41023790918246156</v>
      </c>
      <c r="H2154" s="50"/>
      <c r="I2154" s="16"/>
      <c r="J2154" s="16"/>
      <c r="K2154" s="16"/>
      <c r="L2154" s="16"/>
      <c r="M2154" s="16">
        <v>2148</v>
      </c>
      <c r="N2154" s="16">
        <f t="shared" si="168"/>
        <v>0.77026542324246772</v>
      </c>
      <c r="O2154" s="16"/>
      <c r="P2154" s="16"/>
      <c r="Q2154" s="16">
        <f t="shared" si="169"/>
        <v>0.73972124634842751</v>
      </c>
    </row>
    <row r="2155" spans="4:17" ht="15" thickBot="1" x14ac:dyDescent="0.35">
      <c r="D2155" s="20">
        <f t="shared" si="165"/>
        <v>2149</v>
      </c>
      <c r="E2155" s="20">
        <f t="shared" si="166"/>
        <v>2850</v>
      </c>
      <c r="F2155" s="20">
        <f t="shared" si="167"/>
        <v>4050</v>
      </c>
      <c r="G2155" s="20">
        <v>0.41034605817919945</v>
      </c>
      <c r="H2155" s="50"/>
      <c r="I2155" s="16"/>
      <c r="J2155" s="16"/>
      <c r="K2155" s="16"/>
      <c r="L2155" s="16"/>
      <c r="M2155" s="16">
        <v>2149</v>
      </c>
      <c r="N2155" s="16">
        <f t="shared" si="168"/>
        <v>0.77062410329985653</v>
      </c>
      <c r="O2155" s="16"/>
      <c r="P2155" s="16"/>
      <c r="Q2155" s="16">
        <f t="shared" si="169"/>
        <v>0.74090376352760345</v>
      </c>
    </row>
    <row r="2156" spans="4:17" ht="15" thickBot="1" x14ac:dyDescent="0.35">
      <c r="D2156" s="20">
        <f t="shared" si="165"/>
        <v>2150</v>
      </c>
      <c r="E2156" s="20">
        <f t="shared" si="166"/>
        <v>2950</v>
      </c>
      <c r="F2156" s="20">
        <f t="shared" si="167"/>
        <v>4050</v>
      </c>
      <c r="G2156" s="20">
        <v>0.41036758089236564</v>
      </c>
      <c r="H2156" s="50"/>
      <c r="I2156" s="16"/>
      <c r="J2156" s="16"/>
      <c r="K2156" s="16"/>
      <c r="L2156" s="16"/>
      <c r="M2156" s="16">
        <v>2150</v>
      </c>
      <c r="N2156" s="16">
        <f t="shared" si="168"/>
        <v>0.77098278335724535</v>
      </c>
      <c r="O2156" s="16"/>
      <c r="P2156" s="16"/>
      <c r="Q2156" s="16">
        <f t="shared" si="169"/>
        <v>0.74208731765617653</v>
      </c>
    </row>
    <row r="2157" spans="4:17" ht="15" thickBot="1" x14ac:dyDescent="0.35">
      <c r="D2157" s="20">
        <f t="shared" si="165"/>
        <v>2151</v>
      </c>
      <c r="E2157" s="20">
        <f t="shared" si="166"/>
        <v>3050</v>
      </c>
      <c r="F2157" s="20">
        <f t="shared" si="167"/>
        <v>4050</v>
      </c>
      <c r="G2157" s="20">
        <v>0.41038082736154691</v>
      </c>
      <c r="H2157" s="50"/>
      <c r="I2157" s="16"/>
      <c r="J2157" s="16"/>
      <c r="K2157" s="16"/>
      <c r="L2157" s="16"/>
      <c r="M2157" s="16">
        <v>2151</v>
      </c>
      <c r="N2157" s="16">
        <f t="shared" si="168"/>
        <v>0.77134146341463417</v>
      </c>
      <c r="O2157" s="16"/>
      <c r="P2157" s="16"/>
      <c r="Q2157" s="16">
        <f t="shared" si="169"/>
        <v>0.74327191221518607</v>
      </c>
    </row>
    <row r="2158" spans="4:17" ht="15" thickBot="1" x14ac:dyDescent="0.35">
      <c r="D2158" s="20">
        <f t="shared" si="165"/>
        <v>2152</v>
      </c>
      <c r="E2158" s="20">
        <f t="shared" si="166"/>
        <v>3150</v>
      </c>
      <c r="F2158" s="20">
        <f t="shared" si="167"/>
        <v>4050</v>
      </c>
      <c r="G2158" s="20">
        <v>0.41040458582996503</v>
      </c>
      <c r="H2158" s="50"/>
      <c r="I2158" s="16"/>
      <c r="J2158" s="16"/>
      <c r="K2158" s="16"/>
      <c r="L2158" s="16"/>
      <c r="M2158" s="16">
        <v>2152</v>
      </c>
      <c r="N2158" s="16">
        <f t="shared" si="168"/>
        <v>0.77170014347202298</v>
      </c>
      <c r="O2158" s="16"/>
      <c r="P2158" s="16"/>
      <c r="Q2158" s="16">
        <f t="shared" si="169"/>
        <v>0.74445755070069775</v>
      </c>
    </row>
    <row r="2159" spans="4:17" ht="15" thickBot="1" x14ac:dyDescent="0.35">
      <c r="D2159" s="20">
        <f t="shared" si="165"/>
        <v>2153</v>
      </c>
      <c r="E2159" s="20">
        <f t="shared" si="166"/>
        <v>3250</v>
      </c>
      <c r="F2159" s="20">
        <f t="shared" si="167"/>
        <v>4050</v>
      </c>
      <c r="G2159" s="20">
        <v>0.41056527804716869</v>
      </c>
      <c r="H2159" s="50"/>
      <c r="I2159" s="16"/>
      <c r="J2159" s="16"/>
      <c r="K2159" s="16"/>
      <c r="L2159" s="16"/>
      <c r="M2159" s="16">
        <v>2153</v>
      </c>
      <c r="N2159" s="16">
        <f t="shared" si="168"/>
        <v>0.7720588235294118</v>
      </c>
      <c r="O2159" s="16"/>
      <c r="P2159" s="16"/>
      <c r="Q2159" s="16">
        <f t="shared" si="169"/>
        <v>0.74564423662390367</v>
      </c>
    </row>
    <row r="2160" spans="4:17" ht="15" thickBot="1" x14ac:dyDescent="0.35">
      <c r="D2160" s="20">
        <f t="shared" si="165"/>
        <v>2154</v>
      </c>
      <c r="E2160" s="20">
        <f t="shared" si="166"/>
        <v>3350</v>
      </c>
      <c r="F2160" s="20">
        <f t="shared" si="167"/>
        <v>4050</v>
      </c>
      <c r="G2160" s="20">
        <v>0.41059195260138598</v>
      </c>
      <c r="H2160" s="50"/>
      <c r="I2160" s="16"/>
      <c r="J2160" s="16"/>
      <c r="K2160" s="16"/>
      <c r="L2160" s="16"/>
      <c r="M2160" s="16">
        <v>2154</v>
      </c>
      <c r="N2160" s="16">
        <f t="shared" si="168"/>
        <v>0.77241750358680061</v>
      </c>
      <c r="O2160" s="16"/>
      <c r="P2160" s="16"/>
      <c r="Q2160" s="16">
        <f t="shared" si="169"/>
        <v>0.74683197351121133</v>
      </c>
    </row>
    <row r="2161" spans="4:17" ht="15" thickBot="1" x14ac:dyDescent="0.35">
      <c r="D2161" s="20">
        <f t="shared" si="165"/>
        <v>2155</v>
      </c>
      <c r="E2161" s="20">
        <f t="shared" si="166"/>
        <v>3450</v>
      </c>
      <c r="F2161" s="20">
        <f t="shared" si="167"/>
        <v>4050</v>
      </c>
      <c r="G2161" s="20">
        <v>0.41061405948554131</v>
      </c>
      <c r="H2161" s="50"/>
      <c r="I2161" s="16"/>
      <c r="J2161" s="16"/>
      <c r="K2161" s="16"/>
      <c r="L2161" s="16"/>
      <c r="M2161" s="16">
        <v>2155</v>
      </c>
      <c r="N2161" s="16">
        <f t="shared" si="168"/>
        <v>0.77277618364418943</v>
      </c>
      <c r="O2161" s="16"/>
      <c r="P2161" s="16"/>
      <c r="Q2161" s="16">
        <f t="shared" si="169"/>
        <v>0.74802076490433922</v>
      </c>
    </row>
    <row r="2162" spans="4:17" ht="15" thickBot="1" x14ac:dyDescent="0.35">
      <c r="D2162" s="20">
        <f t="shared" si="165"/>
        <v>2156</v>
      </c>
      <c r="E2162" s="45">
        <f t="shared" si="166"/>
        <v>3550</v>
      </c>
      <c r="F2162" s="45">
        <f t="shared" si="167"/>
        <v>4050</v>
      </c>
      <c r="G2162" s="20">
        <v>0.41067395634621495</v>
      </c>
      <c r="H2162" s="50"/>
      <c r="I2162" s="16"/>
      <c r="J2162" s="16"/>
      <c r="K2162" s="16"/>
      <c r="L2162" s="16"/>
      <c r="M2162" s="16">
        <v>2156</v>
      </c>
      <c r="N2162" s="16">
        <f t="shared" si="168"/>
        <v>0.77313486370157825</v>
      </c>
      <c r="O2162" s="16"/>
      <c r="P2162" s="16"/>
      <c r="Q2162" s="16">
        <f t="shared" si="169"/>
        <v>0.74921061436041136</v>
      </c>
    </row>
    <row r="2163" spans="4:17" ht="15" thickBot="1" x14ac:dyDescent="0.35">
      <c r="D2163" s="20">
        <f t="shared" si="165"/>
        <v>2157</v>
      </c>
      <c r="E2163" s="20">
        <f t="shared" si="166"/>
        <v>3650</v>
      </c>
      <c r="F2163" s="20">
        <f t="shared" si="167"/>
        <v>4050</v>
      </c>
      <c r="G2163" s="20">
        <v>0.41080139271327587</v>
      </c>
      <c r="H2163" s="50"/>
      <c r="I2163" s="16"/>
      <c r="J2163" s="16"/>
      <c r="K2163" s="16"/>
      <c r="L2163" s="16"/>
      <c r="M2163" s="16">
        <v>2157</v>
      </c>
      <c r="N2163" s="16">
        <f t="shared" si="168"/>
        <v>0.77349354375896695</v>
      </c>
      <c r="O2163" s="16"/>
      <c r="P2163" s="16"/>
      <c r="Q2163" s="16">
        <f t="shared" si="169"/>
        <v>0.75040152545205274</v>
      </c>
    </row>
    <row r="2164" spans="4:17" ht="15" thickBot="1" x14ac:dyDescent="0.35">
      <c r="D2164" s="20">
        <f t="shared" si="165"/>
        <v>2158</v>
      </c>
      <c r="E2164" s="20">
        <f t="shared" si="166"/>
        <v>3750</v>
      </c>
      <c r="F2164" s="20">
        <f t="shared" si="167"/>
        <v>4050</v>
      </c>
      <c r="G2164" s="20">
        <v>0.41092004950012817</v>
      </c>
      <c r="H2164" s="50"/>
      <c r="I2164" s="16"/>
      <c r="J2164" s="16"/>
      <c r="K2164" s="16"/>
      <c r="L2164" s="16"/>
      <c r="M2164" s="16">
        <v>2158</v>
      </c>
      <c r="N2164" s="16">
        <f t="shared" si="168"/>
        <v>0.77385222381635577</v>
      </c>
      <c r="O2164" s="16"/>
      <c r="P2164" s="16"/>
      <c r="Q2164" s="16">
        <f t="shared" si="169"/>
        <v>0.75159350176748485</v>
      </c>
    </row>
    <row r="2165" spans="4:17" ht="15" thickBot="1" x14ac:dyDescent="0.35">
      <c r="D2165" s="20">
        <f t="shared" si="165"/>
        <v>2159</v>
      </c>
      <c r="E2165" s="20">
        <f t="shared" si="166"/>
        <v>3850</v>
      </c>
      <c r="F2165" s="20">
        <f t="shared" si="167"/>
        <v>4050</v>
      </c>
      <c r="G2165" s="20">
        <v>0.4109865233513269</v>
      </c>
      <c r="H2165" s="50"/>
      <c r="I2165" s="16"/>
      <c r="J2165" s="16"/>
      <c r="K2165" s="16"/>
      <c r="L2165" s="16"/>
      <c r="M2165" s="16">
        <v>2159</v>
      </c>
      <c r="N2165" s="16">
        <f t="shared" si="168"/>
        <v>0.77421090387374458</v>
      </c>
      <c r="O2165" s="16"/>
      <c r="P2165" s="16"/>
      <c r="Q2165" s="16">
        <f t="shared" si="169"/>
        <v>0.7527865469106233</v>
      </c>
    </row>
    <row r="2166" spans="4:17" ht="15" thickBot="1" x14ac:dyDescent="0.35">
      <c r="D2166" s="20">
        <f t="shared" si="165"/>
        <v>2160</v>
      </c>
      <c r="E2166" s="20">
        <f t="shared" si="166"/>
        <v>3950</v>
      </c>
      <c r="F2166" s="20">
        <f t="shared" si="167"/>
        <v>4050</v>
      </c>
      <c r="G2166" s="20">
        <v>0.41126653741516861</v>
      </c>
      <c r="H2166" s="50"/>
      <c r="I2166" s="16"/>
      <c r="J2166" s="16"/>
      <c r="K2166" s="16"/>
      <c r="L2166" s="16"/>
      <c r="M2166" s="16">
        <v>2160</v>
      </c>
      <c r="N2166" s="16">
        <f t="shared" si="168"/>
        <v>0.7745695839311334</v>
      </c>
      <c r="O2166" s="16"/>
      <c r="P2166" s="16"/>
      <c r="Q2166" s="16">
        <f t="shared" si="169"/>
        <v>0.75398066450117585</v>
      </c>
    </row>
    <row r="2167" spans="4:17" ht="15" thickBot="1" x14ac:dyDescent="0.35">
      <c r="D2167" s="20">
        <f t="shared" si="165"/>
        <v>2161</v>
      </c>
      <c r="E2167" s="20">
        <f t="shared" si="166"/>
        <v>4050</v>
      </c>
      <c r="F2167" s="20">
        <f t="shared" si="167"/>
        <v>4050</v>
      </c>
      <c r="G2167" s="20">
        <v>0.41128097511270573</v>
      </c>
      <c r="H2167" s="50"/>
      <c r="I2167" s="16"/>
      <c r="J2167" s="16"/>
      <c r="K2167" s="16"/>
      <c r="L2167" s="16"/>
      <c r="M2167" s="16">
        <v>2161</v>
      </c>
      <c r="N2167" s="16">
        <f t="shared" si="168"/>
        <v>0.77492826398852221</v>
      </c>
      <c r="O2167" s="16"/>
      <c r="P2167" s="16"/>
      <c r="Q2167" s="16">
        <f t="shared" si="169"/>
        <v>0.75517585817473776</v>
      </c>
    </row>
    <row r="2168" spans="4:17" ht="15" thickBot="1" x14ac:dyDescent="0.35">
      <c r="D2168" s="20">
        <f t="shared" si="165"/>
        <v>2162</v>
      </c>
      <c r="E2168" s="20">
        <f t="shared" si="166"/>
        <v>4150</v>
      </c>
      <c r="F2168" s="20">
        <f t="shared" si="167"/>
        <v>4050</v>
      </c>
      <c r="G2168" s="20">
        <v>0.41132105849400152</v>
      </c>
      <c r="H2168" s="50"/>
      <c r="I2168" s="16"/>
      <c r="J2168" s="16"/>
      <c r="K2168" s="16"/>
      <c r="L2168" s="16"/>
      <c r="M2168" s="16">
        <v>2162</v>
      </c>
      <c r="N2168" s="16">
        <f t="shared" si="168"/>
        <v>0.77528694404591103</v>
      </c>
      <c r="O2168" s="16"/>
      <c r="P2168" s="16"/>
      <c r="Q2168" s="16">
        <f t="shared" si="169"/>
        <v>0.75637213158289784</v>
      </c>
    </row>
    <row r="2169" spans="4:17" ht="15" thickBot="1" x14ac:dyDescent="0.35">
      <c r="D2169" s="20">
        <f t="shared" si="165"/>
        <v>2163</v>
      </c>
      <c r="E2169" s="20">
        <f t="shared" si="166"/>
        <v>4250</v>
      </c>
      <c r="F2169" s="20">
        <f t="shared" si="167"/>
        <v>4050</v>
      </c>
      <c r="G2169" s="20">
        <v>0.41139174288973851</v>
      </c>
      <c r="H2169" s="50"/>
      <c r="I2169" s="16"/>
      <c r="J2169" s="16"/>
      <c r="K2169" s="16"/>
      <c r="L2169" s="16"/>
      <c r="M2169" s="16">
        <v>2163</v>
      </c>
      <c r="N2169" s="16">
        <f t="shared" si="168"/>
        <v>0.77564562410329985</v>
      </c>
      <c r="O2169" s="16"/>
      <c r="P2169" s="16"/>
      <c r="Q2169" s="16">
        <f t="shared" si="169"/>
        <v>0.75756948839332861</v>
      </c>
    </row>
    <row r="2170" spans="4:17" ht="15" thickBot="1" x14ac:dyDescent="0.35">
      <c r="D2170" s="20">
        <f t="shared" si="165"/>
        <v>2164</v>
      </c>
      <c r="E2170" s="20">
        <f t="shared" si="166"/>
        <v>4350</v>
      </c>
      <c r="F2170" s="20">
        <f t="shared" si="167"/>
        <v>4050</v>
      </c>
      <c r="G2170" s="20">
        <v>0.41146510098141731</v>
      </c>
      <c r="H2170" s="50"/>
      <c r="I2170" s="16"/>
      <c r="J2170" s="16"/>
      <c r="K2170" s="16"/>
      <c r="L2170" s="16"/>
      <c r="M2170" s="16">
        <v>2164</v>
      </c>
      <c r="N2170" s="16">
        <f t="shared" si="168"/>
        <v>0.77600430416068866</v>
      </c>
      <c r="O2170" s="16"/>
      <c r="P2170" s="16"/>
      <c r="Q2170" s="16">
        <f t="shared" si="169"/>
        <v>0.75876793228989581</v>
      </c>
    </row>
    <row r="2171" spans="4:17" ht="15" thickBot="1" x14ac:dyDescent="0.35">
      <c r="D2171" s="20">
        <f t="shared" si="165"/>
        <v>2165</v>
      </c>
      <c r="E2171" s="20">
        <f t="shared" si="166"/>
        <v>4450</v>
      </c>
      <c r="F2171" s="20">
        <f t="shared" si="167"/>
        <v>4050</v>
      </c>
      <c r="G2171" s="20">
        <v>0.4115387068829533</v>
      </c>
      <c r="H2171" s="50"/>
      <c r="I2171" s="16"/>
      <c r="J2171" s="16"/>
      <c r="K2171" s="16"/>
      <c r="L2171" s="16"/>
      <c r="M2171" s="16">
        <v>2165</v>
      </c>
      <c r="N2171" s="16">
        <f t="shared" si="168"/>
        <v>0.77636298421807748</v>
      </c>
      <c r="O2171" s="16"/>
      <c r="P2171" s="16"/>
      <c r="Q2171" s="16">
        <f t="shared" si="169"/>
        <v>0.75996746697275508</v>
      </c>
    </row>
    <row r="2172" spans="4:17" ht="15" thickBot="1" x14ac:dyDescent="0.35">
      <c r="D2172" s="20">
        <f t="shared" si="165"/>
        <v>2166</v>
      </c>
      <c r="E2172" s="20">
        <f t="shared" si="166"/>
        <v>4550</v>
      </c>
      <c r="F2172" s="20">
        <f t="shared" si="167"/>
        <v>4050</v>
      </c>
      <c r="G2172" s="20">
        <v>0.41159864373464744</v>
      </c>
      <c r="H2172" s="50"/>
      <c r="I2172" s="16"/>
      <c r="J2172" s="16"/>
      <c r="K2172" s="16"/>
      <c r="L2172" s="16"/>
      <c r="M2172" s="16">
        <v>2166</v>
      </c>
      <c r="N2172" s="16">
        <f t="shared" si="168"/>
        <v>0.77672166427546629</v>
      </c>
      <c r="O2172" s="16"/>
      <c r="P2172" s="16"/>
      <c r="Q2172" s="16">
        <f t="shared" si="169"/>
        <v>0.76116809615845538</v>
      </c>
    </row>
    <row r="2173" spans="4:17" ht="15" thickBot="1" x14ac:dyDescent="0.35">
      <c r="D2173" s="20">
        <f t="shared" si="165"/>
        <v>2167</v>
      </c>
      <c r="E2173" s="20">
        <f t="shared" si="166"/>
        <v>4650</v>
      </c>
      <c r="F2173" s="20">
        <f t="shared" si="167"/>
        <v>4050</v>
      </c>
      <c r="G2173" s="20">
        <v>0.41179354421188308</v>
      </c>
      <c r="H2173" s="50"/>
      <c r="I2173" s="16"/>
      <c r="J2173" s="16"/>
      <c r="K2173" s="16"/>
      <c r="L2173" s="16"/>
      <c r="M2173" s="16">
        <v>2167</v>
      </c>
      <c r="N2173" s="16">
        <f t="shared" si="168"/>
        <v>0.77708034433285511</v>
      </c>
      <c r="O2173" s="16"/>
      <c r="P2173" s="16"/>
      <c r="Q2173" s="16">
        <f t="shared" si="169"/>
        <v>0.76236982358004401</v>
      </c>
    </row>
    <row r="2174" spans="4:17" ht="15" thickBot="1" x14ac:dyDescent="0.35">
      <c r="D2174" s="20">
        <f t="shared" si="165"/>
        <v>2168</v>
      </c>
      <c r="E2174" s="20">
        <f t="shared" si="166"/>
        <v>4750</v>
      </c>
      <c r="F2174" s="20">
        <f t="shared" si="167"/>
        <v>4050</v>
      </c>
      <c r="G2174" s="20">
        <v>0.41200420994517706</v>
      </c>
      <c r="H2174" s="50"/>
      <c r="I2174" s="16"/>
      <c r="J2174" s="16"/>
      <c r="K2174" s="16"/>
      <c r="L2174" s="16"/>
      <c r="M2174" s="16">
        <v>2168</v>
      </c>
      <c r="N2174" s="16">
        <f t="shared" si="168"/>
        <v>0.77743902439024393</v>
      </c>
      <c r="O2174" s="16"/>
      <c r="P2174" s="16"/>
      <c r="Q2174" s="16">
        <f t="shared" si="169"/>
        <v>0.76357265298716637</v>
      </c>
    </row>
    <row r="2175" spans="4:17" ht="15" thickBot="1" x14ac:dyDescent="0.35">
      <c r="D2175" s="20">
        <f t="shared" si="165"/>
        <v>2169</v>
      </c>
      <c r="E2175" s="20">
        <f t="shared" si="166"/>
        <v>4850</v>
      </c>
      <c r="F2175" s="20">
        <f t="shared" si="167"/>
        <v>4050</v>
      </c>
      <c r="G2175" s="20">
        <v>0.4121203470348721</v>
      </c>
      <c r="H2175" s="50"/>
      <c r="I2175" s="16"/>
      <c r="J2175" s="16"/>
      <c r="K2175" s="16"/>
      <c r="L2175" s="16"/>
      <c r="M2175" s="16">
        <v>2169</v>
      </c>
      <c r="N2175" s="16">
        <f t="shared" si="168"/>
        <v>0.77779770444763274</v>
      </c>
      <c r="O2175" s="16"/>
      <c r="P2175" s="16"/>
      <c r="Q2175" s="16">
        <f t="shared" si="169"/>
        <v>0.76477658814617433</v>
      </c>
    </row>
    <row r="2176" spans="4:17" ht="15" thickBot="1" x14ac:dyDescent="0.35">
      <c r="D2176" s="20">
        <f t="shared" si="165"/>
        <v>2170</v>
      </c>
      <c r="E2176" s="20">
        <f t="shared" si="166"/>
        <v>4950</v>
      </c>
      <c r="F2176" s="20">
        <f t="shared" si="167"/>
        <v>4050</v>
      </c>
      <c r="G2176" s="20">
        <v>0.41218015331572566</v>
      </c>
      <c r="H2176" s="50"/>
      <c r="I2176" s="16"/>
      <c r="J2176" s="16"/>
      <c r="K2176" s="16"/>
      <c r="L2176" s="16"/>
      <c r="M2176" s="16">
        <v>2170</v>
      </c>
      <c r="N2176" s="16">
        <f t="shared" si="168"/>
        <v>0.77815638450502156</v>
      </c>
      <c r="O2176" s="16"/>
      <c r="P2176" s="16"/>
      <c r="Q2176" s="16">
        <f t="shared" si="169"/>
        <v>0.76598163284023002</v>
      </c>
    </row>
    <row r="2177" spans="4:17" ht="15" thickBot="1" x14ac:dyDescent="0.35">
      <c r="D2177" s="20">
        <f t="shared" si="165"/>
        <v>2171</v>
      </c>
      <c r="E2177" s="20">
        <f t="shared" si="166"/>
        <v>5050</v>
      </c>
      <c r="F2177" s="20">
        <f t="shared" si="167"/>
        <v>4050</v>
      </c>
      <c r="G2177" s="20">
        <v>0.41222237117526644</v>
      </c>
      <c r="H2177" s="50"/>
      <c r="I2177" s="16"/>
      <c r="J2177" s="16"/>
      <c r="K2177" s="16"/>
      <c r="L2177" s="16"/>
      <c r="M2177" s="16">
        <v>2171</v>
      </c>
      <c r="N2177" s="16">
        <f t="shared" si="168"/>
        <v>0.77851506456241037</v>
      </c>
      <c r="O2177" s="16"/>
      <c r="P2177" s="16"/>
      <c r="Q2177" s="16">
        <f t="shared" si="169"/>
        <v>0.76718779086941169</v>
      </c>
    </row>
    <row r="2178" spans="4:17" ht="15" thickBot="1" x14ac:dyDescent="0.35">
      <c r="D2178" s="20">
        <f t="shared" si="165"/>
        <v>2172</v>
      </c>
      <c r="E2178" s="20">
        <f t="shared" si="166"/>
        <v>5150</v>
      </c>
      <c r="F2178" s="20">
        <f t="shared" si="167"/>
        <v>4050</v>
      </c>
      <c r="G2178" s="20">
        <v>0.41224518966498791</v>
      </c>
      <c r="H2178" s="50"/>
      <c r="I2178" s="16"/>
      <c r="J2178" s="16"/>
      <c r="K2178" s="16"/>
      <c r="L2178" s="16"/>
      <c r="M2178" s="16">
        <v>2172</v>
      </c>
      <c r="N2178" s="16">
        <f t="shared" si="168"/>
        <v>0.77887374461979919</v>
      </c>
      <c r="O2178" s="16"/>
      <c r="P2178" s="16"/>
      <c r="Q2178" s="16">
        <f t="shared" si="169"/>
        <v>0.76839506605082353</v>
      </c>
    </row>
    <row r="2179" spans="4:17" ht="15" thickBot="1" x14ac:dyDescent="0.35">
      <c r="D2179" s="20">
        <f t="shared" si="165"/>
        <v>2173</v>
      </c>
      <c r="E2179" s="45">
        <f t="shared" si="166"/>
        <v>5250</v>
      </c>
      <c r="F2179" s="45">
        <f t="shared" si="167"/>
        <v>4050</v>
      </c>
      <c r="G2179" s="20">
        <v>0.4122960699608384</v>
      </c>
      <c r="H2179" s="50"/>
      <c r="I2179" s="16"/>
      <c r="J2179" s="16"/>
      <c r="K2179" s="16"/>
      <c r="L2179" s="16"/>
      <c r="M2179" s="16">
        <v>2173</v>
      </c>
      <c r="N2179" s="16">
        <f t="shared" si="168"/>
        <v>0.7792324246771879</v>
      </c>
      <c r="O2179" s="16"/>
      <c r="P2179" s="16"/>
      <c r="Q2179" s="16">
        <f t="shared" si="169"/>
        <v>0.76960346221870246</v>
      </c>
    </row>
    <row r="2180" spans="4:17" ht="15" thickBot="1" x14ac:dyDescent="0.35">
      <c r="D2180" s="20">
        <f t="shared" si="165"/>
        <v>2174</v>
      </c>
      <c r="E2180" s="20">
        <f t="shared" si="166"/>
        <v>50</v>
      </c>
      <c r="F2180" s="20">
        <f t="shared" si="167"/>
        <v>4150</v>
      </c>
      <c r="G2180" s="20">
        <v>0.41232337093675359</v>
      </c>
      <c r="H2180" s="50"/>
      <c r="I2180" s="16"/>
      <c r="J2180" s="16"/>
      <c r="K2180" s="16"/>
      <c r="L2180" s="16"/>
      <c r="M2180" s="16">
        <v>2174</v>
      </c>
      <c r="N2180" s="16">
        <f t="shared" si="168"/>
        <v>0.77959110473457671</v>
      </c>
      <c r="O2180" s="16"/>
      <c r="P2180" s="16"/>
      <c r="Q2180" s="16">
        <f t="shared" si="169"/>
        <v>0.77081298322452285</v>
      </c>
    </row>
    <row r="2181" spans="4:17" ht="15" thickBot="1" x14ac:dyDescent="0.35">
      <c r="D2181" s="20">
        <f t="shared" si="165"/>
        <v>2175</v>
      </c>
      <c r="E2181" s="20">
        <f t="shared" si="166"/>
        <v>150</v>
      </c>
      <c r="F2181" s="20">
        <f t="shared" si="167"/>
        <v>4150</v>
      </c>
      <c r="G2181" s="20">
        <v>0.41247465547907425</v>
      </c>
      <c r="H2181" s="50"/>
      <c r="I2181" s="16"/>
      <c r="J2181" s="16"/>
      <c r="K2181" s="16"/>
      <c r="L2181" s="16"/>
      <c r="M2181" s="16">
        <v>2175</v>
      </c>
      <c r="N2181" s="16">
        <f t="shared" si="168"/>
        <v>0.77994978479196553</v>
      </c>
      <c r="O2181" s="16"/>
      <c r="P2181" s="16"/>
      <c r="Q2181" s="16">
        <f t="shared" si="169"/>
        <v>0.77202363293711296</v>
      </c>
    </row>
    <row r="2182" spans="4:17" ht="15" thickBot="1" x14ac:dyDescent="0.35">
      <c r="D2182" s="20">
        <f t="shared" si="165"/>
        <v>2176</v>
      </c>
      <c r="E2182" s="20">
        <f t="shared" si="166"/>
        <v>250</v>
      </c>
      <c r="F2182" s="20">
        <f t="shared" si="167"/>
        <v>4150</v>
      </c>
      <c r="G2182" s="20">
        <v>0.41255122533547572</v>
      </c>
      <c r="H2182" s="50"/>
      <c r="I2182" s="16"/>
      <c r="J2182" s="16"/>
      <c r="K2182" s="16"/>
      <c r="L2182" s="16"/>
      <c r="M2182" s="16">
        <v>2176</v>
      </c>
      <c r="N2182" s="16">
        <f t="shared" si="168"/>
        <v>0.78030846484935434</v>
      </c>
      <c r="O2182" s="16"/>
      <c r="P2182" s="16"/>
      <c r="Q2182" s="16">
        <f t="shared" si="169"/>
        <v>0.77323541524276318</v>
      </c>
    </row>
    <row r="2183" spans="4:17" ht="15" thickBot="1" x14ac:dyDescent="0.35">
      <c r="D2183" s="20">
        <f t="shared" ref="D2183:D2246" si="170">ROW()-6</f>
        <v>2177</v>
      </c>
      <c r="E2183" s="20">
        <f t="shared" ref="E2183:E2246" si="171">(MOD(D2183-1,53)*100)+50</f>
        <v>350</v>
      </c>
      <c r="F2183" s="20">
        <f t="shared" ref="F2183:F2246" si="172">FLOOR((D2183-1)/53,1)*100+50</f>
        <v>4150</v>
      </c>
      <c r="G2183" s="20">
        <v>0.41255551847873645</v>
      </c>
      <c r="H2183" s="50"/>
      <c r="I2183" s="16"/>
      <c r="J2183" s="16"/>
      <c r="K2183" s="16"/>
      <c r="L2183" s="16"/>
      <c r="M2183" s="16">
        <v>2177</v>
      </c>
      <c r="N2183" s="16">
        <f t="shared" si="168"/>
        <v>0.78066714490674316</v>
      </c>
      <c r="O2183" s="16"/>
      <c r="P2183" s="16"/>
      <c r="Q2183" s="16">
        <f t="shared" si="169"/>
        <v>0.77444833404533442</v>
      </c>
    </row>
    <row r="2184" spans="4:17" ht="15" thickBot="1" x14ac:dyDescent="0.35">
      <c r="D2184" s="20">
        <f t="shared" si="170"/>
        <v>2178</v>
      </c>
      <c r="E2184" s="20">
        <f t="shared" si="171"/>
        <v>450</v>
      </c>
      <c r="F2184" s="20">
        <f t="shared" si="172"/>
        <v>4150</v>
      </c>
      <c r="G2184" s="20">
        <v>0.41259588401714054</v>
      </c>
      <c r="H2184" s="50"/>
      <c r="I2184" s="16"/>
      <c r="J2184" s="16"/>
      <c r="K2184" s="16"/>
      <c r="L2184" s="16"/>
      <c r="M2184" s="16">
        <v>2178</v>
      </c>
      <c r="N2184" s="16">
        <f t="shared" ref="N2184:N2247" si="173">(M2184-0.5)/$L$7</f>
        <v>0.78102582496413198</v>
      </c>
      <c r="O2184" s="16"/>
      <c r="P2184" s="16"/>
      <c r="Q2184" s="16">
        <f t="shared" ref="Q2184:Q2247" si="174">_xlfn.NORM.S.INV(N2184)</f>
        <v>0.77566239326637487</v>
      </c>
    </row>
    <row r="2185" spans="4:17" ht="15" thickBot="1" x14ac:dyDescent="0.35">
      <c r="D2185" s="20">
        <f t="shared" si="170"/>
        <v>2179</v>
      </c>
      <c r="E2185" s="20">
        <f t="shared" si="171"/>
        <v>550</v>
      </c>
      <c r="F2185" s="20">
        <f t="shared" si="172"/>
        <v>4150</v>
      </c>
      <c r="G2185" s="20">
        <v>0.41297254947393974</v>
      </c>
      <c r="H2185" s="50"/>
      <c r="I2185" s="16"/>
      <c r="J2185" s="16"/>
      <c r="K2185" s="16"/>
      <c r="L2185" s="16"/>
      <c r="M2185" s="16">
        <v>2179</v>
      </c>
      <c r="N2185" s="16">
        <f t="shared" si="173"/>
        <v>0.78138450502152079</v>
      </c>
      <c r="O2185" s="16"/>
      <c r="P2185" s="16"/>
      <c r="Q2185" s="16">
        <f t="shared" si="174"/>
        <v>0.7768775968452305</v>
      </c>
    </row>
    <row r="2186" spans="4:17" ht="15" thickBot="1" x14ac:dyDescent="0.35">
      <c r="D2186" s="20">
        <f t="shared" si="170"/>
        <v>2180</v>
      </c>
      <c r="E2186" s="20">
        <f t="shared" si="171"/>
        <v>650</v>
      </c>
      <c r="F2186" s="20">
        <f t="shared" si="172"/>
        <v>4150</v>
      </c>
      <c r="G2186" s="20">
        <v>0.41297873518875872</v>
      </c>
      <c r="H2186" s="50"/>
      <c r="I2186" s="16"/>
      <c r="J2186" s="16"/>
      <c r="K2186" s="16"/>
      <c r="L2186" s="16"/>
      <c r="M2186" s="16">
        <v>2180</v>
      </c>
      <c r="N2186" s="16">
        <f t="shared" si="173"/>
        <v>0.78174318507890961</v>
      </c>
      <c r="O2186" s="16"/>
      <c r="P2186" s="16"/>
      <c r="Q2186" s="16">
        <f t="shared" si="174"/>
        <v>0.77809394873916149</v>
      </c>
    </row>
    <row r="2187" spans="4:17" ht="15" thickBot="1" x14ac:dyDescent="0.35">
      <c r="D2187" s="20">
        <f t="shared" si="170"/>
        <v>2181</v>
      </c>
      <c r="E2187" s="20">
        <f t="shared" si="171"/>
        <v>750</v>
      </c>
      <c r="F2187" s="20">
        <f t="shared" si="172"/>
        <v>4150</v>
      </c>
      <c r="G2187" s="20">
        <v>0.41301396720953293</v>
      </c>
      <c r="H2187" s="50"/>
      <c r="I2187" s="16"/>
      <c r="J2187" s="16"/>
      <c r="K2187" s="16"/>
      <c r="L2187" s="16"/>
      <c r="M2187" s="16">
        <v>2181</v>
      </c>
      <c r="N2187" s="16">
        <f t="shared" si="173"/>
        <v>0.78210186513629842</v>
      </c>
      <c r="O2187" s="16"/>
      <c r="P2187" s="16"/>
      <c r="Q2187" s="16">
        <f t="shared" si="174"/>
        <v>0.7793114529234535</v>
      </c>
    </row>
    <row r="2188" spans="4:17" ht="15" thickBot="1" x14ac:dyDescent="0.35">
      <c r="D2188" s="20">
        <f t="shared" si="170"/>
        <v>2182</v>
      </c>
      <c r="E2188" s="20">
        <f t="shared" si="171"/>
        <v>850</v>
      </c>
      <c r="F2188" s="20">
        <f t="shared" si="172"/>
        <v>4150</v>
      </c>
      <c r="G2188" s="20">
        <v>0.41345024373691691</v>
      </c>
      <c r="H2188" s="50"/>
      <c r="I2188" s="16"/>
      <c r="J2188" s="16"/>
      <c r="K2188" s="16"/>
      <c r="L2188" s="16"/>
      <c r="M2188" s="16">
        <v>2182</v>
      </c>
      <c r="N2188" s="16">
        <f t="shared" si="173"/>
        <v>0.78246054519368724</v>
      </c>
      <c r="O2188" s="16"/>
      <c r="P2188" s="16"/>
      <c r="Q2188" s="16">
        <f t="shared" si="174"/>
        <v>0.78053011339153777</v>
      </c>
    </row>
    <row r="2189" spans="4:17" ht="15" thickBot="1" x14ac:dyDescent="0.35">
      <c r="D2189" s="20">
        <f t="shared" si="170"/>
        <v>2183</v>
      </c>
      <c r="E2189" s="20">
        <f t="shared" si="171"/>
        <v>950</v>
      </c>
      <c r="F2189" s="20">
        <f t="shared" si="172"/>
        <v>4150</v>
      </c>
      <c r="G2189" s="20">
        <v>0.4134615313721508</v>
      </c>
      <c r="H2189" s="50"/>
      <c r="I2189" s="16"/>
      <c r="J2189" s="16"/>
      <c r="K2189" s="16"/>
      <c r="L2189" s="16"/>
      <c r="M2189" s="16">
        <v>2183</v>
      </c>
      <c r="N2189" s="16">
        <f t="shared" si="173"/>
        <v>0.78281922525107606</v>
      </c>
      <c r="O2189" s="16"/>
      <c r="P2189" s="16"/>
      <c r="Q2189" s="16">
        <f t="shared" si="174"/>
        <v>0.78174993415510774</v>
      </c>
    </row>
    <row r="2190" spans="4:17" ht="15" thickBot="1" x14ac:dyDescent="0.35">
      <c r="D2190" s="20">
        <f t="shared" si="170"/>
        <v>2184</v>
      </c>
      <c r="E2190" s="20">
        <f t="shared" si="171"/>
        <v>1050</v>
      </c>
      <c r="F2190" s="20">
        <f t="shared" si="172"/>
        <v>4150</v>
      </c>
      <c r="G2190" s="20">
        <v>0.41360827940843731</v>
      </c>
      <c r="H2190" s="50"/>
      <c r="I2190" s="16"/>
      <c r="J2190" s="16"/>
      <c r="K2190" s="16"/>
      <c r="L2190" s="16"/>
      <c r="M2190" s="16">
        <v>2184</v>
      </c>
      <c r="N2190" s="16">
        <f t="shared" si="173"/>
        <v>0.78317790530846487</v>
      </c>
      <c r="O2190" s="16"/>
      <c r="P2190" s="16"/>
      <c r="Q2190" s="16">
        <f t="shared" si="174"/>
        <v>0.78297091924423179</v>
      </c>
    </row>
    <row r="2191" spans="4:17" ht="15" thickBot="1" x14ac:dyDescent="0.35">
      <c r="D2191" s="20">
        <f t="shared" si="170"/>
        <v>2185</v>
      </c>
      <c r="E2191" s="20">
        <f t="shared" si="171"/>
        <v>1150</v>
      </c>
      <c r="F2191" s="20">
        <f t="shared" si="172"/>
        <v>4150</v>
      </c>
      <c r="G2191" s="20">
        <v>0.41363536006944374</v>
      </c>
      <c r="H2191" s="50"/>
      <c r="I2191" s="16"/>
      <c r="J2191" s="16"/>
      <c r="K2191" s="16"/>
      <c r="L2191" s="16"/>
      <c r="M2191" s="16">
        <v>2185</v>
      </c>
      <c r="N2191" s="16">
        <f t="shared" si="173"/>
        <v>0.78353658536585369</v>
      </c>
      <c r="O2191" s="16"/>
      <c r="P2191" s="16"/>
      <c r="Q2191" s="16">
        <f t="shared" si="174"/>
        <v>0.78419307270748184</v>
      </c>
    </row>
    <row r="2192" spans="4:17" ht="15" thickBot="1" x14ac:dyDescent="0.35">
      <c r="D2192" s="20">
        <f t="shared" si="170"/>
        <v>2186</v>
      </c>
      <c r="E2192" s="20">
        <f t="shared" si="171"/>
        <v>1250</v>
      </c>
      <c r="F2192" s="20">
        <f t="shared" si="172"/>
        <v>4150</v>
      </c>
      <c r="G2192" s="20">
        <v>0.41364949672062157</v>
      </c>
      <c r="H2192" s="50"/>
      <c r="I2192" s="16"/>
      <c r="J2192" s="16"/>
      <c r="K2192" s="16"/>
      <c r="L2192" s="16"/>
      <c r="M2192" s="16">
        <v>2186</v>
      </c>
      <c r="N2192" s="16">
        <f t="shared" si="173"/>
        <v>0.7838952654232425</v>
      </c>
      <c r="O2192" s="16"/>
      <c r="P2192" s="16"/>
      <c r="Q2192" s="16">
        <f t="shared" si="174"/>
        <v>0.7854163986120406</v>
      </c>
    </row>
    <row r="2193" spans="4:17" ht="15" thickBot="1" x14ac:dyDescent="0.35">
      <c r="D2193" s="20">
        <f t="shared" si="170"/>
        <v>2187</v>
      </c>
      <c r="E2193" s="20">
        <f t="shared" si="171"/>
        <v>1350</v>
      </c>
      <c r="F2193" s="20">
        <f t="shared" si="172"/>
        <v>4150</v>
      </c>
      <c r="G2193" s="20">
        <v>0.41370826698675045</v>
      </c>
      <c r="H2193" s="50"/>
      <c r="I2193" s="16"/>
      <c r="J2193" s="16"/>
      <c r="K2193" s="16"/>
      <c r="L2193" s="16"/>
      <c r="M2193" s="16">
        <v>2187</v>
      </c>
      <c r="N2193" s="16">
        <f t="shared" si="173"/>
        <v>0.78425394548063132</v>
      </c>
      <c r="O2193" s="16"/>
      <c r="P2193" s="16"/>
      <c r="Q2193" s="16">
        <f t="shared" si="174"/>
        <v>0.78664090104383599</v>
      </c>
    </row>
    <row r="2194" spans="4:17" ht="15" thickBot="1" x14ac:dyDescent="0.35">
      <c r="D2194" s="20">
        <f t="shared" si="170"/>
        <v>2188</v>
      </c>
      <c r="E2194" s="20">
        <f t="shared" si="171"/>
        <v>1450</v>
      </c>
      <c r="F2194" s="20">
        <f t="shared" si="172"/>
        <v>4150</v>
      </c>
      <c r="G2194" s="20">
        <v>0.41374602086926898</v>
      </c>
      <c r="H2194" s="50"/>
      <c r="I2194" s="16"/>
      <c r="J2194" s="16"/>
      <c r="K2194" s="16"/>
      <c r="L2194" s="16"/>
      <c r="M2194" s="16">
        <v>2188</v>
      </c>
      <c r="N2194" s="16">
        <f t="shared" si="173"/>
        <v>0.78461262553802014</v>
      </c>
      <c r="O2194" s="16"/>
      <c r="P2194" s="16"/>
      <c r="Q2194" s="16">
        <f t="shared" si="174"/>
        <v>0.78786658410764931</v>
      </c>
    </row>
    <row r="2195" spans="4:17" ht="15" thickBot="1" x14ac:dyDescent="0.35">
      <c r="D2195" s="20">
        <f t="shared" si="170"/>
        <v>2189</v>
      </c>
      <c r="E2195" s="47">
        <f t="shared" si="171"/>
        <v>1550</v>
      </c>
      <c r="F2195" s="47">
        <f t="shared" si="172"/>
        <v>4150</v>
      </c>
      <c r="G2195" s="20">
        <v>0.4137938170041065</v>
      </c>
      <c r="H2195" s="50"/>
      <c r="I2195" s="16"/>
      <c r="J2195" s="16"/>
      <c r="K2195" s="16"/>
      <c r="L2195" s="16"/>
      <c r="M2195" s="16">
        <v>2189</v>
      </c>
      <c r="N2195" s="16">
        <f t="shared" si="173"/>
        <v>0.78497130559540884</v>
      </c>
      <c r="O2195" s="16"/>
      <c r="P2195" s="16"/>
      <c r="Q2195" s="16">
        <f t="shared" si="174"/>
        <v>0.78909345192724911</v>
      </c>
    </row>
    <row r="2196" spans="4:17" ht="15" thickBot="1" x14ac:dyDescent="0.35">
      <c r="D2196" s="20">
        <f t="shared" si="170"/>
        <v>2190</v>
      </c>
      <c r="E2196" s="20">
        <f t="shared" si="171"/>
        <v>1650</v>
      </c>
      <c r="F2196" s="20">
        <f t="shared" si="172"/>
        <v>4150</v>
      </c>
      <c r="G2196" s="20">
        <v>0.41381568847549827</v>
      </c>
      <c r="H2196" s="50"/>
      <c r="I2196" s="16"/>
      <c r="J2196" s="16"/>
      <c r="K2196" s="16"/>
      <c r="L2196" s="16"/>
      <c r="M2196" s="16">
        <v>2190</v>
      </c>
      <c r="N2196" s="16">
        <f t="shared" si="173"/>
        <v>0.78532998565279766</v>
      </c>
      <c r="O2196" s="16"/>
      <c r="P2196" s="16"/>
      <c r="Q2196" s="16">
        <f t="shared" si="174"/>
        <v>0.79032150864550943</v>
      </c>
    </row>
    <row r="2197" spans="4:17" ht="15" thickBot="1" x14ac:dyDescent="0.35">
      <c r="D2197" s="20">
        <f t="shared" si="170"/>
        <v>2191</v>
      </c>
      <c r="E2197" s="20">
        <f t="shared" si="171"/>
        <v>1750</v>
      </c>
      <c r="F2197" s="20">
        <f t="shared" si="172"/>
        <v>4150</v>
      </c>
      <c r="G2197" s="20">
        <v>0.41387210281076287</v>
      </c>
      <c r="H2197" s="50"/>
      <c r="I2197" s="16"/>
      <c r="J2197" s="16"/>
      <c r="K2197" s="16"/>
      <c r="L2197" s="16"/>
      <c r="M2197" s="16">
        <v>2191</v>
      </c>
      <c r="N2197" s="16">
        <f t="shared" si="173"/>
        <v>0.78568866571018647</v>
      </c>
      <c r="O2197" s="16"/>
      <c r="P2197" s="16"/>
      <c r="Q2197" s="16">
        <f t="shared" si="174"/>
        <v>0.79155075842453404</v>
      </c>
    </row>
    <row r="2198" spans="4:17" ht="15" thickBot="1" x14ac:dyDescent="0.35">
      <c r="D2198" s="20">
        <f t="shared" si="170"/>
        <v>2192</v>
      </c>
      <c r="E2198" s="20">
        <f t="shared" si="171"/>
        <v>1850</v>
      </c>
      <c r="F2198" s="20">
        <f t="shared" si="172"/>
        <v>4150</v>
      </c>
      <c r="G2198" s="20">
        <v>0.41428896860946257</v>
      </c>
      <c r="H2198" s="50"/>
      <c r="I2198" s="16"/>
      <c r="J2198" s="16"/>
      <c r="K2198" s="16"/>
      <c r="L2198" s="16"/>
      <c r="M2198" s="16">
        <v>2192</v>
      </c>
      <c r="N2198" s="16">
        <f t="shared" si="173"/>
        <v>0.78604734576757529</v>
      </c>
      <c r="O2198" s="16"/>
      <c r="P2198" s="16"/>
      <c r="Q2198" s="16">
        <f t="shared" si="174"/>
        <v>0.79278120544578601</v>
      </c>
    </row>
    <row r="2199" spans="4:17" ht="15" thickBot="1" x14ac:dyDescent="0.35">
      <c r="D2199" s="20">
        <f t="shared" si="170"/>
        <v>2193</v>
      </c>
      <c r="E2199" s="20">
        <f t="shared" si="171"/>
        <v>1950</v>
      </c>
      <c r="F2199" s="20">
        <f t="shared" si="172"/>
        <v>4150</v>
      </c>
      <c r="G2199" s="20">
        <v>0.41445754373718313</v>
      </c>
      <c r="H2199" s="50"/>
      <c r="I2199" s="16"/>
      <c r="J2199" s="16"/>
      <c r="K2199" s="16"/>
      <c r="L2199" s="16"/>
      <c r="M2199" s="16">
        <v>2193</v>
      </c>
      <c r="N2199" s="16">
        <f t="shared" si="173"/>
        <v>0.78640602582496411</v>
      </c>
      <c r="O2199" s="16"/>
      <c r="P2199" s="16"/>
      <c r="Q2199" s="16">
        <f t="shared" si="174"/>
        <v>0.79401285391020959</v>
      </c>
    </row>
    <row r="2200" spans="4:17" ht="15" thickBot="1" x14ac:dyDescent="0.35">
      <c r="D2200" s="20">
        <f t="shared" si="170"/>
        <v>2194</v>
      </c>
      <c r="E2200" s="20">
        <f t="shared" si="171"/>
        <v>2050</v>
      </c>
      <c r="F2200" s="20">
        <f t="shared" si="172"/>
        <v>4150</v>
      </c>
      <c r="G2200" s="20">
        <v>0.4145232829979022</v>
      </c>
      <c r="H2200" s="50"/>
      <c r="I2200" s="16"/>
      <c r="J2200" s="16"/>
      <c r="K2200" s="16"/>
      <c r="L2200" s="16"/>
      <c r="M2200" s="16">
        <v>2194</v>
      </c>
      <c r="N2200" s="16">
        <f t="shared" si="173"/>
        <v>0.78676470588235292</v>
      </c>
      <c r="O2200" s="16"/>
      <c r="P2200" s="16"/>
      <c r="Q2200" s="16">
        <f t="shared" si="174"/>
        <v>0.79524570803836336</v>
      </c>
    </row>
    <row r="2201" spans="4:17" ht="15" thickBot="1" x14ac:dyDescent="0.35">
      <c r="D2201" s="20">
        <f t="shared" si="170"/>
        <v>2195</v>
      </c>
      <c r="E2201" s="20">
        <f t="shared" si="171"/>
        <v>2150</v>
      </c>
      <c r="F2201" s="20">
        <f t="shared" si="172"/>
        <v>4150</v>
      </c>
      <c r="G2201" s="20">
        <v>0.41454285430147897</v>
      </c>
      <c r="H2201" s="50"/>
      <c r="I2201" s="16"/>
      <c r="J2201" s="16"/>
      <c r="K2201" s="16"/>
      <c r="L2201" s="16"/>
      <c r="M2201" s="16">
        <v>2195</v>
      </c>
      <c r="N2201" s="16">
        <f t="shared" si="173"/>
        <v>0.78712338593974174</v>
      </c>
      <c r="O2201" s="16"/>
      <c r="P2201" s="16"/>
      <c r="Q2201" s="16">
        <f t="shared" si="174"/>
        <v>0.79647977207054432</v>
      </c>
    </row>
    <row r="2202" spans="4:17" ht="15" thickBot="1" x14ac:dyDescent="0.35">
      <c r="D2202" s="20">
        <f t="shared" si="170"/>
        <v>2196</v>
      </c>
      <c r="E2202" s="20">
        <f t="shared" si="171"/>
        <v>2250</v>
      </c>
      <c r="F2202" s="20">
        <f t="shared" si="172"/>
        <v>4150</v>
      </c>
      <c r="G2202" s="20">
        <v>0.41457224462656028</v>
      </c>
      <c r="H2202" s="50"/>
      <c r="I2202" s="16"/>
      <c r="J2202" s="16"/>
      <c r="K2202" s="16"/>
      <c r="L2202" s="16"/>
      <c r="M2202" s="16">
        <v>2196</v>
      </c>
      <c r="N2202" s="16">
        <f t="shared" si="173"/>
        <v>0.78748206599713055</v>
      </c>
      <c r="O2202" s="16"/>
      <c r="P2202" s="16"/>
      <c r="Q2202" s="16">
        <f t="shared" si="174"/>
        <v>0.7977150502669198</v>
      </c>
    </row>
    <row r="2203" spans="4:17" ht="15" thickBot="1" x14ac:dyDescent="0.35">
      <c r="D2203" s="20">
        <f t="shared" si="170"/>
        <v>2197</v>
      </c>
      <c r="E2203" s="20">
        <f t="shared" si="171"/>
        <v>2350</v>
      </c>
      <c r="F2203" s="20">
        <f t="shared" si="172"/>
        <v>4150</v>
      </c>
      <c r="G2203" s="20">
        <v>0.41459479339914229</v>
      </c>
      <c r="H2203" s="50"/>
      <c r="I2203" s="16"/>
      <c r="J2203" s="16"/>
      <c r="K2203" s="16"/>
      <c r="L2203" s="16"/>
      <c r="M2203" s="16">
        <v>2197</v>
      </c>
      <c r="N2203" s="16">
        <f t="shared" si="173"/>
        <v>0.78784074605451937</v>
      </c>
      <c r="O2203" s="16"/>
      <c r="P2203" s="16"/>
      <c r="Q2203" s="16">
        <f t="shared" si="174"/>
        <v>0.79895154690765968</v>
      </c>
    </row>
    <row r="2204" spans="4:17" ht="15" thickBot="1" x14ac:dyDescent="0.35">
      <c r="D2204" s="20">
        <f t="shared" si="170"/>
        <v>2198</v>
      </c>
      <c r="E2204" s="20">
        <f t="shared" si="171"/>
        <v>2450</v>
      </c>
      <c r="F2204" s="20">
        <f t="shared" si="172"/>
        <v>4150</v>
      </c>
      <c r="G2204" s="20">
        <v>0.41472050830935336</v>
      </c>
      <c r="H2204" s="50"/>
      <c r="I2204" s="16"/>
      <c r="J2204" s="16"/>
      <c r="K2204" s="16"/>
      <c r="L2204" s="16"/>
      <c r="M2204" s="16">
        <v>2198</v>
      </c>
      <c r="N2204" s="16">
        <f t="shared" si="173"/>
        <v>0.78819942611190819</v>
      </c>
      <c r="O2204" s="16"/>
      <c r="P2204" s="16"/>
      <c r="Q2204" s="16">
        <f t="shared" si="174"/>
        <v>0.80018926629306653</v>
      </c>
    </row>
    <row r="2205" spans="4:17" ht="15" thickBot="1" x14ac:dyDescent="0.35">
      <c r="D2205" s="20">
        <f t="shared" si="170"/>
        <v>2199</v>
      </c>
      <c r="E2205" s="20">
        <f t="shared" si="171"/>
        <v>2550</v>
      </c>
      <c r="F2205" s="20">
        <f t="shared" si="172"/>
        <v>4150</v>
      </c>
      <c r="G2205" s="20">
        <v>0.41479864673298672</v>
      </c>
      <c r="H2205" s="50"/>
      <c r="I2205" s="16"/>
      <c r="J2205" s="16"/>
      <c r="K2205" s="16"/>
      <c r="L2205" s="16"/>
      <c r="M2205" s="16">
        <v>2199</v>
      </c>
      <c r="N2205" s="16">
        <f t="shared" si="173"/>
        <v>0.788558106169297</v>
      </c>
      <c r="O2205" s="16"/>
      <c r="P2205" s="16"/>
      <c r="Q2205" s="16">
        <f t="shared" si="174"/>
        <v>0.80142821274370946</v>
      </c>
    </row>
    <row r="2206" spans="4:17" ht="15" thickBot="1" x14ac:dyDescent="0.35">
      <c r="D2206" s="20">
        <f t="shared" si="170"/>
        <v>2200</v>
      </c>
      <c r="E2206" s="45">
        <f t="shared" si="171"/>
        <v>2650</v>
      </c>
      <c r="F2206" s="45">
        <f t="shared" si="172"/>
        <v>4150</v>
      </c>
      <c r="G2206" s="20">
        <v>0.41484644018255357</v>
      </c>
      <c r="H2206" s="50"/>
      <c r="I2206" s="16"/>
      <c r="J2206" s="16"/>
      <c r="K2206" s="16"/>
      <c r="L2206" s="16"/>
      <c r="M2206" s="16">
        <v>2200</v>
      </c>
      <c r="N2206" s="16">
        <f t="shared" si="173"/>
        <v>0.78891678622668582</v>
      </c>
      <c r="O2206" s="16"/>
      <c r="P2206" s="16"/>
      <c r="Q2206" s="16">
        <f t="shared" si="174"/>
        <v>0.80266839060055795</v>
      </c>
    </row>
    <row r="2207" spans="4:17" ht="15" thickBot="1" x14ac:dyDescent="0.35">
      <c r="D2207" s="20">
        <f t="shared" si="170"/>
        <v>2201</v>
      </c>
      <c r="E2207" s="20">
        <f t="shared" si="171"/>
        <v>2750</v>
      </c>
      <c r="F2207" s="20">
        <f t="shared" si="172"/>
        <v>4150</v>
      </c>
      <c r="G2207" s="20">
        <v>0.41493873966822925</v>
      </c>
      <c r="H2207" s="50"/>
      <c r="I2207" s="16"/>
      <c r="J2207" s="16"/>
      <c r="K2207" s="16"/>
      <c r="L2207" s="16"/>
      <c r="M2207" s="16">
        <v>2201</v>
      </c>
      <c r="N2207" s="16">
        <f t="shared" si="173"/>
        <v>0.78927546628407463</v>
      </c>
      <c r="O2207" s="16"/>
      <c r="P2207" s="16"/>
      <c r="Q2207" s="16">
        <f t="shared" si="174"/>
        <v>0.80390980422511926</v>
      </c>
    </row>
    <row r="2208" spans="4:17" ht="15" thickBot="1" x14ac:dyDescent="0.35">
      <c r="D2208" s="20">
        <f t="shared" si="170"/>
        <v>2202</v>
      </c>
      <c r="E2208" s="44">
        <f t="shared" si="171"/>
        <v>2850</v>
      </c>
      <c r="F2208" s="44">
        <f t="shared" si="172"/>
        <v>4150</v>
      </c>
      <c r="G2208" s="20">
        <v>0.41496247116875667</v>
      </c>
      <c r="H2208" s="50"/>
      <c r="I2208" s="16"/>
      <c r="J2208" s="16"/>
      <c r="K2208" s="16"/>
      <c r="L2208" s="16"/>
      <c r="M2208" s="16">
        <v>2202</v>
      </c>
      <c r="N2208" s="16">
        <f t="shared" si="173"/>
        <v>0.78963414634146345</v>
      </c>
      <c r="O2208" s="16"/>
      <c r="P2208" s="16"/>
      <c r="Q2208" s="16">
        <f t="shared" si="174"/>
        <v>0.8051524579995728</v>
      </c>
    </row>
    <row r="2209" spans="4:17" ht="15" thickBot="1" x14ac:dyDescent="0.35">
      <c r="D2209" s="20">
        <f t="shared" si="170"/>
        <v>2203</v>
      </c>
      <c r="E2209" s="20">
        <f t="shared" si="171"/>
        <v>2950</v>
      </c>
      <c r="F2209" s="20">
        <f t="shared" si="172"/>
        <v>4150</v>
      </c>
      <c r="G2209" s="20">
        <v>0.41496582576590013</v>
      </c>
      <c r="H2209" s="50"/>
      <c r="I2209" s="16"/>
      <c r="J2209" s="16"/>
      <c r="K2209" s="16"/>
      <c r="L2209" s="16"/>
      <c r="M2209" s="16">
        <v>2203</v>
      </c>
      <c r="N2209" s="16">
        <f t="shared" si="173"/>
        <v>0.78999282639885227</v>
      </c>
      <c r="O2209" s="16"/>
      <c r="P2209" s="16"/>
      <c r="Q2209" s="16">
        <f t="shared" si="174"/>
        <v>0.80639635632690643</v>
      </c>
    </row>
    <row r="2210" spans="4:17" ht="15" thickBot="1" x14ac:dyDescent="0.35">
      <c r="D2210" s="20">
        <f t="shared" si="170"/>
        <v>2204</v>
      </c>
      <c r="E2210" s="20">
        <f t="shared" si="171"/>
        <v>3050</v>
      </c>
      <c r="F2210" s="20">
        <f t="shared" si="172"/>
        <v>4150</v>
      </c>
      <c r="G2210" s="20">
        <v>0.4152648200874608</v>
      </c>
      <c r="H2210" s="50"/>
      <c r="I2210" s="16"/>
      <c r="J2210" s="16"/>
      <c r="K2210" s="16"/>
      <c r="L2210" s="16"/>
      <c r="M2210" s="16">
        <v>2204</v>
      </c>
      <c r="N2210" s="16">
        <f t="shared" si="173"/>
        <v>0.79035150645624108</v>
      </c>
      <c r="O2210" s="16"/>
      <c r="P2210" s="16"/>
      <c r="Q2210" s="16">
        <f t="shared" si="174"/>
        <v>0.80764150363105747</v>
      </c>
    </row>
    <row r="2211" spans="4:17" ht="15" thickBot="1" x14ac:dyDescent="0.35">
      <c r="D2211" s="20">
        <f t="shared" si="170"/>
        <v>2205</v>
      </c>
      <c r="E2211" s="20">
        <f t="shared" si="171"/>
        <v>3150</v>
      </c>
      <c r="F2211" s="20">
        <f t="shared" si="172"/>
        <v>4150</v>
      </c>
      <c r="G2211" s="20">
        <v>0.41528529921701191</v>
      </c>
      <c r="H2211" s="50"/>
      <c r="I2211" s="16"/>
      <c r="J2211" s="16"/>
      <c r="K2211" s="16"/>
      <c r="L2211" s="16"/>
      <c r="M2211" s="16">
        <v>2205</v>
      </c>
      <c r="N2211" s="16">
        <f t="shared" si="173"/>
        <v>0.79071018651362979</v>
      </c>
      <c r="O2211" s="16"/>
      <c r="P2211" s="16"/>
      <c r="Q2211" s="16">
        <f t="shared" si="174"/>
        <v>0.80888790435705482</v>
      </c>
    </row>
    <row r="2212" spans="4:17" ht="15" thickBot="1" x14ac:dyDescent="0.35">
      <c r="D2212" s="20">
        <f t="shared" si="170"/>
        <v>2206</v>
      </c>
      <c r="E2212" s="20">
        <f t="shared" si="171"/>
        <v>3250</v>
      </c>
      <c r="F2212" s="20">
        <f t="shared" si="172"/>
        <v>4150</v>
      </c>
      <c r="G2212" s="20">
        <v>0.4153480317442334</v>
      </c>
      <c r="H2212" s="50"/>
      <c r="I2212" s="16"/>
      <c r="J2212" s="16"/>
      <c r="K2212" s="16"/>
      <c r="L2212" s="16"/>
      <c r="M2212" s="16">
        <v>2206</v>
      </c>
      <c r="N2212" s="16">
        <f t="shared" si="173"/>
        <v>0.7910688665710186</v>
      </c>
      <c r="O2212" s="16"/>
      <c r="P2212" s="16"/>
      <c r="Q2212" s="16">
        <f t="shared" si="174"/>
        <v>0.81013556297115696</v>
      </c>
    </row>
    <row r="2213" spans="4:17" ht="15" thickBot="1" x14ac:dyDescent="0.35">
      <c r="D2213" s="20">
        <f t="shared" si="170"/>
        <v>2207</v>
      </c>
      <c r="E2213" s="20">
        <f t="shared" si="171"/>
        <v>3350</v>
      </c>
      <c r="F2213" s="20">
        <f t="shared" si="172"/>
        <v>4150</v>
      </c>
      <c r="G2213" s="20">
        <v>0.41534887960622668</v>
      </c>
      <c r="H2213" s="50"/>
      <c r="I2213" s="16"/>
      <c r="J2213" s="16"/>
      <c r="K2213" s="16"/>
      <c r="L2213" s="16"/>
      <c r="M2213" s="16">
        <v>2207</v>
      </c>
      <c r="N2213" s="16">
        <f t="shared" si="173"/>
        <v>0.79142754662840742</v>
      </c>
      <c r="O2213" s="16"/>
      <c r="P2213" s="16"/>
      <c r="Q2213" s="16">
        <f t="shared" si="174"/>
        <v>0.81138448396098972</v>
      </c>
    </row>
    <row r="2214" spans="4:17" ht="15" thickBot="1" x14ac:dyDescent="0.35">
      <c r="D2214" s="20">
        <f t="shared" si="170"/>
        <v>2208</v>
      </c>
      <c r="E2214" s="43">
        <f t="shared" si="171"/>
        <v>3450</v>
      </c>
      <c r="F2214" s="43">
        <f t="shared" si="172"/>
        <v>4150</v>
      </c>
      <c r="G2214" s="20">
        <v>0.41568428890873887</v>
      </c>
      <c r="H2214" s="50"/>
      <c r="I2214" s="16"/>
      <c r="J2214" s="16"/>
      <c r="K2214" s="16"/>
      <c r="L2214" s="16"/>
      <c r="M2214" s="16">
        <v>2208</v>
      </c>
      <c r="N2214" s="16">
        <f t="shared" si="173"/>
        <v>0.79178622668579624</v>
      </c>
      <c r="O2214" s="16"/>
      <c r="P2214" s="16"/>
      <c r="Q2214" s="16">
        <f t="shared" si="174"/>
        <v>0.81263467183570204</v>
      </c>
    </row>
    <row r="2215" spans="4:17" ht="15" thickBot="1" x14ac:dyDescent="0.35">
      <c r="D2215" s="20">
        <f t="shared" si="170"/>
        <v>2209</v>
      </c>
      <c r="E2215" s="20">
        <f t="shared" si="171"/>
        <v>3550</v>
      </c>
      <c r="F2215" s="20">
        <f t="shared" si="172"/>
        <v>4150</v>
      </c>
      <c r="G2215" s="20">
        <v>0.41581280071937027</v>
      </c>
      <c r="H2215" s="50"/>
      <c r="I2215" s="16"/>
      <c r="J2215" s="16"/>
      <c r="K2215" s="16"/>
      <c r="L2215" s="16"/>
      <c r="M2215" s="16">
        <v>2209</v>
      </c>
      <c r="N2215" s="16">
        <f t="shared" si="173"/>
        <v>0.79214490674318505</v>
      </c>
      <c r="O2215" s="16"/>
      <c r="P2215" s="16"/>
      <c r="Q2215" s="16">
        <f t="shared" si="174"/>
        <v>0.81388613112609642</v>
      </c>
    </row>
    <row r="2216" spans="4:17" ht="15" thickBot="1" x14ac:dyDescent="0.35">
      <c r="D2216" s="20">
        <f t="shared" si="170"/>
        <v>2210</v>
      </c>
      <c r="E2216" s="45">
        <f t="shared" si="171"/>
        <v>3650</v>
      </c>
      <c r="F2216" s="45">
        <f t="shared" si="172"/>
        <v>4150</v>
      </c>
      <c r="G2216" s="20">
        <v>0.41582771001303187</v>
      </c>
      <c r="H2216" s="50"/>
      <c r="I2216" s="16"/>
      <c r="J2216" s="16"/>
      <c r="K2216" s="16"/>
      <c r="L2216" s="16"/>
      <c r="M2216" s="16">
        <v>2210</v>
      </c>
      <c r="N2216" s="16">
        <f t="shared" si="173"/>
        <v>0.79250358680057387</v>
      </c>
      <c r="O2216" s="16"/>
      <c r="P2216" s="16"/>
      <c r="Q2216" s="16">
        <f t="shared" si="174"/>
        <v>0.81513886638478783</v>
      </c>
    </row>
    <row r="2217" spans="4:17" ht="15" thickBot="1" x14ac:dyDescent="0.35">
      <c r="D2217" s="20">
        <f t="shared" si="170"/>
        <v>2211</v>
      </c>
      <c r="E2217" s="20">
        <f t="shared" si="171"/>
        <v>3750</v>
      </c>
      <c r="F2217" s="20">
        <f t="shared" si="172"/>
        <v>4150</v>
      </c>
      <c r="G2217" s="20">
        <v>0.41595994946484888</v>
      </c>
      <c r="H2217" s="50"/>
      <c r="I2217" s="16"/>
      <c r="J2217" s="16"/>
      <c r="K2217" s="16"/>
      <c r="L2217" s="16"/>
      <c r="M2217" s="16">
        <v>2211</v>
      </c>
      <c r="N2217" s="16">
        <f t="shared" si="173"/>
        <v>0.79286226685796268</v>
      </c>
      <c r="O2217" s="16"/>
      <c r="P2217" s="16"/>
      <c r="Q2217" s="16">
        <f t="shared" si="174"/>
        <v>0.81639288218633976</v>
      </c>
    </row>
    <row r="2218" spans="4:17" ht="15" thickBot="1" x14ac:dyDescent="0.35">
      <c r="D2218" s="20">
        <f t="shared" si="170"/>
        <v>2212</v>
      </c>
      <c r="E2218" s="20">
        <f t="shared" si="171"/>
        <v>3850</v>
      </c>
      <c r="F2218" s="20">
        <f t="shared" si="172"/>
        <v>4150</v>
      </c>
      <c r="G2218" s="20">
        <v>0.41605033614348752</v>
      </c>
      <c r="H2218" s="50"/>
      <c r="I2218" s="16"/>
      <c r="J2218" s="16"/>
      <c r="K2218" s="16"/>
      <c r="L2218" s="16"/>
      <c r="M2218" s="16">
        <v>2212</v>
      </c>
      <c r="N2218" s="16">
        <f t="shared" si="173"/>
        <v>0.7932209469153515</v>
      </c>
      <c r="O2218" s="16"/>
      <c r="P2218" s="16"/>
      <c r="Q2218" s="16">
        <f t="shared" si="174"/>
        <v>0.81764818312742049</v>
      </c>
    </row>
    <row r="2219" spans="4:17" ht="15" thickBot="1" x14ac:dyDescent="0.35">
      <c r="D2219" s="20">
        <f t="shared" si="170"/>
        <v>2213</v>
      </c>
      <c r="E2219" s="20">
        <f t="shared" si="171"/>
        <v>3950</v>
      </c>
      <c r="F2219" s="20">
        <f t="shared" si="172"/>
        <v>4150</v>
      </c>
      <c r="G2219" s="20">
        <v>0.41605339303945438</v>
      </c>
      <c r="H2219" s="50"/>
      <c r="I2219" s="16"/>
      <c r="J2219" s="16"/>
      <c r="K2219" s="16"/>
      <c r="L2219" s="16"/>
      <c r="M2219" s="16">
        <v>2213</v>
      </c>
      <c r="N2219" s="16">
        <f t="shared" si="173"/>
        <v>0.79357962697274032</v>
      </c>
      <c r="O2219" s="16"/>
      <c r="P2219" s="16"/>
      <c r="Q2219" s="16">
        <f t="shared" si="174"/>
        <v>0.81890477382694737</v>
      </c>
    </row>
    <row r="2220" spans="4:17" ht="15" thickBot="1" x14ac:dyDescent="0.35">
      <c r="D2220" s="20">
        <f t="shared" si="170"/>
        <v>2214</v>
      </c>
      <c r="E2220" s="20">
        <f t="shared" si="171"/>
        <v>4050</v>
      </c>
      <c r="F2220" s="20">
        <f t="shared" si="172"/>
        <v>4150</v>
      </c>
      <c r="G2220" s="20">
        <v>0.4161591808351538</v>
      </c>
      <c r="H2220" s="50"/>
      <c r="I2220" s="16"/>
      <c r="J2220" s="16"/>
      <c r="K2220" s="16"/>
      <c r="L2220" s="16"/>
      <c r="M2220" s="16">
        <v>2214</v>
      </c>
      <c r="N2220" s="16">
        <f t="shared" si="173"/>
        <v>0.79393830703012913</v>
      </c>
      <c r="O2220" s="16"/>
      <c r="P2220" s="16"/>
      <c r="Q2220" s="16">
        <f t="shared" si="174"/>
        <v>0.82016265892624407</v>
      </c>
    </row>
    <row r="2221" spans="4:17" ht="15" thickBot="1" x14ac:dyDescent="0.35">
      <c r="D2221" s="20">
        <f t="shared" si="170"/>
        <v>2215</v>
      </c>
      <c r="E2221" s="20">
        <f t="shared" si="171"/>
        <v>4150</v>
      </c>
      <c r="F2221" s="20">
        <f t="shared" si="172"/>
        <v>4150</v>
      </c>
      <c r="G2221" s="20">
        <v>0.41628607190359956</v>
      </c>
      <c r="H2221" s="50"/>
      <c r="I2221" s="16"/>
      <c r="J2221" s="16"/>
      <c r="K2221" s="16"/>
      <c r="L2221" s="16"/>
      <c r="M2221" s="16">
        <v>2215</v>
      </c>
      <c r="N2221" s="16">
        <f t="shared" si="173"/>
        <v>0.79429698708751795</v>
      </c>
      <c r="O2221" s="16"/>
      <c r="P2221" s="16"/>
      <c r="Q2221" s="16">
        <f t="shared" si="174"/>
        <v>0.82142184308918198</v>
      </c>
    </row>
    <row r="2222" spans="4:17" ht="15" thickBot="1" x14ac:dyDescent="0.35">
      <c r="D2222" s="20">
        <f t="shared" si="170"/>
        <v>2216</v>
      </c>
      <c r="E2222" s="20">
        <f t="shared" si="171"/>
        <v>4250</v>
      </c>
      <c r="F2222" s="20">
        <f t="shared" si="172"/>
        <v>4150</v>
      </c>
      <c r="G2222" s="20">
        <v>0.41629977660088757</v>
      </c>
      <c r="H2222" s="50"/>
      <c r="I2222" s="16"/>
      <c r="J2222" s="16"/>
      <c r="K2222" s="16"/>
      <c r="L2222" s="16"/>
      <c r="M2222" s="16">
        <v>2216</v>
      </c>
      <c r="N2222" s="16">
        <f t="shared" si="173"/>
        <v>0.79465566714490676</v>
      </c>
      <c r="O2222" s="16"/>
      <c r="P2222" s="16"/>
      <c r="Q2222" s="16">
        <f t="shared" si="174"/>
        <v>0.82268233100234811</v>
      </c>
    </row>
    <row r="2223" spans="4:17" ht="15" thickBot="1" x14ac:dyDescent="0.35">
      <c r="D2223" s="20">
        <f t="shared" si="170"/>
        <v>2217</v>
      </c>
      <c r="E2223" s="20">
        <f t="shared" si="171"/>
        <v>4350</v>
      </c>
      <c r="F2223" s="20">
        <f t="shared" si="172"/>
        <v>4150</v>
      </c>
      <c r="G2223" s="20">
        <v>0.4163678584767414</v>
      </c>
      <c r="H2223" s="50"/>
      <c r="I2223" s="16"/>
      <c r="J2223" s="16"/>
      <c r="K2223" s="16"/>
      <c r="L2223" s="16"/>
      <c r="M2223" s="16">
        <v>2217</v>
      </c>
      <c r="N2223" s="16">
        <f t="shared" si="173"/>
        <v>0.79501434720229558</v>
      </c>
      <c r="O2223" s="16"/>
      <c r="P2223" s="16"/>
      <c r="Q2223" s="16">
        <f t="shared" si="174"/>
        <v>0.82394412737518585</v>
      </c>
    </row>
    <row r="2224" spans="4:17" ht="15" thickBot="1" x14ac:dyDescent="0.35">
      <c r="D2224" s="20">
        <f t="shared" si="170"/>
        <v>2218</v>
      </c>
      <c r="E2224" s="20">
        <f t="shared" si="171"/>
        <v>4450</v>
      </c>
      <c r="F2224" s="20">
        <f t="shared" si="172"/>
        <v>4150</v>
      </c>
      <c r="G2224" s="20">
        <v>0.41637735104310691</v>
      </c>
      <c r="H2224" s="50"/>
      <c r="I2224" s="16"/>
      <c r="J2224" s="16"/>
      <c r="K2224" s="16"/>
      <c r="L2224" s="16"/>
      <c r="M2224" s="16">
        <v>2218</v>
      </c>
      <c r="N2224" s="16">
        <f t="shared" si="173"/>
        <v>0.7953730272596844</v>
      </c>
      <c r="O2224" s="16"/>
      <c r="P2224" s="16"/>
      <c r="Q2224" s="16">
        <f t="shared" si="174"/>
        <v>0.8252072369401583</v>
      </c>
    </row>
    <row r="2225" spans="4:17" ht="15" thickBot="1" x14ac:dyDescent="0.35">
      <c r="D2225" s="20">
        <f t="shared" si="170"/>
        <v>2219</v>
      </c>
      <c r="E2225" s="20">
        <f t="shared" si="171"/>
        <v>4550</v>
      </c>
      <c r="F2225" s="20">
        <f t="shared" si="172"/>
        <v>4150</v>
      </c>
      <c r="G2225" s="20">
        <v>0.41652353340881426</v>
      </c>
      <c r="H2225" s="50"/>
      <c r="I2225" s="16"/>
      <c r="J2225" s="16"/>
      <c r="K2225" s="16"/>
      <c r="L2225" s="16"/>
      <c r="M2225" s="16">
        <v>2219</v>
      </c>
      <c r="N2225" s="16">
        <f t="shared" si="173"/>
        <v>0.79573170731707321</v>
      </c>
      <c r="O2225" s="16"/>
      <c r="P2225" s="16"/>
      <c r="Q2225" s="16">
        <f t="shared" si="174"/>
        <v>0.82647166445290965</v>
      </c>
    </row>
    <row r="2226" spans="4:17" ht="15" thickBot="1" x14ac:dyDescent="0.35">
      <c r="D2226" s="20">
        <f t="shared" si="170"/>
        <v>2220</v>
      </c>
      <c r="E2226" s="20">
        <f t="shared" si="171"/>
        <v>4650</v>
      </c>
      <c r="F2226" s="20">
        <f t="shared" si="172"/>
        <v>4150</v>
      </c>
      <c r="G2226" s="20">
        <v>0.41704243546396891</v>
      </c>
      <c r="H2226" s="50"/>
      <c r="I2226" s="16"/>
      <c r="J2226" s="16"/>
      <c r="K2226" s="16"/>
      <c r="L2226" s="16"/>
      <c r="M2226" s="16">
        <v>2220</v>
      </c>
      <c r="N2226" s="16">
        <f t="shared" si="173"/>
        <v>0.79609038737446203</v>
      </c>
      <c r="O2226" s="16"/>
      <c r="P2226" s="16"/>
      <c r="Q2226" s="16">
        <f t="shared" si="174"/>
        <v>0.82773741469241113</v>
      </c>
    </row>
    <row r="2227" spans="4:17" ht="15" thickBot="1" x14ac:dyDescent="0.35">
      <c r="D2227" s="20">
        <f t="shared" si="170"/>
        <v>2221</v>
      </c>
      <c r="E2227" s="20">
        <f t="shared" si="171"/>
        <v>4750</v>
      </c>
      <c r="F2227" s="20">
        <f t="shared" si="172"/>
        <v>4150</v>
      </c>
      <c r="G2227" s="20">
        <v>0.41747993996422689</v>
      </c>
      <c r="H2227" s="50"/>
      <c r="I2227" s="16"/>
      <c r="J2227" s="16"/>
      <c r="K2227" s="16"/>
      <c r="L2227" s="16"/>
      <c r="M2227" s="16">
        <v>2221</v>
      </c>
      <c r="N2227" s="16">
        <f t="shared" si="173"/>
        <v>0.79644906743185084</v>
      </c>
      <c r="O2227" s="16"/>
      <c r="P2227" s="16"/>
      <c r="Q2227" s="16">
        <f t="shared" si="174"/>
        <v>0.82900449246113395</v>
      </c>
    </row>
    <row r="2228" spans="4:17" ht="15" thickBot="1" x14ac:dyDescent="0.35">
      <c r="D2228" s="20">
        <f t="shared" si="170"/>
        <v>2222</v>
      </c>
      <c r="E2228" s="20">
        <f t="shared" si="171"/>
        <v>4850</v>
      </c>
      <c r="F2228" s="20">
        <f t="shared" si="172"/>
        <v>4150</v>
      </c>
      <c r="G2228" s="20">
        <v>0.4175402426406789</v>
      </c>
      <c r="H2228" s="50"/>
      <c r="I2228" s="16"/>
      <c r="J2228" s="16"/>
      <c r="K2228" s="16"/>
      <c r="L2228" s="16"/>
      <c r="M2228" s="16">
        <v>2222</v>
      </c>
      <c r="N2228" s="16">
        <f t="shared" si="173"/>
        <v>0.79680774748923955</v>
      </c>
      <c r="O2228" s="16"/>
      <c r="P2228" s="16"/>
      <c r="Q2228" s="16">
        <f t="shared" si="174"/>
        <v>0.83027290258520436</v>
      </c>
    </row>
    <row r="2229" spans="4:17" ht="15" thickBot="1" x14ac:dyDescent="0.35">
      <c r="D2229" s="20">
        <f t="shared" si="170"/>
        <v>2223</v>
      </c>
      <c r="E2229" s="20">
        <f t="shared" si="171"/>
        <v>4950</v>
      </c>
      <c r="F2229" s="20">
        <f t="shared" si="172"/>
        <v>4150</v>
      </c>
      <c r="G2229" s="20">
        <v>0.41755260883965067</v>
      </c>
      <c r="H2229" s="50"/>
      <c r="I2229" s="16"/>
      <c r="J2229" s="16"/>
      <c r="K2229" s="16"/>
      <c r="L2229" s="16"/>
      <c r="M2229" s="16">
        <v>2223</v>
      </c>
      <c r="N2229" s="16">
        <f t="shared" si="173"/>
        <v>0.79716642754662836</v>
      </c>
      <c r="O2229" s="16"/>
      <c r="P2229" s="16"/>
      <c r="Q2229" s="16">
        <f t="shared" si="174"/>
        <v>0.83154264991456894</v>
      </c>
    </row>
    <row r="2230" spans="4:17" ht="15" thickBot="1" x14ac:dyDescent="0.35">
      <c r="D2230" s="20">
        <f t="shared" si="170"/>
        <v>2224</v>
      </c>
      <c r="E2230" s="44">
        <f t="shared" si="171"/>
        <v>5050</v>
      </c>
      <c r="F2230" s="44">
        <f t="shared" si="172"/>
        <v>4150</v>
      </c>
      <c r="G2230" s="20">
        <v>0.41794019673126809</v>
      </c>
      <c r="H2230" s="50"/>
      <c r="I2230" s="16"/>
      <c r="J2230" s="16"/>
      <c r="K2230" s="16"/>
      <c r="L2230" s="16"/>
      <c r="M2230" s="16">
        <v>2224</v>
      </c>
      <c r="N2230" s="16">
        <f t="shared" si="173"/>
        <v>0.79752510760401718</v>
      </c>
      <c r="O2230" s="16"/>
      <c r="P2230" s="16"/>
      <c r="Q2230" s="16">
        <f t="shared" si="174"/>
        <v>0.8328137393231565</v>
      </c>
    </row>
    <row r="2231" spans="4:17" ht="15" thickBot="1" x14ac:dyDescent="0.35">
      <c r="D2231" s="20">
        <f t="shared" si="170"/>
        <v>2225</v>
      </c>
      <c r="E2231" s="20">
        <f t="shared" si="171"/>
        <v>5150</v>
      </c>
      <c r="F2231" s="20">
        <f t="shared" si="172"/>
        <v>4150</v>
      </c>
      <c r="G2231" s="20">
        <v>0.41812742559395327</v>
      </c>
      <c r="H2231" s="50"/>
      <c r="I2231" s="16"/>
      <c r="J2231" s="16"/>
      <c r="K2231" s="16"/>
      <c r="L2231" s="16"/>
      <c r="M2231" s="16">
        <v>2225</v>
      </c>
      <c r="N2231" s="16">
        <f t="shared" si="173"/>
        <v>0.797883787661406</v>
      </c>
      <c r="O2231" s="16"/>
      <c r="P2231" s="16"/>
      <c r="Q2231" s="16">
        <f t="shared" si="174"/>
        <v>0.8340861757090422</v>
      </c>
    </row>
    <row r="2232" spans="4:17" ht="15" thickBot="1" x14ac:dyDescent="0.35">
      <c r="D2232" s="20">
        <f t="shared" si="170"/>
        <v>2226</v>
      </c>
      <c r="E2232" s="20">
        <f t="shared" si="171"/>
        <v>5250</v>
      </c>
      <c r="F2232" s="20">
        <f t="shared" si="172"/>
        <v>4150</v>
      </c>
      <c r="G2232" s="20">
        <v>0.41815042529099222</v>
      </c>
      <c r="H2232" s="50"/>
      <c r="I2232" s="16"/>
      <c r="J2232" s="16"/>
      <c r="K2232" s="16"/>
      <c r="L2232" s="16"/>
      <c r="M2232" s="16">
        <v>2226</v>
      </c>
      <c r="N2232" s="16">
        <f t="shared" si="173"/>
        <v>0.79824246771879481</v>
      </c>
      <c r="O2232" s="16"/>
      <c r="P2232" s="16"/>
      <c r="Q2232" s="16">
        <f t="shared" si="174"/>
        <v>0.8353599639946242</v>
      </c>
    </row>
    <row r="2233" spans="4:17" ht="15" thickBot="1" x14ac:dyDescent="0.35">
      <c r="D2233" s="20">
        <f t="shared" si="170"/>
        <v>2227</v>
      </c>
      <c r="E2233" s="20">
        <f t="shared" si="171"/>
        <v>50</v>
      </c>
      <c r="F2233" s="20">
        <f t="shared" si="172"/>
        <v>4250</v>
      </c>
      <c r="G2233" s="20">
        <v>0.41835701981877449</v>
      </c>
      <c r="H2233" s="50"/>
      <c r="I2233" s="16"/>
      <c r="J2233" s="16"/>
      <c r="K2233" s="16"/>
      <c r="L2233" s="16"/>
      <c r="M2233" s="16">
        <v>2227</v>
      </c>
      <c r="N2233" s="16">
        <f t="shared" si="173"/>
        <v>0.79860114777618363</v>
      </c>
      <c r="O2233" s="16"/>
      <c r="P2233" s="16"/>
      <c r="Q2233" s="16">
        <f t="shared" si="174"/>
        <v>0.8366351091267803</v>
      </c>
    </row>
    <row r="2234" spans="4:17" ht="15" thickBot="1" x14ac:dyDescent="0.35">
      <c r="D2234" s="20">
        <f t="shared" si="170"/>
        <v>2228</v>
      </c>
      <c r="E2234" s="20">
        <f t="shared" si="171"/>
        <v>150</v>
      </c>
      <c r="F2234" s="20">
        <f t="shared" si="172"/>
        <v>4250</v>
      </c>
      <c r="G2234" s="20">
        <v>0.41839754464425549</v>
      </c>
      <c r="H2234" s="50"/>
      <c r="I2234" s="16"/>
      <c r="J2234" s="16"/>
      <c r="K2234" s="16"/>
      <c r="L2234" s="16"/>
      <c r="M2234" s="16">
        <v>2228</v>
      </c>
      <c r="N2234" s="16">
        <f t="shared" si="173"/>
        <v>0.79895982783357244</v>
      </c>
      <c r="O2234" s="16"/>
      <c r="P2234" s="16"/>
      <c r="Q2234" s="16">
        <f t="shared" si="174"/>
        <v>0.83791161607704512</v>
      </c>
    </row>
    <row r="2235" spans="4:17" ht="15" thickBot="1" x14ac:dyDescent="0.35">
      <c r="D2235" s="20">
        <f t="shared" si="170"/>
        <v>2229</v>
      </c>
      <c r="E2235" s="48">
        <f t="shared" si="171"/>
        <v>250</v>
      </c>
      <c r="F2235" s="48">
        <f t="shared" si="172"/>
        <v>4250</v>
      </c>
      <c r="G2235" s="20">
        <v>0.41843646661131306</v>
      </c>
      <c r="H2235" s="50"/>
      <c r="I2235" s="16"/>
      <c r="J2235" s="16"/>
      <c r="K2235" s="16"/>
      <c r="L2235" s="16"/>
      <c r="M2235" s="16">
        <v>2229</v>
      </c>
      <c r="N2235" s="16">
        <f t="shared" si="173"/>
        <v>0.79931850789096126</v>
      </c>
      <c r="O2235" s="16"/>
      <c r="P2235" s="16"/>
      <c r="Q2235" s="16">
        <f t="shared" si="174"/>
        <v>0.83918948984177677</v>
      </c>
    </row>
    <row r="2236" spans="4:17" ht="15" thickBot="1" x14ac:dyDescent="0.35">
      <c r="D2236" s="20">
        <f t="shared" si="170"/>
        <v>2230</v>
      </c>
      <c r="E2236" s="20">
        <f t="shared" si="171"/>
        <v>350</v>
      </c>
      <c r="F2236" s="20">
        <f t="shared" si="172"/>
        <v>4250</v>
      </c>
      <c r="G2236" s="20">
        <v>0.41844904168030894</v>
      </c>
      <c r="H2236" s="50"/>
      <c r="I2236" s="16"/>
      <c r="J2236" s="16"/>
      <c r="K2236" s="16"/>
      <c r="L2236" s="16"/>
      <c r="M2236" s="16">
        <v>2230</v>
      </c>
      <c r="N2236" s="16">
        <f t="shared" si="173"/>
        <v>0.79967718794835008</v>
      </c>
      <c r="O2236" s="16"/>
      <c r="P2236" s="16"/>
      <c r="Q2236" s="16">
        <f t="shared" si="174"/>
        <v>0.84046873544233791</v>
      </c>
    </row>
    <row r="2237" spans="4:17" ht="15" thickBot="1" x14ac:dyDescent="0.35">
      <c r="D2237" s="20">
        <f t="shared" si="170"/>
        <v>2231</v>
      </c>
      <c r="E2237" s="20">
        <f t="shared" si="171"/>
        <v>450</v>
      </c>
      <c r="F2237" s="20">
        <f t="shared" si="172"/>
        <v>4250</v>
      </c>
      <c r="G2237" s="20">
        <v>0.41846839469875763</v>
      </c>
      <c r="H2237" s="50"/>
      <c r="I2237" s="16"/>
      <c r="J2237" s="16"/>
      <c r="K2237" s="16"/>
      <c r="L2237" s="16"/>
      <c r="M2237" s="16">
        <v>2231</v>
      </c>
      <c r="N2237" s="16">
        <f t="shared" si="173"/>
        <v>0.80003586800573889</v>
      </c>
      <c r="O2237" s="16"/>
      <c r="P2237" s="16"/>
      <c r="Q2237" s="16">
        <f t="shared" si="174"/>
        <v>0.8417493579252624</v>
      </c>
    </row>
    <row r="2238" spans="4:17" ht="15" thickBot="1" x14ac:dyDescent="0.35">
      <c r="D2238" s="20">
        <f t="shared" si="170"/>
        <v>2232</v>
      </c>
      <c r="E2238" s="20">
        <f t="shared" si="171"/>
        <v>550</v>
      </c>
      <c r="F2238" s="20">
        <f t="shared" si="172"/>
        <v>4250</v>
      </c>
      <c r="G2238" s="20">
        <v>0.41848886305122956</v>
      </c>
      <c r="H2238" s="50"/>
      <c r="I2238" s="16"/>
      <c r="J2238" s="16"/>
      <c r="K2238" s="16"/>
      <c r="L2238" s="16"/>
      <c r="M2238" s="16">
        <v>2232</v>
      </c>
      <c r="N2238" s="16">
        <f t="shared" si="173"/>
        <v>0.80039454806312771</v>
      </c>
      <c r="O2238" s="16"/>
      <c r="P2238" s="16"/>
      <c r="Q2238" s="16">
        <f t="shared" si="174"/>
        <v>0.84303136236243192</v>
      </c>
    </row>
    <row r="2239" spans="4:17" ht="15" thickBot="1" x14ac:dyDescent="0.35">
      <c r="D2239" s="20">
        <f t="shared" si="170"/>
        <v>2233</v>
      </c>
      <c r="E2239" s="20">
        <f t="shared" si="171"/>
        <v>650</v>
      </c>
      <c r="F2239" s="20">
        <f t="shared" si="172"/>
        <v>4250</v>
      </c>
      <c r="G2239" s="20">
        <v>0.41887175816708749</v>
      </c>
      <c r="H2239" s="50"/>
      <c r="I2239" s="16"/>
      <c r="J2239" s="16"/>
      <c r="K2239" s="16"/>
      <c r="L2239" s="16"/>
      <c r="M2239" s="16">
        <v>2233</v>
      </c>
      <c r="N2239" s="16">
        <f t="shared" si="173"/>
        <v>0.80075322812051652</v>
      </c>
      <c r="O2239" s="16"/>
      <c r="P2239" s="16"/>
      <c r="Q2239" s="16">
        <f t="shared" si="174"/>
        <v>0.84431475385125954</v>
      </c>
    </row>
    <row r="2240" spans="4:17" ht="15" thickBot="1" x14ac:dyDescent="0.35">
      <c r="D2240" s="20">
        <f t="shared" si="170"/>
        <v>2234</v>
      </c>
      <c r="E2240" s="20">
        <f t="shared" si="171"/>
        <v>750</v>
      </c>
      <c r="F2240" s="20">
        <f t="shared" si="172"/>
        <v>4250</v>
      </c>
      <c r="G2240" s="20">
        <v>0.4189586926817187</v>
      </c>
      <c r="H2240" s="50"/>
      <c r="I2240" s="16"/>
      <c r="J2240" s="16"/>
      <c r="K2240" s="16"/>
      <c r="L2240" s="16"/>
      <c r="M2240" s="16">
        <v>2234</v>
      </c>
      <c r="N2240" s="16">
        <f t="shared" si="173"/>
        <v>0.80111190817790534</v>
      </c>
      <c r="O2240" s="16"/>
      <c r="P2240" s="16"/>
      <c r="Q2240" s="16">
        <f t="shared" si="174"/>
        <v>0.8455995375148615</v>
      </c>
    </row>
    <row r="2241" spans="4:17" ht="15" thickBot="1" x14ac:dyDescent="0.35">
      <c r="D2241" s="20">
        <f t="shared" si="170"/>
        <v>2235</v>
      </c>
      <c r="E2241" s="20">
        <f t="shared" si="171"/>
        <v>850</v>
      </c>
      <c r="F2241" s="20">
        <f t="shared" si="172"/>
        <v>4250</v>
      </c>
      <c r="G2241" s="20">
        <v>0.41900190766625106</v>
      </c>
      <c r="H2241" s="50"/>
      <c r="I2241" s="16"/>
      <c r="J2241" s="16"/>
      <c r="K2241" s="16"/>
      <c r="L2241" s="16"/>
      <c r="M2241" s="16">
        <v>2235</v>
      </c>
      <c r="N2241" s="16">
        <f t="shared" si="173"/>
        <v>0.80147058823529416</v>
      </c>
      <c r="O2241" s="16"/>
      <c r="P2241" s="16"/>
      <c r="Q2241" s="16">
        <f t="shared" si="174"/>
        <v>0.84688571850224492</v>
      </c>
    </row>
    <row r="2242" spans="4:17" ht="15" thickBot="1" x14ac:dyDescent="0.35">
      <c r="D2242" s="20">
        <f t="shared" si="170"/>
        <v>2236</v>
      </c>
      <c r="E2242" s="20">
        <f t="shared" si="171"/>
        <v>950</v>
      </c>
      <c r="F2242" s="20">
        <f t="shared" si="172"/>
        <v>4250</v>
      </c>
      <c r="G2242" s="20">
        <v>0.41901877066136389</v>
      </c>
      <c r="H2242" s="50"/>
      <c r="I2242" s="16"/>
      <c r="J2242" s="16"/>
      <c r="K2242" s="16"/>
      <c r="L2242" s="16"/>
      <c r="M2242" s="16">
        <v>2236</v>
      </c>
      <c r="N2242" s="16">
        <f t="shared" si="173"/>
        <v>0.80182926829268297</v>
      </c>
      <c r="O2242" s="16"/>
      <c r="P2242" s="16"/>
      <c r="Q2242" s="16">
        <f t="shared" si="174"/>
        <v>0.84817330198848195</v>
      </c>
    </row>
    <row r="2243" spans="4:17" ht="15" thickBot="1" x14ac:dyDescent="0.35">
      <c r="D2243" s="20">
        <f t="shared" si="170"/>
        <v>2237</v>
      </c>
      <c r="E2243" s="20">
        <f t="shared" si="171"/>
        <v>1050</v>
      </c>
      <c r="F2243" s="20">
        <f t="shared" si="172"/>
        <v>4250</v>
      </c>
      <c r="G2243" s="20">
        <v>0.41902738837398368</v>
      </c>
      <c r="H2243" s="50"/>
      <c r="I2243" s="16"/>
      <c r="J2243" s="16"/>
      <c r="K2243" s="16"/>
      <c r="L2243" s="16"/>
      <c r="M2243" s="16">
        <v>2237</v>
      </c>
      <c r="N2243" s="16">
        <f t="shared" si="173"/>
        <v>0.80218794835007179</v>
      </c>
      <c r="O2243" s="16"/>
      <c r="P2243" s="16"/>
      <c r="Q2243" s="16">
        <f t="shared" si="174"/>
        <v>0.84946229317490418</v>
      </c>
    </row>
    <row r="2244" spans="4:17" ht="15" thickBot="1" x14ac:dyDescent="0.35">
      <c r="D2244" s="20">
        <f t="shared" si="170"/>
        <v>2238</v>
      </c>
      <c r="E2244" s="20">
        <f t="shared" si="171"/>
        <v>1150</v>
      </c>
      <c r="F2244" s="20">
        <f t="shared" si="172"/>
        <v>4250</v>
      </c>
      <c r="G2244" s="20">
        <v>0.41913676306383973</v>
      </c>
      <c r="H2244" s="50"/>
      <c r="I2244" s="16"/>
      <c r="J2244" s="16"/>
      <c r="K2244" s="16"/>
      <c r="L2244" s="16"/>
      <c r="M2244" s="16">
        <v>2238</v>
      </c>
      <c r="N2244" s="16">
        <f t="shared" si="173"/>
        <v>0.80254662840746049</v>
      </c>
      <c r="O2244" s="16"/>
      <c r="P2244" s="16"/>
      <c r="Q2244" s="16">
        <f t="shared" si="174"/>
        <v>0.85075269728927738</v>
      </c>
    </row>
    <row r="2245" spans="4:17" ht="15" thickBot="1" x14ac:dyDescent="0.35">
      <c r="D2245" s="20">
        <f t="shared" si="170"/>
        <v>2239</v>
      </c>
      <c r="E2245" s="20">
        <f t="shared" si="171"/>
        <v>1250</v>
      </c>
      <c r="F2245" s="20">
        <f t="shared" si="172"/>
        <v>4250</v>
      </c>
      <c r="G2245" s="20">
        <v>0.41921409100567342</v>
      </c>
      <c r="H2245" s="50"/>
      <c r="I2245" s="16"/>
      <c r="J2245" s="16"/>
      <c r="K2245" s="16"/>
      <c r="L2245" s="16"/>
      <c r="M2245" s="16">
        <v>2239</v>
      </c>
      <c r="N2245" s="16">
        <f t="shared" si="173"/>
        <v>0.80290530846484931</v>
      </c>
      <c r="O2245" s="16"/>
      <c r="P2245" s="16"/>
      <c r="Q2245" s="16">
        <f t="shared" si="174"/>
        <v>0.85204451958599592</v>
      </c>
    </row>
    <row r="2246" spans="4:17" ht="15" thickBot="1" x14ac:dyDescent="0.35">
      <c r="D2246" s="20">
        <f t="shared" si="170"/>
        <v>2240</v>
      </c>
      <c r="E2246" s="20">
        <f t="shared" si="171"/>
        <v>1350</v>
      </c>
      <c r="F2246" s="20">
        <f t="shared" si="172"/>
        <v>4250</v>
      </c>
      <c r="G2246" s="20">
        <v>0.41926500103692688</v>
      </c>
      <c r="H2246" s="50"/>
      <c r="I2246" s="16"/>
      <c r="J2246" s="16"/>
      <c r="K2246" s="16"/>
      <c r="L2246" s="16"/>
      <c r="M2246" s="16">
        <v>2240</v>
      </c>
      <c r="N2246" s="16">
        <f t="shared" si="173"/>
        <v>0.80326398852223813</v>
      </c>
      <c r="O2246" s="16"/>
      <c r="P2246" s="16"/>
      <c r="Q2246" s="16">
        <f t="shared" si="174"/>
        <v>0.85333776534626893</v>
      </c>
    </row>
    <row r="2247" spans="4:17" ht="15" thickBot="1" x14ac:dyDescent="0.35">
      <c r="D2247" s="20">
        <f t="shared" ref="D2247:D2310" si="175">ROW()-6</f>
        <v>2241</v>
      </c>
      <c r="E2247" s="48">
        <f t="shared" ref="E2247:E2310" si="176">(MOD(D2247-1,53)*100)+50</f>
        <v>1450</v>
      </c>
      <c r="F2247" s="48">
        <f t="shared" ref="F2247:F2310" si="177">FLOOR((D2247-1)/53,1)*100+50</f>
        <v>4250</v>
      </c>
      <c r="G2247" s="20">
        <v>0.41934113009031537</v>
      </c>
      <c r="H2247" s="50"/>
      <c r="I2247" s="16"/>
      <c r="J2247" s="16"/>
      <c r="K2247" s="16"/>
      <c r="L2247" s="16"/>
      <c r="M2247" s="16">
        <v>2241</v>
      </c>
      <c r="N2247" s="16">
        <f t="shared" si="173"/>
        <v>0.80362266857962694</v>
      </c>
      <c r="O2247" s="16"/>
      <c r="P2247" s="16"/>
      <c r="Q2247" s="16">
        <f t="shared" si="174"/>
        <v>0.8546324398783105</v>
      </c>
    </row>
    <row r="2248" spans="4:17" ht="15" thickBot="1" x14ac:dyDescent="0.35">
      <c r="D2248" s="20">
        <f t="shared" si="175"/>
        <v>2242</v>
      </c>
      <c r="E2248" s="20">
        <f t="shared" si="176"/>
        <v>1550</v>
      </c>
      <c r="F2248" s="20">
        <f t="shared" si="177"/>
        <v>4250</v>
      </c>
      <c r="G2248" s="20">
        <v>0.41950215250636524</v>
      </c>
      <c r="H2248" s="50"/>
      <c r="I2248" s="16"/>
      <c r="J2248" s="16"/>
      <c r="K2248" s="16"/>
      <c r="L2248" s="16"/>
      <c r="M2248" s="16">
        <v>2242</v>
      </c>
      <c r="N2248" s="16">
        <f t="shared" ref="N2248:N2311" si="178">(M2248-0.5)/$L$7</f>
        <v>0.80398134863701576</v>
      </c>
      <c r="O2248" s="16"/>
      <c r="P2248" s="16"/>
      <c r="Q2248" s="16">
        <f t="shared" ref="Q2248:Q2311" si="179">_xlfn.NORM.S.INV(N2248)</f>
        <v>0.85592854851753331</v>
      </c>
    </row>
    <row r="2249" spans="4:17" ht="15" thickBot="1" x14ac:dyDescent="0.35">
      <c r="D2249" s="20">
        <f t="shared" si="175"/>
        <v>2243</v>
      </c>
      <c r="E2249" s="44">
        <f t="shared" si="176"/>
        <v>1650</v>
      </c>
      <c r="F2249" s="44">
        <f t="shared" si="177"/>
        <v>4250</v>
      </c>
      <c r="G2249" s="20">
        <v>0.41958296321599997</v>
      </c>
      <c r="H2249" s="50"/>
      <c r="I2249" s="16"/>
      <c r="J2249" s="16"/>
      <c r="K2249" s="16"/>
      <c r="L2249" s="16"/>
      <c r="M2249" s="16">
        <v>2243</v>
      </c>
      <c r="N2249" s="16">
        <f t="shared" si="178"/>
        <v>0.80434002869440457</v>
      </c>
      <c r="O2249" s="16"/>
      <c r="P2249" s="16"/>
      <c r="Q2249" s="16">
        <f t="shared" si="179"/>
        <v>0.85722609662674065</v>
      </c>
    </row>
    <row r="2250" spans="4:17" ht="15" thickBot="1" x14ac:dyDescent="0.35">
      <c r="D2250" s="20">
        <f t="shared" si="175"/>
        <v>2244</v>
      </c>
      <c r="E2250" s="20">
        <f t="shared" si="176"/>
        <v>1750</v>
      </c>
      <c r="F2250" s="20">
        <f t="shared" si="177"/>
        <v>4250</v>
      </c>
      <c r="G2250" s="20">
        <v>0.41969908578614812</v>
      </c>
      <c r="H2250" s="50"/>
      <c r="I2250" s="16"/>
      <c r="J2250" s="16"/>
      <c r="K2250" s="16"/>
      <c r="L2250" s="16"/>
      <c r="M2250" s="16">
        <v>2244</v>
      </c>
      <c r="N2250" s="16">
        <f t="shared" si="178"/>
        <v>0.80469870875179339</v>
      </c>
      <c r="O2250" s="16"/>
      <c r="P2250" s="16"/>
      <c r="Q2250" s="16">
        <f t="shared" si="179"/>
        <v>0.85852508959632723</v>
      </c>
    </row>
    <row r="2251" spans="4:17" ht="15" thickBot="1" x14ac:dyDescent="0.35">
      <c r="D2251" s="20">
        <f t="shared" si="175"/>
        <v>2245</v>
      </c>
      <c r="E2251" s="20">
        <f t="shared" si="176"/>
        <v>1850</v>
      </c>
      <c r="F2251" s="20">
        <f t="shared" si="177"/>
        <v>4250</v>
      </c>
      <c r="G2251" s="20">
        <v>0.41991847537570764</v>
      </c>
      <c r="H2251" s="50"/>
      <c r="I2251" s="16"/>
      <c r="J2251" s="16"/>
      <c r="K2251" s="16"/>
      <c r="L2251" s="16"/>
      <c r="M2251" s="16">
        <v>2245</v>
      </c>
      <c r="N2251" s="16">
        <f t="shared" si="178"/>
        <v>0.80505738880918221</v>
      </c>
      <c r="O2251" s="16"/>
      <c r="P2251" s="16"/>
      <c r="Q2251" s="16">
        <f t="shared" si="179"/>
        <v>0.85982553284446583</v>
      </c>
    </row>
    <row r="2252" spans="4:17" ht="15" thickBot="1" x14ac:dyDescent="0.35">
      <c r="D2252" s="20">
        <f t="shared" si="175"/>
        <v>2246</v>
      </c>
      <c r="E2252" s="45">
        <f t="shared" si="176"/>
        <v>1950</v>
      </c>
      <c r="F2252" s="45">
        <f t="shared" si="177"/>
        <v>4250</v>
      </c>
      <c r="G2252" s="20">
        <v>0.41993280932023858</v>
      </c>
      <c r="H2252" s="50"/>
      <c r="I2252" s="16"/>
      <c r="J2252" s="16"/>
      <c r="K2252" s="16"/>
      <c r="L2252" s="16"/>
      <c r="M2252" s="16">
        <v>2246</v>
      </c>
      <c r="N2252" s="16">
        <f t="shared" si="178"/>
        <v>0.80541606886657102</v>
      </c>
      <c r="O2252" s="16"/>
      <c r="P2252" s="16"/>
      <c r="Q2252" s="16">
        <f t="shared" si="179"/>
        <v>0.86112743181731921</v>
      </c>
    </row>
    <row r="2253" spans="4:17" ht="15" thickBot="1" x14ac:dyDescent="0.35">
      <c r="D2253" s="20">
        <f t="shared" si="175"/>
        <v>2247</v>
      </c>
      <c r="E2253" s="20">
        <f t="shared" si="176"/>
        <v>2050</v>
      </c>
      <c r="F2253" s="20">
        <f t="shared" si="177"/>
        <v>4250</v>
      </c>
      <c r="G2253" s="20">
        <v>0.41999261987849806</v>
      </c>
      <c r="H2253" s="50"/>
      <c r="I2253" s="16"/>
      <c r="J2253" s="16"/>
      <c r="K2253" s="16"/>
      <c r="L2253" s="16"/>
      <c r="M2253" s="16">
        <v>2247</v>
      </c>
      <c r="N2253" s="16">
        <f t="shared" si="178"/>
        <v>0.80577474892395984</v>
      </c>
      <c r="O2253" s="16"/>
      <c r="P2253" s="16"/>
      <c r="Q2253" s="16">
        <f t="shared" si="179"/>
        <v>0.86243079198923167</v>
      </c>
    </row>
    <row r="2254" spans="4:17" ht="15" thickBot="1" x14ac:dyDescent="0.35">
      <c r="D2254" s="20">
        <f t="shared" si="175"/>
        <v>2248</v>
      </c>
      <c r="E2254" s="20">
        <f t="shared" si="176"/>
        <v>2150</v>
      </c>
      <c r="F2254" s="20">
        <f t="shared" si="177"/>
        <v>4250</v>
      </c>
      <c r="G2254" s="20">
        <v>0.42011933518623173</v>
      </c>
      <c r="H2254" s="50"/>
      <c r="I2254" s="16"/>
      <c r="J2254" s="16"/>
      <c r="K2254" s="16"/>
      <c r="L2254" s="16"/>
      <c r="M2254" s="16">
        <v>2248</v>
      </c>
      <c r="N2254" s="16">
        <f t="shared" si="178"/>
        <v>0.80613342898134865</v>
      </c>
      <c r="O2254" s="16"/>
      <c r="P2254" s="16"/>
      <c r="Q2254" s="16">
        <f t="shared" si="179"/>
        <v>0.8637356188629367</v>
      </c>
    </row>
    <row r="2255" spans="4:17" ht="15" thickBot="1" x14ac:dyDescent="0.35">
      <c r="D2255" s="20">
        <f t="shared" si="175"/>
        <v>2249</v>
      </c>
      <c r="E2255" s="20">
        <f t="shared" si="176"/>
        <v>2250</v>
      </c>
      <c r="F2255" s="20">
        <f t="shared" si="177"/>
        <v>4250</v>
      </c>
      <c r="G2255" s="20">
        <v>0.42019158586867988</v>
      </c>
      <c r="H2255" s="50"/>
      <c r="I2255" s="16"/>
      <c r="J2255" s="16"/>
      <c r="K2255" s="16"/>
      <c r="L2255" s="16"/>
      <c r="M2255" s="16">
        <v>2249</v>
      </c>
      <c r="N2255" s="16">
        <f t="shared" si="178"/>
        <v>0.80649210903873747</v>
      </c>
      <c r="O2255" s="16"/>
      <c r="P2255" s="16"/>
      <c r="Q2255" s="16">
        <f t="shared" si="179"/>
        <v>0.86504191796976004</v>
      </c>
    </row>
    <row r="2256" spans="4:17" ht="15" thickBot="1" x14ac:dyDescent="0.35">
      <c r="D2256" s="20">
        <f t="shared" si="175"/>
        <v>2250</v>
      </c>
      <c r="E2256" s="20">
        <f t="shared" si="176"/>
        <v>2350</v>
      </c>
      <c r="F2256" s="20">
        <f t="shared" si="177"/>
        <v>4250</v>
      </c>
      <c r="G2256" s="20">
        <v>0.42036970574808807</v>
      </c>
      <c r="H2256" s="50"/>
      <c r="I2256" s="16"/>
      <c r="J2256" s="16"/>
      <c r="K2256" s="16"/>
      <c r="L2256" s="16"/>
      <c r="M2256" s="16">
        <v>2250</v>
      </c>
      <c r="N2256" s="16">
        <f t="shared" si="178"/>
        <v>0.80685078909612629</v>
      </c>
      <c r="O2256" s="16"/>
      <c r="P2256" s="16"/>
      <c r="Q2256" s="16">
        <f t="shared" si="179"/>
        <v>0.86634969486982716</v>
      </c>
    </row>
    <row r="2257" spans="4:17" ht="15" thickBot="1" x14ac:dyDescent="0.35">
      <c r="D2257" s="20">
        <f t="shared" si="175"/>
        <v>2251</v>
      </c>
      <c r="E2257" s="20">
        <f t="shared" si="176"/>
        <v>2450</v>
      </c>
      <c r="F2257" s="20">
        <f t="shared" si="177"/>
        <v>4250</v>
      </c>
      <c r="G2257" s="20">
        <v>0.42047195014193239</v>
      </c>
      <c r="H2257" s="50"/>
      <c r="I2257" s="16"/>
      <c r="J2257" s="16"/>
      <c r="K2257" s="16"/>
      <c r="L2257" s="16"/>
      <c r="M2257" s="16">
        <v>2251</v>
      </c>
      <c r="N2257" s="16">
        <f t="shared" si="178"/>
        <v>0.8072094691535151</v>
      </c>
      <c r="O2257" s="16"/>
      <c r="P2257" s="16"/>
      <c r="Q2257" s="16">
        <f t="shared" si="179"/>
        <v>0.86765895515226954</v>
      </c>
    </row>
    <row r="2258" spans="4:17" ht="15" thickBot="1" x14ac:dyDescent="0.35">
      <c r="D2258" s="20">
        <f t="shared" si="175"/>
        <v>2252</v>
      </c>
      <c r="E2258" s="20">
        <f t="shared" si="176"/>
        <v>2550</v>
      </c>
      <c r="F2258" s="20">
        <f t="shared" si="177"/>
        <v>4250</v>
      </c>
      <c r="G2258" s="20">
        <v>0.42062320760898897</v>
      </c>
      <c r="H2258" s="50"/>
      <c r="I2258" s="16"/>
      <c r="J2258" s="16"/>
      <c r="K2258" s="16"/>
      <c r="L2258" s="16"/>
      <c r="M2258" s="16">
        <v>2252</v>
      </c>
      <c r="N2258" s="16">
        <f t="shared" si="178"/>
        <v>0.80756814921090392</v>
      </c>
      <c r="O2258" s="16"/>
      <c r="P2258" s="16"/>
      <c r="Q2258" s="16">
        <f t="shared" si="179"/>
        <v>0.86896970443543387</v>
      </c>
    </row>
    <row r="2259" spans="4:17" ht="15" thickBot="1" x14ac:dyDescent="0.35">
      <c r="D2259" s="20">
        <f t="shared" si="175"/>
        <v>2253</v>
      </c>
      <c r="E2259" s="20">
        <f t="shared" si="176"/>
        <v>2650</v>
      </c>
      <c r="F2259" s="20">
        <f t="shared" si="177"/>
        <v>4250</v>
      </c>
      <c r="G2259" s="20">
        <v>0.4206273544036252</v>
      </c>
      <c r="H2259" s="50"/>
      <c r="I2259" s="16"/>
      <c r="J2259" s="16"/>
      <c r="K2259" s="16"/>
      <c r="L2259" s="16"/>
      <c r="M2259" s="16">
        <v>2253</v>
      </c>
      <c r="N2259" s="16">
        <f t="shared" si="178"/>
        <v>0.80792682926829273</v>
      </c>
      <c r="O2259" s="16"/>
      <c r="P2259" s="16"/>
      <c r="Q2259" s="16">
        <f t="shared" si="179"/>
        <v>0.8702819483671016</v>
      </c>
    </row>
    <row r="2260" spans="4:17" ht="15" thickBot="1" x14ac:dyDescent="0.35">
      <c r="D2260" s="20">
        <f t="shared" si="175"/>
        <v>2254</v>
      </c>
      <c r="E2260" s="45">
        <f t="shared" si="176"/>
        <v>2750</v>
      </c>
      <c r="F2260" s="45">
        <f t="shared" si="177"/>
        <v>4250</v>
      </c>
      <c r="G2260" s="20">
        <v>0.4206600253513329</v>
      </c>
      <c r="H2260" s="50"/>
      <c r="I2260" s="16"/>
      <c r="J2260" s="16"/>
      <c r="K2260" s="16"/>
      <c r="L2260" s="16"/>
      <c r="M2260" s="16">
        <v>2254</v>
      </c>
      <c r="N2260" s="16">
        <f t="shared" si="178"/>
        <v>0.80828550932568144</v>
      </c>
      <c r="O2260" s="16"/>
      <c r="P2260" s="16"/>
      <c r="Q2260" s="16">
        <f t="shared" si="179"/>
        <v>0.87159569262469305</v>
      </c>
    </row>
    <row r="2261" spans="4:17" ht="15" thickBot="1" x14ac:dyDescent="0.35">
      <c r="D2261" s="20">
        <f t="shared" si="175"/>
        <v>2255</v>
      </c>
      <c r="E2261" s="20">
        <f t="shared" si="176"/>
        <v>2850</v>
      </c>
      <c r="F2261" s="20">
        <f t="shared" si="177"/>
        <v>4250</v>
      </c>
      <c r="G2261" s="20">
        <v>0.42072603198512104</v>
      </c>
      <c r="H2261" s="50"/>
      <c r="I2261" s="16"/>
      <c r="J2261" s="16"/>
      <c r="K2261" s="16"/>
      <c r="L2261" s="16"/>
      <c r="M2261" s="16">
        <v>2255</v>
      </c>
      <c r="N2261" s="16">
        <f t="shared" si="178"/>
        <v>0.80864418938307026</v>
      </c>
      <c r="O2261" s="16"/>
      <c r="P2261" s="16"/>
      <c r="Q2261" s="16">
        <f t="shared" si="179"/>
        <v>0.87291094291549154</v>
      </c>
    </row>
    <row r="2262" spans="4:17" ht="15" thickBot="1" x14ac:dyDescent="0.35">
      <c r="D2262" s="20">
        <f t="shared" si="175"/>
        <v>2256</v>
      </c>
      <c r="E2262" s="20">
        <f t="shared" si="176"/>
        <v>2950</v>
      </c>
      <c r="F2262" s="20">
        <f t="shared" si="177"/>
        <v>4250</v>
      </c>
      <c r="G2262" s="20">
        <v>0.42080751582305914</v>
      </c>
      <c r="H2262" s="50"/>
      <c r="I2262" s="16"/>
      <c r="J2262" s="16"/>
      <c r="K2262" s="16"/>
      <c r="L2262" s="16"/>
      <c r="M2262" s="16">
        <v>2256</v>
      </c>
      <c r="N2262" s="16">
        <f t="shared" si="178"/>
        <v>0.80900286944045907</v>
      </c>
      <c r="O2262" s="16"/>
      <c r="P2262" s="16"/>
      <c r="Q2262" s="16">
        <f t="shared" si="179"/>
        <v>0.87422770497685598</v>
      </c>
    </row>
    <row r="2263" spans="4:17" ht="15" thickBot="1" x14ac:dyDescent="0.35">
      <c r="D2263" s="20">
        <f t="shared" si="175"/>
        <v>2257</v>
      </c>
      <c r="E2263" s="20">
        <f t="shared" si="176"/>
        <v>3050</v>
      </c>
      <c r="F2263" s="20">
        <f t="shared" si="177"/>
        <v>4250</v>
      </c>
      <c r="G2263" s="20">
        <v>0.42089543261720586</v>
      </c>
      <c r="H2263" s="50"/>
      <c r="I2263" s="16"/>
      <c r="J2263" s="16"/>
      <c r="K2263" s="16"/>
      <c r="L2263" s="16"/>
      <c r="M2263" s="16">
        <v>2257</v>
      </c>
      <c r="N2263" s="16">
        <f t="shared" si="178"/>
        <v>0.80936154949784789</v>
      </c>
      <c r="O2263" s="16"/>
      <c r="P2263" s="16"/>
      <c r="Q2263" s="16">
        <f t="shared" si="179"/>
        <v>0.87554598457644239</v>
      </c>
    </row>
    <row r="2264" spans="4:17" ht="15" thickBot="1" x14ac:dyDescent="0.35">
      <c r="D2264" s="20">
        <f t="shared" si="175"/>
        <v>2258</v>
      </c>
      <c r="E2264" s="20">
        <f t="shared" si="176"/>
        <v>3150</v>
      </c>
      <c r="F2264" s="20">
        <f t="shared" si="177"/>
        <v>4250</v>
      </c>
      <c r="G2264" s="20">
        <v>0.42095261696211184</v>
      </c>
      <c r="H2264" s="50"/>
      <c r="I2264" s="16"/>
      <c r="J2264" s="16"/>
      <c r="K2264" s="16"/>
      <c r="L2264" s="16"/>
      <c r="M2264" s="16">
        <v>2258</v>
      </c>
      <c r="N2264" s="16">
        <f t="shared" si="178"/>
        <v>0.8097202295552367</v>
      </c>
      <c r="O2264" s="16"/>
      <c r="P2264" s="16"/>
      <c r="Q2264" s="16">
        <f t="shared" si="179"/>
        <v>0.8768657875124275</v>
      </c>
    </row>
    <row r="2265" spans="4:17" ht="15" thickBot="1" x14ac:dyDescent="0.35">
      <c r="D2265" s="20">
        <f t="shared" si="175"/>
        <v>2259</v>
      </c>
      <c r="E2265" s="20">
        <f t="shared" si="176"/>
        <v>3250</v>
      </c>
      <c r="F2265" s="20">
        <f t="shared" si="177"/>
        <v>4250</v>
      </c>
      <c r="G2265" s="20">
        <v>0.42108946669526576</v>
      </c>
      <c r="H2265" s="50"/>
      <c r="I2265" s="16"/>
      <c r="J2265" s="16"/>
      <c r="K2265" s="16"/>
      <c r="L2265" s="16"/>
      <c r="M2265" s="16">
        <v>2259</v>
      </c>
      <c r="N2265" s="16">
        <f t="shared" si="178"/>
        <v>0.81007890961262552</v>
      </c>
      <c r="O2265" s="16"/>
      <c r="P2265" s="16"/>
      <c r="Q2265" s="16">
        <f t="shared" si="179"/>
        <v>0.8781871196137323</v>
      </c>
    </row>
    <row r="2266" spans="4:17" ht="15" thickBot="1" x14ac:dyDescent="0.35">
      <c r="D2266" s="20">
        <f t="shared" si="175"/>
        <v>2260</v>
      </c>
      <c r="E2266" s="20">
        <f t="shared" si="176"/>
        <v>3350</v>
      </c>
      <c r="F2266" s="20">
        <f t="shared" si="177"/>
        <v>4250</v>
      </c>
      <c r="G2266" s="20">
        <v>0.42115802141066494</v>
      </c>
      <c r="H2266" s="50"/>
      <c r="I2266" s="16"/>
      <c r="J2266" s="16"/>
      <c r="K2266" s="16"/>
      <c r="L2266" s="16"/>
      <c r="M2266" s="16">
        <v>2260</v>
      </c>
      <c r="N2266" s="16">
        <f t="shared" si="178"/>
        <v>0.81043758967001434</v>
      </c>
      <c r="O2266" s="16"/>
      <c r="P2266" s="16"/>
      <c r="Q2266" s="16">
        <f t="shared" si="179"/>
        <v>0.87950998674024572</v>
      </c>
    </row>
    <row r="2267" spans="4:17" ht="15" thickBot="1" x14ac:dyDescent="0.35">
      <c r="D2267" s="20">
        <f t="shared" si="175"/>
        <v>2261</v>
      </c>
      <c r="E2267" s="20">
        <f t="shared" si="176"/>
        <v>3450</v>
      </c>
      <c r="F2267" s="20">
        <f t="shared" si="177"/>
        <v>4250</v>
      </c>
      <c r="G2267" s="20">
        <v>0.42142453011534059</v>
      </c>
      <c r="H2267" s="50"/>
      <c r="I2267" s="16"/>
      <c r="J2267" s="16"/>
      <c r="K2267" s="16"/>
      <c r="L2267" s="16"/>
      <c r="M2267" s="16">
        <v>2261</v>
      </c>
      <c r="N2267" s="16">
        <f t="shared" si="178"/>
        <v>0.81079626972740315</v>
      </c>
      <c r="O2267" s="16"/>
      <c r="P2267" s="16"/>
      <c r="Q2267" s="16">
        <f t="shared" si="179"/>
        <v>0.8808343947830547</v>
      </c>
    </row>
    <row r="2268" spans="4:17" ht="15" thickBot="1" x14ac:dyDescent="0.35">
      <c r="D2268" s="20">
        <f t="shared" si="175"/>
        <v>2262</v>
      </c>
      <c r="E2268" s="20">
        <f t="shared" si="176"/>
        <v>3550</v>
      </c>
      <c r="F2268" s="20">
        <f t="shared" si="177"/>
        <v>4250</v>
      </c>
      <c r="G2268" s="20">
        <v>0.42148522049107351</v>
      </c>
      <c r="H2268" s="50"/>
      <c r="I2268" s="16"/>
      <c r="J2268" s="16"/>
      <c r="K2268" s="16"/>
      <c r="L2268" s="16"/>
      <c r="M2268" s="16">
        <v>2262</v>
      </c>
      <c r="N2268" s="16">
        <f t="shared" si="178"/>
        <v>0.81115494978479197</v>
      </c>
      <c r="O2268" s="16"/>
      <c r="P2268" s="16"/>
      <c r="Q2268" s="16">
        <f t="shared" si="179"/>
        <v>0.88216034966467749</v>
      </c>
    </row>
    <row r="2269" spans="4:17" ht="15" thickBot="1" x14ac:dyDescent="0.35">
      <c r="D2269" s="20">
        <f t="shared" si="175"/>
        <v>2263</v>
      </c>
      <c r="E2269" s="20">
        <f t="shared" si="176"/>
        <v>3650</v>
      </c>
      <c r="F2269" s="20">
        <f t="shared" si="177"/>
        <v>4250</v>
      </c>
      <c r="G2269" s="20">
        <v>0.42151843850808968</v>
      </c>
      <c r="H2269" s="50"/>
      <c r="I2269" s="16"/>
      <c r="J2269" s="16"/>
      <c r="K2269" s="16"/>
      <c r="L2269" s="16"/>
      <c r="M2269" s="16">
        <v>2263</v>
      </c>
      <c r="N2269" s="16">
        <f t="shared" si="178"/>
        <v>0.81151362984218078</v>
      </c>
      <c r="O2269" s="16"/>
      <c r="P2269" s="16"/>
      <c r="Q2269" s="16">
        <f t="shared" si="179"/>
        <v>0.88348785733928747</v>
      </c>
    </row>
    <row r="2270" spans="4:17" ht="15" thickBot="1" x14ac:dyDescent="0.35">
      <c r="D2270" s="20">
        <f t="shared" si="175"/>
        <v>2264</v>
      </c>
      <c r="E2270" s="20">
        <f t="shared" si="176"/>
        <v>3750</v>
      </c>
      <c r="F2270" s="20">
        <f t="shared" si="177"/>
        <v>4250</v>
      </c>
      <c r="G2270" s="20">
        <v>0.42157880654377849</v>
      </c>
      <c r="H2270" s="50"/>
      <c r="I2270" s="16"/>
      <c r="J2270" s="16"/>
      <c r="K2270" s="16"/>
      <c r="L2270" s="16"/>
      <c r="M2270" s="16">
        <v>2264</v>
      </c>
      <c r="N2270" s="16">
        <f t="shared" si="178"/>
        <v>0.8118723098995696</v>
      </c>
      <c r="O2270" s="16"/>
      <c r="P2270" s="16"/>
      <c r="Q2270" s="16">
        <f t="shared" si="179"/>
        <v>0.8848169237929584</v>
      </c>
    </row>
    <row r="2271" spans="4:17" ht="15" thickBot="1" x14ac:dyDescent="0.35">
      <c r="D2271" s="20">
        <f t="shared" si="175"/>
        <v>2265</v>
      </c>
      <c r="E2271" s="20">
        <f t="shared" si="176"/>
        <v>3850</v>
      </c>
      <c r="F2271" s="20">
        <f t="shared" si="177"/>
        <v>4250</v>
      </c>
      <c r="G2271" s="20">
        <v>0.42169112041444717</v>
      </c>
      <c r="H2271" s="50"/>
      <c r="I2271" s="16"/>
      <c r="J2271" s="16"/>
      <c r="K2271" s="16"/>
      <c r="L2271" s="16"/>
      <c r="M2271" s="16">
        <v>2265</v>
      </c>
      <c r="N2271" s="16">
        <f t="shared" si="178"/>
        <v>0.81223098995695842</v>
      </c>
      <c r="O2271" s="16"/>
      <c r="P2271" s="16"/>
      <c r="Q2271" s="16">
        <f t="shared" si="179"/>
        <v>0.88614755504389486</v>
      </c>
    </row>
    <row r="2272" spans="4:17" ht="15" thickBot="1" x14ac:dyDescent="0.35">
      <c r="D2272" s="20">
        <f t="shared" si="175"/>
        <v>2266</v>
      </c>
      <c r="E2272" s="20">
        <f t="shared" si="176"/>
        <v>3950</v>
      </c>
      <c r="F2272" s="20">
        <f t="shared" si="177"/>
        <v>4250</v>
      </c>
      <c r="G2272" s="20">
        <v>0.42178104793653159</v>
      </c>
      <c r="H2272" s="50"/>
      <c r="I2272" s="16"/>
      <c r="J2272" s="16"/>
      <c r="K2272" s="16"/>
      <c r="L2272" s="16"/>
      <c r="M2272" s="16">
        <v>2266</v>
      </c>
      <c r="N2272" s="16">
        <f t="shared" si="178"/>
        <v>0.81258967001434723</v>
      </c>
      <c r="O2272" s="16"/>
      <c r="P2272" s="16"/>
      <c r="Q2272" s="16">
        <f t="shared" si="179"/>
        <v>0.88747975714266836</v>
      </c>
    </row>
    <row r="2273" spans="4:17" ht="15" thickBot="1" x14ac:dyDescent="0.35">
      <c r="D2273" s="20">
        <f t="shared" si="175"/>
        <v>2267</v>
      </c>
      <c r="E2273" s="20">
        <f t="shared" si="176"/>
        <v>4050</v>
      </c>
      <c r="F2273" s="20">
        <f t="shared" si="177"/>
        <v>4250</v>
      </c>
      <c r="G2273" s="20">
        <v>0.42184643647493258</v>
      </c>
      <c r="H2273" s="50"/>
      <c r="I2273" s="16"/>
      <c r="J2273" s="16"/>
      <c r="K2273" s="16"/>
      <c r="L2273" s="16"/>
      <c r="M2273" s="16">
        <v>2267</v>
      </c>
      <c r="N2273" s="16">
        <f t="shared" si="178"/>
        <v>0.81294835007173605</v>
      </c>
      <c r="O2273" s="16"/>
      <c r="P2273" s="16"/>
      <c r="Q2273" s="16">
        <f t="shared" si="179"/>
        <v>0.88881353617246839</v>
      </c>
    </row>
    <row r="2274" spans="4:17" ht="15" thickBot="1" x14ac:dyDescent="0.35">
      <c r="D2274" s="20">
        <f t="shared" si="175"/>
        <v>2268</v>
      </c>
      <c r="E2274" s="20">
        <f t="shared" si="176"/>
        <v>4150</v>
      </c>
      <c r="F2274" s="20">
        <f t="shared" si="177"/>
        <v>4250</v>
      </c>
      <c r="G2274" s="20">
        <v>0.4218603623565354</v>
      </c>
      <c r="H2274" s="50"/>
      <c r="I2274" s="16"/>
      <c r="J2274" s="16"/>
      <c r="K2274" s="16"/>
      <c r="L2274" s="16"/>
      <c r="M2274" s="16">
        <v>2268</v>
      </c>
      <c r="N2274" s="16">
        <f t="shared" si="178"/>
        <v>0.81330703012912486</v>
      </c>
      <c r="O2274" s="16"/>
      <c r="P2274" s="16"/>
      <c r="Q2274" s="16">
        <f t="shared" si="179"/>
        <v>0.89014889824933874</v>
      </c>
    </row>
    <row r="2275" spans="4:17" ht="15" thickBot="1" x14ac:dyDescent="0.35">
      <c r="D2275" s="20">
        <f t="shared" si="175"/>
        <v>2269</v>
      </c>
      <c r="E2275" s="20">
        <f t="shared" si="176"/>
        <v>4250</v>
      </c>
      <c r="F2275" s="20">
        <f t="shared" si="177"/>
        <v>4250</v>
      </c>
      <c r="G2275" s="20">
        <v>0.42197352944238814</v>
      </c>
      <c r="H2275" s="50"/>
      <c r="I2275" s="16"/>
      <c r="J2275" s="16"/>
      <c r="K2275" s="16"/>
      <c r="L2275" s="16"/>
      <c r="M2275" s="16">
        <v>2269</v>
      </c>
      <c r="N2275" s="16">
        <f t="shared" si="178"/>
        <v>0.81366571018651368</v>
      </c>
      <c r="O2275" s="16"/>
      <c r="P2275" s="16"/>
      <c r="Q2275" s="16">
        <f t="shared" si="179"/>
        <v>0.89148584952241927</v>
      </c>
    </row>
    <row r="2276" spans="4:17" ht="15" thickBot="1" x14ac:dyDescent="0.35">
      <c r="D2276" s="20">
        <f t="shared" si="175"/>
        <v>2270</v>
      </c>
      <c r="E2276" s="20">
        <f t="shared" si="176"/>
        <v>4350</v>
      </c>
      <c r="F2276" s="20">
        <f t="shared" si="177"/>
        <v>4250</v>
      </c>
      <c r="G2276" s="20">
        <v>0.42202161459018905</v>
      </c>
      <c r="H2276" s="50"/>
      <c r="I2276" s="16"/>
      <c r="J2276" s="16"/>
      <c r="K2276" s="16"/>
      <c r="L2276" s="16"/>
      <c r="M2276" s="16">
        <v>2270</v>
      </c>
      <c r="N2276" s="16">
        <f t="shared" si="178"/>
        <v>0.81402439024390238</v>
      </c>
      <c r="O2276" s="16"/>
      <c r="P2276" s="16"/>
      <c r="Q2276" s="16">
        <f t="shared" si="179"/>
        <v>0.89282439617420584</v>
      </c>
    </row>
    <row r="2277" spans="4:17" ht="15" thickBot="1" x14ac:dyDescent="0.35">
      <c r="D2277" s="20">
        <f t="shared" si="175"/>
        <v>2271</v>
      </c>
      <c r="E2277" s="20">
        <f t="shared" si="176"/>
        <v>4450</v>
      </c>
      <c r="F2277" s="20">
        <f t="shared" si="177"/>
        <v>4250</v>
      </c>
      <c r="G2277" s="20">
        <v>0.4221206689218916</v>
      </c>
      <c r="H2277" s="50"/>
      <c r="I2277" s="16"/>
      <c r="J2277" s="16"/>
      <c r="K2277" s="16"/>
      <c r="L2277" s="16"/>
      <c r="M2277" s="16">
        <v>2271</v>
      </c>
      <c r="N2277" s="16">
        <f t="shared" si="178"/>
        <v>0.8143830703012912</v>
      </c>
      <c r="O2277" s="16"/>
      <c r="P2277" s="16"/>
      <c r="Q2277" s="16">
        <f t="shared" si="179"/>
        <v>0.89416454442079096</v>
      </c>
    </row>
    <row r="2278" spans="4:17" ht="15" thickBot="1" x14ac:dyDescent="0.35">
      <c r="D2278" s="20">
        <f t="shared" si="175"/>
        <v>2272</v>
      </c>
      <c r="E2278" s="43">
        <f t="shared" si="176"/>
        <v>4550</v>
      </c>
      <c r="F2278" s="43">
        <f t="shared" si="177"/>
        <v>4250</v>
      </c>
      <c r="G2278" s="20">
        <v>0.4223068037039106</v>
      </c>
      <c r="H2278" s="50"/>
      <c r="I2278" s="16"/>
      <c r="J2278" s="16"/>
      <c r="K2278" s="16"/>
      <c r="L2278" s="16"/>
      <c r="M2278" s="16">
        <v>2272</v>
      </c>
      <c r="N2278" s="16">
        <f t="shared" si="178"/>
        <v>0.81474175035868002</v>
      </c>
      <c r="O2278" s="16"/>
      <c r="P2278" s="16"/>
      <c r="Q2278" s="16">
        <f t="shared" si="179"/>
        <v>0.89550630051212277</v>
      </c>
    </row>
    <row r="2279" spans="4:17" ht="15" thickBot="1" x14ac:dyDescent="0.35">
      <c r="D2279" s="20">
        <f t="shared" si="175"/>
        <v>2273</v>
      </c>
      <c r="E2279" s="20">
        <f t="shared" si="176"/>
        <v>4650</v>
      </c>
      <c r="F2279" s="20">
        <f t="shared" si="177"/>
        <v>4250</v>
      </c>
      <c r="G2279" s="20">
        <v>0.42254186169634855</v>
      </c>
      <c r="H2279" s="50"/>
      <c r="I2279" s="16"/>
      <c r="J2279" s="16"/>
      <c r="K2279" s="16"/>
      <c r="L2279" s="16"/>
      <c r="M2279" s="16">
        <v>2273</v>
      </c>
      <c r="N2279" s="16">
        <f t="shared" si="178"/>
        <v>0.81510043041606883</v>
      </c>
      <c r="O2279" s="16"/>
      <c r="P2279" s="16"/>
      <c r="Q2279" s="16">
        <f t="shared" si="179"/>
        <v>0.89684967073224997</v>
      </c>
    </row>
    <row r="2280" spans="4:17" ht="15" thickBot="1" x14ac:dyDescent="0.35">
      <c r="D2280" s="20">
        <f t="shared" si="175"/>
        <v>2274</v>
      </c>
      <c r="E2280" s="20">
        <f t="shared" si="176"/>
        <v>4750</v>
      </c>
      <c r="F2280" s="20">
        <f t="shared" si="177"/>
        <v>4250</v>
      </c>
      <c r="G2280" s="20">
        <v>0.42265651222111406</v>
      </c>
      <c r="H2280" s="50"/>
      <c r="I2280" s="16"/>
      <c r="J2280" s="16"/>
      <c r="K2280" s="16"/>
      <c r="L2280" s="16"/>
      <c r="M2280" s="16">
        <v>2274</v>
      </c>
      <c r="N2280" s="16">
        <f t="shared" si="178"/>
        <v>0.81545911047345765</v>
      </c>
      <c r="O2280" s="16"/>
      <c r="P2280" s="16"/>
      <c r="Q2280" s="16">
        <f t="shared" si="179"/>
        <v>0.89819466139959669</v>
      </c>
    </row>
    <row r="2281" spans="4:17" ht="15" thickBot="1" x14ac:dyDescent="0.35">
      <c r="D2281" s="20">
        <f t="shared" si="175"/>
        <v>2275</v>
      </c>
      <c r="E2281" s="20">
        <f t="shared" si="176"/>
        <v>4850</v>
      </c>
      <c r="F2281" s="20">
        <f t="shared" si="177"/>
        <v>4250</v>
      </c>
      <c r="G2281" s="20">
        <v>0.42275384755176432</v>
      </c>
      <c r="H2281" s="50"/>
      <c r="I2281" s="16"/>
      <c r="J2281" s="16"/>
      <c r="K2281" s="16"/>
      <c r="L2281" s="16"/>
      <c r="M2281" s="16">
        <v>2275</v>
      </c>
      <c r="N2281" s="16">
        <f t="shared" si="178"/>
        <v>0.81581779053084647</v>
      </c>
      <c r="O2281" s="16"/>
      <c r="P2281" s="16"/>
      <c r="Q2281" s="16">
        <f t="shared" si="179"/>
        <v>0.89954127886720314</v>
      </c>
    </row>
    <row r="2282" spans="4:17" ht="15" thickBot="1" x14ac:dyDescent="0.35">
      <c r="D2282" s="20">
        <f t="shared" si="175"/>
        <v>2276</v>
      </c>
      <c r="E2282" s="20">
        <f t="shared" si="176"/>
        <v>4950</v>
      </c>
      <c r="F2282" s="20">
        <f t="shared" si="177"/>
        <v>4250</v>
      </c>
      <c r="G2282" s="20">
        <v>0.42313206437134787</v>
      </c>
      <c r="H2282" s="50"/>
      <c r="I2282" s="16"/>
      <c r="J2282" s="16"/>
      <c r="K2282" s="16"/>
      <c r="L2282" s="16"/>
      <c r="M2282" s="16">
        <v>2276</v>
      </c>
      <c r="N2282" s="16">
        <f t="shared" si="178"/>
        <v>0.81617647058823528</v>
      </c>
      <c r="O2282" s="16"/>
      <c r="P2282" s="16"/>
      <c r="Q2282" s="16">
        <f t="shared" si="179"/>
        <v>0.90088952952300361</v>
      </c>
    </row>
    <row r="2283" spans="4:17" ht="15" thickBot="1" x14ac:dyDescent="0.35">
      <c r="D2283" s="20">
        <f t="shared" si="175"/>
        <v>2277</v>
      </c>
      <c r="E2283" s="20">
        <f t="shared" si="176"/>
        <v>5050</v>
      </c>
      <c r="F2283" s="20">
        <f t="shared" si="177"/>
        <v>4250</v>
      </c>
      <c r="G2283" s="20">
        <v>0.42319656294833669</v>
      </c>
      <c r="H2283" s="50"/>
      <c r="I2283" s="16"/>
      <c r="J2283" s="16"/>
      <c r="K2283" s="16"/>
      <c r="L2283" s="16"/>
      <c r="M2283" s="16">
        <v>2277</v>
      </c>
      <c r="N2283" s="16">
        <f t="shared" si="178"/>
        <v>0.8165351506456241</v>
      </c>
      <c r="O2283" s="16"/>
      <c r="P2283" s="16"/>
      <c r="Q2283" s="16">
        <f t="shared" si="179"/>
        <v>0.90223941979007871</v>
      </c>
    </row>
    <row r="2284" spans="4:17" ht="15" thickBot="1" x14ac:dyDescent="0.35">
      <c r="D2284" s="20">
        <f t="shared" si="175"/>
        <v>2278</v>
      </c>
      <c r="E2284" s="20">
        <f t="shared" si="176"/>
        <v>5150</v>
      </c>
      <c r="F2284" s="20">
        <f t="shared" si="177"/>
        <v>4250</v>
      </c>
      <c r="G2284" s="20">
        <v>0.42338330204554253</v>
      </c>
      <c r="H2284" s="50"/>
      <c r="I2284" s="16"/>
      <c r="J2284" s="16"/>
      <c r="K2284" s="16"/>
      <c r="L2284" s="16"/>
      <c r="M2284" s="16">
        <v>2278</v>
      </c>
      <c r="N2284" s="16">
        <f t="shared" si="178"/>
        <v>0.81689383070301291</v>
      </c>
      <c r="O2284" s="16"/>
      <c r="P2284" s="16"/>
      <c r="Q2284" s="16">
        <f t="shared" si="179"/>
        <v>0.90359095612693663</v>
      </c>
    </row>
    <row r="2285" spans="4:17" ht="15" thickBot="1" x14ac:dyDescent="0.35">
      <c r="D2285" s="20">
        <f t="shared" si="175"/>
        <v>2279</v>
      </c>
      <c r="E2285" s="20">
        <f t="shared" si="176"/>
        <v>5250</v>
      </c>
      <c r="F2285" s="20">
        <f t="shared" si="177"/>
        <v>4250</v>
      </c>
      <c r="G2285" s="20">
        <v>0.42348630142313104</v>
      </c>
      <c r="H2285" s="50"/>
      <c r="I2285" s="16"/>
      <c r="J2285" s="16"/>
      <c r="K2285" s="16"/>
      <c r="L2285" s="16"/>
      <c r="M2285" s="16">
        <v>2279</v>
      </c>
      <c r="N2285" s="16">
        <f t="shared" si="178"/>
        <v>0.81725251076040173</v>
      </c>
      <c r="O2285" s="16"/>
      <c r="P2285" s="16"/>
      <c r="Q2285" s="16">
        <f t="shared" si="179"/>
        <v>0.90494414502777054</v>
      </c>
    </row>
    <row r="2286" spans="4:17" ht="15" thickBot="1" x14ac:dyDescent="0.35">
      <c r="D2286" s="20">
        <f t="shared" si="175"/>
        <v>2280</v>
      </c>
      <c r="E2286" s="20">
        <f t="shared" si="176"/>
        <v>50</v>
      </c>
      <c r="F2286" s="20">
        <f t="shared" si="177"/>
        <v>4350</v>
      </c>
      <c r="G2286" s="20">
        <v>0.42367402931518722</v>
      </c>
      <c r="H2286" s="50"/>
      <c r="I2286" s="16"/>
      <c r="J2286" s="16"/>
      <c r="K2286" s="16"/>
      <c r="L2286" s="16"/>
      <c r="M2286" s="16">
        <v>2280</v>
      </c>
      <c r="N2286" s="16">
        <f t="shared" si="178"/>
        <v>0.81761119081779055</v>
      </c>
      <c r="O2286" s="16"/>
      <c r="P2286" s="16"/>
      <c r="Q2286" s="16">
        <f t="shared" si="179"/>
        <v>0.90629899302273975</v>
      </c>
    </row>
    <row r="2287" spans="4:17" ht="15" thickBot="1" x14ac:dyDescent="0.35">
      <c r="D2287" s="20">
        <f t="shared" si="175"/>
        <v>2281</v>
      </c>
      <c r="E2287" s="20">
        <f t="shared" si="176"/>
        <v>150</v>
      </c>
      <c r="F2287" s="20">
        <f t="shared" si="177"/>
        <v>4350</v>
      </c>
      <c r="G2287" s="20">
        <v>0.42390574437505169</v>
      </c>
      <c r="H2287" s="50"/>
      <c r="I2287" s="16"/>
      <c r="J2287" s="16"/>
      <c r="K2287" s="16"/>
      <c r="L2287" s="16"/>
      <c r="M2287" s="16">
        <v>2281</v>
      </c>
      <c r="N2287" s="16">
        <f t="shared" si="178"/>
        <v>0.81796987087517936</v>
      </c>
      <c r="O2287" s="16"/>
      <c r="P2287" s="16"/>
      <c r="Q2287" s="16">
        <f t="shared" si="179"/>
        <v>0.90765550667823802</v>
      </c>
    </row>
    <row r="2288" spans="4:17" ht="15" thickBot="1" x14ac:dyDescent="0.35">
      <c r="D2288" s="20">
        <f t="shared" si="175"/>
        <v>2282</v>
      </c>
      <c r="E2288" s="20">
        <f t="shared" si="176"/>
        <v>250</v>
      </c>
      <c r="F2288" s="20">
        <f t="shared" si="177"/>
        <v>4350</v>
      </c>
      <c r="G2288" s="20">
        <v>0.42396327624775221</v>
      </c>
      <c r="H2288" s="50"/>
      <c r="I2288" s="16"/>
      <c r="J2288" s="16"/>
      <c r="K2288" s="16"/>
      <c r="L2288" s="16"/>
      <c r="M2288" s="16">
        <v>2282</v>
      </c>
      <c r="N2288" s="16">
        <f t="shared" si="178"/>
        <v>0.81832855093256818</v>
      </c>
      <c r="O2288" s="16"/>
      <c r="P2288" s="16"/>
      <c r="Q2288" s="16">
        <f t="shared" si="179"/>
        <v>0.90901369259717724</v>
      </c>
    </row>
    <row r="2289" spans="4:17" ht="15" thickBot="1" x14ac:dyDescent="0.35">
      <c r="D2289" s="20">
        <f t="shared" si="175"/>
        <v>2283</v>
      </c>
      <c r="E2289" s="20">
        <f t="shared" si="176"/>
        <v>350</v>
      </c>
      <c r="F2289" s="20">
        <f t="shared" si="177"/>
        <v>4350</v>
      </c>
      <c r="G2289" s="20">
        <v>0.42400363937798952</v>
      </c>
      <c r="H2289" s="50"/>
      <c r="I2289" s="16"/>
      <c r="J2289" s="16"/>
      <c r="K2289" s="16"/>
      <c r="L2289" s="16"/>
      <c r="M2289" s="16">
        <v>2283</v>
      </c>
      <c r="N2289" s="16">
        <f t="shared" si="178"/>
        <v>0.81868723098995699</v>
      </c>
      <c r="O2289" s="16"/>
      <c r="P2289" s="16"/>
      <c r="Q2289" s="16">
        <f t="shared" si="179"/>
        <v>0.9103735574192654</v>
      </c>
    </row>
    <row r="2290" spans="4:17" ht="15" thickBot="1" x14ac:dyDescent="0.35">
      <c r="D2290" s="20">
        <f t="shared" si="175"/>
        <v>2284</v>
      </c>
      <c r="E2290" s="20">
        <f t="shared" si="176"/>
        <v>450</v>
      </c>
      <c r="F2290" s="20">
        <f t="shared" si="177"/>
        <v>4350</v>
      </c>
      <c r="G2290" s="20">
        <v>0.42418202950900652</v>
      </c>
      <c r="H2290" s="50"/>
      <c r="I2290" s="16"/>
      <c r="J2290" s="16"/>
      <c r="K2290" s="16"/>
      <c r="L2290" s="16"/>
      <c r="M2290" s="16">
        <v>2284</v>
      </c>
      <c r="N2290" s="16">
        <f t="shared" si="178"/>
        <v>0.81904591104734581</v>
      </c>
      <c r="O2290" s="16"/>
      <c r="P2290" s="16"/>
      <c r="Q2290" s="16">
        <f t="shared" si="179"/>
        <v>0.91173510782129141</v>
      </c>
    </row>
    <row r="2291" spans="4:17" ht="15" thickBot="1" x14ac:dyDescent="0.35">
      <c r="D2291" s="20">
        <f t="shared" si="175"/>
        <v>2285</v>
      </c>
      <c r="E2291" s="20">
        <f t="shared" si="176"/>
        <v>550</v>
      </c>
      <c r="F2291" s="20">
        <f t="shared" si="177"/>
        <v>4350</v>
      </c>
      <c r="G2291" s="20">
        <v>0.42419217656063957</v>
      </c>
      <c r="H2291" s="50"/>
      <c r="I2291" s="16"/>
      <c r="J2291" s="16"/>
      <c r="K2291" s="16"/>
      <c r="L2291" s="16"/>
      <c r="M2291" s="16">
        <v>2285</v>
      </c>
      <c r="N2291" s="16">
        <f t="shared" si="178"/>
        <v>0.81940459110473463</v>
      </c>
      <c r="O2291" s="16"/>
      <c r="P2291" s="16"/>
      <c r="Q2291" s="16">
        <f t="shared" si="179"/>
        <v>0.91309835051740795</v>
      </c>
    </row>
    <row r="2292" spans="4:17" ht="15" thickBot="1" x14ac:dyDescent="0.35">
      <c r="D2292" s="20">
        <f t="shared" si="175"/>
        <v>2286</v>
      </c>
      <c r="E2292" s="20">
        <f t="shared" si="176"/>
        <v>650</v>
      </c>
      <c r="F2292" s="20">
        <f t="shared" si="177"/>
        <v>4350</v>
      </c>
      <c r="G2292" s="20">
        <v>0.42439121029945792</v>
      </c>
      <c r="H2292" s="50"/>
      <c r="I2292" s="16"/>
      <c r="J2292" s="16"/>
      <c r="K2292" s="16"/>
      <c r="L2292" s="16"/>
      <c r="M2292" s="16">
        <v>2286</v>
      </c>
      <c r="N2292" s="16">
        <f t="shared" si="178"/>
        <v>0.81976327116212344</v>
      </c>
      <c r="O2292" s="16"/>
      <c r="P2292" s="16"/>
      <c r="Q2292" s="16">
        <f t="shared" si="179"/>
        <v>0.91446329225942358</v>
      </c>
    </row>
    <row r="2293" spans="4:17" ht="15" thickBot="1" x14ac:dyDescent="0.35">
      <c r="D2293" s="20">
        <f t="shared" si="175"/>
        <v>2287</v>
      </c>
      <c r="E2293" s="20">
        <f t="shared" si="176"/>
        <v>750</v>
      </c>
      <c r="F2293" s="20">
        <f t="shared" si="177"/>
        <v>4350</v>
      </c>
      <c r="G2293" s="20">
        <v>0.42448694330029413</v>
      </c>
      <c r="H2293" s="50"/>
      <c r="I2293" s="16"/>
      <c r="J2293" s="16"/>
      <c r="K2293" s="16"/>
      <c r="L2293" s="16"/>
      <c r="M2293" s="16">
        <v>2287</v>
      </c>
      <c r="N2293" s="16">
        <f t="shared" si="178"/>
        <v>0.82012195121951215</v>
      </c>
      <c r="O2293" s="16"/>
      <c r="P2293" s="16"/>
      <c r="Q2293" s="16">
        <f t="shared" si="179"/>
        <v>0.91582993983709171</v>
      </c>
    </row>
    <row r="2294" spans="4:17" ht="15" thickBot="1" x14ac:dyDescent="0.35">
      <c r="D2294" s="20">
        <f t="shared" si="175"/>
        <v>2288</v>
      </c>
      <c r="E2294" s="20">
        <f t="shared" si="176"/>
        <v>850</v>
      </c>
      <c r="F2294" s="20">
        <f t="shared" si="177"/>
        <v>4350</v>
      </c>
      <c r="G2294" s="20">
        <v>0.42454722121094091</v>
      </c>
      <c r="H2294" s="50"/>
      <c r="I2294" s="16"/>
      <c r="J2294" s="16"/>
      <c r="K2294" s="16"/>
      <c r="L2294" s="16"/>
      <c r="M2294" s="16">
        <v>2288</v>
      </c>
      <c r="N2294" s="16">
        <f t="shared" si="178"/>
        <v>0.82048063127690096</v>
      </c>
      <c r="O2294" s="16"/>
      <c r="P2294" s="16"/>
      <c r="Q2294" s="16">
        <f t="shared" si="179"/>
        <v>0.91719830007840952</v>
      </c>
    </row>
    <row r="2295" spans="4:17" ht="15" thickBot="1" x14ac:dyDescent="0.35">
      <c r="D2295" s="20">
        <f t="shared" si="175"/>
        <v>2289</v>
      </c>
      <c r="E2295" s="20">
        <f t="shared" si="176"/>
        <v>950</v>
      </c>
      <c r="F2295" s="20">
        <f t="shared" si="177"/>
        <v>4350</v>
      </c>
      <c r="G2295" s="20">
        <v>0.42466466829251059</v>
      </c>
      <c r="H2295" s="50"/>
      <c r="I2295" s="16"/>
      <c r="J2295" s="16"/>
      <c r="K2295" s="16"/>
      <c r="L2295" s="16"/>
      <c r="M2295" s="16">
        <v>2289</v>
      </c>
      <c r="N2295" s="16">
        <f t="shared" si="178"/>
        <v>0.82083931133428978</v>
      </c>
      <c r="O2295" s="16"/>
      <c r="P2295" s="16"/>
      <c r="Q2295" s="16">
        <f t="shared" si="179"/>
        <v>0.91856837984990947</v>
      </c>
    </row>
    <row r="2296" spans="4:17" ht="15" thickBot="1" x14ac:dyDescent="0.35">
      <c r="D2296" s="20">
        <f t="shared" si="175"/>
        <v>2290</v>
      </c>
      <c r="E2296" s="20">
        <f t="shared" si="176"/>
        <v>1050</v>
      </c>
      <c r="F2296" s="20">
        <f t="shared" si="177"/>
        <v>4350</v>
      </c>
      <c r="G2296" s="20">
        <v>0.42473451110680327</v>
      </c>
      <c r="H2296" s="50"/>
      <c r="I2296" s="16"/>
      <c r="J2296" s="16"/>
      <c r="K2296" s="16"/>
      <c r="L2296" s="16"/>
      <c r="M2296" s="16">
        <v>2290</v>
      </c>
      <c r="N2296" s="16">
        <f t="shared" si="178"/>
        <v>0.82119799139167859</v>
      </c>
      <c r="O2296" s="16"/>
      <c r="P2296" s="16"/>
      <c r="Q2296" s="16">
        <f t="shared" si="179"/>
        <v>0.91994018605695815</v>
      </c>
    </row>
    <row r="2297" spans="4:17" ht="15" thickBot="1" x14ac:dyDescent="0.35">
      <c r="D2297" s="20">
        <f t="shared" si="175"/>
        <v>2291</v>
      </c>
      <c r="E2297" s="20">
        <f t="shared" si="176"/>
        <v>1150</v>
      </c>
      <c r="F2297" s="20">
        <f t="shared" si="177"/>
        <v>4350</v>
      </c>
      <c r="G2297" s="20">
        <v>0.42488707418640931</v>
      </c>
      <c r="H2297" s="50"/>
      <c r="I2297" s="16"/>
      <c r="J2297" s="16"/>
      <c r="K2297" s="16"/>
      <c r="L2297" s="16"/>
      <c r="M2297" s="16">
        <v>2291</v>
      </c>
      <c r="N2297" s="16">
        <f t="shared" si="178"/>
        <v>0.82155667144906741</v>
      </c>
      <c r="O2297" s="16"/>
      <c r="P2297" s="16"/>
      <c r="Q2297" s="16">
        <f t="shared" si="179"/>
        <v>0.92131372564407421</v>
      </c>
    </row>
    <row r="2298" spans="4:17" ht="15" thickBot="1" x14ac:dyDescent="0.35">
      <c r="D2298" s="20">
        <f t="shared" si="175"/>
        <v>2292</v>
      </c>
      <c r="E2298" s="43">
        <f t="shared" si="176"/>
        <v>1250</v>
      </c>
      <c r="F2298" s="43">
        <f t="shared" si="177"/>
        <v>4350</v>
      </c>
      <c r="G2298" s="20">
        <v>0.42491412101025477</v>
      </c>
      <c r="H2298" s="50"/>
      <c r="I2298" s="16"/>
      <c r="J2298" s="16"/>
      <c r="K2298" s="16"/>
      <c r="L2298" s="16"/>
      <c r="M2298" s="16">
        <v>2292</v>
      </c>
      <c r="N2298" s="16">
        <f t="shared" si="178"/>
        <v>0.82191535150645623</v>
      </c>
      <c r="O2298" s="16"/>
      <c r="P2298" s="16"/>
      <c r="Q2298" s="16">
        <f t="shared" si="179"/>
        <v>0.92268900559521316</v>
      </c>
    </row>
    <row r="2299" spans="4:17" ht="15" thickBot="1" x14ac:dyDescent="0.35">
      <c r="D2299" s="20">
        <f t="shared" si="175"/>
        <v>2293</v>
      </c>
      <c r="E2299" s="20">
        <f t="shared" si="176"/>
        <v>1350</v>
      </c>
      <c r="F2299" s="20">
        <f t="shared" si="177"/>
        <v>4350</v>
      </c>
      <c r="G2299" s="20">
        <v>0.42497478019000123</v>
      </c>
      <c r="H2299" s="50"/>
      <c r="I2299" s="16"/>
      <c r="J2299" s="16"/>
      <c r="K2299" s="16"/>
      <c r="L2299" s="16"/>
      <c r="M2299" s="16">
        <v>2293</v>
      </c>
      <c r="N2299" s="16">
        <f t="shared" si="178"/>
        <v>0.82227403156384504</v>
      </c>
      <c r="O2299" s="16"/>
      <c r="P2299" s="16"/>
      <c r="Q2299" s="16">
        <f t="shared" si="179"/>
        <v>0.9240660329340914</v>
      </c>
    </row>
    <row r="2300" spans="4:17" ht="15" thickBot="1" x14ac:dyDescent="0.35">
      <c r="D2300" s="20">
        <f t="shared" si="175"/>
        <v>2294</v>
      </c>
      <c r="E2300" s="20">
        <f t="shared" si="176"/>
        <v>1450</v>
      </c>
      <c r="F2300" s="20">
        <f t="shared" si="177"/>
        <v>4350</v>
      </c>
      <c r="G2300" s="20">
        <v>0.42500290951623654</v>
      </c>
      <c r="H2300" s="50"/>
      <c r="I2300" s="16"/>
      <c r="J2300" s="16"/>
      <c r="K2300" s="16"/>
      <c r="L2300" s="16"/>
      <c r="M2300" s="16">
        <v>2294</v>
      </c>
      <c r="N2300" s="16">
        <f t="shared" si="178"/>
        <v>0.82263271162123386</v>
      </c>
      <c r="O2300" s="16"/>
      <c r="P2300" s="16"/>
      <c r="Q2300" s="16">
        <f t="shared" si="179"/>
        <v>0.92544481472449469</v>
      </c>
    </row>
    <row r="2301" spans="4:17" ht="15" thickBot="1" x14ac:dyDescent="0.35">
      <c r="D2301" s="20">
        <f t="shared" si="175"/>
        <v>2295</v>
      </c>
      <c r="E2301" s="20">
        <f t="shared" si="176"/>
        <v>1550</v>
      </c>
      <c r="F2301" s="20">
        <f t="shared" si="177"/>
        <v>4350</v>
      </c>
      <c r="G2301" s="20">
        <v>0.42502017965835087</v>
      </c>
      <c r="H2301" s="50"/>
      <c r="I2301" s="16"/>
      <c r="J2301" s="16"/>
      <c r="K2301" s="16"/>
      <c r="L2301" s="16"/>
      <c r="M2301" s="16">
        <v>2295</v>
      </c>
      <c r="N2301" s="16">
        <f t="shared" si="178"/>
        <v>0.82299139167862267</v>
      </c>
      <c r="O2301" s="16"/>
      <c r="P2301" s="16"/>
      <c r="Q2301" s="16">
        <f t="shared" si="179"/>
        <v>0.9268253580705913</v>
      </c>
    </row>
    <row r="2302" spans="4:17" ht="15" thickBot="1" x14ac:dyDescent="0.35">
      <c r="D2302" s="20">
        <f t="shared" si="175"/>
        <v>2296</v>
      </c>
      <c r="E2302" s="20">
        <f t="shared" si="176"/>
        <v>1650</v>
      </c>
      <c r="F2302" s="20">
        <f t="shared" si="177"/>
        <v>4350</v>
      </c>
      <c r="G2302" s="20">
        <v>0.42507294863202799</v>
      </c>
      <c r="H2302" s="50"/>
      <c r="I2302" s="16"/>
      <c r="J2302" s="16"/>
      <c r="K2302" s="16"/>
      <c r="L2302" s="16"/>
      <c r="M2302" s="16">
        <v>2296</v>
      </c>
      <c r="N2302" s="16">
        <f t="shared" si="178"/>
        <v>0.82335007173601149</v>
      </c>
      <c r="O2302" s="16"/>
      <c r="P2302" s="16"/>
      <c r="Q2302" s="16">
        <f t="shared" si="179"/>
        <v>0.92820767011724803</v>
      </c>
    </row>
    <row r="2303" spans="4:17" ht="15" thickBot="1" x14ac:dyDescent="0.35">
      <c r="D2303" s="20">
        <f t="shared" si="175"/>
        <v>2297</v>
      </c>
      <c r="E2303" s="20">
        <f t="shared" si="176"/>
        <v>1750</v>
      </c>
      <c r="F2303" s="20">
        <f t="shared" si="177"/>
        <v>4350</v>
      </c>
      <c r="G2303" s="20">
        <v>0.42516677799234281</v>
      </c>
      <c r="H2303" s="50"/>
      <c r="I2303" s="16"/>
      <c r="J2303" s="16"/>
      <c r="K2303" s="16"/>
      <c r="L2303" s="16"/>
      <c r="M2303" s="16">
        <v>2297</v>
      </c>
      <c r="N2303" s="16">
        <f t="shared" si="178"/>
        <v>0.82370875179340031</v>
      </c>
      <c r="O2303" s="16"/>
      <c r="P2303" s="16"/>
      <c r="Q2303" s="16">
        <f t="shared" si="179"/>
        <v>0.92959175805036609</v>
      </c>
    </row>
    <row r="2304" spans="4:17" ht="15" thickBot="1" x14ac:dyDescent="0.35">
      <c r="D2304" s="20">
        <f t="shared" si="175"/>
        <v>2298</v>
      </c>
      <c r="E2304" s="20">
        <f t="shared" si="176"/>
        <v>1850</v>
      </c>
      <c r="F2304" s="20">
        <f t="shared" si="177"/>
        <v>4350</v>
      </c>
      <c r="G2304" s="20">
        <v>0.42520504981804275</v>
      </c>
      <c r="H2304" s="50"/>
      <c r="I2304" s="16"/>
      <c r="J2304" s="16"/>
      <c r="K2304" s="16"/>
      <c r="L2304" s="16"/>
      <c r="M2304" s="16">
        <v>2298</v>
      </c>
      <c r="N2304" s="16">
        <f t="shared" si="178"/>
        <v>0.82406743185078912</v>
      </c>
      <c r="O2304" s="16"/>
      <c r="P2304" s="16"/>
      <c r="Q2304" s="16">
        <f t="shared" si="179"/>
        <v>0.93097762909718262</v>
      </c>
    </row>
    <row r="2305" spans="4:17" ht="15" thickBot="1" x14ac:dyDescent="0.35">
      <c r="D2305" s="20">
        <f t="shared" si="175"/>
        <v>2299</v>
      </c>
      <c r="E2305" s="20">
        <f t="shared" si="176"/>
        <v>1950</v>
      </c>
      <c r="F2305" s="20">
        <f t="shared" si="177"/>
        <v>4350</v>
      </c>
      <c r="G2305" s="20">
        <v>0.4252185243710796</v>
      </c>
      <c r="H2305" s="50"/>
      <c r="I2305" s="16"/>
      <c r="J2305" s="16"/>
      <c r="K2305" s="16"/>
      <c r="L2305" s="16"/>
      <c r="M2305" s="16">
        <v>2299</v>
      </c>
      <c r="N2305" s="16">
        <f t="shared" si="178"/>
        <v>0.82442611190817794</v>
      </c>
      <c r="O2305" s="16"/>
      <c r="P2305" s="16"/>
      <c r="Q2305" s="16">
        <f t="shared" si="179"/>
        <v>0.93236529052661909</v>
      </c>
    </row>
    <row r="2306" spans="4:17" ht="15" thickBot="1" x14ac:dyDescent="0.35">
      <c r="D2306" s="20">
        <f t="shared" si="175"/>
        <v>2300</v>
      </c>
      <c r="E2306" s="20">
        <f t="shared" si="176"/>
        <v>2050</v>
      </c>
      <c r="F2306" s="20">
        <f t="shared" si="177"/>
        <v>4350</v>
      </c>
      <c r="G2306" s="20">
        <v>0.42523764773533723</v>
      </c>
      <c r="H2306" s="50"/>
      <c r="I2306" s="16"/>
      <c r="J2306" s="16"/>
      <c r="K2306" s="16"/>
      <c r="L2306" s="16"/>
      <c r="M2306" s="16">
        <v>2300</v>
      </c>
      <c r="N2306" s="16">
        <f t="shared" si="178"/>
        <v>0.82478479196556675</v>
      </c>
      <c r="O2306" s="16"/>
      <c r="P2306" s="16"/>
      <c r="Q2306" s="16">
        <f t="shared" si="179"/>
        <v>0.93375474964959926</v>
      </c>
    </row>
    <row r="2307" spans="4:17" ht="15" thickBot="1" x14ac:dyDescent="0.35">
      <c r="D2307" s="20">
        <f t="shared" si="175"/>
        <v>2301</v>
      </c>
      <c r="E2307" s="20">
        <f t="shared" si="176"/>
        <v>2150</v>
      </c>
      <c r="F2307" s="20">
        <f t="shared" si="177"/>
        <v>4350</v>
      </c>
      <c r="G2307" s="20">
        <v>0.42528230575195691</v>
      </c>
      <c r="H2307" s="50"/>
      <c r="I2307" s="16"/>
      <c r="J2307" s="16"/>
      <c r="K2307" s="16"/>
      <c r="L2307" s="16"/>
      <c r="M2307" s="16">
        <v>2301</v>
      </c>
      <c r="N2307" s="16">
        <f t="shared" si="178"/>
        <v>0.82514347202295557</v>
      </c>
      <c r="O2307" s="16"/>
      <c r="P2307" s="16"/>
      <c r="Q2307" s="16">
        <f t="shared" si="179"/>
        <v>0.9351460138193971</v>
      </c>
    </row>
    <row r="2308" spans="4:17" ht="15" thickBot="1" x14ac:dyDescent="0.35">
      <c r="D2308" s="20">
        <f t="shared" si="175"/>
        <v>2302</v>
      </c>
      <c r="E2308" s="20">
        <f t="shared" si="176"/>
        <v>2250</v>
      </c>
      <c r="F2308" s="20">
        <f t="shared" si="177"/>
        <v>4350</v>
      </c>
      <c r="G2308" s="20">
        <v>0.42535948525169553</v>
      </c>
      <c r="H2308" s="50"/>
      <c r="I2308" s="16"/>
      <c r="J2308" s="16"/>
      <c r="K2308" s="16"/>
      <c r="L2308" s="16"/>
      <c r="M2308" s="16">
        <v>2302</v>
      </c>
      <c r="N2308" s="16">
        <f t="shared" si="178"/>
        <v>0.82550215208034439</v>
      </c>
      <c r="O2308" s="16"/>
      <c r="P2308" s="16"/>
      <c r="Q2308" s="16">
        <f t="shared" si="179"/>
        <v>0.93653909043195749</v>
      </c>
    </row>
    <row r="2309" spans="4:17" ht="15" thickBot="1" x14ac:dyDescent="0.35">
      <c r="D2309" s="20">
        <f t="shared" si="175"/>
        <v>2303</v>
      </c>
      <c r="E2309" s="20">
        <f t="shared" si="176"/>
        <v>2350</v>
      </c>
      <c r="F2309" s="20">
        <f t="shared" si="177"/>
        <v>4350</v>
      </c>
      <c r="G2309" s="20">
        <v>0.42536726127278401</v>
      </c>
      <c r="H2309" s="50"/>
      <c r="I2309" s="16"/>
      <c r="J2309" s="16"/>
      <c r="K2309" s="16"/>
      <c r="L2309" s="16"/>
      <c r="M2309" s="16">
        <v>2303</v>
      </c>
      <c r="N2309" s="16">
        <f t="shared" si="178"/>
        <v>0.82586083213773309</v>
      </c>
      <c r="O2309" s="16"/>
      <c r="P2309" s="16"/>
      <c r="Q2309" s="16">
        <f t="shared" si="179"/>
        <v>0.93793398692625107</v>
      </c>
    </row>
    <row r="2310" spans="4:17" ht="15" thickBot="1" x14ac:dyDescent="0.35">
      <c r="D2310" s="20">
        <f t="shared" si="175"/>
        <v>2304</v>
      </c>
      <c r="E2310" s="20">
        <f t="shared" si="176"/>
        <v>2450</v>
      </c>
      <c r="F2310" s="20">
        <f t="shared" si="177"/>
        <v>4350</v>
      </c>
      <c r="G2310" s="20">
        <v>0.4253824883385528</v>
      </c>
      <c r="H2310" s="50"/>
      <c r="I2310" s="16"/>
      <c r="J2310" s="16"/>
      <c r="K2310" s="16"/>
      <c r="L2310" s="16"/>
      <c r="M2310" s="16">
        <v>2304</v>
      </c>
      <c r="N2310" s="16">
        <f t="shared" si="178"/>
        <v>0.82621951219512191</v>
      </c>
      <c r="O2310" s="16"/>
      <c r="P2310" s="16"/>
      <c r="Q2310" s="16">
        <f t="shared" si="179"/>
        <v>0.93933071078461339</v>
      </c>
    </row>
    <row r="2311" spans="4:17" ht="15" thickBot="1" x14ac:dyDescent="0.35">
      <c r="D2311" s="20">
        <f t="shared" ref="D2311:D2374" si="180">ROW()-6</f>
        <v>2305</v>
      </c>
      <c r="E2311" s="20">
        <f t="shared" ref="E2311:E2374" si="181">(MOD(D2311-1,53)*100)+50</f>
        <v>2550</v>
      </c>
      <c r="F2311" s="20">
        <f t="shared" ref="F2311:F2374" si="182">FLOOR((D2311-1)/53,1)*100+50</f>
        <v>4350</v>
      </c>
      <c r="G2311" s="20">
        <v>0.42561137368117974</v>
      </c>
      <c r="H2311" s="50"/>
      <c r="I2311" s="16"/>
      <c r="J2311" s="16"/>
      <c r="K2311" s="16"/>
      <c r="L2311" s="16"/>
      <c r="M2311" s="16">
        <v>2305</v>
      </c>
      <c r="N2311" s="16">
        <f t="shared" si="178"/>
        <v>0.82657819225251072</v>
      </c>
      <c r="O2311" s="16"/>
      <c r="P2311" s="16"/>
      <c r="Q2311" s="16">
        <f t="shared" si="179"/>
        <v>0.94072926953309444</v>
      </c>
    </row>
    <row r="2312" spans="4:17" ht="15" thickBot="1" x14ac:dyDescent="0.35">
      <c r="D2312" s="20">
        <f t="shared" si="180"/>
        <v>2306</v>
      </c>
      <c r="E2312" s="20">
        <f t="shared" si="181"/>
        <v>2650</v>
      </c>
      <c r="F2312" s="20">
        <f t="shared" si="182"/>
        <v>4350</v>
      </c>
      <c r="G2312" s="20">
        <v>0.42576958789237435</v>
      </c>
      <c r="H2312" s="50"/>
      <c r="I2312" s="16"/>
      <c r="J2312" s="16"/>
      <c r="K2312" s="16"/>
      <c r="L2312" s="16"/>
      <c r="M2312" s="16">
        <v>2306</v>
      </c>
      <c r="N2312" s="16">
        <f t="shared" ref="N2312:N2375" si="183">(M2312-0.5)/$L$7</f>
        <v>0.82693687230989954</v>
      </c>
      <c r="O2312" s="16"/>
      <c r="P2312" s="16"/>
      <c r="Q2312" s="16">
        <f t="shared" ref="Q2312:Q2375" si="184">_xlfn.NORM.S.INV(N2312)</f>
        <v>0.9421296707418092</v>
      </c>
    </row>
    <row r="2313" spans="4:17" ht="15" thickBot="1" x14ac:dyDescent="0.35">
      <c r="D2313" s="20">
        <f t="shared" si="180"/>
        <v>2307</v>
      </c>
      <c r="E2313" s="20">
        <f t="shared" si="181"/>
        <v>2750</v>
      </c>
      <c r="F2313" s="20">
        <f t="shared" si="182"/>
        <v>4350</v>
      </c>
      <c r="G2313" s="20">
        <v>0.42579271739039903</v>
      </c>
      <c r="H2313" s="50"/>
      <c r="I2313" s="16"/>
      <c r="J2313" s="16"/>
      <c r="K2313" s="16"/>
      <c r="L2313" s="16"/>
      <c r="M2313" s="16">
        <v>2307</v>
      </c>
      <c r="N2313" s="16">
        <f t="shared" si="183"/>
        <v>0.82729555236728836</v>
      </c>
      <c r="O2313" s="16"/>
      <c r="P2313" s="16"/>
      <c r="Q2313" s="16">
        <f t="shared" si="184"/>
        <v>0.94353192202529634</v>
      </c>
    </row>
    <row r="2314" spans="4:17" ht="15" thickBot="1" x14ac:dyDescent="0.35">
      <c r="D2314" s="20">
        <f t="shared" si="180"/>
        <v>2308</v>
      </c>
      <c r="E2314" s="20">
        <f t="shared" si="181"/>
        <v>2850</v>
      </c>
      <c r="F2314" s="20">
        <f t="shared" si="182"/>
        <v>4350</v>
      </c>
      <c r="G2314" s="20">
        <v>0.42580703939545739</v>
      </c>
      <c r="H2314" s="50"/>
      <c r="I2314" s="16"/>
      <c r="J2314" s="16"/>
      <c r="K2314" s="16"/>
      <c r="L2314" s="16"/>
      <c r="M2314" s="16">
        <v>2308</v>
      </c>
      <c r="N2314" s="16">
        <f t="shared" si="183"/>
        <v>0.82765423242467717</v>
      </c>
      <c r="O2314" s="16"/>
      <c r="P2314" s="16"/>
      <c r="Q2314" s="16">
        <f t="shared" si="184"/>
        <v>0.94493603104286916</v>
      </c>
    </row>
    <row r="2315" spans="4:17" ht="15" thickBot="1" x14ac:dyDescent="0.35">
      <c r="D2315" s="20">
        <f t="shared" si="180"/>
        <v>2309</v>
      </c>
      <c r="E2315" s="20">
        <f t="shared" si="181"/>
        <v>2950</v>
      </c>
      <c r="F2315" s="20">
        <f t="shared" si="182"/>
        <v>4350</v>
      </c>
      <c r="G2315" s="20">
        <v>0.42583161964462146</v>
      </c>
      <c r="H2315" s="50"/>
      <c r="I2315" s="16"/>
      <c r="J2315" s="16"/>
      <c r="K2315" s="16"/>
      <c r="L2315" s="16"/>
      <c r="M2315" s="16">
        <v>2309</v>
      </c>
      <c r="N2315" s="16">
        <f t="shared" si="183"/>
        <v>0.82801291248206599</v>
      </c>
      <c r="O2315" s="16"/>
      <c r="P2315" s="16"/>
      <c r="Q2315" s="16">
        <f t="shared" si="184"/>
        <v>0.9463420054989905</v>
      </c>
    </row>
    <row r="2316" spans="4:17" ht="15" thickBot="1" x14ac:dyDescent="0.35">
      <c r="D2316" s="20">
        <f t="shared" si="180"/>
        <v>2310</v>
      </c>
      <c r="E2316" s="20">
        <f t="shared" si="181"/>
        <v>3050</v>
      </c>
      <c r="F2316" s="20">
        <f t="shared" si="182"/>
        <v>4350</v>
      </c>
      <c r="G2316" s="20">
        <v>0.42584249449347622</v>
      </c>
      <c r="H2316" s="50"/>
      <c r="I2316" s="16"/>
      <c r="J2316" s="16"/>
      <c r="K2316" s="16"/>
      <c r="L2316" s="16"/>
      <c r="M2316" s="16">
        <v>2310</v>
      </c>
      <c r="N2316" s="16">
        <f t="shared" si="183"/>
        <v>0.8283715925394548</v>
      </c>
      <c r="O2316" s="16"/>
      <c r="P2316" s="16"/>
      <c r="Q2316" s="16">
        <f t="shared" si="184"/>
        <v>0.9477498531436207</v>
      </c>
    </row>
    <row r="2317" spans="4:17" ht="15" thickBot="1" x14ac:dyDescent="0.35">
      <c r="D2317" s="20">
        <f t="shared" si="180"/>
        <v>2311</v>
      </c>
      <c r="E2317" s="20">
        <f t="shared" si="181"/>
        <v>3150</v>
      </c>
      <c r="F2317" s="20">
        <f t="shared" si="182"/>
        <v>4350</v>
      </c>
      <c r="G2317" s="20">
        <v>0.42597350949137641</v>
      </c>
      <c r="H2317" s="50"/>
      <c r="I2317" s="16"/>
      <c r="J2317" s="16"/>
      <c r="K2317" s="16"/>
      <c r="L2317" s="16"/>
      <c r="M2317" s="16">
        <v>2311</v>
      </c>
      <c r="N2317" s="16">
        <f t="shared" si="183"/>
        <v>0.82873027259684362</v>
      </c>
      <c r="O2317" s="16"/>
      <c r="P2317" s="16"/>
      <c r="Q2317" s="16">
        <f t="shared" si="184"/>
        <v>0.94915958177260995</v>
      </c>
    </row>
    <row r="2318" spans="4:17" ht="15" thickBot="1" x14ac:dyDescent="0.35">
      <c r="D2318" s="20">
        <f t="shared" si="180"/>
        <v>2312</v>
      </c>
      <c r="E2318" s="20">
        <f t="shared" si="181"/>
        <v>3250</v>
      </c>
      <c r="F2318" s="20">
        <f t="shared" si="182"/>
        <v>4350</v>
      </c>
      <c r="G2318" s="20">
        <v>0.42601631292883968</v>
      </c>
      <c r="H2318" s="50"/>
      <c r="I2318" s="16"/>
      <c r="J2318" s="16"/>
      <c r="K2318" s="16"/>
      <c r="L2318" s="16"/>
      <c r="M2318" s="16">
        <v>2312</v>
      </c>
      <c r="N2318" s="16">
        <f t="shared" si="183"/>
        <v>0.82908895265423244</v>
      </c>
      <c r="O2318" s="16"/>
      <c r="P2318" s="16"/>
      <c r="Q2318" s="16">
        <f t="shared" si="184"/>
        <v>0.95057119922805444</v>
      </c>
    </row>
    <row r="2319" spans="4:17" ht="15" thickBot="1" x14ac:dyDescent="0.35">
      <c r="D2319" s="20">
        <f t="shared" si="180"/>
        <v>2313</v>
      </c>
      <c r="E2319" s="20">
        <f t="shared" si="181"/>
        <v>3350</v>
      </c>
      <c r="F2319" s="20">
        <f t="shared" si="182"/>
        <v>4350</v>
      </c>
      <c r="G2319" s="20">
        <v>0.42605951006144949</v>
      </c>
      <c r="H2319" s="50"/>
      <c r="I2319" s="16"/>
      <c r="J2319" s="16"/>
      <c r="K2319" s="16"/>
      <c r="L2319" s="16"/>
      <c r="M2319" s="16">
        <v>2313</v>
      </c>
      <c r="N2319" s="16">
        <f t="shared" si="183"/>
        <v>0.82944763271162125</v>
      </c>
      <c r="O2319" s="16"/>
      <c r="P2319" s="16"/>
      <c r="Q2319" s="16">
        <f t="shared" si="184"/>
        <v>0.95198471339867963</v>
      </c>
    </row>
    <row r="2320" spans="4:17" ht="15" thickBot="1" x14ac:dyDescent="0.35">
      <c r="D2320" s="20">
        <f t="shared" si="180"/>
        <v>2314</v>
      </c>
      <c r="E2320" s="20">
        <f t="shared" si="181"/>
        <v>3450</v>
      </c>
      <c r="F2320" s="20">
        <f t="shared" si="182"/>
        <v>4350</v>
      </c>
      <c r="G2320" s="20">
        <v>0.42606570025728968</v>
      </c>
      <c r="H2320" s="50"/>
      <c r="I2320" s="16"/>
      <c r="J2320" s="16"/>
      <c r="K2320" s="16"/>
      <c r="L2320" s="16"/>
      <c r="M2320" s="16">
        <v>2314</v>
      </c>
      <c r="N2320" s="16">
        <f t="shared" si="183"/>
        <v>0.82980631276901007</v>
      </c>
      <c r="O2320" s="16"/>
      <c r="P2320" s="16"/>
      <c r="Q2320" s="16">
        <f t="shared" si="184"/>
        <v>0.95340013222022513</v>
      </c>
    </row>
    <row r="2321" spans="4:17" ht="15" thickBot="1" x14ac:dyDescent="0.35">
      <c r="D2321" s="20">
        <f t="shared" si="180"/>
        <v>2315</v>
      </c>
      <c r="E2321" s="20">
        <f t="shared" si="181"/>
        <v>3550</v>
      </c>
      <c r="F2321" s="20">
        <f t="shared" si="182"/>
        <v>4350</v>
      </c>
      <c r="G2321" s="20">
        <v>0.42606798977939719</v>
      </c>
      <c r="H2321" s="50"/>
      <c r="I2321" s="16"/>
      <c r="J2321" s="16"/>
      <c r="K2321" s="16"/>
      <c r="L2321" s="16"/>
      <c r="M2321" s="16">
        <v>2315</v>
      </c>
      <c r="N2321" s="16">
        <f t="shared" si="183"/>
        <v>0.83016499282639888</v>
      </c>
      <c r="O2321" s="16"/>
      <c r="P2321" s="16"/>
      <c r="Q2321" s="16">
        <f t="shared" si="184"/>
        <v>0.95481746367582188</v>
      </c>
    </row>
    <row r="2322" spans="4:17" ht="15" thickBot="1" x14ac:dyDescent="0.35">
      <c r="D2322" s="20">
        <f t="shared" si="180"/>
        <v>2316</v>
      </c>
      <c r="E2322" s="20">
        <f t="shared" si="181"/>
        <v>3650</v>
      </c>
      <c r="F2322" s="20">
        <f t="shared" si="182"/>
        <v>4350</v>
      </c>
      <c r="G2322" s="20">
        <v>0.42617207174413557</v>
      </c>
      <c r="H2322" s="50"/>
      <c r="I2322" s="16"/>
      <c r="J2322" s="16"/>
      <c r="K2322" s="16"/>
      <c r="L2322" s="16"/>
      <c r="M2322" s="16">
        <v>2316</v>
      </c>
      <c r="N2322" s="16">
        <f t="shared" si="183"/>
        <v>0.8305236728837877</v>
      </c>
      <c r="O2322" s="16"/>
      <c r="P2322" s="16"/>
      <c r="Q2322" s="16">
        <f t="shared" si="184"/>
        <v>0.95623671579638736</v>
      </c>
    </row>
    <row r="2323" spans="4:17" ht="15" thickBot="1" x14ac:dyDescent="0.35">
      <c r="D2323" s="20">
        <f t="shared" si="180"/>
        <v>2317</v>
      </c>
      <c r="E2323" s="20">
        <f t="shared" si="181"/>
        <v>3750</v>
      </c>
      <c r="F2323" s="20">
        <f t="shared" si="182"/>
        <v>4350</v>
      </c>
      <c r="G2323" s="20">
        <v>0.42622986478623992</v>
      </c>
      <c r="H2323" s="50"/>
      <c r="I2323" s="16"/>
      <c r="J2323" s="16"/>
      <c r="K2323" s="16"/>
      <c r="L2323" s="16"/>
      <c r="M2323" s="16">
        <v>2317</v>
      </c>
      <c r="N2323" s="16">
        <f t="shared" si="183"/>
        <v>0.83088235294117652</v>
      </c>
      <c r="O2323" s="16"/>
      <c r="P2323" s="16"/>
      <c r="Q2323" s="16">
        <f t="shared" si="184"/>
        <v>0.95765789666102985</v>
      </c>
    </row>
    <row r="2324" spans="4:17" ht="15" thickBot="1" x14ac:dyDescent="0.35">
      <c r="D2324" s="20">
        <f t="shared" si="180"/>
        <v>2318</v>
      </c>
      <c r="E2324" s="20">
        <f t="shared" si="181"/>
        <v>3850</v>
      </c>
      <c r="F2324" s="20">
        <f t="shared" si="182"/>
        <v>4350</v>
      </c>
      <c r="G2324" s="20">
        <v>0.4264267022738642</v>
      </c>
      <c r="H2324" s="50"/>
      <c r="I2324" s="16"/>
      <c r="J2324" s="16"/>
      <c r="K2324" s="16"/>
      <c r="L2324" s="16"/>
      <c r="M2324" s="16">
        <v>2318</v>
      </c>
      <c r="N2324" s="16">
        <f t="shared" si="183"/>
        <v>0.83124103299856533</v>
      </c>
      <c r="O2324" s="16"/>
      <c r="P2324" s="16"/>
      <c r="Q2324" s="16">
        <f t="shared" si="184"/>
        <v>0.959081014397411</v>
      </c>
    </row>
    <row r="2325" spans="4:17" ht="15" thickBot="1" x14ac:dyDescent="0.35">
      <c r="D2325" s="20">
        <f t="shared" si="180"/>
        <v>2319</v>
      </c>
      <c r="E2325" s="20">
        <f t="shared" si="181"/>
        <v>3950</v>
      </c>
      <c r="F2325" s="20">
        <f t="shared" si="182"/>
        <v>4350</v>
      </c>
      <c r="G2325" s="20">
        <v>0.42648588594896031</v>
      </c>
      <c r="H2325" s="50"/>
      <c r="I2325" s="16"/>
      <c r="J2325" s="16"/>
      <c r="K2325" s="16"/>
      <c r="L2325" s="16"/>
      <c r="M2325" s="16">
        <v>2319</v>
      </c>
      <c r="N2325" s="16">
        <f t="shared" si="183"/>
        <v>0.83159971305595404</v>
      </c>
      <c r="O2325" s="16"/>
      <c r="P2325" s="16"/>
      <c r="Q2325" s="16">
        <f t="shared" si="184"/>
        <v>0.96050607718219194</v>
      </c>
    </row>
    <row r="2326" spans="4:17" ht="15" thickBot="1" x14ac:dyDescent="0.35">
      <c r="D2326" s="20">
        <f t="shared" si="180"/>
        <v>2320</v>
      </c>
      <c r="E2326" s="20">
        <f t="shared" si="181"/>
        <v>4050</v>
      </c>
      <c r="F2326" s="20">
        <f t="shared" si="182"/>
        <v>4350</v>
      </c>
      <c r="G2326" s="20">
        <v>0.42649585232641068</v>
      </c>
      <c r="H2326" s="50"/>
      <c r="I2326" s="16"/>
      <c r="J2326" s="16"/>
      <c r="K2326" s="16"/>
      <c r="L2326" s="16"/>
      <c r="M2326" s="16">
        <v>2320</v>
      </c>
      <c r="N2326" s="16">
        <f t="shared" si="183"/>
        <v>0.83195839311334285</v>
      </c>
      <c r="O2326" s="16"/>
      <c r="P2326" s="16"/>
      <c r="Q2326" s="16">
        <f t="shared" si="184"/>
        <v>0.9619330932413992</v>
      </c>
    </row>
    <row r="2327" spans="4:17" ht="15" thickBot="1" x14ac:dyDescent="0.35">
      <c r="D2327" s="20">
        <f t="shared" si="180"/>
        <v>2321</v>
      </c>
      <c r="E2327" s="20">
        <f t="shared" si="181"/>
        <v>4150</v>
      </c>
      <c r="F2327" s="20">
        <f t="shared" si="182"/>
        <v>4350</v>
      </c>
      <c r="G2327" s="20">
        <v>0.42674071915368439</v>
      </c>
      <c r="H2327" s="50"/>
      <c r="I2327" s="16"/>
      <c r="J2327" s="16"/>
      <c r="K2327" s="16"/>
      <c r="L2327" s="16"/>
      <c r="M2327" s="16">
        <v>2321</v>
      </c>
      <c r="N2327" s="16">
        <f t="shared" si="183"/>
        <v>0.83231707317073167</v>
      </c>
      <c r="O2327" s="16"/>
      <c r="P2327" s="16"/>
      <c r="Q2327" s="16">
        <f t="shared" si="184"/>
        <v>0.96336207085086911</v>
      </c>
    </row>
    <row r="2328" spans="4:17" ht="15" thickBot="1" x14ac:dyDescent="0.35">
      <c r="D2328" s="20">
        <f t="shared" si="180"/>
        <v>2322</v>
      </c>
      <c r="E2328" s="20">
        <f t="shared" si="181"/>
        <v>4250</v>
      </c>
      <c r="F2328" s="20">
        <f t="shared" si="182"/>
        <v>4350</v>
      </c>
      <c r="G2328" s="20">
        <v>0.42686966110482477</v>
      </c>
      <c r="H2328" s="50"/>
      <c r="I2328" s="16"/>
      <c r="J2328" s="16"/>
      <c r="K2328" s="16"/>
      <c r="L2328" s="16"/>
      <c r="M2328" s="16">
        <v>2322</v>
      </c>
      <c r="N2328" s="16">
        <f t="shared" si="183"/>
        <v>0.83267575322812049</v>
      </c>
      <c r="O2328" s="16"/>
      <c r="P2328" s="16"/>
      <c r="Q2328" s="16">
        <f t="shared" si="184"/>
        <v>0.96479301833663123</v>
      </c>
    </row>
    <row r="2329" spans="4:17" ht="15" thickBot="1" x14ac:dyDescent="0.35">
      <c r="D2329" s="20">
        <f t="shared" si="180"/>
        <v>2323</v>
      </c>
      <c r="E2329" s="20">
        <f t="shared" si="181"/>
        <v>4350</v>
      </c>
      <c r="F2329" s="20">
        <f t="shared" si="182"/>
        <v>4350</v>
      </c>
      <c r="G2329" s="20">
        <v>0.42690332093606848</v>
      </c>
      <c r="H2329" s="50"/>
      <c r="I2329" s="16"/>
      <c r="J2329" s="16"/>
      <c r="K2329" s="16"/>
      <c r="L2329" s="16"/>
      <c r="M2329" s="16">
        <v>2323</v>
      </c>
      <c r="N2329" s="16">
        <f t="shared" si="183"/>
        <v>0.8330344332855093</v>
      </c>
      <c r="O2329" s="16"/>
      <c r="P2329" s="16"/>
      <c r="Q2329" s="16">
        <f t="shared" si="184"/>
        <v>0.9662259440753489</v>
      </c>
    </row>
    <row r="2330" spans="4:17" ht="15" thickBot="1" x14ac:dyDescent="0.35">
      <c r="D2330" s="20">
        <f t="shared" si="180"/>
        <v>2324</v>
      </c>
      <c r="E2330" s="20">
        <f t="shared" si="181"/>
        <v>4450</v>
      </c>
      <c r="F2330" s="20">
        <f t="shared" si="182"/>
        <v>4350</v>
      </c>
      <c r="G2330" s="20">
        <v>0.42712280785869167</v>
      </c>
      <c r="H2330" s="50"/>
      <c r="I2330" s="16"/>
      <c r="J2330" s="16"/>
      <c r="K2330" s="16"/>
      <c r="L2330" s="16"/>
      <c r="M2330" s="16">
        <v>2324</v>
      </c>
      <c r="N2330" s="16">
        <f t="shared" si="183"/>
        <v>0.83339311334289812</v>
      </c>
      <c r="O2330" s="16"/>
      <c r="P2330" s="16"/>
      <c r="Q2330" s="16">
        <f t="shared" si="184"/>
        <v>0.96766085649473688</v>
      </c>
    </row>
    <row r="2331" spans="4:17" ht="15" thickBot="1" x14ac:dyDescent="0.35">
      <c r="D2331" s="20">
        <f t="shared" si="180"/>
        <v>2325</v>
      </c>
      <c r="E2331" s="20">
        <f t="shared" si="181"/>
        <v>4550</v>
      </c>
      <c r="F2331" s="20">
        <f t="shared" si="182"/>
        <v>4350</v>
      </c>
      <c r="G2331" s="20">
        <v>0.42726063027507044</v>
      </c>
      <c r="H2331" s="50"/>
      <c r="I2331" s="16"/>
      <c r="J2331" s="16"/>
      <c r="K2331" s="16"/>
      <c r="L2331" s="16"/>
      <c r="M2331" s="16">
        <v>2325</v>
      </c>
      <c r="N2331" s="16">
        <f t="shared" si="183"/>
        <v>0.83375179340028693</v>
      </c>
      <c r="O2331" s="16"/>
      <c r="P2331" s="16"/>
      <c r="Q2331" s="16">
        <f t="shared" si="184"/>
        <v>0.96909776407397552</v>
      </c>
    </row>
    <row r="2332" spans="4:17" ht="15" thickBot="1" x14ac:dyDescent="0.35">
      <c r="D2332" s="20">
        <f t="shared" si="180"/>
        <v>2326</v>
      </c>
      <c r="E2332" s="20">
        <f t="shared" si="181"/>
        <v>4650</v>
      </c>
      <c r="F2332" s="20">
        <f t="shared" si="182"/>
        <v>4350</v>
      </c>
      <c r="G2332" s="20">
        <v>0.42733334563868863</v>
      </c>
      <c r="H2332" s="50"/>
      <c r="I2332" s="16"/>
      <c r="J2332" s="16"/>
      <c r="K2332" s="16"/>
      <c r="L2332" s="16"/>
      <c r="M2332" s="16">
        <v>2326</v>
      </c>
      <c r="N2332" s="16">
        <f t="shared" si="183"/>
        <v>0.83411047345767575</v>
      </c>
      <c r="O2332" s="16"/>
      <c r="P2332" s="16"/>
      <c r="Q2332" s="16">
        <f t="shared" si="184"/>
        <v>0.97053667534415833</v>
      </c>
    </row>
    <row r="2333" spans="4:17" ht="15" thickBot="1" x14ac:dyDescent="0.35">
      <c r="D2333" s="20">
        <f t="shared" si="180"/>
        <v>2327</v>
      </c>
      <c r="E2333" s="20">
        <f t="shared" si="181"/>
        <v>4750</v>
      </c>
      <c r="F2333" s="20">
        <f t="shared" si="182"/>
        <v>4350</v>
      </c>
      <c r="G2333" s="20">
        <v>0.42746916324810974</v>
      </c>
      <c r="H2333" s="50"/>
      <c r="I2333" s="16"/>
      <c r="J2333" s="16"/>
      <c r="K2333" s="16"/>
      <c r="L2333" s="16"/>
      <c r="M2333" s="16">
        <v>2327</v>
      </c>
      <c r="N2333" s="16">
        <f t="shared" si="183"/>
        <v>0.83446915351506457</v>
      </c>
      <c r="O2333" s="16"/>
      <c r="P2333" s="16"/>
      <c r="Q2333" s="16">
        <f t="shared" si="184"/>
        <v>0.97197759888873336</v>
      </c>
    </row>
    <row r="2334" spans="4:17" ht="15" thickBot="1" x14ac:dyDescent="0.35">
      <c r="D2334" s="20">
        <f t="shared" si="180"/>
        <v>2328</v>
      </c>
      <c r="E2334" s="20">
        <f t="shared" si="181"/>
        <v>4850</v>
      </c>
      <c r="F2334" s="20">
        <f t="shared" si="182"/>
        <v>4350</v>
      </c>
      <c r="G2334" s="20">
        <v>0.42767812511052905</v>
      </c>
      <c r="H2334" s="50"/>
      <c r="I2334" s="16"/>
      <c r="J2334" s="16"/>
      <c r="K2334" s="16"/>
      <c r="L2334" s="16"/>
      <c r="M2334" s="16">
        <v>2328</v>
      </c>
      <c r="N2334" s="16">
        <f t="shared" si="183"/>
        <v>0.83482783357245338</v>
      </c>
      <c r="O2334" s="16"/>
      <c r="P2334" s="16"/>
      <c r="Q2334" s="16">
        <f t="shared" si="184"/>
        <v>0.97342054334391392</v>
      </c>
    </row>
    <row r="2335" spans="4:17" ht="15" thickBot="1" x14ac:dyDescent="0.35">
      <c r="D2335" s="20">
        <f t="shared" si="180"/>
        <v>2329</v>
      </c>
      <c r="E2335" s="20">
        <f t="shared" si="181"/>
        <v>4950</v>
      </c>
      <c r="F2335" s="20">
        <f t="shared" si="182"/>
        <v>4350</v>
      </c>
      <c r="G2335" s="20">
        <v>0.42781300534286959</v>
      </c>
      <c r="H2335" s="50"/>
      <c r="I2335" s="16"/>
      <c r="J2335" s="16"/>
      <c r="K2335" s="16"/>
      <c r="L2335" s="16"/>
      <c r="M2335" s="16">
        <v>2329</v>
      </c>
      <c r="N2335" s="16">
        <f t="shared" si="183"/>
        <v>0.8351865136298422</v>
      </c>
      <c r="O2335" s="16"/>
      <c r="P2335" s="16"/>
      <c r="Q2335" s="16">
        <f t="shared" si="184"/>
        <v>0.97486551739916283</v>
      </c>
    </row>
    <row r="2336" spans="4:17" ht="15" thickBot="1" x14ac:dyDescent="0.35">
      <c r="D2336" s="20">
        <f t="shared" si="180"/>
        <v>2330</v>
      </c>
      <c r="E2336" s="20">
        <f t="shared" si="181"/>
        <v>5050</v>
      </c>
      <c r="F2336" s="20">
        <f t="shared" si="182"/>
        <v>4350</v>
      </c>
      <c r="G2336" s="20">
        <v>0.42824216674740356</v>
      </c>
      <c r="H2336" s="50"/>
      <c r="I2336" s="16"/>
      <c r="J2336" s="16"/>
      <c r="K2336" s="16"/>
      <c r="L2336" s="16"/>
      <c r="M2336" s="16">
        <v>2330</v>
      </c>
      <c r="N2336" s="16">
        <f t="shared" si="183"/>
        <v>0.83554519368723101</v>
      </c>
      <c r="O2336" s="16"/>
      <c r="P2336" s="16"/>
      <c r="Q2336" s="16">
        <f t="shared" si="184"/>
        <v>0.97631252979761474</v>
      </c>
    </row>
    <row r="2337" spans="4:17" ht="15" thickBot="1" x14ac:dyDescent="0.35">
      <c r="D2337" s="20">
        <f t="shared" si="180"/>
        <v>2331</v>
      </c>
      <c r="E2337" s="20">
        <f t="shared" si="181"/>
        <v>5150</v>
      </c>
      <c r="F2337" s="20">
        <f t="shared" si="182"/>
        <v>4350</v>
      </c>
      <c r="G2337" s="20">
        <v>0.42835242383319033</v>
      </c>
      <c r="H2337" s="50"/>
      <c r="I2337" s="16"/>
      <c r="J2337" s="16"/>
      <c r="K2337" s="16"/>
      <c r="L2337" s="16"/>
      <c r="M2337" s="16">
        <v>2331</v>
      </c>
      <c r="N2337" s="16">
        <f t="shared" si="183"/>
        <v>0.83590387374461983</v>
      </c>
      <c r="O2337" s="16"/>
      <c r="P2337" s="16"/>
      <c r="Q2337" s="16">
        <f t="shared" si="184"/>
        <v>0.977761589336542</v>
      </c>
    </row>
    <row r="2338" spans="4:17" ht="15" thickBot="1" x14ac:dyDescent="0.35">
      <c r="D2338" s="20">
        <f t="shared" si="180"/>
        <v>2332</v>
      </c>
      <c r="E2338" s="20">
        <f t="shared" si="181"/>
        <v>5250</v>
      </c>
      <c r="F2338" s="20">
        <f t="shared" si="182"/>
        <v>4350</v>
      </c>
      <c r="G2338" s="20">
        <v>0.42845994311687507</v>
      </c>
      <c r="H2338" s="50"/>
      <c r="I2338" s="16"/>
      <c r="J2338" s="16"/>
      <c r="K2338" s="16"/>
      <c r="L2338" s="16"/>
      <c r="M2338" s="16">
        <v>2332</v>
      </c>
      <c r="N2338" s="16">
        <f t="shared" si="183"/>
        <v>0.83626255380200865</v>
      </c>
      <c r="O2338" s="16"/>
      <c r="P2338" s="16"/>
      <c r="Q2338" s="16">
        <f t="shared" si="184"/>
        <v>0.97921270486781897</v>
      </c>
    </row>
    <row r="2339" spans="4:17" ht="15" thickBot="1" x14ac:dyDescent="0.35">
      <c r="D2339" s="20">
        <f t="shared" si="180"/>
        <v>2333</v>
      </c>
      <c r="E2339" s="20">
        <f t="shared" si="181"/>
        <v>50</v>
      </c>
      <c r="F2339" s="20">
        <f t="shared" si="182"/>
        <v>4450</v>
      </c>
      <c r="G2339" s="20">
        <v>0.42854343925680605</v>
      </c>
      <c r="H2339" s="50"/>
      <c r="I2339" s="16"/>
      <c r="J2339" s="16"/>
      <c r="K2339" s="16"/>
      <c r="L2339" s="16"/>
      <c r="M2339" s="16">
        <v>2333</v>
      </c>
      <c r="N2339" s="16">
        <f t="shared" si="183"/>
        <v>0.83662123385939746</v>
      </c>
      <c r="O2339" s="16"/>
      <c r="P2339" s="16"/>
      <c r="Q2339" s="16">
        <f t="shared" si="184"/>
        <v>0.98066588529837528</v>
      </c>
    </row>
    <row r="2340" spans="4:17" ht="15" thickBot="1" x14ac:dyDescent="0.35">
      <c r="D2340" s="20">
        <f t="shared" si="180"/>
        <v>2334</v>
      </c>
      <c r="E2340" s="47">
        <f t="shared" si="181"/>
        <v>150</v>
      </c>
      <c r="F2340" s="47">
        <f t="shared" si="182"/>
        <v>4450</v>
      </c>
      <c r="G2340" s="20">
        <v>0.42868966323852392</v>
      </c>
      <c r="H2340" s="50"/>
      <c r="I2340" s="16"/>
      <c r="J2340" s="16"/>
      <c r="K2340" s="16"/>
      <c r="L2340" s="16"/>
      <c r="M2340" s="16">
        <v>2334</v>
      </c>
      <c r="N2340" s="16">
        <f t="shared" si="183"/>
        <v>0.83697991391678628</v>
      </c>
      <c r="O2340" s="16"/>
      <c r="P2340" s="16"/>
      <c r="Q2340" s="16">
        <f t="shared" si="184"/>
        <v>0.98212113959067471</v>
      </c>
    </row>
    <row r="2341" spans="4:17" ht="15" thickBot="1" x14ac:dyDescent="0.35">
      <c r="D2341" s="20">
        <f t="shared" si="180"/>
        <v>2335</v>
      </c>
      <c r="E2341" s="20">
        <f t="shared" si="181"/>
        <v>250</v>
      </c>
      <c r="F2341" s="20">
        <f t="shared" si="182"/>
        <v>4450</v>
      </c>
      <c r="G2341" s="20">
        <v>0.42870661925052012</v>
      </c>
      <c r="H2341" s="50"/>
      <c r="I2341" s="16"/>
      <c r="J2341" s="16"/>
      <c r="K2341" s="16"/>
      <c r="L2341" s="16"/>
      <c r="M2341" s="16">
        <v>2335</v>
      </c>
      <c r="N2341" s="16">
        <f t="shared" si="183"/>
        <v>0.83733859397417498</v>
      </c>
      <c r="O2341" s="16"/>
      <c r="P2341" s="16"/>
      <c r="Q2341" s="16">
        <f t="shared" si="184"/>
        <v>0.98357847676319332</v>
      </c>
    </row>
    <row r="2342" spans="4:17" ht="15" thickBot="1" x14ac:dyDescent="0.35">
      <c r="D2342" s="20">
        <f t="shared" si="180"/>
        <v>2336</v>
      </c>
      <c r="E2342" s="20">
        <f t="shared" si="181"/>
        <v>350</v>
      </c>
      <c r="F2342" s="20">
        <f t="shared" si="182"/>
        <v>4450</v>
      </c>
      <c r="G2342" s="20">
        <v>0.42893229616817269</v>
      </c>
      <c r="H2342" s="50"/>
      <c r="I2342" s="16"/>
      <c r="J2342" s="16"/>
      <c r="K2342" s="16"/>
      <c r="L2342" s="16"/>
      <c r="M2342" s="16">
        <v>2336</v>
      </c>
      <c r="N2342" s="16">
        <f t="shared" si="183"/>
        <v>0.8376972740315638</v>
      </c>
      <c r="O2342" s="16"/>
      <c r="P2342" s="16"/>
      <c r="Q2342" s="16">
        <f t="shared" si="184"/>
        <v>0.9850379058908848</v>
      </c>
    </row>
    <row r="2343" spans="4:17" ht="15" thickBot="1" x14ac:dyDescent="0.35">
      <c r="D2343" s="20">
        <f t="shared" si="180"/>
        <v>2337</v>
      </c>
      <c r="E2343" s="20">
        <f t="shared" si="181"/>
        <v>450</v>
      </c>
      <c r="F2343" s="20">
        <f t="shared" si="182"/>
        <v>4450</v>
      </c>
      <c r="G2343" s="20">
        <v>0.42899206435423504</v>
      </c>
      <c r="H2343" s="50"/>
      <c r="I2343" s="16"/>
      <c r="J2343" s="16"/>
      <c r="K2343" s="16"/>
      <c r="L2343" s="16"/>
      <c r="M2343" s="16">
        <v>2337</v>
      </c>
      <c r="N2343" s="16">
        <f t="shared" si="183"/>
        <v>0.83805595408895261</v>
      </c>
      <c r="O2343" s="16"/>
      <c r="P2343" s="16"/>
      <c r="Q2343" s="16">
        <f t="shared" si="184"/>
        <v>0.98649943610568314</v>
      </c>
    </row>
    <row r="2344" spans="4:17" ht="15" thickBot="1" x14ac:dyDescent="0.35">
      <c r="D2344" s="20">
        <f t="shared" si="180"/>
        <v>2338</v>
      </c>
      <c r="E2344" s="20">
        <f t="shared" si="181"/>
        <v>550</v>
      </c>
      <c r="F2344" s="20">
        <f t="shared" si="182"/>
        <v>4450</v>
      </c>
      <c r="G2344" s="20">
        <v>0.42924190205999418</v>
      </c>
      <c r="H2344" s="50"/>
      <c r="I2344" s="16"/>
      <c r="J2344" s="16"/>
      <c r="K2344" s="16"/>
      <c r="L2344" s="16"/>
      <c r="M2344" s="16">
        <v>2338</v>
      </c>
      <c r="N2344" s="16">
        <f t="shared" si="183"/>
        <v>0.83841463414634143</v>
      </c>
      <c r="O2344" s="16"/>
      <c r="P2344" s="16"/>
      <c r="Q2344" s="16">
        <f t="shared" si="184"/>
        <v>0.98796307659698357</v>
      </c>
    </row>
    <row r="2345" spans="4:17" ht="15" thickBot="1" x14ac:dyDescent="0.35">
      <c r="D2345" s="20">
        <f t="shared" si="180"/>
        <v>2339</v>
      </c>
      <c r="E2345" s="20">
        <f t="shared" si="181"/>
        <v>650</v>
      </c>
      <c r="F2345" s="20">
        <f t="shared" si="182"/>
        <v>4450</v>
      </c>
      <c r="G2345" s="20">
        <v>0.42925388110806639</v>
      </c>
      <c r="H2345" s="50"/>
      <c r="I2345" s="16"/>
      <c r="J2345" s="16"/>
      <c r="K2345" s="16"/>
      <c r="L2345" s="16"/>
      <c r="M2345" s="16">
        <v>2339</v>
      </c>
      <c r="N2345" s="16">
        <f t="shared" si="183"/>
        <v>0.83877331420373025</v>
      </c>
      <c r="O2345" s="16"/>
      <c r="P2345" s="16"/>
      <c r="Q2345" s="16">
        <f t="shared" si="184"/>
        <v>0.98942883661213332</v>
      </c>
    </row>
    <row r="2346" spans="4:17" ht="15" thickBot="1" x14ac:dyDescent="0.35">
      <c r="D2346" s="20">
        <f t="shared" si="180"/>
        <v>2340</v>
      </c>
      <c r="E2346" s="20">
        <f t="shared" si="181"/>
        <v>750</v>
      </c>
      <c r="F2346" s="20">
        <f t="shared" si="182"/>
        <v>4450</v>
      </c>
      <c r="G2346" s="20">
        <v>0.42928967447030947</v>
      </c>
      <c r="H2346" s="50"/>
      <c r="I2346" s="16"/>
      <c r="J2346" s="16"/>
      <c r="K2346" s="16"/>
      <c r="L2346" s="16"/>
      <c r="M2346" s="16">
        <v>2340</v>
      </c>
      <c r="N2346" s="16">
        <f t="shared" si="183"/>
        <v>0.83913199426111906</v>
      </c>
      <c r="O2346" s="16"/>
      <c r="P2346" s="16"/>
      <c r="Q2346" s="16">
        <f t="shared" si="184"/>
        <v>0.99089672545695362</v>
      </c>
    </row>
    <row r="2347" spans="4:17" ht="15" thickBot="1" x14ac:dyDescent="0.35">
      <c r="D2347" s="20">
        <f t="shared" si="180"/>
        <v>2341</v>
      </c>
      <c r="E2347" s="20">
        <f t="shared" si="181"/>
        <v>850</v>
      </c>
      <c r="F2347" s="20">
        <f t="shared" si="182"/>
        <v>4450</v>
      </c>
      <c r="G2347" s="20">
        <v>0.42931937042032198</v>
      </c>
      <c r="H2347" s="50"/>
      <c r="I2347" s="16"/>
      <c r="J2347" s="16"/>
      <c r="K2347" s="16"/>
      <c r="L2347" s="16"/>
      <c r="M2347" s="16">
        <v>2341</v>
      </c>
      <c r="N2347" s="16">
        <f t="shared" si="183"/>
        <v>0.83949067431850788</v>
      </c>
      <c r="O2347" s="16"/>
      <c r="P2347" s="16"/>
      <c r="Q2347" s="16">
        <f t="shared" si="184"/>
        <v>0.99236675249622075</v>
      </c>
    </row>
    <row r="2348" spans="4:17" ht="15" thickBot="1" x14ac:dyDescent="0.35">
      <c r="D2348" s="20">
        <f t="shared" si="180"/>
        <v>2342</v>
      </c>
      <c r="E2348" s="47">
        <f t="shared" si="181"/>
        <v>950</v>
      </c>
      <c r="F2348" s="47">
        <f t="shared" si="182"/>
        <v>4450</v>
      </c>
      <c r="G2348" s="20">
        <v>0.42936363612220058</v>
      </c>
      <c r="H2348" s="50"/>
      <c r="I2348" s="16"/>
      <c r="J2348" s="16"/>
      <c r="K2348" s="16"/>
      <c r="L2348" s="16"/>
      <c r="M2348" s="16">
        <v>2342</v>
      </c>
      <c r="N2348" s="16">
        <f t="shared" si="183"/>
        <v>0.8398493543758967</v>
      </c>
      <c r="O2348" s="16"/>
      <c r="P2348" s="16"/>
      <c r="Q2348" s="16">
        <f t="shared" si="184"/>
        <v>0.99383892715419286</v>
      </c>
    </row>
    <row r="2349" spans="4:17" ht="15" thickBot="1" x14ac:dyDescent="0.35">
      <c r="D2349" s="20">
        <f t="shared" si="180"/>
        <v>2343</v>
      </c>
      <c r="E2349" s="20">
        <f t="shared" si="181"/>
        <v>1050</v>
      </c>
      <c r="F2349" s="20">
        <f t="shared" si="182"/>
        <v>4450</v>
      </c>
      <c r="G2349" s="20">
        <v>0.42940511456528924</v>
      </c>
      <c r="H2349" s="50"/>
      <c r="I2349" s="16"/>
      <c r="J2349" s="16"/>
      <c r="K2349" s="16"/>
      <c r="L2349" s="16"/>
      <c r="M2349" s="16">
        <v>2343</v>
      </c>
      <c r="N2349" s="16">
        <f t="shared" si="183"/>
        <v>0.84020803443328551</v>
      </c>
      <c r="O2349" s="16"/>
      <c r="P2349" s="16"/>
      <c r="Q2349" s="16">
        <f t="shared" si="184"/>
        <v>0.99531325891512723</v>
      </c>
    </row>
    <row r="2350" spans="4:17" ht="15" thickBot="1" x14ac:dyDescent="0.35">
      <c r="D2350" s="20">
        <f t="shared" si="180"/>
        <v>2344</v>
      </c>
      <c r="E2350" s="20">
        <f t="shared" si="181"/>
        <v>1150</v>
      </c>
      <c r="F2350" s="20">
        <f t="shared" si="182"/>
        <v>4450</v>
      </c>
      <c r="G2350" s="20">
        <v>0.42946281311822371</v>
      </c>
      <c r="H2350" s="50"/>
      <c r="I2350" s="16"/>
      <c r="J2350" s="16"/>
      <c r="K2350" s="16"/>
      <c r="L2350" s="16"/>
      <c r="M2350" s="16">
        <v>2344</v>
      </c>
      <c r="N2350" s="16">
        <f t="shared" si="183"/>
        <v>0.84056671449067433</v>
      </c>
      <c r="O2350" s="16"/>
      <c r="P2350" s="16"/>
      <c r="Q2350" s="16">
        <f t="shared" si="184"/>
        <v>0.99678975732380992</v>
      </c>
    </row>
    <row r="2351" spans="4:17" ht="15" thickBot="1" x14ac:dyDescent="0.35">
      <c r="D2351" s="20">
        <f t="shared" si="180"/>
        <v>2345</v>
      </c>
      <c r="E2351" s="20">
        <f t="shared" si="181"/>
        <v>1250</v>
      </c>
      <c r="F2351" s="20">
        <f t="shared" si="182"/>
        <v>4450</v>
      </c>
      <c r="G2351" s="20">
        <v>0.42947003025290686</v>
      </c>
      <c r="H2351" s="50"/>
      <c r="I2351" s="16"/>
      <c r="J2351" s="16"/>
      <c r="K2351" s="16"/>
      <c r="L2351" s="16"/>
      <c r="M2351" s="16">
        <v>2345</v>
      </c>
      <c r="N2351" s="16">
        <f t="shared" si="183"/>
        <v>0.84092539454806314</v>
      </c>
      <c r="O2351" s="16"/>
      <c r="P2351" s="16"/>
      <c r="Q2351" s="16">
        <f t="shared" si="184"/>
        <v>0.99826843198605819</v>
      </c>
    </row>
    <row r="2352" spans="4:17" ht="15" thickBot="1" x14ac:dyDescent="0.35">
      <c r="D2352" s="20">
        <f t="shared" si="180"/>
        <v>2346</v>
      </c>
      <c r="E2352" s="20">
        <f t="shared" si="181"/>
        <v>1350</v>
      </c>
      <c r="F2352" s="20">
        <f t="shared" si="182"/>
        <v>4450</v>
      </c>
      <c r="G2352" s="20">
        <v>0.42966053658386744</v>
      </c>
      <c r="H2352" s="50"/>
      <c r="I2352" s="16"/>
      <c r="J2352" s="16"/>
      <c r="K2352" s="16"/>
      <c r="L2352" s="16"/>
      <c r="M2352" s="16">
        <v>2346</v>
      </c>
      <c r="N2352" s="16">
        <f t="shared" si="183"/>
        <v>0.84128407460545196</v>
      </c>
      <c r="O2352" s="16"/>
      <c r="P2352" s="16"/>
      <c r="Q2352" s="16">
        <f t="shared" si="184"/>
        <v>0.99974929256929168</v>
      </c>
    </row>
    <row r="2353" spans="4:17" ht="15" thickBot="1" x14ac:dyDescent="0.35">
      <c r="D2353" s="20">
        <f t="shared" si="180"/>
        <v>2347</v>
      </c>
      <c r="E2353" s="20">
        <f t="shared" si="181"/>
        <v>1450</v>
      </c>
      <c r="F2353" s="20">
        <f t="shared" si="182"/>
        <v>4450</v>
      </c>
      <c r="G2353" s="20">
        <v>0.42991859406179317</v>
      </c>
      <c r="H2353" s="50"/>
      <c r="I2353" s="16"/>
      <c r="J2353" s="16"/>
      <c r="K2353" s="16"/>
      <c r="L2353" s="16"/>
      <c r="M2353" s="16">
        <v>2347</v>
      </c>
      <c r="N2353" s="16">
        <f t="shared" si="183"/>
        <v>0.84164275466284078</v>
      </c>
      <c r="O2353" s="16"/>
      <c r="P2353" s="16"/>
      <c r="Q2353" s="16">
        <f t="shared" si="184"/>
        <v>1.0012323488030457</v>
      </c>
    </row>
    <row r="2354" spans="4:17" ht="15" thickBot="1" x14ac:dyDescent="0.35">
      <c r="D2354" s="20">
        <f t="shared" si="180"/>
        <v>2348</v>
      </c>
      <c r="E2354" s="20">
        <f t="shared" si="181"/>
        <v>1550</v>
      </c>
      <c r="F2354" s="20">
        <f t="shared" si="182"/>
        <v>4450</v>
      </c>
      <c r="G2354" s="20">
        <v>0.43013043262296369</v>
      </c>
      <c r="H2354" s="50"/>
      <c r="I2354" s="16"/>
      <c r="J2354" s="16"/>
      <c r="K2354" s="16"/>
      <c r="L2354" s="16"/>
      <c r="M2354" s="16">
        <v>2348</v>
      </c>
      <c r="N2354" s="16">
        <f t="shared" si="183"/>
        <v>0.84200143472022959</v>
      </c>
      <c r="O2354" s="16"/>
      <c r="P2354" s="16"/>
      <c r="Q2354" s="16">
        <f t="shared" si="184"/>
        <v>1.0027176104795374</v>
      </c>
    </row>
    <row r="2355" spans="4:17" ht="15" thickBot="1" x14ac:dyDescent="0.35">
      <c r="D2355" s="20">
        <f t="shared" si="180"/>
        <v>2349</v>
      </c>
      <c r="E2355" s="20">
        <f t="shared" si="181"/>
        <v>1650</v>
      </c>
      <c r="F2355" s="20">
        <f t="shared" si="182"/>
        <v>4450</v>
      </c>
      <c r="G2355" s="20">
        <v>0.43018153208567234</v>
      </c>
      <c r="H2355" s="50"/>
      <c r="I2355" s="16"/>
      <c r="J2355" s="16"/>
      <c r="K2355" s="16"/>
      <c r="L2355" s="16"/>
      <c r="M2355" s="16">
        <v>2349</v>
      </c>
      <c r="N2355" s="16">
        <f t="shared" si="183"/>
        <v>0.84236011477761841</v>
      </c>
      <c r="O2355" s="16"/>
      <c r="P2355" s="16"/>
      <c r="Q2355" s="16">
        <f t="shared" si="184"/>
        <v>1.0042050874542043</v>
      </c>
    </row>
    <row r="2356" spans="4:17" ht="15" thickBot="1" x14ac:dyDescent="0.35">
      <c r="D2356" s="20">
        <f t="shared" si="180"/>
        <v>2350</v>
      </c>
      <c r="E2356" s="20">
        <f t="shared" si="181"/>
        <v>1750</v>
      </c>
      <c r="F2356" s="20">
        <f t="shared" si="182"/>
        <v>4450</v>
      </c>
      <c r="G2356" s="20">
        <v>0.43030962629571134</v>
      </c>
      <c r="H2356" s="50"/>
      <c r="I2356" s="16"/>
      <c r="J2356" s="16"/>
      <c r="K2356" s="16"/>
      <c r="L2356" s="16"/>
      <c r="M2356" s="16">
        <v>2350</v>
      </c>
      <c r="N2356" s="16">
        <f t="shared" si="183"/>
        <v>0.84271879483500722</v>
      </c>
      <c r="O2356" s="16"/>
      <c r="P2356" s="16"/>
      <c r="Q2356" s="16">
        <f t="shared" si="184"/>
        <v>1.0056947896462709</v>
      </c>
    </row>
    <row r="2357" spans="4:17" ht="15" thickBot="1" x14ac:dyDescent="0.35">
      <c r="D2357" s="20">
        <f t="shared" si="180"/>
        <v>2351</v>
      </c>
      <c r="E2357" s="20">
        <f t="shared" si="181"/>
        <v>1850</v>
      </c>
      <c r="F2357" s="20">
        <f t="shared" si="182"/>
        <v>4450</v>
      </c>
      <c r="G2357" s="20">
        <v>0.43031032626861543</v>
      </c>
      <c r="H2357" s="50"/>
      <c r="I2357" s="16"/>
      <c r="J2357" s="16"/>
      <c r="K2357" s="16"/>
      <c r="L2357" s="16"/>
      <c r="M2357" s="16">
        <v>2351</v>
      </c>
      <c r="N2357" s="16">
        <f t="shared" si="183"/>
        <v>0.84307747489239593</v>
      </c>
      <c r="O2357" s="16"/>
      <c r="P2357" s="16"/>
      <c r="Q2357" s="16">
        <f t="shared" si="184"/>
        <v>1.0071867270393178</v>
      </c>
    </row>
    <row r="2358" spans="4:17" ht="15" thickBot="1" x14ac:dyDescent="0.35">
      <c r="D2358" s="20">
        <f t="shared" si="180"/>
        <v>2352</v>
      </c>
      <c r="E2358" s="20">
        <f t="shared" si="181"/>
        <v>1950</v>
      </c>
      <c r="F2358" s="20">
        <f t="shared" si="182"/>
        <v>4450</v>
      </c>
      <c r="G2358" s="20">
        <v>0.43038716372972491</v>
      </c>
      <c r="H2358" s="50"/>
      <c r="I2358" s="16"/>
      <c r="J2358" s="16"/>
      <c r="K2358" s="16"/>
      <c r="L2358" s="16"/>
      <c r="M2358" s="16">
        <v>2352</v>
      </c>
      <c r="N2358" s="16">
        <f t="shared" si="183"/>
        <v>0.84343615494978474</v>
      </c>
      <c r="O2358" s="16"/>
      <c r="P2358" s="16"/>
      <c r="Q2358" s="16">
        <f t="shared" si="184"/>
        <v>1.0086809096818377</v>
      </c>
    </row>
    <row r="2359" spans="4:17" ht="15" thickBot="1" x14ac:dyDescent="0.35">
      <c r="D2359" s="20">
        <f t="shared" si="180"/>
        <v>2353</v>
      </c>
      <c r="E2359" s="43">
        <f t="shared" si="181"/>
        <v>2050</v>
      </c>
      <c r="F2359" s="43">
        <f t="shared" si="182"/>
        <v>4450</v>
      </c>
      <c r="G2359" s="20">
        <v>0.43040154921266272</v>
      </c>
      <c r="H2359" s="50"/>
      <c r="I2359" s="16"/>
      <c r="J2359" s="16"/>
      <c r="K2359" s="16"/>
      <c r="L2359" s="16"/>
      <c r="M2359" s="16">
        <v>2353</v>
      </c>
      <c r="N2359" s="16">
        <f t="shared" si="183"/>
        <v>0.84379483500717356</v>
      </c>
      <c r="O2359" s="16"/>
      <c r="P2359" s="16"/>
      <c r="Q2359" s="16">
        <f t="shared" si="184"/>
        <v>1.010177347687834</v>
      </c>
    </row>
    <row r="2360" spans="4:17" ht="15" thickBot="1" x14ac:dyDescent="0.35">
      <c r="D2360" s="20">
        <f t="shared" si="180"/>
        <v>2354</v>
      </c>
      <c r="E2360" s="20">
        <f t="shared" si="181"/>
        <v>2150</v>
      </c>
      <c r="F2360" s="20">
        <f t="shared" si="182"/>
        <v>4450</v>
      </c>
      <c r="G2360" s="20">
        <v>0.43045882289968201</v>
      </c>
      <c r="H2360" s="50"/>
      <c r="I2360" s="16"/>
      <c r="J2360" s="16"/>
      <c r="K2360" s="16"/>
      <c r="L2360" s="16"/>
      <c r="M2360" s="16">
        <v>2354</v>
      </c>
      <c r="N2360" s="16">
        <f t="shared" si="183"/>
        <v>0.84415351506456238</v>
      </c>
      <c r="O2360" s="16"/>
      <c r="P2360" s="16"/>
      <c r="Q2360" s="16">
        <f t="shared" si="184"/>
        <v>1.0116760512373966</v>
      </c>
    </row>
    <row r="2361" spans="4:17" ht="15" thickBot="1" x14ac:dyDescent="0.35">
      <c r="D2361" s="20">
        <f t="shared" si="180"/>
        <v>2355</v>
      </c>
      <c r="E2361" s="20">
        <f t="shared" si="181"/>
        <v>2250</v>
      </c>
      <c r="F2361" s="20">
        <f t="shared" si="182"/>
        <v>4450</v>
      </c>
      <c r="G2361" s="20">
        <v>0.43055053605817256</v>
      </c>
      <c r="H2361" s="50"/>
      <c r="I2361" s="16"/>
      <c r="J2361" s="16"/>
      <c r="K2361" s="16"/>
      <c r="L2361" s="16"/>
      <c r="M2361" s="16">
        <v>2355</v>
      </c>
      <c r="N2361" s="16">
        <f t="shared" si="183"/>
        <v>0.84451219512195119</v>
      </c>
      <c r="O2361" s="16"/>
      <c r="P2361" s="16"/>
      <c r="Q2361" s="16">
        <f t="shared" si="184"/>
        <v>1.013177030577286</v>
      </c>
    </row>
    <row r="2362" spans="4:17" ht="15" thickBot="1" x14ac:dyDescent="0.35">
      <c r="D2362" s="20">
        <f t="shared" si="180"/>
        <v>2356</v>
      </c>
      <c r="E2362" s="20">
        <f t="shared" si="181"/>
        <v>2350</v>
      </c>
      <c r="F2362" s="20">
        <f t="shared" si="182"/>
        <v>4450</v>
      </c>
      <c r="G2362" s="20">
        <v>0.4305535928222835</v>
      </c>
      <c r="H2362" s="50"/>
      <c r="I2362" s="16"/>
      <c r="J2362" s="16"/>
      <c r="K2362" s="16"/>
      <c r="L2362" s="16"/>
      <c r="M2362" s="16">
        <v>2356</v>
      </c>
      <c r="N2362" s="16">
        <f t="shared" si="183"/>
        <v>0.84487087517934001</v>
      </c>
      <c r="O2362" s="16"/>
      <c r="P2362" s="16"/>
      <c r="Q2362" s="16">
        <f t="shared" si="184"/>
        <v>1.0146802960215424</v>
      </c>
    </row>
    <row r="2363" spans="4:17" ht="15" thickBot="1" x14ac:dyDescent="0.35">
      <c r="D2363" s="20">
        <f t="shared" si="180"/>
        <v>2357</v>
      </c>
      <c r="E2363" s="20">
        <f t="shared" si="181"/>
        <v>2450</v>
      </c>
      <c r="F2363" s="20">
        <f t="shared" si="182"/>
        <v>4450</v>
      </c>
      <c r="G2363" s="20">
        <v>0.4306010365170565</v>
      </c>
      <c r="H2363" s="50"/>
      <c r="I2363" s="16"/>
      <c r="J2363" s="16"/>
      <c r="K2363" s="16"/>
      <c r="L2363" s="16"/>
      <c r="M2363" s="16">
        <v>2357</v>
      </c>
      <c r="N2363" s="16">
        <f t="shared" si="183"/>
        <v>0.84522955523672882</v>
      </c>
      <c r="O2363" s="16"/>
      <c r="P2363" s="16"/>
      <c r="Q2363" s="16">
        <f t="shared" si="184"/>
        <v>1.0161858579520826</v>
      </c>
    </row>
    <row r="2364" spans="4:17" ht="15" thickBot="1" x14ac:dyDescent="0.35">
      <c r="D2364" s="20">
        <f t="shared" si="180"/>
        <v>2358</v>
      </c>
      <c r="E2364" s="20">
        <f t="shared" si="181"/>
        <v>2550</v>
      </c>
      <c r="F2364" s="20">
        <f t="shared" si="182"/>
        <v>4450</v>
      </c>
      <c r="G2364" s="20">
        <v>0.43070053660165392</v>
      </c>
      <c r="H2364" s="50"/>
      <c r="I2364" s="16"/>
      <c r="J2364" s="16"/>
      <c r="K2364" s="16"/>
      <c r="L2364" s="16"/>
      <c r="M2364" s="16">
        <v>2358</v>
      </c>
      <c r="N2364" s="16">
        <f t="shared" si="183"/>
        <v>0.84558823529411764</v>
      </c>
      <c r="O2364" s="16"/>
      <c r="P2364" s="16"/>
      <c r="Q2364" s="16">
        <f t="shared" si="184"/>
        <v>1.0176937268193196</v>
      </c>
    </row>
    <row r="2365" spans="4:17" ht="15" thickBot="1" x14ac:dyDescent="0.35">
      <c r="D2365" s="20">
        <f t="shared" si="180"/>
        <v>2359</v>
      </c>
      <c r="E2365" s="20">
        <f t="shared" si="181"/>
        <v>2650</v>
      </c>
      <c r="F2365" s="20">
        <f t="shared" si="182"/>
        <v>4450</v>
      </c>
      <c r="G2365" s="20">
        <v>0.43071284206408955</v>
      </c>
      <c r="H2365" s="50"/>
      <c r="I2365" s="16"/>
      <c r="J2365" s="16"/>
      <c r="K2365" s="16"/>
      <c r="L2365" s="16"/>
      <c r="M2365" s="16">
        <v>2359</v>
      </c>
      <c r="N2365" s="16">
        <f t="shared" si="183"/>
        <v>0.84594691535150646</v>
      </c>
      <c r="O2365" s="16"/>
      <c r="P2365" s="16"/>
      <c r="Q2365" s="16">
        <f t="shared" si="184"/>
        <v>1.0192039131427704</v>
      </c>
    </row>
    <row r="2366" spans="4:17" ht="15" thickBot="1" x14ac:dyDescent="0.35">
      <c r="D2366" s="20">
        <f t="shared" si="180"/>
        <v>2360</v>
      </c>
      <c r="E2366" s="20">
        <f t="shared" si="181"/>
        <v>2750</v>
      </c>
      <c r="F2366" s="20">
        <f t="shared" si="182"/>
        <v>4450</v>
      </c>
      <c r="G2366" s="20">
        <v>0.43076161318039796</v>
      </c>
      <c r="H2366" s="50"/>
      <c r="I2366" s="16"/>
      <c r="J2366" s="16"/>
      <c r="K2366" s="16"/>
      <c r="L2366" s="16"/>
      <c r="M2366" s="16">
        <v>2360</v>
      </c>
      <c r="N2366" s="16">
        <f t="shared" si="183"/>
        <v>0.84630559540889527</v>
      </c>
      <c r="O2366" s="16"/>
      <c r="P2366" s="16"/>
      <c r="Q2366" s="16">
        <f t="shared" si="184"/>
        <v>1.0207164275116911</v>
      </c>
    </row>
    <row r="2367" spans="4:17" ht="15" thickBot="1" x14ac:dyDescent="0.35">
      <c r="D2367" s="20">
        <f t="shared" si="180"/>
        <v>2361</v>
      </c>
      <c r="E2367" s="20">
        <f t="shared" si="181"/>
        <v>2850</v>
      </c>
      <c r="F2367" s="20">
        <f t="shared" si="182"/>
        <v>4450</v>
      </c>
      <c r="G2367" s="20">
        <v>0.4309697966481737</v>
      </c>
      <c r="H2367" s="50"/>
      <c r="I2367" s="16"/>
      <c r="J2367" s="16"/>
      <c r="K2367" s="16"/>
      <c r="L2367" s="16"/>
      <c r="M2367" s="16">
        <v>2361</v>
      </c>
      <c r="N2367" s="16">
        <f t="shared" si="183"/>
        <v>0.84666427546628409</v>
      </c>
      <c r="O2367" s="16"/>
      <c r="P2367" s="16"/>
      <c r="Q2367" s="16">
        <f t="shared" si="184"/>
        <v>1.0222312805857012</v>
      </c>
    </row>
    <row r="2368" spans="4:17" ht="15" thickBot="1" x14ac:dyDescent="0.35">
      <c r="D2368" s="20">
        <f t="shared" si="180"/>
        <v>2362</v>
      </c>
      <c r="E2368" s="20">
        <f t="shared" si="181"/>
        <v>2950</v>
      </c>
      <c r="F2368" s="20">
        <f t="shared" si="182"/>
        <v>4450</v>
      </c>
      <c r="G2368" s="20">
        <v>0.43102720211061407</v>
      </c>
      <c r="H2368" s="50"/>
      <c r="I2368" s="16"/>
      <c r="J2368" s="16"/>
      <c r="K2368" s="16"/>
      <c r="L2368" s="16"/>
      <c r="M2368" s="16">
        <v>2362</v>
      </c>
      <c r="N2368" s="16">
        <f t="shared" si="183"/>
        <v>0.8470229555236729</v>
      </c>
      <c r="O2368" s="16"/>
      <c r="P2368" s="16"/>
      <c r="Q2368" s="16">
        <f t="shared" si="184"/>
        <v>1.0237484830954369</v>
      </c>
    </row>
    <row r="2369" spans="4:17" ht="15" thickBot="1" x14ac:dyDescent="0.35">
      <c r="D2369" s="20">
        <f t="shared" si="180"/>
        <v>2363</v>
      </c>
      <c r="E2369" s="20">
        <f t="shared" si="181"/>
        <v>3050</v>
      </c>
      <c r="F2369" s="20">
        <f t="shared" si="182"/>
        <v>4450</v>
      </c>
      <c r="G2369" s="20">
        <v>0.43108289394819332</v>
      </c>
      <c r="H2369" s="50"/>
      <c r="I2369" s="16"/>
      <c r="J2369" s="16"/>
      <c r="K2369" s="16"/>
      <c r="L2369" s="16"/>
      <c r="M2369" s="16">
        <v>2363</v>
      </c>
      <c r="N2369" s="16">
        <f t="shared" si="183"/>
        <v>0.84738163558106172</v>
      </c>
      <c r="O2369" s="16"/>
      <c r="P2369" s="16"/>
      <c r="Q2369" s="16">
        <f t="shared" si="184"/>
        <v>1.0252680458431775</v>
      </c>
    </row>
    <row r="2370" spans="4:17" ht="15" thickBot="1" x14ac:dyDescent="0.35">
      <c r="D2370" s="20">
        <f t="shared" si="180"/>
        <v>2364</v>
      </c>
      <c r="E2370" s="20">
        <f t="shared" si="181"/>
        <v>3150</v>
      </c>
      <c r="F2370" s="20">
        <f t="shared" si="182"/>
        <v>4450</v>
      </c>
      <c r="G2370" s="20">
        <v>0.43110253840935242</v>
      </c>
      <c r="H2370" s="50"/>
      <c r="I2370" s="16"/>
      <c r="J2370" s="16"/>
      <c r="K2370" s="16"/>
      <c r="L2370" s="16"/>
      <c r="M2370" s="16">
        <v>2364</v>
      </c>
      <c r="N2370" s="16">
        <f t="shared" si="183"/>
        <v>0.84774031563845054</v>
      </c>
      <c r="O2370" s="16"/>
      <c r="P2370" s="16"/>
      <c r="Q2370" s="16">
        <f t="shared" si="184"/>
        <v>1.0267899797035263</v>
      </c>
    </row>
    <row r="2371" spans="4:17" ht="15" thickBot="1" x14ac:dyDescent="0.35">
      <c r="D2371" s="20">
        <f t="shared" si="180"/>
        <v>2365</v>
      </c>
      <c r="E2371" s="45">
        <f t="shared" si="181"/>
        <v>3250</v>
      </c>
      <c r="F2371" s="45">
        <f t="shared" si="182"/>
        <v>4450</v>
      </c>
      <c r="G2371" s="20">
        <v>0.43112706037576642</v>
      </c>
      <c r="H2371" s="50"/>
      <c r="I2371" s="16"/>
      <c r="J2371" s="16"/>
      <c r="K2371" s="16"/>
      <c r="L2371" s="16"/>
      <c r="M2371" s="16">
        <v>2365</v>
      </c>
      <c r="N2371" s="16">
        <f t="shared" si="183"/>
        <v>0.84809899569583935</v>
      </c>
      <c r="O2371" s="16"/>
      <c r="P2371" s="16"/>
      <c r="Q2371" s="16">
        <f t="shared" si="184"/>
        <v>1.0283142956240383</v>
      </c>
    </row>
    <row r="2372" spans="4:17" ht="15" thickBot="1" x14ac:dyDescent="0.35">
      <c r="D2372" s="20">
        <f t="shared" si="180"/>
        <v>2366</v>
      </c>
      <c r="E2372" s="20">
        <f t="shared" si="181"/>
        <v>3350</v>
      </c>
      <c r="F2372" s="20">
        <f t="shared" si="182"/>
        <v>4450</v>
      </c>
      <c r="G2372" s="20">
        <v>0.43115024484806241</v>
      </c>
      <c r="H2372" s="50"/>
      <c r="I2372" s="16"/>
      <c r="J2372" s="16"/>
      <c r="K2372" s="16"/>
      <c r="L2372" s="16"/>
      <c r="M2372" s="16">
        <v>2366</v>
      </c>
      <c r="N2372" s="16">
        <f t="shared" si="183"/>
        <v>0.84845767575322817</v>
      </c>
      <c r="O2372" s="16"/>
      <c r="P2372" s="16"/>
      <c r="Q2372" s="16">
        <f t="shared" si="184"/>
        <v>1.029841004625929</v>
      </c>
    </row>
    <row r="2373" spans="4:17" ht="15" thickBot="1" x14ac:dyDescent="0.35">
      <c r="D2373" s="20">
        <f t="shared" si="180"/>
        <v>2367</v>
      </c>
      <c r="E2373" s="20">
        <f t="shared" si="181"/>
        <v>3450</v>
      </c>
      <c r="F2373" s="20">
        <f t="shared" si="182"/>
        <v>4450</v>
      </c>
      <c r="G2373" s="20">
        <v>0.43115317975811918</v>
      </c>
      <c r="H2373" s="50"/>
      <c r="I2373" s="16"/>
      <c r="J2373" s="16"/>
      <c r="K2373" s="16"/>
      <c r="L2373" s="16"/>
      <c r="M2373" s="16">
        <v>2367</v>
      </c>
      <c r="N2373" s="16">
        <f t="shared" si="183"/>
        <v>0.84881635581061698</v>
      </c>
      <c r="O2373" s="16"/>
      <c r="P2373" s="16"/>
      <c r="Q2373" s="16">
        <f t="shared" si="184"/>
        <v>1.0313701178047245</v>
      </c>
    </row>
    <row r="2374" spans="4:17" ht="15" thickBot="1" x14ac:dyDescent="0.35">
      <c r="D2374" s="20">
        <f t="shared" si="180"/>
        <v>2368</v>
      </c>
      <c r="E2374" s="20">
        <f t="shared" si="181"/>
        <v>3550</v>
      </c>
      <c r="F2374" s="20">
        <f t="shared" si="182"/>
        <v>4450</v>
      </c>
      <c r="G2374" s="20">
        <v>0.43126736948292638</v>
      </c>
      <c r="H2374" s="50"/>
      <c r="I2374" s="16"/>
      <c r="J2374" s="16"/>
      <c r="K2374" s="16"/>
      <c r="L2374" s="16"/>
      <c r="M2374" s="16">
        <v>2368</v>
      </c>
      <c r="N2374" s="16">
        <f t="shared" si="183"/>
        <v>0.84917503586800569</v>
      </c>
      <c r="O2374" s="16"/>
      <c r="P2374" s="16"/>
      <c r="Q2374" s="16">
        <f t="shared" si="184"/>
        <v>1.0329016463309537</v>
      </c>
    </row>
    <row r="2375" spans="4:17" ht="15" thickBot="1" x14ac:dyDescent="0.35">
      <c r="D2375" s="20">
        <f t="shared" ref="D2375:D2438" si="185">ROW()-6</f>
        <v>2369</v>
      </c>
      <c r="E2375" s="20">
        <f t="shared" ref="E2375:E2438" si="186">(MOD(D2375-1,53)*100)+50</f>
        <v>3650</v>
      </c>
      <c r="F2375" s="20">
        <f t="shared" ref="F2375:F2438" si="187">FLOOR((D2375-1)/53,1)*100+50</f>
        <v>4450</v>
      </c>
      <c r="G2375" s="20">
        <v>0.43129891548127652</v>
      </c>
      <c r="H2375" s="50"/>
      <c r="I2375" s="16"/>
      <c r="J2375" s="16"/>
      <c r="K2375" s="16"/>
      <c r="L2375" s="16"/>
      <c r="M2375" s="16">
        <v>2369</v>
      </c>
      <c r="N2375" s="16">
        <f t="shared" si="183"/>
        <v>0.84953371592539451</v>
      </c>
      <c r="O2375" s="16"/>
      <c r="P2375" s="16"/>
      <c r="Q2375" s="16">
        <f t="shared" si="184"/>
        <v>1.0344356014508451</v>
      </c>
    </row>
    <row r="2376" spans="4:17" ht="15" thickBot="1" x14ac:dyDescent="0.35">
      <c r="D2376" s="20">
        <f t="shared" si="185"/>
        <v>2370</v>
      </c>
      <c r="E2376" s="20">
        <f t="shared" si="186"/>
        <v>3750</v>
      </c>
      <c r="F2376" s="20">
        <f t="shared" si="187"/>
        <v>4450</v>
      </c>
      <c r="G2376" s="20">
        <v>0.43132281347369006</v>
      </c>
      <c r="H2376" s="50"/>
      <c r="I2376" s="16"/>
      <c r="J2376" s="16"/>
      <c r="K2376" s="16"/>
      <c r="L2376" s="16"/>
      <c r="M2376" s="16">
        <v>2370</v>
      </c>
      <c r="N2376" s="16">
        <f t="shared" ref="N2376:N2439" si="188">(M2376-0.5)/$L$7</f>
        <v>0.84989239598278332</v>
      </c>
      <c r="O2376" s="16"/>
      <c r="P2376" s="16"/>
      <c r="Q2376" s="16">
        <f t="shared" ref="Q2376:Q2439" si="189">_xlfn.NORM.S.INV(N2376)</f>
        <v>1.0359719944870254</v>
      </c>
    </row>
    <row r="2377" spans="4:17" ht="15" thickBot="1" x14ac:dyDescent="0.35">
      <c r="D2377" s="20">
        <f t="shared" si="185"/>
        <v>2371</v>
      </c>
      <c r="E2377" s="20">
        <f t="shared" si="186"/>
        <v>3850</v>
      </c>
      <c r="F2377" s="20">
        <f t="shared" si="187"/>
        <v>4450</v>
      </c>
      <c r="G2377" s="20">
        <v>0.43148493973024216</v>
      </c>
      <c r="H2377" s="50"/>
      <c r="I2377" s="16"/>
      <c r="J2377" s="16"/>
      <c r="K2377" s="16"/>
      <c r="L2377" s="16"/>
      <c r="M2377" s="16">
        <v>2371</v>
      </c>
      <c r="N2377" s="16">
        <f t="shared" si="188"/>
        <v>0.85025107604017214</v>
      </c>
      <c r="O2377" s="16"/>
      <c r="P2377" s="16"/>
      <c r="Q2377" s="16">
        <f t="shared" si="189"/>
        <v>1.0375108368392376</v>
      </c>
    </row>
    <row r="2378" spans="4:17" ht="15" thickBot="1" x14ac:dyDescent="0.35">
      <c r="D2378" s="20">
        <f t="shared" si="185"/>
        <v>2372</v>
      </c>
      <c r="E2378" s="45">
        <f t="shared" si="186"/>
        <v>3950</v>
      </c>
      <c r="F2378" s="45">
        <f t="shared" si="187"/>
        <v>4450</v>
      </c>
      <c r="G2378" s="20">
        <v>0.43152037606512372</v>
      </c>
      <c r="H2378" s="50"/>
      <c r="I2378" s="16"/>
      <c r="J2378" s="16"/>
      <c r="K2378" s="16"/>
      <c r="L2378" s="16"/>
      <c r="M2378" s="16">
        <v>2372</v>
      </c>
      <c r="N2378" s="16">
        <f t="shared" si="188"/>
        <v>0.85060975609756095</v>
      </c>
      <c r="O2378" s="16"/>
      <c r="P2378" s="16"/>
      <c r="Q2378" s="16">
        <f t="shared" si="189"/>
        <v>1.0390521399850348</v>
      </c>
    </row>
    <row r="2379" spans="4:17" ht="15" thickBot="1" x14ac:dyDescent="0.35">
      <c r="D2379" s="20">
        <f t="shared" si="185"/>
        <v>2373</v>
      </c>
      <c r="E2379" s="20">
        <f t="shared" si="186"/>
        <v>4050</v>
      </c>
      <c r="F2379" s="20">
        <f t="shared" si="187"/>
        <v>4450</v>
      </c>
      <c r="G2379" s="20">
        <v>0.43176785884557867</v>
      </c>
      <c r="H2379" s="50"/>
      <c r="I2379" s="16"/>
      <c r="J2379" s="16"/>
      <c r="K2379" s="16"/>
      <c r="L2379" s="16"/>
      <c r="M2379" s="16">
        <v>2373</v>
      </c>
      <c r="N2379" s="16">
        <f t="shared" si="188"/>
        <v>0.85096843615494977</v>
      </c>
      <c r="O2379" s="16"/>
      <c r="P2379" s="16"/>
      <c r="Q2379" s="16">
        <f t="shared" si="189"/>
        <v>1.0405959154805442</v>
      </c>
    </row>
    <row r="2380" spans="4:17" ht="15" thickBot="1" x14ac:dyDescent="0.35">
      <c r="D2380" s="20">
        <f t="shared" si="185"/>
        <v>2374</v>
      </c>
      <c r="E2380" s="48">
        <f t="shared" si="186"/>
        <v>4150</v>
      </c>
      <c r="F2380" s="48">
        <f t="shared" si="187"/>
        <v>4450</v>
      </c>
      <c r="G2380" s="20">
        <v>0.43197102070958221</v>
      </c>
      <c r="H2380" s="50"/>
      <c r="I2380" s="16"/>
      <c r="J2380" s="16"/>
      <c r="K2380" s="16"/>
      <c r="L2380" s="16"/>
      <c r="M2380" s="16">
        <v>2374</v>
      </c>
      <c r="N2380" s="16">
        <f t="shared" si="188"/>
        <v>0.85132711621233859</v>
      </c>
      <c r="O2380" s="16"/>
      <c r="P2380" s="16"/>
      <c r="Q2380" s="16">
        <f t="shared" si="189"/>
        <v>1.0421421749611568</v>
      </c>
    </row>
    <row r="2381" spans="4:17" ht="15" thickBot="1" x14ac:dyDescent="0.35">
      <c r="D2381" s="20">
        <f t="shared" si="185"/>
        <v>2375</v>
      </c>
      <c r="E2381" s="20">
        <f t="shared" si="186"/>
        <v>4250</v>
      </c>
      <c r="F2381" s="20">
        <f t="shared" si="187"/>
        <v>4450</v>
      </c>
      <c r="G2381" s="20">
        <v>0.43223494004191898</v>
      </c>
      <c r="H2381" s="50"/>
      <c r="I2381" s="16"/>
      <c r="J2381" s="16"/>
      <c r="K2381" s="16"/>
      <c r="L2381" s="16"/>
      <c r="M2381" s="16">
        <v>2375</v>
      </c>
      <c r="N2381" s="16">
        <f t="shared" si="188"/>
        <v>0.8516857962697274</v>
      </c>
      <c r="O2381" s="16"/>
      <c r="P2381" s="16"/>
      <c r="Q2381" s="16">
        <f t="shared" si="189"/>
        <v>1.0436909301423187</v>
      </c>
    </row>
    <row r="2382" spans="4:17" ht="15" thickBot="1" x14ac:dyDescent="0.35">
      <c r="D2382" s="20">
        <f t="shared" si="185"/>
        <v>2376</v>
      </c>
      <c r="E2382" s="20">
        <f t="shared" si="186"/>
        <v>4350</v>
      </c>
      <c r="F2382" s="20">
        <f t="shared" si="187"/>
        <v>4450</v>
      </c>
      <c r="G2382" s="20">
        <v>0.43224334808517917</v>
      </c>
      <c r="H2382" s="50"/>
      <c r="I2382" s="16"/>
      <c r="J2382" s="16"/>
      <c r="K2382" s="16"/>
      <c r="L2382" s="16"/>
      <c r="M2382" s="16">
        <v>2376</v>
      </c>
      <c r="N2382" s="16">
        <f t="shared" si="188"/>
        <v>0.85204447632711622</v>
      </c>
      <c r="O2382" s="16"/>
      <c r="P2382" s="16"/>
      <c r="Q2382" s="16">
        <f t="shared" si="189"/>
        <v>1.0452421928202371</v>
      </c>
    </row>
    <row r="2383" spans="4:17" ht="15" thickBot="1" x14ac:dyDescent="0.35">
      <c r="D2383" s="20">
        <f t="shared" si="185"/>
        <v>2377</v>
      </c>
      <c r="E2383" s="20">
        <f t="shared" si="186"/>
        <v>4450</v>
      </c>
      <c r="F2383" s="20">
        <f t="shared" si="187"/>
        <v>4450</v>
      </c>
      <c r="G2383" s="20">
        <v>0.4322943756129039</v>
      </c>
      <c r="H2383" s="50"/>
      <c r="I2383" s="16"/>
      <c r="J2383" s="16"/>
      <c r="K2383" s="16"/>
      <c r="L2383" s="16"/>
      <c r="M2383" s="16">
        <v>2377</v>
      </c>
      <c r="N2383" s="16">
        <f t="shared" si="188"/>
        <v>0.85240315638450503</v>
      </c>
      <c r="O2383" s="16"/>
      <c r="P2383" s="16"/>
      <c r="Q2383" s="16">
        <f t="shared" si="189"/>
        <v>1.0467959748726854</v>
      </c>
    </row>
    <row r="2384" spans="4:17" ht="15" thickBot="1" x14ac:dyDescent="0.35">
      <c r="D2384" s="20">
        <f t="shared" si="185"/>
        <v>2378</v>
      </c>
      <c r="E2384" s="20">
        <f t="shared" si="186"/>
        <v>4550</v>
      </c>
      <c r="F2384" s="20">
        <f t="shared" si="187"/>
        <v>4450</v>
      </c>
      <c r="G2384" s="20">
        <v>0.43249646709948858</v>
      </c>
      <c r="H2384" s="50"/>
      <c r="I2384" s="16"/>
      <c r="J2384" s="16"/>
      <c r="K2384" s="16"/>
      <c r="L2384" s="16"/>
      <c r="M2384" s="16">
        <v>2378</v>
      </c>
      <c r="N2384" s="16">
        <f t="shared" si="188"/>
        <v>0.85276183644189385</v>
      </c>
      <c r="O2384" s="16"/>
      <c r="P2384" s="16"/>
      <c r="Q2384" s="16">
        <f t="shared" si="189"/>
        <v>1.0483522882597411</v>
      </c>
    </row>
    <row r="2385" spans="4:17" ht="15" thickBot="1" x14ac:dyDescent="0.35">
      <c r="D2385" s="20">
        <f t="shared" si="185"/>
        <v>2379</v>
      </c>
      <c r="E2385" s="20">
        <f t="shared" si="186"/>
        <v>4650</v>
      </c>
      <c r="F2385" s="20">
        <f t="shared" si="187"/>
        <v>4450</v>
      </c>
      <c r="G2385" s="20">
        <v>0.43259457187417605</v>
      </c>
      <c r="H2385" s="50"/>
      <c r="I2385" s="16"/>
      <c r="J2385" s="16"/>
      <c r="K2385" s="16"/>
      <c r="L2385" s="16"/>
      <c r="M2385" s="16">
        <v>2379</v>
      </c>
      <c r="N2385" s="16">
        <f t="shared" si="188"/>
        <v>0.85312051649928267</v>
      </c>
      <c r="O2385" s="16"/>
      <c r="P2385" s="16"/>
      <c r="Q2385" s="16">
        <f t="shared" si="189"/>
        <v>1.0499111450245728</v>
      </c>
    </row>
    <row r="2386" spans="4:17" ht="15" thickBot="1" x14ac:dyDescent="0.35">
      <c r="D2386" s="20">
        <f t="shared" si="185"/>
        <v>2380</v>
      </c>
      <c r="E2386" s="20">
        <f t="shared" si="186"/>
        <v>4750</v>
      </c>
      <c r="F2386" s="20">
        <f t="shared" si="187"/>
        <v>4450</v>
      </c>
      <c r="G2386" s="20">
        <v>0.43264880332095501</v>
      </c>
      <c r="H2386" s="50"/>
      <c r="I2386" s="16"/>
      <c r="J2386" s="16"/>
      <c r="K2386" s="16"/>
      <c r="L2386" s="16"/>
      <c r="M2386" s="16">
        <v>2380</v>
      </c>
      <c r="N2386" s="16">
        <f t="shared" si="188"/>
        <v>0.85347919655667148</v>
      </c>
      <c r="O2386" s="16"/>
      <c r="P2386" s="16"/>
      <c r="Q2386" s="16">
        <f t="shared" si="189"/>
        <v>1.0514725572942398</v>
      </c>
    </row>
    <row r="2387" spans="4:17" ht="15" thickBot="1" x14ac:dyDescent="0.35">
      <c r="D2387" s="20">
        <f t="shared" si="185"/>
        <v>2381</v>
      </c>
      <c r="E2387" s="20">
        <f t="shared" si="186"/>
        <v>4850</v>
      </c>
      <c r="F2387" s="20">
        <f t="shared" si="187"/>
        <v>4450</v>
      </c>
      <c r="G2387" s="20">
        <v>0.43269797551767647</v>
      </c>
      <c r="H2387" s="50"/>
      <c r="I2387" s="16"/>
      <c r="J2387" s="16"/>
      <c r="K2387" s="16"/>
      <c r="L2387" s="16"/>
      <c r="M2387" s="16">
        <v>2381</v>
      </c>
      <c r="N2387" s="16">
        <f t="shared" si="188"/>
        <v>0.8538378766140603</v>
      </c>
      <c r="O2387" s="16"/>
      <c r="P2387" s="16"/>
      <c r="Q2387" s="16">
        <f t="shared" si="189"/>
        <v>1.0530365372804853</v>
      </c>
    </row>
    <row r="2388" spans="4:17" ht="15" thickBot="1" x14ac:dyDescent="0.35">
      <c r="D2388" s="20">
        <f t="shared" si="185"/>
        <v>2382</v>
      </c>
      <c r="E2388" s="20">
        <f t="shared" si="186"/>
        <v>4950</v>
      </c>
      <c r="F2388" s="20">
        <f t="shared" si="187"/>
        <v>4450</v>
      </c>
      <c r="G2388" s="20">
        <v>0.43289083814521206</v>
      </c>
      <c r="H2388" s="50"/>
      <c r="I2388" s="16"/>
      <c r="J2388" s="16"/>
      <c r="K2388" s="16"/>
      <c r="L2388" s="16"/>
      <c r="M2388" s="16">
        <v>2382</v>
      </c>
      <c r="N2388" s="16">
        <f t="shared" si="188"/>
        <v>0.85419655667144911</v>
      </c>
      <c r="O2388" s="16"/>
      <c r="P2388" s="16"/>
      <c r="Q2388" s="16">
        <f t="shared" si="189"/>
        <v>1.0546030972805267</v>
      </c>
    </row>
    <row r="2389" spans="4:17" ht="15" thickBot="1" x14ac:dyDescent="0.35">
      <c r="D2389" s="20">
        <f t="shared" si="185"/>
        <v>2383</v>
      </c>
      <c r="E2389" s="20">
        <f t="shared" si="186"/>
        <v>5050</v>
      </c>
      <c r="F2389" s="20">
        <f t="shared" si="187"/>
        <v>4450</v>
      </c>
      <c r="G2389" s="20">
        <v>0.43312429856395152</v>
      </c>
      <c r="H2389" s="50"/>
      <c r="I2389" s="16"/>
      <c r="J2389" s="16"/>
      <c r="K2389" s="16"/>
      <c r="L2389" s="16"/>
      <c r="M2389" s="16">
        <v>2383</v>
      </c>
      <c r="N2389" s="16">
        <f t="shared" si="188"/>
        <v>0.85455523672883793</v>
      </c>
      <c r="O2389" s="16"/>
      <c r="P2389" s="16"/>
      <c r="Q2389" s="16">
        <f t="shared" si="189"/>
        <v>1.0561722496779029</v>
      </c>
    </row>
    <row r="2390" spans="4:17" ht="15" thickBot="1" x14ac:dyDescent="0.35">
      <c r="D2390" s="20">
        <f t="shared" si="185"/>
        <v>2384</v>
      </c>
      <c r="E2390" s="20">
        <f t="shared" si="186"/>
        <v>5150</v>
      </c>
      <c r="F2390" s="20">
        <f t="shared" si="187"/>
        <v>4450</v>
      </c>
      <c r="G2390" s="20">
        <v>0.43329223712417653</v>
      </c>
      <c r="H2390" s="50"/>
      <c r="I2390" s="16"/>
      <c r="J2390" s="16"/>
      <c r="K2390" s="16"/>
      <c r="L2390" s="16"/>
      <c r="M2390" s="16">
        <v>2384</v>
      </c>
      <c r="N2390" s="16">
        <f t="shared" si="188"/>
        <v>0.85491391678622664</v>
      </c>
      <c r="O2390" s="16"/>
      <c r="P2390" s="16"/>
      <c r="Q2390" s="16">
        <f t="shared" si="189"/>
        <v>1.0577440069432806</v>
      </c>
    </row>
    <row r="2391" spans="4:17" ht="15" thickBot="1" x14ac:dyDescent="0.35">
      <c r="D2391" s="20">
        <f t="shared" si="185"/>
        <v>2385</v>
      </c>
      <c r="E2391" s="20">
        <f t="shared" si="186"/>
        <v>5250</v>
      </c>
      <c r="F2391" s="20">
        <f t="shared" si="187"/>
        <v>4450</v>
      </c>
      <c r="G2391" s="20">
        <v>0.43329527286841046</v>
      </c>
      <c r="H2391" s="50"/>
      <c r="I2391" s="16"/>
      <c r="J2391" s="16"/>
      <c r="K2391" s="16"/>
      <c r="L2391" s="16"/>
      <c r="M2391" s="16">
        <v>2385</v>
      </c>
      <c r="N2391" s="16">
        <f t="shared" si="188"/>
        <v>0.85527259684361545</v>
      </c>
      <c r="O2391" s="16"/>
      <c r="P2391" s="16"/>
      <c r="Q2391" s="16">
        <f t="shared" si="189"/>
        <v>1.0593183816353009</v>
      </c>
    </row>
    <row r="2392" spans="4:17" ht="15" thickBot="1" x14ac:dyDescent="0.35">
      <c r="D2392" s="20">
        <f t="shared" si="185"/>
        <v>2386</v>
      </c>
      <c r="E2392" s="20">
        <f t="shared" si="186"/>
        <v>50</v>
      </c>
      <c r="F2392" s="20">
        <f t="shared" si="187"/>
        <v>4550</v>
      </c>
      <c r="G2392" s="20">
        <v>0.43332578637499569</v>
      </c>
      <c r="H2392" s="50"/>
      <c r="I2392" s="16"/>
      <c r="J2392" s="16"/>
      <c r="K2392" s="16"/>
      <c r="L2392" s="16"/>
      <c r="M2392" s="16">
        <v>2386</v>
      </c>
      <c r="N2392" s="16">
        <f t="shared" si="188"/>
        <v>0.85563127690100427</v>
      </c>
      <c r="O2392" s="16"/>
      <c r="P2392" s="16"/>
      <c r="Q2392" s="16">
        <f t="shared" si="189"/>
        <v>1.0608953864014214</v>
      </c>
    </row>
    <row r="2393" spans="4:17" ht="15" thickBot="1" x14ac:dyDescent="0.35">
      <c r="D2393" s="20">
        <f t="shared" si="185"/>
        <v>2387</v>
      </c>
      <c r="E2393" s="20">
        <f t="shared" si="186"/>
        <v>150</v>
      </c>
      <c r="F2393" s="20">
        <f t="shared" si="187"/>
        <v>4550</v>
      </c>
      <c r="G2393" s="20">
        <v>0.4333924324583483</v>
      </c>
      <c r="H2393" s="50"/>
      <c r="I2393" s="16"/>
      <c r="J2393" s="16"/>
      <c r="K2393" s="16"/>
      <c r="L2393" s="16"/>
      <c r="M2393" s="16">
        <v>2387</v>
      </c>
      <c r="N2393" s="16">
        <f t="shared" si="188"/>
        <v>0.85598995695839308</v>
      </c>
      <c r="O2393" s="16"/>
      <c r="P2393" s="16"/>
      <c r="Q2393" s="16">
        <f t="shared" si="189"/>
        <v>1.0624750339787767</v>
      </c>
    </row>
    <row r="2394" spans="4:17" ht="15" thickBot="1" x14ac:dyDescent="0.35">
      <c r="D2394" s="20">
        <f t="shared" si="185"/>
        <v>2388</v>
      </c>
      <c r="E2394" s="20">
        <f t="shared" si="186"/>
        <v>250</v>
      </c>
      <c r="F2394" s="20">
        <f t="shared" si="187"/>
        <v>4550</v>
      </c>
      <c r="G2394" s="20">
        <v>0.43392351387352068</v>
      </c>
      <c r="H2394" s="50"/>
      <c r="I2394" s="16"/>
      <c r="J2394" s="16"/>
      <c r="K2394" s="16"/>
      <c r="L2394" s="16"/>
      <c r="M2394" s="16">
        <v>2388</v>
      </c>
      <c r="N2394" s="16">
        <f t="shared" si="188"/>
        <v>0.8563486370157819</v>
      </c>
      <c r="O2394" s="16"/>
      <c r="P2394" s="16"/>
      <c r="Q2394" s="16">
        <f t="shared" si="189"/>
        <v>1.0640573371950459</v>
      </c>
    </row>
    <row r="2395" spans="4:17" ht="15" thickBot="1" x14ac:dyDescent="0.35">
      <c r="D2395" s="20">
        <f t="shared" si="185"/>
        <v>2389</v>
      </c>
      <c r="E2395" s="44">
        <f t="shared" si="186"/>
        <v>350</v>
      </c>
      <c r="F2395" s="44">
        <f t="shared" si="187"/>
        <v>4550</v>
      </c>
      <c r="G2395" s="20">
        <v>0.43405632767083108</v>
      </c>
      <c r="H2395" s="50"/>
      <c r="I2395" s="16"/>
      <c r="J2395" s="16"/>
      <c r="K2395" s="16"/>
      <c r="L2395" s="16"/>
      <c r="M2395" s="16">
        <v>2389</v>
      </c>
      <c r="N2395" s="16">
        <f t="shared" si="188"/>
        <v>0.85670731707317072</v>
      </c>
      <c r="O2395" s="16"/>
      <c r="P2395" s="16"/>
      <c r="Q2395" s="16">
        <f t="shared" si="189"/>
        <v>1.0656423089693323</v>
      </c>
    </row>
    <row r="2396" spans="4:17" ht="15" thickBot="1" x14ac:dyDescent="0.35">
      <c r="D2396" s="20">
        <f t="shared" si="185"/>
        <v>2390</v>
      </c>
      <c r="E2396" s="20">
        <f t="shared" si="186"/>
        <v>450</v>
      </c>
      <c r="F2396" s="20">
        <f t="shared" si="187"/>
        <v>4550</v>
      </c>
      <c r="G2396" s="20">
        <v>0.43437274472304893</v>
      </c>
      <c r="H2396" s="50"/>
      <c r="I2396" s="16"/>
      <c r="J2396" s="16"/>
      <c r="K2396" s="16"/>
      <c r="L2396" s="16"/>
      <c r="M2396" s="16">
        <v>2390</v>
      </c>
      <c r="N2396" s="16">
        <f t="shared" si="188"/>
        <v>0.85706599713055953</v>
      </c>
      <c r="O2396" s="16"/>
      <c r="P2396" s="16"/>
      <c r="Q2396" s="16">
        <f t="shared" si="189"/>
        <v>1.0672299623130508</v>
      </c>
    </row>
    <row r="2397" spans="4:17" ht="15" thickBot="1" x14ac:dyDescent="0.35">
      <c r="D2397" s="20">
        <f t="shared" si="185"/>
        <v>2391</v>
      </c>
      <c r="E2397" s="47">
        <f t="shared" si="186"/>
        <v>550</v>
      </c>
      <c r="F2397" s="47">
        <f t="shared" si="187"/>
        <v>4550</v>
      </c>
      <c r="G2397" s="20">
        <v>0.43459416537159939</v>
      </c>
      <c r="H2397" s="50"/>
      <c r="I2397" s="16"/>
      <c r="J2397" s="16"/>
      <c r="K2397" s="16"/>
      <c r="L2397" s="16"/>
      <c r="M2397" s="16">
        <v>2391</v>
      </c>
      <c r="N2397" s="16">
        <f t="shared" si="188"/>
        <v>0.85742467718794835</v>
      </c>
      <c r="O2397" s="16"/>
      <c r="P2397" s="16"/>
      <c r="Q2397" s="16">
        <f t="shared" si="189"/>
        <v>1.068820310330832</v>
      </c>
    </row>
    <row r="2398" spans="4:17" ht="15" thickBot="1" x14ac:dyDescent="0.35">
      <c r="D2398" s="20">
        <f t="shared" si="185"/>
        <v>2392</v>
      </c>
      <c r="E2398" s="20">
        <f t="shared" si="186"/>
        <v>650</v>
      </c>
      <c r="F2398" s="20">
        <f t="shared" si="187"/>
        <v>4550</v>
      </c>
      <c r="G2398" s="20">
        <v>0.43478905433509718</v>
      </c>
      <c r="H2398" s="50"/>
      <c r="I2398" s="16"/>
      <c r="J2398" s="16"/>
      <c r="K2398" s="16"/>
      <c r="L2398" s="16"/>
      <c r="M2398" s="16">
        <v>2392</v>
      </c>
      <c r="N2398" s="16">
        <f t="shared" si="188"/>
        <v>0.85778335724533716</v>
      </c>
      <c r="O2398" s="16"/>
      <c r="P2398" s="16"/>
      <c r="Q2398" s="16">
        <f t="shared" si="189"/>
        <v>1.0704133662214286</v>
      </c>
    </row>
    <row r="2399" spans="4:17" ht="15" thickBot="1" x14ac:dyDescent="0.35">
      <c r="D2399" s="20">
        <f t="shared" si="185"/>
        <v>2393</v>
      </c>
      <c r="E2399" s="20">
        <f t="shared" si="186"/>
        <v>750</v>
      </c>
      <c r="F2399" s="20">
        <f t="shared" si="187"/>
        <v>4550</v>
      </c>
      <c r="G2399" s="20">
        <v>0.43481397606724626</v>
      </c>
      <c r="H2399" s="50"/>
      <c r="I2399" s="16"/>
      <c r="J2399" s="16"/>
      <c r="K2399" s="16"/>
      <c r="L2399" s="16"/>
      <c r="M2399" s="16">
        <v>2393</v>
      </c>
      <c r="N2399" s="16">
        <f t="shared" si="188"/>
        <v>0.85814203730272598</v>
      </c>
      <c r="O2399" s="16"/>
      <c r="P2399" s="16"/>
      <c r="Q2399" s="16">
        <f t="shared" si="189"/>
        <v>1.0720091432786434</v>
      </c>
    </row>
    <row r="2400" spans="4:17" ht="15" thickBot="1" x14ac:dyDescent="0.35">
      <c r="D2400" s="20">
        <f t="shared" si="185"/>
        <v>2394</v>
      </c>
      <c r="E2400" s="43">
        <f t="shared" si="186"/>
        <v>850</v>
      </c>
      <c r="F2400" s="43">
        <f t="shared" si="187"/>
        <v>4550</v>
      </c>
      <c r="G2400" s="20">
        <v>0.43487227302364317</v>
      </c>
      <c r="H2400" s="50"/>
      <c r="I2400" s="16"/>
      <c r="J2400" s="16"/>
      <c r="K2400" s="16"/>
      <c r="L2400" s="16"/>
      <c r="M2400" s="16">
        <v>2394</v>
      </c>
      <c r="N2400" s="16">
        <f t="shared" si="188"/>
        <v>0.8585007173601148</v>
      </c>
      <c r="O2400" s="16"/>
      <c r="P2400" s="16"/>
      <c r="Q2400" s="16">
        <f t="shared" si="189"/>
        <v>1.0736076548922593</v>
      </c>
    </row>
    <row r="2401" spans="4:17" ht="15" thickBot="1" x14ac:dyDescent="0.35">
      <c r="D2401" s="20">
        <f t="shared" si="185"/>
        <v>2395</v>
      </c>
      <c r="E2401" s="20">
        <f t="shared" si="186"/>
        <v>950</v>
      </c>
      <c r="F2401" s="20">
        <f t="shared" si="187"/>
        <v>4550</v>
      </c>
      <c r="G2401" s="20">
        <v>0.43495248705282019</v>
      </c>
      <c r="H2401" s="50"/>
      <c r="I2401" s="16"/>
      <c r="J2401" s="16"/>
      <c r="K2401" s="16"/>
      <c r="L2401" s="16"/>
      <c r="M2401" s="16">
        <v>2395</v>
      </c>
      <c r="N2401" s="16">
        <f t="shared" si="188"/>
        <v>0.85885939741750361</v>
      </c>
      <c r="O2401" s="16"/>
      <c r="P2401" s="16"/>
      <c r="Q2401" s="16">
        <f t="shared" si="189"/>
        <v>1.0752089145489883</v>
      </c>
    </row>
    <row r="2402" spans="4:17" ht="15" thickBot="1" x14ac:dyDescent="0.35">
      <c r="D2402" s="20">
        <f t="shared" si="185"/>
        <v>2396</v>
      </c>
      <c r="E2402" s="20">
        <f t="shared" si="186"/>
        <v>1050</v>
      </c>
      <c r="F2402" s="20">
        <f t="shared" si="187"/>
        <v>4550</v>
      </c>
      <c r="G2402" s="20">
        <v>0.43512619399609231</v>
      </c>
      <c r="H2402" s="50"/>
      <c r="I2402" s="16"/>
      <c r="J2402" s="16"/>
      <c r="K2402" s="16"/>
      <c r="L2402" s="16"/>
      <c r="M2402" s="16">
        <v>2396</v>
      </c>
      <c r="N2402" s="16">
        <f t="shared" si="188"/>
        <v>0.85921807747489243</v>
      </c>
      <c r="O2402" s="16"/>
      <c r="P2402" s="16"/>
      <c r="Q2402" s="16">
        <f t="shared" si="189"/>
        <v>1.076812935833424</v>
      </c>
    </row>
    <row r="2403" spans="4:17" ht="15" thickBot="1" x14ac:dyDescent="0.35">
      <c r="D2403" s="20">
        <f t="shared" si="185"/>
        <v>2397</v>
      </c>
      <c r="E2403" s="20">
        <f t="shared" si="186"/>
        <v>1150</v>
      </c>
      <c r="F2403" s="20">
        <f t="shared" si="187"/>
        <v>4550</v>
      </c>
      <c r="G2403" s="20">
        <v>0.43514466525017081</v>
      </c>
      <c r="H2403" s="50"/>
      <c r="I2403" s="16"/>
      <c r="J2403" s="16"/>
      <c r="K2403" s="16"/>
      <c r="L2403" s="16"/>
      <c r="M2403" s="16">
        <v>2397</v>
      </c>
      <c r="N2403" s="16">
        <f t="shared" si="188"/>
        <v>0.85957675753228124</v>
      </c>
      <c r="O2403" s="16"/>
      <c r="P2403" s="16"/>
      <c r="Q2403" s="16">
        <f t="shared" si="189"/>
        <v>1.0784197324290197</v>
      </c>
    </row>
    <row r="2404" spans="4:17" ht="15" thickBot="1" x14ac:dyDescent="0.35">
      <c r="D2404" s="20">
        <f t="shared" si="185"/>
        <v>2398</v>
      </c>
      <c r="E2404" s="20">
        <f t="shared" si="186"/>
        <v>1250</v>
      </c>
      <c r="F2404" s="20">
        <f t="shared" si="187"/>
        <v>4550</v>
      </c>
      <c r="G2404" s="20">
        <v>0.43515952785032541</v>
      </c>
      <c r="H2404" s="50"/>
      <c r="I2404" s="16"/>
      <c r="J2404" s="16"/>
      <c r="K2404" s="16"/>
      <c r="L2404" s="16"/>
      <c r="M2404" s="16">
        <v>2398</v>
      </c>
      <c r="N2404" s="16">
        <f t="shared" si="188"/>
        <v>0.85993543758967006</v>
      </c>
      <c r="O2404" s="16"/>
      <c r="P2404" s="16"/>
      <c r="Q2404" s="16">
        <f t="shared" si="189"/>
        <v>1.0800293181190592</v>
      </c>
    </row>
    <row r="2405" spans="4:17" ht="15" thickBot="1" x14ac:dyDescent="0.35">
      <c r="D2405" s="20">
        <f t="shared" si="185"/>
        <v>2399</v>
      </c>
      <c r="E2405" s="20">
        <f t="shared" si="186"/>
        <v>1350</v>
      </c>
      <c r="F2405" s="20">
        <f t="shared" si="187"/>
        <v>4550</v>
      </c>
      <c r="G2405" s="20">
        <v>0.43529465774117343</v>
      </c>
      <c r="H2405" s="50"/>
      <c r="I2405" s="16"/>
      <c r="J2405" s="16"/>
      <c r="K2405" s="16"/>
      <c r="L2405" s="16"/>
      <c r="M2405" s="16">
        <v>2399</v>
      </c>
      <c r="N2405" s="16">
        <f t="shared" si="188"/>
        <v>0.86029411764705888</v>
      </c>
      <c r="O2405" s="16"/>
      <c r="P2405" s="16"/>
      <c r="Q2405" s="16">
        <f t="shared" si="189"/>
        <v>1.0816417067876598</v>
      </c>
    </row>
    <row r="2406" spans="4:17" ht="15" thickBot="1" x14ac:dyDescent="0.35">
      <c r="D2406" s="20">
        <f t="shared" si="185"/>
        <v>2400</v>
      </c>
      <c r="E2406" s="20">
        <f t="shared" si="186"/>
        <v>1450</v>
      </c>
      <c r="F2406" s="20">
        <f t="shared" si="187"/>
        <v>4550</v>
      </c>
      <c r="G2406" s="20">
        <v>0.43534667146333084</v>
      </c>
      <c r="H2406" s="50"/>
      <c r="I2406" s="16"/>
      <c r="J2406" s="16"/>
      <c r="K2406" s="16"/>
      <c r="L2406" s="16"/>
      <c r="M2406" s="16">
        <v>2400</v>
      </c>
      <c r="N2406" s="16">
        <f t="shared" si="188"/>
        <v>0.86065279770444758</v>
      </c>
      <c r="O2406" s="16"/>
      <c r="P2406" s="16"/>
      <c r="Q2406" s="16">
        <f t="shared" si="189"/>
        <v>1.0832569124207716</v>
      </c>
    </row>
    <row r="2407" spans="4:17" ht="15" thickBot="1" x14ac:dyDescent="0.35">
      <c r="D2407" s="20">
        <f t="shared" si="185"/>
        <v>2401</v>
      </c>
      <c r="E2407" s="20">
        <f t="shared" si="186"/>
        <v>1550</v>
      </c>
      <c r="F2407" s="20">
        <f t="shared" si="187"/>
        <v>4550</v>
      </c>
      <c r="G2407" s="20">
        <v>0.43541315737685976</v>
      </c>
      <c r="H2407" s="50"/>
      <c r="I2407" s="16"/>
      <c r="J2407" s="16"/>
      <c r="K2407" s="16"/>
      <c r="L2407" s="16"/>
      <c r="M2407" s="16">
        <v>2401</v>
      </c>
      <c r="N2407" s="16">
        <f t="shared" si="188"/>
        <v>0.8610114777618364</v>
      </c>
      <c r="O2407" s="16"/>
      <c r="P2407" s="16"/>
      <c r="Q2407" s="16">
        <f t="shared" si="189"/>
        <v>1.0848749491072016</v>
      </c>
    </row>
    <row r="2408" spans="4:17" ht="15" thickBot="1" x14ac:dyDescent="0.35">
      <c r="D2408" s="20">
        <f t="shared" si="185"/>
        <v>2402</v>
      </c>
      <c r="E2408" s="20">
        <f t="shared" si="186"/>
        <v>1650</v>
      </c>
      <c r="F2408" s="20">
        <f t="shared" si="187"/>
        <v>4550</v>
      </c>
      <c r="G2408" s="20">
        <v>0.43541616011491602</v>
      </c>
      <c r="H2408" s="50"/>
      <c r="I2408" s="16"/>
      <c r="J2408" s="16"/>
      <c r="K2408" s="16"/>
      <c r="L2408" s="16"/>
      <c r="M2408" s="16">
        <v>2402</v>
      </c>
      <c r="N2408" s="16">
        <f t="shared" si="188"/>
        <v>0.86137015781922521</v>
      </c>
      <c r="O2408" s="16"/>
      <c r="P2408" s="16"/>
      <c r="Q2408" s="16">
        <f t="shared" si="189"/>
        <v>1.0864958310396431</v>
      </c>
    </row>
    <row r="2409" spans="4:17" ht="15" thickBot="1" x14ac:dyDescent="0.35">
      <c r="D2409" s="20">
        <f t="shared" si="185"/>
        <v>2403</v>
      </c>
      <c r="E2409" s="20">
        <f t="shared" si="186"/>
        <v>1750</v>
      </c>
      <c r="F2409" s="20">
        <f t="shared" si="187"/>
        <v>4550</v>
      </c>
      <c r="G2409" s="20">
        <v>0.43541797884239519</v>
      </c>
      <c r="H2409" s="50"/>
      <c r="I2409" s="16"/>
      <c r="J2409" s="16"/>
      <c r="K2409" s="16"/>
      <c r="L2409" s="16"/>
      <c r="M2409" s="16">
        <v>2403</v>
      </c>
      <c r="N2409" s="16">
        <f t="shared" si="188"/>
        <v>0.86172883787661403</v>
      </c>
      <c r="O2409" s="16"/>
      <c r="P2409" s="16"/>
      <c r="Q2409" s="16">
        <f t="shared" si="189"/>
        <v>1.0881195725157191</v>
      </c>
    </row>
    <row r="2410" spans="4:17" ht="15" thickBot="1" x14ac:dyDescent="0.35">
      <c r="D2410" s="20">
        <f t="shared" si="185"/>
        <v>2404</v>
      </c>
      <c r="E2410" s="20">
        <f t="shared" si="186"/>
        <v>1850</v>
      </c>
      <c r="F2410" s="20">
        <f t="shared" si="187"/>
        <v>4550</v>
      </c>
      <c r="G2410" s="20">
        <v>0.43548497763877281</v>
      </c>
      <c r="H2410" s="50"/>
      <c r="I2410" s="16"/>
      <c r="J2410" s="16"/>
      <c r="K2410" s="16"/>
      <c r="L2410" s="16"/>
      <c r="M2410" s="16">
        <v>2404</v>
      </c>
      <c r="N2410" s="16">
        <f t="shared" si="188"/>
        <v>0.86208751793400284</v>
      </c>
      <c r="O2410" s="16"/>
      <c r="P2410" s="16"/>
      <c r="Q2410" s="16">
        <f t="shared" si="189"/>
        <v>1.0897461879390424</v>
      </c>
    </row>
    <row r="2411" spans="4:17" ht="15" thickBot="1" x14ac:dyDescent="0.35">
      <c r="D2411" s="20">
        <f t="shared" si="185"/>
        <v>2405</v>
      </c>
      <c r="E2411" s="20">
        <f t="shared" si="186"/>
        <v>1950</v>
      </c>
      <c r="F2411" s="20">
        <f t="shared" si="187"/>
        <v>4550</v>
      </c>
      <c r="G2411" s="20">
        <v>0.43553646283970093</v>
      </c>
      <c r="H2411" s="50"/>
      <c r="I2411" s="16"/>
      <c r="J2411" s="16"/>
      <c r="K2411" s="16"/>
      <c r="L2411" s="16"/>
      <c r="M2411" s="16">
        <v>2405</v>
      </c>
      <c r="N2411" s="16">
        <f t="shared" si="188"/>
        <v>0.86244619799139166</v>
      </c>
      <c r="O2411" s="16"/>
      <c r="P2411" s="16"/>
      <c r="Q2411" s="16">
        <f t="shared" si="189"/>
        <v>1.091375691820289</v>
      </c>
    </row>
    <row r="2412" spans="4:17" ht="15" thickBot="1" x14ac:dyDescent="0.35">
      <c r="D2412" s="20">
        <f t="shared" si="185"/>
        <v>2406</v>
      </c>
      <c r="E2412" s="20">
        <f t="shared" si="186"/>
        <v>2050</v>
      </c>
      <c r="F2412" s="20">
        <f t="shared" si="187"/>
        <v>4550</v>
      </c>
      <c r="G2412" s="20">
        <v>0.43556931632623225</v>
      </c>
      <c r="H2412" s="50"/>
      <c r="I2412" s="16"/>
      <c r="J2412" s="16"/>
      <c r="K2412" s="16"/>
      <c r="L2412" s="16"/>
      <c r="M2412" s="16">
        <v>2406</v>
      </c>
      <c r="N2412" s="16">
        <f t="shared" si="188"/>
        <v>0.86280487804878048</v>
      </c>
      <c r="O2412" s="16"/>
      <c r="P2412" s="16"/>
      <c r="Q2412" s="16">
        <f t="shared" si="189"/>
        <v>1.0930080987782778</v>
      </c>
    </row>
    <row r="2413" spans="4:17" ht="15" thickBot="1" x14ac:dyDescent="0.35">
      <c r="D2413" s="20">
        <f t="shared" si="185"/>
        <v>2407</v>
      </c>
      <c r="E2413" s="20">
        <f t="shared" si="186"/>
        <v>2150</v>
      </c>
      <c r="F2413" s="20">
        <f t="shared" si="187"/>
        <v>4550</v>
      </c>
      <c r="G2413" s="20">
        <v>0.4356009252448978</v>
      </c>
      <c r="H2413" s="50"/>
      <c r="I2413" s="16"/>
      <c r="J2413" s="16"/>
      <c r="K2413" s="16"/>
      <c r="L2413" s="16"/>
      <c r="M2413" s="16">
        <v>2407</v>
      </c>
      <c r="N2413" s="16">
        <f t="shared" si="188"/>
        <v>0.86316355810616929</v>
      </c>
      <c r="O2413" s="16"/>
      <c r="P2413" s="16"/>
      <c r="Q2413" s="16">
        <f t="shared" si="189"/>
        <v>1.0946434235410734</v>
      </c>
    </row>
    <row r="2414" spans="4:17" ht="15" thickBot="1" x14ac:dyDescent="0.35">
      <c r="D2414" s="20">
        <f t="shared" si="185"/>
        <v>2408</v>
      </c>
      <c r="E2414" s="20">
        <f t="shared" si="186"/>
        <v>2250</v>
      </c>
      <c r="F2414" s="20">
        <f t="shared" si="187"/>
        <v>4550</v>
      </c>
      <c r="G2414" s="20">
        <v>0.43568789175963135</v>
      </c>
      <c r="H2414" s="50"/>
      <c r="I2414" s="16"/>
      <c r="J2414" s="16"/>
      <c r="K2414" s="16"/>
      <c r="L2414" s="16"/>
      <c r="M2414" s="16">
        <v>2408</v>
      </c>
      <c r="N2414" s="16">
        <f t="shared" si="188"/>
        <v>0.86352223816355811</v>
      </c>
      <c r="O2414" s="16"/>
      <c r="P2414" s="16"/>
      <c r="Q2414" s="16">
        <f t="shared" si="189"/>
        <v>1.0962816809470999</v>
      </c>
    </row>
    <row r="2415" spans="4:17" ht="15" thickBot="1" x14ac:dyDescent="0.35">
      <c r="D2415" s="20">
        <f t="shared" si="185"/>
        <v>2409</v>
      </c>
      <c r="E2415" s="20">
        <f t="shared" si="186"/>
        <v>2350</v>
      </c>
      <c r="F2415" s="20">
        <f t="shared" si="187"/>
        <v>4550</v>
      </c>
      <c r="G2415" s="20">
        <v>0.43572530094347195</v>
      </c>
      <c r="H2415" s="50"/>
      <c r="I2415" s="16"/>
      <c r="J2415" s="16"/>
      <c r="K2415" s="16"/>
      <c r="L2415" s="16"/>
      <c r="M2415" s="16">
        <v>2409</v>
      </c>
      <c r="N2415" s="16">
        <f t="shared" si="188"/>
        <v>0.86388091822094693</v>
      </c>
      <c r="O2415" s="16"/>
      <c r="P2415" s="16"/>
      <c r="Q2415" s="16">
        <f t="shared" si="189"/>
        <v>1.0979228859462657</v>
      </c>
    </row>
    <row r="2416" spans="4:17" ht="15" thickBot="1" x14ac:dyDescent="0.35">
      <c r="D2416" s="20">
        <f t="shared" si="185"/>
        <v>2410</v>
      </c>
      <c r="E2416" s="20">
        <f t="shared" si="186"/>
        <v>2450</v>
      </c>
      <c r="F2416" s="20">
        <f t="shared" si="187"/>
        <v>4550</v>
      </c>
      <c r="G2416" s="20">
        <v>0.43583823206488315</v>
      </c>
      <c r="H2416" s="50"/>
      <c r="I2416" s="16"/>
      <c r="J2416" s="16"/>
      <c r="K2416" s="16"/>
      <c r="L2416" s="16"/>
      <c r="M2416" s="16">
        <v>2410</v>
      </c>
      <c r="N2416" s="16">
        <f t="shared" si="188"/>
        <v>0.86423959827833574</v>
      </c>
      <c r="O2416" s="16"/>
      <c r="P2416" s="16"/>
      <c r="Q2416" s="16">
        <f t="shared" si="189"/>
        <v>1.0995670536011071</v>
      </c>
    </row>
    <row r="2417" spans="4:17" ht="15" thickBot="1" x14ac:dyDescent="0.35">
      <c r="D2417" s="20">
        <f t="shared" si="185"/>
        <v>2411</v>
      </c>
      <c r="E2417" s="20">
        <f t="shared" si="186"/>
        <v>2550</v>
      </c>
      <c r="F2417" s="20">
        <f t="shared" si="187"/>
        <v>4550</v>
      </c>
      <c r="G2417" s="20">
        <v>0.43585441136515513</v>
      </c>
      <c r="H2417" s="50"/>
      <c r="I2417" s="16"/>
      <c r="J2417" s="16"/>
      <c r="K2417" s="16"/>
      <c r="L2417" s="16"/>
      <c r="M2417" s="16">
        <v>2411</v>
      </c>
      <c r="N2417" s="16">
        <f t="shared" si="188"/>
        <v>0.86459827833572456</v>
      </c>
      <c r="O2417" s="16"/>
      <c r="P2417" s="16"/>
      <c r="Q2417" s="16">
        <f t="shared" si="189"/>
        <v>1.1012141990879452</v>
      </c>
    </row>
    <row r="2418" spans="4:17" ht="15" thickBot="1" x14ac:dyDescent="0.35">
      <c r="D2418" s="20">
        <f t="shared" si="185"/>
        <v>2412</v>
      </c>
      <c r="E2418" s="47">
        <f t="shared" si="186"/>
        <v>2650</v>
      </c>
      <c r="F2418" s="47">
        <f t="shared" si="187"/>
        <v>4550</v>
      </c>
      <c r="G2418" s="20">
        <v>0.43624489323504034</v>
      </c>
      <c r="H2418" s="50"/>
      <c r="I2418" s="16"/>
      <c r="J2418" s="16"/>
      <c r="K2418" s="16"/>
      <c r="L2418" s="16"/>
      <c r="M2418" s="16">
        <v>2412</v>
      </c>
      <c r="N2418" s="16">
        <f t="shared" si="188"/>
        <v>0.86495695839311337</v>
      </c>
      <c r="O2418" s="16"/>
      <c r="P2418" s="16"/>
      <c r="Q2418" s="16">
        <f t="shared" si="189"/>
        <v>1.1028643376980545</v>
      </c>
    </row>
    <row r="2419" spans="4:17" ht="15" thickBot="1" x14ac:dyDescent="0.35">
      <c r="D2419" s="20">
        <f t="shared" si="185"/>
        <v>2413</v>
      </c>
      <c r="E2419" s="45">
        <f t="shared" si="186"/>
        <v>2750</v>
      </c>
      <c r="F2419" s="45">
        <f t="shared" si="187"/>
        <v>4550</v>
      </c>
      <c r="G2419" s="20">
        <v>0.43634496597305256</v>
      </c>
      <c r="H2419" s="50"/>
      <c r="I2419" s="16"/>
      <c r="J2419" s="16"/>
      <c r="K2419" s="16"/>
      <c r="L2419" s="16"/>
      <c r="M2419" s="16">
        <v>2413</v>
      </c>
      <c r="N2419" s="16">
        <f t="shared" si="188"/>
        <v>0.86531563845050219</v>
      </c>
      <c r="O2419" s="16"/>
      <c r="P2419" s="16"/>
      <c r="Q2419" s="16">
        <f t="shared" si="189"/>
        <v>1.104517484838855</v>
      </c>
    </row>
    <row r="2420" spans="4:17" ht="15" thickBot="1" x14ac:dyDescent="0.35">
      <c r="D2420" s="20">
        <f t="shared" si="185"/>
        <v>2414</v>
      </c>
      <c r="E2420" s="20">
        <f t="shared" si="186"/>
        <v>2850</v>
      </c>
      <c r="F2420" s="20">
        <f t="shared" si="187"/>
        <v>4550</v>
      </c>
      <c r="G2420" s="20">
        <v>0.43669114023180539</v>
      </c>
      <c r="H2420" s="50"/>
      <c r="I2420" s="16"/>
      <c r="J2420" s="16"/>
      <c r="K2420" s="16"/>
      <c r="L2420" s="16"/>
      <c r="M2420" s="16">
        <v>2414</v>
      </c>
      <c r="N2420" s="16">
        <f t="shared" si="188"/>
        <v>0.86567431850789101</v>
      </c>
      <c r="O2420" s="16"/>
      <c r="P2420" s="16"/>
      <c r="Q2420" s="16">
        <f t="shared" si="189"/>
        <v>1.1061736560351103</v>
      </c>
    </row>
    <row r="2421" spans="4:17" ht="15" thickBot="1" x14ac:dyDescent="0.35">
      <c r="D2421" s="20">
        <f t="shared" si="185"/>
        <v>2415</v>
      </c>
      <c r="E2421" s="20">
        <f t="shared" si="186"/>
        <v>2950</v>
      </c>
      <c r="F2421" s="20">
        <f t="shared" si="187"/>
        <v>4550</v>
      </c>
      <c r="G2421" s="20">
        <v>0.43693085618624639</v>
      </c>
      <c r="H2421" s="50"/>
      <c r="I2421" s="16"/>
      <c r="J2421" s="16"/>
      <c r="K2421" s="16"/>
      <c r="L2421" s="16"/>
      <c r="M2421" s="16">
        <v>2415</v>
      </c>
      <c r="N2421" s="16">
        <f t="shared" si="188"/>
        <v>0.86603299856527982</v>
      </c>
      <c r="O2421" s="16"/>
      <c r="P2421" s="16"/>
      <c r="Q2421" s="16">
        <f t="shared" si="189"/>
        <v>1.1078328669301474</v>
      </c>
    </row>
    <row r="2422" spans="4:17" ht="15" thickBot="1" x14ac:dyDescent="0.35">
      <c r="D2422" s="20">
        <f t="shared" si="185"/>
        <v>2416</v>
      </c>
      <c r="E2422" s="20">
        <f t="shared" si="186"/>
        <v>3050</v>
      </c>
      <c r="F2422" s="20">
        <f t="shared" si="187"/>
        <v>4550</v>
      </c>
      <c r="G2422" s="20">
        <v>0.43724819702084883</v>
      </c>
      <c r="H2422" s="50"/>
      <c r="I2422" s="16"/>
      <c r="J2422" s="16"/>
      <c r="K2422" s="16"/>
      <c r="L2422" s="16"/>
      <c r="M2422" s="16">
        <v>2416</v>
      </c>
      <c r="N2422" s="16">
        <f t="shared" si="188"/>
        <v>0.86639167862266853</v>
      </c>
      <c r="O2422" s="16"/>
      <c r="P2422" s="16"/>
      <c r="Q2422" s="16">
        <f t="shared" si="189"/>
        <v>1.1094951332870897</v>
      </c>
    </row>
    <row r="2423" spans="4:17" ht="15" thickBot="1" x14ac:dyDescent="0.35">
      <c r="D2423" s="20">
        <f t="shared" si="185"/>
        <v>2417</v>
      </c>
      <c r="E2423" s="20">
        <f t="shared" si="186"/>
        <v>3150</v>
      </c>
      <c r="F2423" s="20">
        <f t="shared" si="187"/>
        <v>4550</v>
      </c>
      <c r="G2423" s="20">
        <v>0.43731941857156492</v>
      </c>
      <c r="H2423" s="50"/>
      <c r="I2423" s="16"/>
      <c r="J2423" s="16"/>
      <c r="K2423" s="16"/>
      <c r="L2423" s="16"/>
      <c r="M2423" s="16">
        <v>2417</v>
      </c>
      <c r="N2423" s="16">
        <f t="shared" si="188"/>
        <v>0.86675035868005734</v>
      </c>
      <c r="O2423" s="16"/>
      <c r="P2423" s="16"/>
      <c r="Q2423" s="16">
        <f t="shared" si="189"/>
        <v>1.1111604709901091</v>
      </c>
    </row>
    <row r="2424" spans="4:17" ht="15" thickBot="1" x14ac:dyDescent="0.35">
      <c r="D2424" s="20">
        <f t="shared" si="185"/>
        <v>2418</v>
      </c>
      <c r="E2424" s="20">
        <f t="shared" si="186"/>
        <v>3250</v>
      </c>
      <c r="F2424" s="20">
        <f t="shared" si="187"/>
        <v>4550</v>
      </c>
      <c r="G2424" s="20">
        <v>0.43735430600083453</v>
      </c>
      <c r="H2424" s="50"/>
      <c r="I2424" s="16"/>
      <c r="J2424" s="16"/>
      <c r="K2424" s="16"/>
      <c r="L2424" s="16"/>
      <c r="M2424" s="16">
        <v>2418</v>
      </c>
      <c r="N2424" s="16">
        <f t="shared" si="188"/>
        <v>0.86710903873744616</v>
      </c>
      <c r="O2424" s="16"/>
      <c r="P2424" s="16"/>
      <c r="Q2424" s="16">
        <f t="shared" si="189"/>
        <v>1.1128288960456905</v>
      </c>
    </row>
    <row r="2425" spans="4:17" ht="15" thickBot="1" x14ac:dyDescent="0.35">
      <c r="D2425" s="20">
        <f t="shared" si="185"/>
        <v>2419</v>
      </c>
      <c r="E2425" s="20">
        <f t="shared" si="186"/>
        <v>3350</v>
      </c>
      <c r="F2425" s="20">
        <f t="shared" si="187"/>
        <v>4550</v>
      </c>
      <c r="G2425" s="20">
        <v>0.43749700151877435</v>
      </c>
      <c r="H2425" s="50"/>
      <c r="I2425" s="16"/>
      <c r="J2425" s="16"/>
      <c r="K2425" s="16"/>
      <c r="L2425" s="16"/>
      <c r="M2425" s="16">
        <v>2419</v>
      </c>
      <c r="N2425" s="16">
        <f t="shared" si="188"/>
        <v>0.86746771879483497</v>
      </c>
      <c r="O2425" s="16"/>
      <c r="P2425" s="16"/>
      <c r="Q2425" s="16">
        <f t="shared" si="189"/>
        <v>1.1145004245839158</v>
      </c>
    </row>
    <row r="2426" spans="4:17" ht="15" thickBot="1" x14ac:dyDescent="0.35">
      <c r="D2426" s="20">
        <f t="shared" si="185"/>
        <v>2420</v>
      </c>
      <c r="E2426" s="20">
        <f t="shared" si="186"/>
        <v>3450</v>
      </c>
      <c r="F2426" s="20">
        <f t="shared" si="187"/>
        <v>4550</v>
      </c>
      <c r="G2426" s="20">
        <v>0.43751755923164143</v>
      </c>
      <c r="H2426" s="50"/>
      <c r="I2426" s="16"/>
      <c r="J2426" s="16"/>
      <c r="K2426" s="16"/>
      <c r="L2426" s="16"/>
      <c r="M2426" s="16">
        <v>2420</v>
      </c>
      <c r="N2426" s="16">
        <f t="shared" si="188"/>
        <v>0.86782639885222379</v>
      </c>
      <c r="O2426" s="16"/>
      <c r="P2426" s="16"/>
      <c r="Q2426" s="16">
        <f t="shared" si="189"/>
        <v>1.1161750728597637</v>
      </c>
    </row>
    <row r="2427" spans="4:17" ht="15" thickBot="1" x14ac:dyDescent="0.35">
      <c r="D2427" s="20">
        <f t="shared" si="185"/>
        <v>2421</v>
      </c>
      <c r="E2427" s="20">
        <f t="shared" si="186"/>
        <v>3550</v>
      </c>
      <c r="F2427" s="20">
        <f t="shared" si="187"/>
        <v>4550</v>
      </c>
      <c r="G2427" s="20">
        <v>0.43773989204391001</v>
      </c>
      <c r="H2427" s="50"/>
      <c r="I2427" s="16"/>
      <c r="J2427" s="16"/>
      <c r="K2427" s="16"/>
      <c r="L2427" s="16"/>
      <c r="M2427" s="16">
        <v>2421</v>
      </c>
      <c r="N2427" s="16">
        <f t="shared" si="188"/>
        <v>0.86818507890961261</v>
      </c>
      <c r="O2427" s="16"/>
      <c r="P2427" s="16"/>
      <c r="Q2427" s="16">
        <f t="shared" si="189"/>
        <v>1.1178528572544302</v>
      </c>
    </row>
    <row r="2428" spans="4:17" ht="15" thickBot="1" x14ac:dyDescent="0.35">
      <c r="D2428" s="20">
        <f t="shared" si="185"/>
        <v>2422</v>
      </c>
      <c r="E2428" s="20">
        <f t="shared" si="186"/>
        <v>3650</v>
      </c>
      <c r="F2428" s="20">
        <f t="shared" si="187"/>
        <v>4550</v>
      </c>
      <c r="G2428" s="20">
        <v>0.43782475154902145</v>
      </c>
      <c r="H2428" s="50"/>
      <c r="I2428" s="16"/>
      <c r="J2428" s="16"/>
      <c r="K2428" s="16"/>
      <c r="L2428" s="16"/>
      <c r="M2428" s="16">
        <v>2422</v>
      </c>
      <c r="N2428" s="16">
        <f t="shared" si="188"/>
        <v>0.86854375896700142</v>
      </c>
      <c r="O2428" s="16"/>
      <c r="P2428" s="16"/>
      <c r="Q2428" s="16">
        <f t="shared" si="189"/>
        <v>1.119533794276659</v>
      </c>
    </row>
    <row r="2429" spans="4:17" ht="15" thickBot="1" x14ac:dyDescent="0.35">
      <c r="D2429" s="20">
        <f t="shared" si="185"/>
        <v>2423</v>
      </c>
      <c r="E2429" s="20">
        <f t="shared" si="186"/>
        <v>3750</v>
      </c>
      <c r="F2429" s="20">
        <f t="shared" si="187"/>
        <v>4550</v>
      </c>
      <c r="G2429" s="20">
        <v>0.43787015670656931</v>
      </c>
      <c r="H2429" s="50"/>
      <c r="I2429" s="16"/>
      <c r="J2429" s="16"/>
      <c r="K2429" s="16"/>
      <c r="L2429" s="16"/>
      <c r="M2429" s="16">
        <v>2423</v>
      </c>
      <c r="N2429" s="16">
        <f t="shared" si="188"/>
        <v>0.86890243902439024</v>
      </c>
      <c r="O2429" s="16"/>
      <c r="P2429" s="16"/>
      <c r="Q2429" s="16">
        <f t="shared" si="189"/>
        <v>1.1212179005640976</v>
      </c>
    </row>
    <row r="2430" spans="4:17" ht="15" thickBot="1" x14ac:dyDescent="0.35">
      <c r="D2430" s="20">
        <f t="shared" si="185"/>
        <v>2424</v>
      </c>
      <c r="E2430" s="20">
        <f t="shared" si="186"/>
        <v>3850</v>
      </c>
      <c r="F2430" s="20">
        <f t="shared" si="187"/>
        <v>4550</v>
      </c>
      <c r="G2430" s="20">
        <v>0.43789596712563628</v>
      </c>
      <c r="H2430" s="50"/>
      <c r="I2430" s="16"/>
      <c r="J2430" s="16"/>
      <c r="K2430" s="16"/>
      <c r="L2430" s="16"/>
      <c r="M2430" s="16">
        <v>2424</v>
      </c>
      <c r="N2430" s="16">
        <f t="shared" si="188"/>
        <v>0.86926111908177905</v>
      </c>
      <c r="O2430" s="16"/>
      <c r="P2430" s="16"/>
      <c r="Q2430" s="16">
        <f t="shared" si="189"/>
        <v>1.1229051928846678</v>
      </c>
    </row>
    <row r="2431" spans="4:17" ht="15" thickBot="1" x14ac:dyDescent="0.35">
      <c r="D2431" s="20">
        <f t="shared" si="185"/>
        <v>2425</v>
      </c>
      <c r="E2431" s="20">
        <f t="shared" si="186"/>
        <v>3950</v>
      </c>
      <c r="F2431" s="20">
        <f t="shared" si="187"/>
        <v>4550</v>
      </c>
      <c r="G2431" s="20">
        <v>0.43790338114937477</v>
      </c>
      <c r="H2431" s="50"/>
      <c r="I2431" s="16"/>
      <c r="J2431" s="16"/>
      <c r="K2431" s="16"/>
      <c r="L2431" s="16"/>
      <c r="M2431" s="16">
        <v>2425</v>
      </c>
      <c r="N2431" s="16">
        <f t="shared" si="188"/>
        <v>0.86961979913916787</v>
      </c>
      <c r="O2431" s="16"/>
      <c r="P2431" s="16"/>
      <c r="Q2431" s="16">
        <f t="shared" si="189"/>
        <v>1.1245956881379549</v>
      </c>
    </row>
    <row r="2432" spans="4:17" ht="15" thickBot="1" x14ac:dyDescent="0.35">
      <c r="D2432" s="20">
        <f t="shared" si="185"/>
        <v>2426</v>
      </c>
      <c r="E2432" s="20">
        <f t="shared" si="186"/>
        <v>4050</v>
      </c>
      <c r="F2432" s="20">
        <f t="shared" si="187"/>
        <v>4550</v>
      </c>
      <c r="G2432" s="20">
        <v>0.4379252191960209</v>
      </c>
      <c r="H2432" s="50"/>
      <c r="I2432" s="16"/>
      <c r="J2432" s="16"/>
      <c r="K2432" s="16"/>
      <c r="L2432" s="16"/>
      <c r="M2432" s="16">
        <v>2426</v>
      </c>
      <c r="N2432" s="16">
        <f t="shared" si="188"/>
        <v>0.86997847919655669</v>
      </c>
      <c r="O2432" s="16"/>
      <c r="P2432" s="16"/>
      <c r="Q2432" s="16">
        <f t="shared" si="189"/>
        <v>1.1262894033566151</v>
      </c>
    </row>
    <row r="2433" spans="4:17" ht="15" thickBot="1" x14ac:dyDescent="0.35">
      <c r="D2433" s="20">
        <f t="shared" si="185"/>
        <v>2427</v>
      </c>
      <c r="E2433" s="20">
        <f t="shared" si="186"/>
        <v>4150</v>
      </c>
      <c r="F2433" s="20">
        <f t="shared" si="187"/>
        <v>4550</v>
      </c>
      <c r="G2433" s="20">
        <v>0.43798950783911184</v>
      </c>
      <c r="H2433" s="50"/>
      <c r="I2433" s="16"/>
      <c r="J2433" s="16"/>
      <c r="K2433" s="16"/>
      <c r="L2433" s="16"/>
      <c r="M2433" s="16">
        <v>2427</v>
      </c>
      <c r="N2433" s="16">
        <f t="shared" si="188"/>
        <v>0.8703371592539455</v>
      </c>
      <c r="O2433" s="16"/>
      <c r="P2433" s="16"/>
      <c r="Q2433" s="16">
        <f t="shared" si="189"/>
        <v>1.1279863557078045</v>
      </c>
    </row>
    <row r="2434" spans="4:17" ht="15" thickBot="1" x14ac:dyDescent="0.35">
      <c r="D2434" s="20">
        <f t="shared" si="185"/>
        <v>2428</v>
      </c>
      <c r="E2434" s="20">
        <f t="shared" si="186"/>
        <v>4250</v>
      </c>
      <c r="F2434" s="20">
        <f t="shared" si="187"/>
        <v>4550</v>
      </c>
      <c r="G2434" s="20">
        <v>0.43831630809279659</v>
      </c>
      <c r="H2434" s="50"/>
      <c r="I2434" s="16"/>
      <c r="J2434" s="16"/>
      <c r="K2434" s="16"/>
      <c r="L2434" s="16"/>
      <c r="M2434" s="16">
        <v>2428</v>
      </c>
      <c r="N2434" s="16">
        <f t="shared" si="188"/>
        <v>0.87069583931133432</v>
      </c>
      <c r="O2434" s="16"/>
      <c r="P2434" s="16"/>
      <c r="Q2434" s="16">
        <f t="shared" si="189"/>
        <v>1.1296865624946224</v>
      </c>
    </row>
    <row r="2435" spans="4:17" ht="15" thickBot="1" x14ac:dyDescent="0.35">
      <c r="D2435" s="20">
        <f t="shared" si="185"/>
        <v>2429</v>
      </c>
      <c r="E2435" s="20">
        <f t="shared" si="186"/>
        <v>4350</v>
      </c>
      <c r="F2435" s="20">
        <f t="shared" si="187"/>
        <v>4550</v>
      </c>
      <c r="G2435" s="20">
        <v>0.43833091021493858</v>
      </c>
      <c r="H2435" s="50"/>
      <c r="I2435" s="16"/>
      <c r="J2435" s="16"/>
      <c r="K2435" s="16"/>
      <c r="L2435" s="16"/>
      <c r="M2435" s="16">
        <v>2429</v>
      </c>
      <c r="N2435" s="16">
        <f t="shared" si="188"/>
        <v>0.87105451936872313</v>
      </c>
      <c r="O2435" s="16"/>
      <c r="P2435" s="16"/>
      <c r="Q2435" s="16">
        <f t="shared" si="189"/>
        <v>1.131390041157581</v>
      </c>
    </row>
    <row r="2436" spans="4:17" ht="15" thickBot="1" x14ac:dyDescent="0.35">
      <c r="D2436" s="20">
        <f t="shared" si="185"/>
        <v>2430</v>
      </c>
      <c r="E2436" s="20">
        <f t="shared" si="186"/>
        <v>4450</v>
      </c>
      <c r="F2436" s="20">
        <f t="shared" si="187"/>
        <v>4550</v>
      </c>
      <c r="G2436" s="20">
        <v>0.43834273289044307</v>
      </c>
      <c r="H2436" s="50"/>
      <c r="I2436" s="16"/>
      <c r="J2436" s="16"/>
      <c r="K2436" s="16"/>
      <c r="L2436" s="16"/>
      <c r="M2436" s="16">
        <v>2430</v>
      </c>
      <c r="N2436" s="16">
        <f t="shared" si="188"/>
        <v>0.87141319942611195</v>
      </c>
      <c r="O2436" s="16"/>
      <c r="P2436" s="16"/>
      <c r="Q2436" s="16">
        <f t="shared" si="189"/>
        <v>1.1330968092760887</v>
      </c>
    </row>
    <row r="2437" spans="4:17" ht="15" thickBot="1" x14ac:dyDescent="0.35">
      <c r="D2437" s="20">
        <f t="shared" si="185"/>
        <v>2431</v>
      </c>
      <c r="E2437" s="20">
        <f t="shared" si="186"/>
        <v>4550</v>
      </c>
      <c r="F2437" s="20">
        <f t="shared" si="187"/>
        <v>4550</v>
      </c>
      <c r="G2437" s="20">
        <v>0.4383785229338174</v>
      </c>
      <c r="H2437" s="50"/>
      <c r="I2437" s="16"/>
      <c r="J2437" s="16"/>
      <c r="K2437" s="16"/>
      <c r="L2437" s="16"/>
      <c r="M2437" s="16">
        <v>2431</v>
      </c>
      <c r="N2437" s="16">
        <f t="shared" si="188"/>
        <v>0.87177187948350077</v>
      </c>
      <c r="O2437" s="16"/>
      <c r="P2437" s="16"/>
      <c r="Q2437" s="16">
        <f t="shared" si="189"/>
        <v>1.1348068845699553</v>
      </c>
    </row>
    <row r="2438" spans="4:17" ht="15" thickBot="1" x14ac:dyDescent="0.35">
      <c r="D2438" s="20">
        <f t="shared" si="185"/>
        <v>2432</v>
      </c>
      <c r="E2438" s="20">
        <f t="shared" si="186"/>
        <v>4650</v>
      </c>
      <c r="F2438" s="20">
        <f t="shared" si="187"/>
        <v>4550</v>
      </c>
      <c r="G2438" s="20">
        <v>0.43841128644769367</v>
      </c>
      <c r="H2438" s="50"/>
      <c r="I2438" s="16"/>
      <c r="J2438" s="16"/>
      <c r="K2438" s="16"/>
      <c r="L2438" s="16"/>
      <c r="M2438" s="16">
        <v>2432</v>
      </c>
      <c r="N2438" s="16">
        <f t="shared" si="188"/>
        <v>0.87213055954088947</v>
      </c>
      <c r="O2438" s="16"/>
      <c r="P2438" s="16"/>
      <c r="Q2438" s="16">
        <f t="shared" si="189"/>
        <v>1.1365202849009246</v>
      </c>
    </row>
    <row r="2439" spans="4:17" ht="15" thickBot="1" x14ac:dyDescent="0.35">
      <c r="D2439" s="20">
        <f t="shared" ref="D2439:D2502" si="190">ROW()-6</f>
        <v>2433</v>
      </c>
      <c r="E2439" s="20">
        <f t="shared" ref="E2439:E2502" si="191">(MOD(D2439-1,53)*100)+50</f>
        <v>4750</v>
      </c>
      <c r="F2439" s="20">
        <f t="shared" ref="F2439:F2502" si="192">FLOOR((D2439-1)/53,1)*100+50</f>
        <v>4550</v>
      </c>
      <c r="G2439" s="20">
        <v>0.43841253511167894</v>
      </c>
      <c r="H2439" s="50"/>
      <c r="I2439" s="16"/>
      <c r="J2439" s="16"/>
      <c r="K2439" s="16"/>
      <c r="L2439" s="16"/>
      <c r="M2439" s="16">
        <v>2433</v>
      </c>
      <c r="N2439" s="16">
        <f t="shared" si="188"/>
        <v>0.87248923959827829</v>
      </c>
      <c r="O2439" s="16"/>
      <c r="P2439" s="16"/>
      <c r="Q2439" s="16">
        <f t="shared" si="189"/>
        <v>1.1382370282742142</v>
      </c>
    </row>
    <row r="2440" spans="4:17" ht="15" thickBot="1" x14ac:dyDescent="0.35">
      <c r="D2440" s="20">
        <f t="shared" si="190"/>
        <v>2434</v>
      </c>
      <c r="E2440" s="20">
        <f t="shared" si="191"/>
        <v>4850</v>
      </c>
      <c r="F2440" s="20">
        <f t="shared" si="192"/>
        <v>4550</v>
      </c>
      <c r="G2440" s="20">
        <v>0.43851556219749865</v>
      </c>
      <c r="H2440" s="50"/>
      <c r="I2440" s="16"/>
      <c r="J2440" s="16"/>
      <c r="K2440" s="16"/>
      <c r="L2440" s="16"/>
      <c r="M2440" s="16">
        <v>2434</v>
      </c>
      <c r="N2440" s="16">
        <f t="shared" ref="N2440:N2503" si="193">(M2440-0.5)/$L$7</f>
        <v>0.8728479196556671</v>
      </c>
      <c r="O2440" s="16"/>
      <c r="P2440" s="16"/>
      <c r="Q2440" s="16">
        <f t="shared" ref="Q2440:Q2503" si="194">_xlfn.NORM.S.INV(N2440)</f>
        <v>1.1399571328400904</v>
      </c>
    </row>
    <row r="2441" spans="4:17" ht="15" thickBot="1" x14ac:dyDescent="0.35">
      <c r="D2441" s="20">
        <f t="shared" si="190"/>
        <v>2435</v>
      </c>
      <c r="E2441" s="20">
        <f t="shared" si="191"/>
        <v>4950</v>
      </c>
      <c r="F2441" s="20">
        <f t="shared" si="192"/>
        <v>4550</v>
      </c>
      <c r="G2441" s="20">
        <v>0.43854203340326969</v>
      </c>
      <c r="H2441" s="50"/>
      <c r="I2441" s="16"/>
      <c r="J2441" s="16"/>
      <c r="K2441" s="16"/>
      <c r="L2441" s="16"/>
      <c r="M2441" s="16">
        <v>2435</v>
      </c>
      <c r="N2441" s="16">
        <f t="shared" si="193"/>
        <v>0.87320659971305592</v>
      </c>
      <c r="O2441" s="16"/>
      <c r="P2441" s="16"/>
      <c r="Q2441" s="16">
        <f t="shared" si="194"/>
        <v>1.1416806168954581</v>
      </c>
    </row>
    <row r="2442" spans="4:17" ht="15" thickBot="1" x14ac:dyDescent="0.35">
      <c r="D2442" s="20">
        <f t="shared" si="190"/>
        <v>2436</v>
      </c>
      <c r="E2442" s="20">
        <f t="shared" si="191"/>
        <v>5050</v>
      </c>
      <c r="F2442" s="20">
        <f t="shared" si="192"/>
        <v>4550</v>
      </c>
      <c r="G2442" s="20">
        <v>0.43856819774475064</v>
      </c>
      <c r="H2442" s="50"/>
      <c r="I2442" s="16"/>
      <c r="J2442" s="16"/>
      <c r="K2442" s="16"/>
      <c r="L2442" s="16"/>
      <c r="M2442" s="16">
        <v>2436</v>
      </c>
      <c r="N2442" s="16">
        <f t="shared" si="193"/>
        <v>0.87356527977044474</v>
      </c>
      <c r="O2442" s="16"/>
      <c r="P2442" s="16"/>
      <c r="Q2442" s="16">
        <f t="shared" si="194"/>
        <v>1.1434074988854701</v>
      </c>
    </row>
    <row r="2443" spans="4:17" ht="15" thickBot="1" x14ac:dyDescent="0.35">
      <c r="D2443" s="20">
        <f t="shared" si="190"/>
        <v>2437</v>
      </c>
      <c r="E2443" s="20">
        <f t="shared" si="191"/>
        <v>5150</v>
      </c>
      <c r="F2443" s="20">
        <f t="shared" si="192"/>
        <v>4550</v>
      </c>
      <c r="G2443" s="20">
        <v>0.4386392452072444</v>
      </c>
      <c r="H2443" s="50"/>
      <c r="I2443" s="16"/>
      <c r="J2443" s="16"/>
      <c r="K2443" s="16"/>
      <c r="L2443" s="16"/>
      <c r="M2443" s="16">
        <v>2437</v>
      </c>
      <c r="N2443" s="16">
        <f t="shared" si="193"/>
        <v>0.87392395982783355</v>
      </c>
      <c r="O2443" s="16"/>
      <c r="P2443" s="16"/>
      <c r="Q2443" s="16">
        <f t="shared" si="194"/>
        <v>1.145137797405166</v>
      </c>
    </row>
    <row r="2444" spans="4:17" ht="15" thickBot="1" x14ac:dyDescent="0.35">
      <c r="D2444" s="20">
        <f t="shared" si="190"/>
        <v>2438</v>
      </c>
      <c r="E2444" s="20">
        <f t="shared" si="191"/>
        <v>5250</v>
      </c>
      <c r="F2444" s="20">
        <f t="shared" si="192"/>
        <v>4550</v>
      </c>
      <c r="G2444" s="20">
        <v>0.43867346602690255</v>
      </c>
      <c r="H2444" s="50"/>
      <c r="I2444" s="16"/>
      <c r="J2444" s="16"/>
      <c r="K2444" s="16"/>
      <c r="L2444" s="16"/>
      <c r="M2444" s="16">
        <v>2438</v>
      </c>
      <c r="N2444" s="16">
        <f t="shared" si="193"/>
        <v>0.87428263988522237</v>
      </c>
      <c r="O2444" s="16"/>
      <c r="P2444" s="16"/>
      <c r="Q2444" s="16">
        <f t="shared" si="194"/>
        <v>1.1468715312011282</v>
      </c>
    </row>
    <row r="2445" spans="4:17" ht="15" thickBot="1" x14ac:dyDescent="0.35">
      <c r="D2445" s="20">
        <f t="shared" si="190"/>
        <v>2439</v>
      </c>
      <c r="E2445" s="20">
        <f t="shared" si="191"/>
        <v>50</v>
      </c>
      <c r="F2445" s="20">
        <f t="shared" si="192"/>
        <v>4650</v>
      </c>
      <c r="G2445" s="20">
        <v>0.43900599036536414</v>
      </c>
      <c r="H2445" s="50"/>
      <c r="I2445" s="16"/>
      <c r="J2445" s="16"/>
      <c r="K2445" s="16"/>
      <c r="L2445" s="16"/>
      <c r="M2445" s="16">
        <v>2439</v>
      </c>
      <c r="N2445" s="16">
        <f t="shared" si="193"/>
        <v>0.87464131994261118</v>
      </c>
      <c r="O2445" s="16"/>
      <c r="P2445" s="16"/>
      <c r="Q2445" s="16">
        <f t="shared" si="194"/>
        <v>1.1486087191731642</v>
      </c>
    </row>
    <row r="2446" spans="4:17" ht="15" thickBot="1" x14ac:dyDescent="0.35">
      <c r="D2446" s="20">
        <f t="shared" si="190"/>
        <v>2440</v>
      </c>
      <c r="E2446" s="20">
        <f t="shared" si="191"/>
        <v>150</v>
      </c>
      <c r="F2446" s="20">
        <f t="shared" si="192"/>
        <v>4650</v>
      </c>
      <c r="G2446" s="20">
        <v>0.43922563799080222</v>
      </c>
      <c r="H2446" s="50"/>
      <c r="I2446" s="16"/>
      <c r="J2446" s="16"/>
      <c r="K2446" s="16"/>
      <c r="L2446" s="16"/>
      <c r="M2446" s="16">
        <v>2440</v>
      </c>
      <c r="N2446" s="16">
        <f t="shared" si="193"/>
        <v>0.875</v>
      </c>
      <c r="O2446" s="16"/>
      <c r="P2446" s="16"/>
      <c r="Q2446" s="16">
        <f t="shared" si="194"/>
        <v>1.1503493803760083</v>
      </c>
    </row>
    <row r="2447" spans="4:17" ht="15" thickBot="1" x14ac:dyDescent="0.35">
      <c r="D2447" s="20">
        <f t="shared" si="190"/>
        <v>2441</v>
      </c>
      <c r="E2447" s="20">
        <f t="shared" si="191"/>
        <v>250</v>
      </c>
      <c r="F2447" s="20">
        <f t="shared" si="192"/>
        <v>4650</v>
      </c>
      <c r="G2447" s="20">
        <v>0.43949086294289902</v>
      </c>
      <c r="H2447" s="50"/>
      <c r="I2447" s="16"/>
      <c r="J2447" s="16"/>
      <c r="K2447" s="16"/>
      <c r="L2447" s="16"/>
      <c r="M2447" s="16">
        <v>2441</v>
      </c>
      <c r="N2447" s="16">
        <f t="shared" si="193"/>
        <v>0.87535868005738882</v>
      </c>
      <c r="O2447" s="16"/>
      <c r="P2447" s="16"/>
      <c r="Q2447" s="16">
        <f t="shared" si="194"/>
        <v>1.1520935340210532</v>
      </c>
    </row>
    <row r="2448" spans="4:17" ht="15" thickBot="1" x14ac:dyDescent="0.35">
      <c r="D2448" s="20">
        <f t="shared" si="190"/>
        <v>2442</v>
      </c>
      <c r="E2448" s="20">
        <f t="shared" si="191"/>
        <v>350</v>
      </c>
      <c r="F2448" s="20">
        <f t="shared" si="192"/>
        <v>4650</v>
      </c>
      <c r="G2448" s="20">
        <v>0.43979362758240681</v>
      </c>
      <c r="H2448" s="50"/>
      <c r="I2448" s="16"/>
      <c r="J2448" s="16"/>
      <c r="K2448" s="16"/>
      <c r="L2448" s="16"/>
      <c r="M2448" s="16">
        <v>2442</v>
      </c>
      <c r="N2448" s="16">
        <f t="shared" si="193"/>
        <v>0.87571736011477763</v>
      </c>
      <c r="O2448" s="16"/>
      <c r="P2448" s="16"/>
      <c r="Q2448" s="16">
        <f t="shared" si="194"/>
        <v>1.1538411994781022</v>
      </c>
    </row>
    <row r="2449" spans="4:17" ht="15" thickBot="1" x14ac:dyDescent="0.35">
      <c r="D2449" s="20">
        <f t="shared" si="190"/>
        <v>2443</v>
      </c>
      <c r="E2449" s="20">
        <f t="shared" si="191"/>
        <v>450</v>
      </c>
      <c r="F2449" s="20">
        <f t="shared" si="192"/>
        <v>4650</v>
      </c>
      <c r="G2449" s="20">
        <v>0.44002797063933718</v>
      </c>
      <c r="H2449" s="50"/>
      <c r="I2449" s="16"/>
      <c r="J2449" s="16"/>
      <c r="K2449" s="16"/>
      <c r="L2449" s="16"/>
      <c r="M2449" s="16">
        <v>2443</v>
      </c>
      <c r="N2449" s="16">
        <f t="shared" si="193"/>
        <v>0.87607604017216645</v>
      </c>
      <c r="O2449" s="16"/>
      <c r="P2449" s="16"/>
      <c r="Q2449" s="16">
        <f t="shared" si="194"/>
        <v>1.1555923962771435</v>
      </c>
    </row>
    <row r="2450" spans="4:17" ht="15" thickBot="1" x14ac:dyDescent="0.35">
      <c r="D2450" s="20">
        <f t="shared" si="190"/>
        <v>2444</v>
      </c>
      <c r="E2450" s="20">
        <f t="shared" si="191"/>
        <v>550</v>
      </c>
      <c r="F2450" s="20">
        <f t="shared" si="192"/>
        <v>4650</v>
      </c>
      <c r="G2450" s="20">
        <v>0.44038419851446803</v>
      </c>
      <c r="H2450" s="50"/>
      <c r="I2450" s="16"/>
      <c r="J2450" s="16"/>
      <c r="K2450" s="16"/>
      <c r="L2450" s="16"/>
      <c r="M2450" s="16">
        <v>2444</v>
      </c>
      <c r="N2450" s="16">
        <f t="shared" si="193"/>
        <v>0.87643472022955526</v>
      </c>
      <c r="O2450" s="16"/>
      <c r="P2450" s="16"/>
      <c r="Q2450" s="16">
        <f t="shared" si="194"/>
        <v>1.1573471441101575</v>
      </c>
    </row>
    <row r="2451" spans="4:17" ht="15" thickBot="1" x14ac:dyDescent="0.35">
      <c r="D2451" s="20">
        <f t="shared" si="190"/>
        <v>2445</v>
      </c>
      <c r="E2451" s="47">
        <f t="shared" si="191"/>
        <v>650</v>
      </c>
      <c r="F2451" s="47">
        <f t="shared" si="192"/>
        <v>4650</v>
      </c>
      <c r="G2451" s="20">
        <v>0.44040656591062272</v>
      </c>
      <c r="H2451" s="50"/>
      <c r="I2451" s="16"/>
      <c r="J2451" s="16"/>
      <c r="K2451" s="16"/>
      <c r="L2451" s="16"/>
      <c r="M2451" s="16">
        <v>2445</v>
      </c>
      <c r="N2451" s="16">
        <f t="shared" si="193"/>
        <v>0.87679340028694408</v>
      </c>
      <c r="O2451" s="16"/>
      <c r="P2451" s="16"/>
      <c r="Q2451" s="16">
        <f t="shared" si="194"/>
        <v>1.1591054628329418</v>
      </c>
    </row>
    <row r="2452" spans="4:17" ht="15" thickBot="1" x14ac:dyDescent="0.35">
      <c r="D2452" s="20">
        <f t="shared" si="190"/>
        <v>2446</v>
      </c>
      <c r="E2452" s="20">
        <f t="shared" si="191"/>
        <v>750</v>
      </c>
      <c r="F2452" s="20">
        <f t="shared" si="192"/>
        <v>4650</v>
      </c>
      <c r="G2452" s="20">
        <v>0.44043407450077848</v>
      </c>
      <c r="H2452" s="50"/>
      <c r="I2452" s="16"/>
      <c r="J2452" s="16"/>
      <c r="K2452" s="16"/>
      <c r="L2452" s="16"/>
      <c r="M2452" s="16">
        <v>2446</v>
      </c>
      <c r="N2452" s="16">
        <f t="shared" si="193"/>
        <v>0.8771520803443329</v>
      </c>
      <c r="O2452" s="16"/>
      <c r="P2452" s="16"/>
      <c r="Q2452" s="16">
        <f t="shared" si="194"/>
        <v>1.1608673724669667</v>
      </c>
    </row>
    <row r="2453" spans="4:17" ht="15" thickBot="1" x14ac:dyDescent="0.35">
      <c r="D2453" s="20">
        <f t="shared" si="190"/>
        <v>2447</v>
      </c>
      <c r="E2453" s="20">
        <f t="shared" si="191"/>
        <v>850</v>
      </c>
      <c r="F2453" s="20">
        <f t="shared" si="192"/>
        <v>4650</v>
      </c>
      <c r="G2453" s="20">
        <v>0.44044963925678637</v>
      </c>
      <c r="H2453" s="50"/>
      <c r="I2453" s="16"/>
      <c r="J2453" s="16"/>
      <c r="K2453" s="16"/>
      <c r="L2453" s="16"/>
      <c r="M2453" s="16">
        <v>2447</v>
      </c>
      <c r="N2453" s="16">
        <f t="shared" si="193"/>
        <v>0.87751076040172171</v>
      </c>
      <c r="O2453" s="16"/>
      <c r="P2453" s="16"/>
      <c r="Q2453" s="16">
        <f t="shared" si="194"/>
        <v>1.162632893201256</v>
      </c>
    </row>
    <row r="2454" spans="4:17" ht="15" thickBot="1" x14ac:dyDescent="0.35">
      <c r="D2454" s="20">
        <f t="shared" si="190"/>
        <v>2448</v>
      </c>
      <c r="E2454" s="20">
        <f t="shared" si="191"/>
        <v>950</v>
      </c>
      <c r="F2454" s="20">
        <f t="shared" si="192"/>
        <v>4650</v>
      </c>
      <c r="G2454" s="20">
        <v>0.44060897037087082</v>
      </c>
      <c r="H2454" s="50"/>
      <c r="I2454" s="16"/>
      <c r="J2454" s="16"/>
      <c r="K2454" s="16"/>
      <c r="L2454" s="16"/>
      <c r="M2454" s="16">
        <v>2448</v>
      </c>
      <c r="N2454" s="16">
        <f t="shared" si="193"/>
        <v>0.87786944045911053</v>
      </c>
      <c r="O2454" s="16"/>
      <c r="P2454" s="16"/>
      <c r="Q2454" s="16">
        <f t="shared" si="194"/>
        <v>1.1644020453942938</v>
      </c>
    </row>
    <row r="2455" spans="4:17" ht="15" thickBot="1" x14ac:dyDescent="0.35">
      <c r="D2455" s="20">
        <f t="shared" si="190"/>
        <v>2449</v>
      </c>
      <c r="E2455" s="20">
        <f t="shared" si="191"/>
        <v>1050</v>
      </c>
      <c r="F2455" s="20">
        <f t="shared" si="192"/>
        <v>4650</v>
      </c>
      <c r="G2455" s="20">
        <v>0.44071183728544205</v>
      </c>
      <c r="H2455" s="50"/>
      <c r="I2455" s="16"/>
      <c r="J2455" s="16"/>
      <c r="K2455" s="16"/>
      <c r="L2455" s="16"/>
      <c r="M2455" s="16">
        <v>2449</v>
      </c>
      <c r="N2455" s="16">
        <f t="shared" si="193"/>
        <v>0.87822812051649923</v>
      </c>
      <c r="O2455" s="16"/>
      <c r="P2455" s="16"/>
      <c r="Q2455" s="16">
        <f t="shared" si="194"/>
        <v>1.1661748495759605</v>
      </c>
    </row>
    <row r="2456" spans="4:17" ht="15" thickBot="1" x14ac:dyDescent="0.35">
      <c r="D2456" s="20">
        <f t="shared" si="190"/>
        <v>2450</v>
      </c>
      <c r="E2456" s="20">
        <f t="shared" si="191"/>
        <v>1150</v>
      </c>
      <c r="F2456" s="20">
        <f t="shared" si="192"/>
        <v>4650</v>
      </c>
      <c r="G2456" s="20">
        <v>0.4408146595327308</v>
      </c>
      <c r="H2456" s="50"/>
      <c r="I2456" s="16"/>
      <c r="J2456" s="16"/>
      <c r="K2456" s="16"/>
      <c r="L2456" s="16"/>
      <c r="M2456" s="16">
        <v>2450</v>
      </c>
      <c r="N2456" s="16">
        <f t="shared" si="193"/>
        <v>0.87858680057388805</v>
      </c>
      <c r="O2456" s="16"/>
      <c r="P2456" s="16"/>
      <c r="Q2456" s="16">
        <f t="shared" si="194"/>
        <v>1.1679513264494963</v>
      </c>
    </row>
    <row r="2457" spans="4:17" ht="15" thickBot="1" x14ac:dyDescent="0.35">
      <c r="D2457" s="20">
        <f t="shared" si="190"/>
        <v>2451</v>
      </c>
      <c r="E2457" s="20">
        <f t="shared" si="191"/>
        <v>1250</v>
      </c>
      <c r="F2457" s="20">
        <f t="shared" si="192"/>
        <v>4650</v>
      </c>
      <c r="G2457" s="20">
        <v>0.44085868329814587</v>
      </c>
      <c r="H2457" s="50"/>
      <c r="I2457" s="16"/>
      <c r="J2457" s="16"/>
      <c r="K2457" s="16"/>
      <c r="L2457" s="16"/>
      <c r="M2457" s="16">
        <v>2451</v>
      </c>
      <c r="N2457" s="16">
        <f t="shared" si="193"/>
        <v>0.87894548063127687</v>
      </c>
      <c r="O2457" s="16"/>
      <c r="P2457" s="16"/>
      <c r="Q2457" s="16">
        <f t="shared" si="194"/>
        <v>1.1697314968934915</v>
      </c>
    </row>
    <row r="2458" spans="4:17" ht="15" thickBot="1" x14ac:dyDescent="0.35">
      <c r="D2458" s="20">
        <f t="shared" si="190"/>
        <v>2452</v>
      </c>
      <c r="E2458" s="20">
        <f t="shared" si="191"/>
        <v>1350</v>
      </c>
      <c r="F2458" s="20">
        <f t="shared" si="192"/>
        <v>4650</v>
      </c>
      <c r="G2458" s="20">
        <v>0.44090344465048731</v>
      </c>
      <c r="H2458" s="50"/>
      <c r="I2458" s="16"/>
      <c r="J2458" s="16"/>
      <c r="K2458" s="16"/>
      <c r="L2458" s="16"/>
      <c r="M2458" s="16">
        <v>2452</v>
      </c>
      <c r="N2458" s="16">
        <f t="shared" si="193"/>
        <v>0.87930416068866568</v>
      </c>
      <c r="O2458" s="16"/>
      <c r="P2458" s="16"/>
      <c r="Q2458" s="16">
        <f t="shared" si="194"/>
        <v>1.1715153819639057</v>
      </c>
    </row>
    <row r="2459" spans="4:17" ht="15" thickBot="1" x14ac:dyDescent="0.35">
      <c r="D2459" s="20">
        <f t="shared" si="190"/>
        <v>2453</v>
      </c>
      <c r="E2459" s="20">
        <f t="shared" si="191"/>
        <v>1450</v>
      </c>
      <c r="F2459" s="20">
        <f t="shared" si="192"/>
        <v>4650</v>
      </c>
      <c r="G2459" s="20">
        <v>0.44090692289949196</v>
      </c>
      <c r="H2459" s="50"/>
      <c r="I2459" s="16"/>
      <c r="J2459" s="16"/>
      <c r="K2459" s="16"/>
      <c r="L2459" s="16"/>
      <c r="M2459" s="16">
        <v>2453</v>
      </c>
      <c r="N2459" s="16">
        <f t="shared" si="193"/>
        <v>0.8796628407460545</v>
      </c>
      <c r="O2459" s="16"/>
      <c r="P2459" s="16"/>
      <c r="Q2459" s="16">
        <f t="shared" si="194"/>
        <v>1.1733030028961198</v>
      </c>
    </row>
    <row r="2460" spans="4:17" ht="15" thickBot="1" x14ac:dyDescent="0.35">
      <c r="D2460" s="20">
        <f t="shared" si="190"/>
        <v>2454</v>
      </c>
      <c r="E2460" s="20">
        <f t="shared" si="191"/>
        <v>1550</v>
      </c>
      <c r="F2460" s="20">
        <f t="shared" si="192"/>
        <v>4650</v>
      </c>
      <c r="G2460" s="20">
        <v>0.44114867268254682</v>
      </c>
      <c r="H2460" s="50"/>
      <c r="I2460" s="16"/>
      <c r="J2460" s="16"/>
      <c r="K2460" s="16"/>
      <c r="L2460" s="16"/>
      <c r="M2460" s="16">
        <v>2454</v>
      </c>
      <c r="N2460" s="16">
        <f t="shared" si="193"/>
        <v>0.88002152080344331</v>
      </c>
      <c r="O2460" s="16"/>
      <c r="P2460" s="16"/>
      <c r="Q2460" s="16">
        <f t="shared" si="194"/>
        <v>1.1750943811070156</v>
      </c>
    </row>
    <row r="2461" spans="4:17" ht="15" thickBot="1" x14ac:dyDescent="0.35">
      <c r="D2461" s="20">
        <f t="shared" si="190"/>
        <v>2455</v>
      </c>
      <c r="E2461" s="48">
        <f t="shared" si="191"/>
        <v>1650</v>
      </c>
      <c r="F2461" s="48">
        <f t="shared" si="192"/>
        <v>4650</v>
      </c>
      <c r="G2461" s="20">
        <v>0.44118717832453269</v>
      </c>
      <c r="H2461" s="50"/>
      <c r="I2461" s="16"/>
      <c r="J2461" s="16"/>
      <c r="K2461" s="16"/>
      <c r="L2461" s="16"/>
      <c r="M2461" s="16">
        <v>2455</v>
      </c>
      <c r="N2461" s="16">
        <f t="shared" si="193"/>
        <v>0.88038020086083213</v>
      </c>
      <c r="O2461" s="16"/>
      <c r="P2461" s="16"/>
      <c r="Q2461" s="16">
        <f t="shared" si="194"/>
        <v>1.1768895381970819</v>
      </c>
    </row>
    <row r="2462" spans="4:17" ht="15" thickBot="1" x14ac:dyDescent="0.35">
      <c r="D2462" s="20">
        <f t="shared" si="190"/>
        <v>2456</v>
      </c>
      <c r="E2462" s="47">
        <f t="shared" si="191"/>
        <v>1750</v>
      </c>
      <c r="F2462" s="47">
        <f t="shared" si="192"/>
        <v>4650</v>
      </c>
      <c r="G2462" s="20">
        <v>0.44135065919157618</v>
      </c>
      <c r="H2462" s="50"/>
      <c r="I2462" s="16"/>
      <c r="J2462" s="16"/>
      <c r="K2462" s="16"/>
      <c r="L2462" s="16"/>
      <c r="M2462" s="16">
        <v>2456</v>
      </c>
      <c r="N2462" s="16">
        <f t="shared" si="193"/>
        <v>0.88073888091822095</v>
      </c>
      <c r="O2462" s="16"/>
      <c r="P2462" s="16"/>
      <c r="Q2462" s="16">
        <f t="shared" si="194"/>
        <v>1.178688495952559</v>
      </c>
    </row>
    <row r="2463" spans="4:17" ht="15" thickBot="1" x14ac:dyDescent="0.35">
      <c r="D2463" s="20">
        <f t="shared" si="190"/>
        <v>2457</v>
      </c>
      <c r="E2463" s="20">
        <f t="shared" si="191"/>
        <v>1850</v>
      </c>
      <c r="F2463" s="20">
        <f t="shared" si="192"/>
        <v>4650</v>
      </c>
      <c r="G2463" s="20">
        <v>0.44166432479109707</v>
      </c>
      <c r="H2463" s="50"/>
      <c r="I2463" s="16"/>
      <c r="J2463" s="16"/>
      <c r="K2463" s="16"/>
      <c r="L2463" s="16"/>
      <c r="M2463" s="16">
        <v>2457</v>
      </c>
      <c r="N2463" s="16">
        <f t="shared" si="193"/>
        <v>0.88109756097560976</v>
      </c>
      <c r="O2463" s="16"/>
      <c r="P2463" s="16"/>
      <c r="Q2463" s="16">
        <f t="shared" si="194"/>
        <v>1.1804912763476112</v>
      </c>
    </row>
    <row r="2464" spans="4:17" ht="15" thickBot="1" x14ac:dyDescent="0.35">
      <c r="D2464" s="20">
        <f t="shared" si="190"/>
        <v>2458</v>
      </c>
      <c r="E2464" s="20">
        <f t="shared" si="191"/>
        <v>1950</v>
      </c>
      <c r="F2464" s="20">
        <f t="shared" si="192"/>
        <v>4650</v>
      </c>
      <c r="G2464" s="20">
        <v>0.44204545462870121</v>
      </c>
      <c r="H2464" s="50"/>
      <c r="I2464" s="16"/>
      <c r="J2464" s="16"/>
      <c r="K2464" s="16"/>
      <c r="L2464" s="16"/>
      <c r="M2464" s="16">
        <v>2458</v>
      </c>
      <c r="N2464" s="16">
        <f t="shared" si="193"/>
        <v>0.88145624103299858</v>
      </c>
      <c r="O2464" s="16"/>
      <c r="P2464" s="16"/>
      <c r="Q2464" s="16">
        <f t="shared" si="194"/>
        <v>1.1822979015465271</v>
      </c>
    </row>
    <row r="2465" spans="4:17" ht="15" thickBot="1" x14ac:dyDescent="0.35">
      <c r="D2465" s="20">
        <f t="shared" si="190"/>
        <v>2459</v>
      </c>
      <c r="E2465" s="20">
        <f t="shared" si="191"/>
        <v>2050</v>
      </c>
      <c r="F2465" s="20">
        <f t="shared" si="192"/>
        <v>4650</v>
      </c>
      <c r="G2465" s="20">
        <v>0.44213460663614312</v>
      </c>
      <c r="H2465" s="50"/>
      <c r="I2465" s="16"/>
      <c r="J2465" s="16"/>
      <c r="K2465" s="16"/>
      <c r="L2465" s="16"/>
      <c r="M2465" s="16">
        <v>2459</v>
      </c>
      <c r="N2465" s="16">
        <f t="shared" si="193"/>
        <v>0.88181492109038739</v>
      </c>
      <c r="O2465" s="16"/>
      <c r="P2465" s="16"/>
      <c r="Q2465" s="16">
        <f t="shared" si="194"/>
        <v>1.1841083939059627</v>
      </c>
    </row>
    <row r="2466" spans="4:17" ht="15" thickBot="1" x14ac:dyDescent="0.35">
      <c r="D2466" s="20">
        <f t="shared" si="190"/>
        <v>2460</v>
      </c>
      <c r="E2466" s="20">
        <f t="shared" si="191"/>
        <v>2150</v>
      </c>
      <c r="F2466" s="20">
        <f t="shared" si="192"/>
        <v>4650</v>
      </c>
      <c r="G2466" s="20">
        <v>0.4421452847304409</v>
      </c>
      <c r="H2466" s="50"/>
      <c r="I2466" s="16"/>
      <c r="J2466" s="16"/>
      <c r="K2466" s="16"/>
      <c r="L2466" s="16"/>
      <c r="M2466" s="16">
        <v>2460</v>
      </c>
      <c r="N2466" s="16">
        <f t="shared" si="193"/>
        <v>0.88217360114777621</v>
      </c>
      <c r="O2466" s="16"/>
      <c r="P2466" s="16"/>
      <c r="Q2466" s="16">
        <f t="shared" si="194"/>
        <v>1.185922775977204</v>
      </c>
    </row>
    <row r="2467" spans="4:17" ht="15" thickBot="1" x14ac:dyDescent="0.35">
      <c r="D2467" s="20">
        <f t="shared" si="190"/>
        <v>2461</v>
      </c>
      <c r="E2467" s="20">
        <f t="shared" si="191"/>
        <v>2250</v>
      </c>
      <c r="F2467" s="20">
        <f t="shared" si="192"/>
        <v>4650</v>
      </c>
      <c r="G2467" s="20">
        <v>0.442167303910176</v>
      </c>
      <c r="H2467" s="50"/>
      <c r="I2467" s="16"/>
      <c r="J2467" s="16"/>
      <c r="K2467" s="16"/>
      <c r="L2467" s="16"/>
      <c r="M2467" s="16">
        <v>2461</v>
      </c>
      <c r="N2467" s="16">
        <f t="shared" si="193"/>
        <v>0.88253228120516503</v>
      </c>
      <c r="O2467" s="16"/>
      <c r="P2467" s="16"/>
      <c r="Q2467" s="16">
        <f t="shared" si="194"/>
        <v>1.1877410705084814</v>
      </c>
    </row>
    <row r="2468" spans="4:17" ht="15" thickBot="1" x14ac:dyDescent="0.35">
      <c r="D2468" s="20">
        <f t="shared" si="190"/>
        <v>2462</v>
      </c>
      <c r="E2468" s="47">
        <f t="shared" si="191"/>
        <v>2350</v>
      </c>
      <c r="F2468" s="47">
        <f t="shared" si="192"/>
        <v>4650</v>
      </c>
      <c r="G2468" s="20">
        <v>0.44218969033745059</v>
      </c>
      <c r="H2468" s="50"/>
      <c r="I2468" s="16"/>
      <c r="J2468" s="16"/>
      <c r="K2468" s="16"/>
      <c r="L2468" s="16"/>
      <c r="M2468" s="16">
        <v>2462</v>
      </c>
      <c r="N2468" s="16">
        <f t="shared" si="193"/>
        <v>0.88289096126255384</v>
      </c>
      <c r="O2468" s="16"/>
      <c r="P2468" s="16"/>
      <c r="Q2468" s="16">
        <f t="shared" si="194"/>
        <v>1.1895633004472983</v>
      </c>
    </row>
    <row r="2469" spans="4:17" ht="15" thickBot="1" x14ac:dyDescent="0.35">
      <c r="D2469" s="20">
        <f t="shared" si="190"/>
        <v>2463</v>
      </c>
      <c r="E2469" s="20">
        <f t="shared" si="191"/>
        <v>2450</v>
      </c>
      <c r="F2469" s="20">
        <f t="shared" si="192"/>
        <v>4650</v>
      </c>
      <c r="G2469" s="20">
        <v>0.44220032489430544</v>
      </c>
      <c r="H2469" s="50"/>
      <c r="I2469" s="16"/>
      <c r="J2469" s="16"/>
      <c r="K2469" s="16"/>
      <c r="L2469" s="16"/>
      <c r="M2469" s="16">
        <v>2463</v>
      </c>
      <c r="N2469" s="16">
        <f t="shared" si="193"/>
        <v>0.88324964131994266</v>
      </c>
      <c r="O2469" s="16"/>
      <c r="P2469" s="16"/>
      <c r="Q2469" s="16">
        <f t="shared" si="194"/>
        <v>1.1913894889428078</v>
      </c>
    </row>
    <row r="2470" spans="4:17" ht="15" thickBot="1" x14ac:dyDescent="0.35">
      <c r="D2470" s="20">
        <f t="shared" si="190"/>
        <v>2464</v>
      </c>
      <c r="E2470" s="20">
        <f t="shared" si="191"/>
        <v>2550</v>
      </c>
      <c r="F2470" s="20">
        <f t="shared" si="192"/>
        <v>4650</v>
      </c>
      <c r="G2470" s="20">
        <v>0.44226733490148684</v>
      </c>
      <c r="H2470" s="50"/>
      <c r="I2470" s="16"/>
      <c r="J2470" s="16"/>
      <c r="K2470" s="16"/>
      <c r="L2470" s="16"/>
      <c r="M2470" s="16">
        <v>2464</v>
      </c>
      <c r="N2470" s="16">
        <f t="shared" si="193"/>
        <v>0.88360832137733147</v>
      </c>
      <c r="O2470" s="16"/>
      <c r="P2470" s="16"/>
      <c r="Q2470" s="16">
        <f t="shared" si="194"/>
        <v>1.193219659348224</v>
      </c>
    </row>
    <row r="2471" spans="4:17" ht="15" thickBot="1" x14ac:dyDescent="0.35">
      <c r="D2471" s="20">
        <f t="shared" si="190"/>
        <v>2465</v>
      </c>
      <c r="E2471" s="20">
        <f t="shared" si="191"/>
        <v>2650</v>
      </c>
      <c r="F2471" s="20">
        <f t="shared" si="192"/>
        <v>4650</v>
      </c>
      <c r="G2471" s="20">
        <v>0.44258601523222585</v>
      </c>
      <c r="H2471" s="50"/>
      <c r="I2471" s="16"/>
      <c r="J2471" s="16"/>
      <c r="K2471" s="16"/>
      <c r="L2471" s="16"/>
      <c r="M2471" s="16">
        <v>2465</v>
      </c>
      <c r="N2471" s="16">
        <f t="shared" si="193"/>
        <v>0.88396700143472018</v>
      </c>
      <c r="O2471" s="16"/>
      <c r="P2471" s="16"/>
      <c r="Q2471" s="16">
        <f t="shared" si="194"/>
        <v>1.1950538352232658</v>
      </c>
    </row>
    <row r="2472" spans="4:17" ht="15" thickBot="1" x14ac:dyDescent="0.35">
      <c r="D2472" s="20">
        <f t="shared" si="190"/>
        <v>2466</v>
      </c>
      <c r="E2472" s="20">
        <f t="shared" si="191"/>
        <v>2750</v>
      </c>
      <c r="F2472" s="20">
        <f t="shared" si="192"/>
        <v>4650</v>
      </c>
      <c r="G2472" s="20">
        <v>0.44265605516703294</v>
      </c>
      <c r="H2472" s="50"/>
      <c r="I2472" s="16"/>
      <c r="J2472" s="16"/>
      <c r="K2472" s="16"/>
      <c r="L2472" s="16"/>
      <c r="M2472" s="16">
        <v>2466</v>
      </c>
      <c r="N2472" s="16">
        <f t="shared" si="193"/>
        <v>0.88432568149210899</v>
      </c>
      <c r="O2472" s="16"/>
      <c r="P2472" s="16"/>
      <c r="Q2472" s="16">
        <f t="shared" si="194"/>
        <v>1.1968920403366414</v>
      </c>
    </row>
    <row r="2473" spans="4:17" ht="15" thickBot="1" x14ac:dyDescent="0.35">
      <c r="D2473" s="20">
        <f t="shared" si="190"/>
        <v>2467</v>
      </c>
      <c r="E2473" s="20">
        <f t="shared" si="191"/>
        <v>2850</v>
      </c>
      <c r="F2473" s="20">
        <f t="shared" si="192"/>
        <v>4650</v>
      </c>
      <c r="G2473" s="20">
        <v>0.44267969371195859</v>
      </c>
      <c r="H2473" s="50"/>
      <c r="I2473" s="16"/>
      <c r="J2473" s="16"/>
      <c r="K2473" s="16"/>
      <c r="L2473" s="16"/>
      <c r="M2473" s="16">
        <v>2467</v>
      </c>
      <c r="N2473" s="16">
        <f t="shared" si="193"/>
        <v>0.88468436154949781</v>
      </c>
      <c r="O2473" s="16"/>
      <c r="P2473" s="16"/>
      <c r="Q2473" s="16">
        <f t="shared" si="194"/>
        <v>1.1987342986685641</v>
      </c>
    </row>
    <row r="2474" spans="4:17" ht="15" thickBot="1" x14ac:dyDescent="0.35">
      <c r="D2474" s="20">
        <f t="shared" si="190"/>
        <v>2468</v>
      </c>
      <c r="E2474" s="20">
        <f t="shared" si="191"/>
        <v>2950</v>
      </c>
      <c r="F2474" s="20">
        <f t="shared" si="192"/>
        <v>4650</v>
      </c>
      <c r="G2474" s="20">
        <v>0.44289420371165811</v>
      </c>
      <c r="H2474" s="50"/>
      <c r="I2474" s="16"/>
      <c r="J2474" s="16"/>
      <c r="K2474" s="16"/>
      <c r="L2474" s="16"/>
      <c r="M2474" s="16">
        <v>2468</v>
      </c>
      <c r="N2474" s="16">
        <f t="shared" si="193"/>
        <v>0.88504304160688663</v>
      </c>
      <c r="O2474" s="16"/>
      <c r="P2474" s="16"/>
      <c r="Q2474" s="16">
        <f t="shared" si="194"/>
        <v>1.2005806344133143</v>
      </c>
    </row>
    <row r="2475" spans="4:17" ht="15" thickBot="1" x14ac:dyDescent="0.35">
      <c r="D2475" s="20">
        <f t="shared" si="190"/>
        <v>2469</v>
      </c>
      <c r="E2475" s="20">
        <f t="shared" si="191"/>
        <v>3050</v>
      </c>
      <c r="F2475" s="20">
        <f t="shared" si="192"/>
        <v>4650</v>
      </c>
      <c r="G2475" s="20">
        <v>0.44307940715530209</v>
      </c>
      <c r="H2475" s="50"/>
      <c r="I2475" s="16"/>
      <c r="J2475" s="16"/>
      <c r="K2475" s="16"/>
      <c r="L2475" s="16"/>
      <c r="M2475" s="16">
        <v>2469</v>
      </c>
      <c r="N2475" s="16">
        <f t="shared" si="193"/>
        <v>0.88540172166427544</v>
      </c>
      <c r="O2475" s="16"/>
      <c r="P2475" s="16"/>
      <c r="Q2475" s="16">
        <f t="shared" si="194"/>
        <v>1.2024310719818381</v>
      </c>
    </row>
    <row r="2476" spans="4:17" ht="15" thickBot="1" x14ac:dyDescent="0.35">
      <c r="D2476" s="20">
        <f t="shared" si="190"/>
        <v>2470</v>
      </c>
      <c r="E2476" s="20">
        <f t="shared" si="191"/>
        <v>3150</v>
      </c>
      <c r="F2476" s="20">
        <f t="shared" si="192"/>
        <v>4650</v>
      </c>
      <c r="G2476" s="20">
        <v>0.44308426319072763</v>
      </c>
      <c r="H2476" s="50"/>
      <c r="I2476" s="16"/>
      <c r="J2476" s="16"/>
      <c r="K2476" s="16"/>
      <c r="L2476" s="16"/>
      <c r="M2476" s="16">
        <v>2470</v>
      </c>
      <c r="N2476" s="16">
        <f t="shared" si="193"/>
        <v>0.88576040172166426</v>
      </c>
      <c r="O2476" s="16"/>
      <c r="P2476" s="16"/>
      <c r="Q2476" s="16">
        <f t="shared" si="194"/>
        <v>1.2042856360043792</v>
      </c>
    </row>
    <row r="2477" spans="4:17" ht="15" thickBot="1" x14ac:dyDescent="0.35">
      <c r="D2477" s="20">
        <f t="shared" si="190"/>
        <v>2471</v>
      </c>
      <c r="E2477" s="20">
        <f t="shared" si="191"/>
        <v>3250</v>
      </c>
      <c r="F2477" s="20">
        <f t="shared" si="192"/>
        <v>4650</v>
      </c>
      <c r="G2477" s="20">
        <v>0.44326785894502052</v>
      </c>
      <c r="H2477" s="50"/>
      <c r="I2477" s="16"/>
      <c r="J2477" s="16"/>
      <c r="K2477" s="16"/>
      <c r="L2477" s="16"/>
      <c r="M2477" s="16">
        <v>2471</v>
      </c>
      <c r="N2477" s="16">
        <f t="shared" si="193"/>
        <v>0.88611908177905307</v>
      </c>
      <c r="O2477" s="16"/>
      <c r="P2477" s="16"/>
      <c r="Q2477" s="16">
        <f t="shared" si="194"/>
        <v>1.2061443513331642</v>
      </c>
    </row>
    <row r="2478" spans="4:17" ht="15" thickBot="1" x14ac:dyDescent="0.35">
      <c r="D2478" s="20">
        <f t="shared" si="190"/>
        <v>2472</v>
      </c>
      <c r="E2478" s="20">
        <f t="shared" si="191"/>
        <v>3350</v>
      </c>
      <c r="F2478" s="20">
        <f t="shared" si="192"/>
        <v>4650</v>
      </c>
      <c r="G2478" s="20">
        <v>0.44343740471591442</v>
      </c>
      <c r="H2478" s="50"/>
      <c r="I2478" s="16"/>
      <c r="J2478" s="16"/>
      <c r="K2478" s="16"/>
      <c r="L2478" s="16"/>
      <c r="M2478" s="16">
        <v>2472</v>
      </c>
      <c r="N2478" s="16">
        <f t="shared" si="193"/>
        <v>0.88647776183644189</v>
      </c>
      <c r="O2478" s="16"/>
      <c r="P2478" s="16"/>
      <c r="Q2478" s="16">
        <f t="shared" si="194"/>
        <v>1.2080072430451152</v>
      </c>
    </row>
    <row r="2479" spans="4:17" ht="15" thickBot="1" x14ac:dyDescent="0.35">
      <c r="D2479" s="20">
        <f t="shared" si="190"/>
        <v>2473</v>
      </c>
      <c r="E2479" s="20">
        <f t="shared" si="191"/>
        <v>3450</v>
      </c>
      <c r="F2479" s="20">
        <f t="shared" si="192"/>
        <v>4650</v>
      </c>
      <c r="G2479" s="20">
        <v>0.44344533663282104</v>
      </c>
      <c r="H2479" s="50"/>
      <c r="I2479" s="16"/>
      <c r="J2479" s="16"/>
      <c r="K2479" s="16"/>
      <c r="L2479" s="16"/>
      <c r="M2479" s="16">
        <v>2473</v>
      </c>
      <c r="N2479" s="16">
        <f t="shared" si="193"/>
        <v>0.88683644189383071</v>
      </c>
      <c r="O2479" s="16"/>
      <c r="P2479" s="16"/>
      <c r="Q2479" s="16">
        <f t="shared" si="194"/>
        <v>1.2098743364446169</v>
      </c>
    </row>
    <row r="2480" spans="4:17" ht="15" thickBot="1" x14ac:dyDescent="0.35">
      <c r="D2480" s="20">
        <f t="shared" si="190"/>
        <v>2474</v>
      </c>
      <c r="E2480" s="45">
        <f t="shared" si="191"/>
        <v>3550</v>
      </c>
      <c r="F2480" s="45">
        <f t="shared" si="192"/>
        <v>4650</v>
      </c>
      <c r="G2480" s="20">
        <v>0.4437023217473281</v>
      </c>
      <c r="H2480" s="50"/>
      <c r="I2480" s="16"/>
      <c r="J2480" s="16"/>
      <c r="K2480" s="16"/>
      <c r="L2480" s="16"/>
      <c r="M2480" s="16">
        <v>2474</v>
      </c>
      <c r="N2480" s="16">
        <f t="shared" si="193"/>
        <v>0.88719512195121952</v>
      </c>
      <c r="O2480" s="16"/>
      <c r="P2480" s="16"/>
      <c r="Q2480" s="16">
        <f t="shared" si="194"/>
        <v>1.2117456570663125</v>
      </c>
    </row>
    <row r="2481" spans="4:17" ht="15" thickBot="1" x14ac:dyDescent="0.35">
      <c r="D2481" s="20">
        <f t="shared" si="190"/>
        <v>2475</v>
      </c>
      <c r="E2481" s="20">
        <f t="shared" si="191"/>
        <v>3650</v>
      </c>
      <c r="F2481" s="20">
        <f t="shared" si="192"/>
        <v>4650</v>
      </c>
      <c r="G2481" s="20">
        <v>0.44373446811026385</v>
      </c>
      <c r="H2481" s="50"/>
      <c r="I2481" s="16"/>
      <c r="J2481" s="16"/>
      <c r="K2481" s="16"/>
      <c r="L2481" s="16"/>
      <c r="M2481" s="16">
        <v>2475</v>
      </c>
      <c r="N2481" s="16">
        <f t="shared" si="193"/>
        <v>0.88755380200860834</v>
      </c>
      <c r="O2481" s="16"/>
      <c r="P2481" s="16"/>
      <c r="Q2481" s="16">
        <f t="shared" si="194"/>
        <v>1.2136212306779619</v>
      </c>
    </row>
    <row r="2482" spans="4:17" ht="15" thickBot="1" x14ac:dyDescent="0.35">
      <c r="D2482" s="20">
        <f t="shared" si="190"/>
        <v>2476</v>
      </c>
      <c r="E2482" s="20">
        <f t="shared" si="191"/>
        <v>3750</v>
      </c>
      <c r="F2482" s="20">
        <f t="shared" si="192"/>
        <v>4650</v>
      </c>
      <c r="G2482" s="20">
        <v>0.44412796909500885</v>
      </c>
      <c r="H2482" s="50"/>
      <c r="I2482" s="16"/>
      <c r="J2482" s="16"/>
      <c r="K2482" s="16"/>
      <c r="L2482" s="16"/>
      <c r="M2482" s="16">
        <v>2476</v>
      </c>
      <c r="N2482" s="16">
        <f t="shared" si="193"/>
        <v>0.88791248206599716</v>
      </c>
      <c r="O2482" s="16"/>
      <c r="P2482" s="16"/>
      <c r="Q2482" s="16">
        <f t="shared" si="194"/>
        <v>1.2155010832833246</v>
      </c>
    </row>
    <row r="2483" spans="4:17" ht="15" thickBot="1" x14ac:dyDescent="0.35">
      <c r="D2483" s="20">
        <f t="shared" si="190"/>
        <v>2477</v>
      </c>
      <c r="E2483" s="20">
        <f t="shared" si="191"/>
        <v>3850</v>
      </c>
      <c r="F2483" s="20">
        <f t="shared" si="192"/>
        <v>4650</v>
      </c>
      <c r="G2483" s="20">
        <v>0.44442359612159221</v>
      </c>
      <c r="H2483" s="50"/>
      <c r="I2483" s="16"/>
      <c r="J2483" s="16"/>
      <c r="K2483" s="16"/>
      <c r="L2483" s="16"/>
      <c r="M2483" s="16">
        <v>2477</v>
      </c>
      <c r="N2483" s="16">
        <f t="shared" si="193"/>
        <v>0.88827116212338597</v>
      </c>
      <c r="O2483" s="16"/>
      <c r="P2483" s="16"/>
      <c r="Q2483" s="16">
        <f t="shared" si="194"/>
        <v>1.2173852411251018</v>
      </c>
    </row>
    <row r="2484" spans="4:17" ht="15" thickBot="1" x14ac:dyDescent="0.35">
      <c r="D2484" s="20">
        <f t="shared" si="190"/>
        <v>2478</v>
      </c>
      <c r="E2484" s="20">
        <f t="shared" si="191"/>
        <v>3950</v>
      </c>
      <c r="F2484" s="20">
        <f t="shared" si="192"/>
        <v>4650</v>
      </c>
      <c r="G2484" s="20">
        <v>0.44454549514522057</v>
      </c>
      <c r="H2484" s="50"/>
      <c r="I2484" s="16"/>
      <c r="J2484" s="16"/>
      <c r="K2484" s="16"/>
      <c r="L2484" s="16"/>
      <c r="M2484" s="16">
        <v>2478</v>
      </c>
      <c r="N2484" s="16">
        <f t="shared" si="193"/>
        <v>0.88862984218077479</v>
      </c>
      <c r="O2484" s="16"/>
      <c r="P2484" s="16"/>
      <c r="Q2484" s="16">
        <f t="shared" si="194"/>
        <v>1.2192737306879198</v>
      </c>
    </row>
    <row r="2485" spans="4:17" ht="15" thickBot="1" x14ac:dyDescent="0.35">
      <c r="D2485" s="20">
        <f t="shared" si="190"/>
        <v>2479</v>
      </c>
      <c r="E2485" s="20">
        <f t="shared" si="191"/>
        <v>4050</v>
      </c>
      <c r="F2485" s="20">
        <f t="shared" si="192"/>
        <v>4650</v>
      </c>
      <c r="G2485" s="20">
        <v>0.44495864272332702</v>
      </c>
      <c r="H2485" s="50"/>
      <c r="I2485" s="16"/>
      <c r="J2485" s="16"/>
      <c r="K2485" s="16"/>
      <c r="L2485" s="16"/>
      <c r="M2485" s="16">
        <v>2479</v>
      </c>
      <c r="N2485" s="16">
        <f t="shared" si="193"/>
        <v>0.8889885222381636</v>
      </c>
      <c r="O2485" s="16"/>
      <c r="P2485" s="16"/>
      <c r="Q2485" s="16">
        <f t="shared" si="194"/>
        <v>1.2211665787013584</v>
      </c>
    </row>
    <row r="2486" spans="4:17" ht="15" thickBot="1" x14ac:dyDescent="0.35">
      <c r="D2486" s="20">
        <f t="shared" si="190"/>
        <v>2480</v>
      </c>
      <c r="E2486" s="20">
        <f t="shared" si="191"/>
        <v>4150</v>
      </c>
      <c r="F2486" s="20">
        <f t="shared" si="192"/>
        <v>4650</v>
      </c>
      <c r="G2486" s="20">
        <v>0.44508084283221327</v>
      </c>
      <c r="H2486" s="50"/>
      <c r="I2486" s="16"/>
      <c r="J2486" s="16"/>
      <c r="K2486" s="16"/>
      <c r="L2486" s="16"/>
      <c r="M2486" s="16">
        <v>2480</v>
      </c>
      <c r="N2486" s="16">
        <f t="shared" si="193"/>
        <v>0.88934720229555242</v>
      </c>
      <c r="O2486" s="16"/>
      <c r="P2486" s="16"/>
      <c r="Q2486" s="16">
        <f t="shared" si="194"/>
        <v>1.2230638121430313</v>
      </c>
    </row>
    <row r="2487" spans="4:17" ht="15" thickBot="1" x14ac:dyDescent="0.35">
      <c r="D2487" s="20">
        <f t="shared" si="190"/>
        <v>2481</v>
      </c>
      <c r="E2487" s="44">
        <f t="shared" si="191"/>
        <v>4250</v>
      </c>
      <c r="F2487" s="44">
        <f t="shared" si="192"/>
        <v>4650</v>
      </c>
      <c r="G2487" s="20">
        <v>0.44523907538438512</v>
      </c>
      <c r="H2487" s="50"/>
      <c r="I2487" s="16"/>
      <c r="J2487" s="16"/>
      <c r="K2487" s="16"/>
      <c r="L2487" s="16"/>
      <c r="M2487" s="16">
        <v>2481</v>
      </c>
      <c r="N2487" s="16">
        <f t="shared" si="193"/>
        <v>0.88970588235294112</v>
      </c>
      <c r="O2487" s="16"/>
      <c r="P2487" s="16"/>
      <c r="Q2487" s="16">
        <f t="shared" si="194"/>
        <v>1.2249654582417131</v>
      </c>
    </row>
    <row r="2488" spans="4:17" ht="15" thickBot="1" x14ac:dyDescent="0.35">
      <c r="D2488" s="20">
        <f t="shared" si="190"/>
        <v>2482</v>
      </c>
      <c r="E2488" s="20">
        <f t="shared" si="191"/>
        <v>4350</v>
      </c>
      <c r="F2488" s="20">
        <f t="shared" si="192"/>
        <v>4650</v>
      </c>
      <c r="G2488" s="20">
        <v>0.44524187985647534</v>
      </c>
      <c r="H2488" s="50"/>
      <c r="I2488" s="16"/>
      <c r="J2488" s="16"/>
      <c r="K2488" s="16"/>
      <c r="L2488" s="16"/>
      <c r="M2488" s="16">
        <v>2482</v>
      </c>
      <c r="N2488" s="16">
        <f t="shared" si="193"/>
        <v>0.89006456241032994</v>
      </c>
      <c r="O2488" s="16"/>
      <c r="P2488" s="16"/>
      <c r="Q2488" s="16">
        <f t="shared" si="194"/>
        <v>1.2268715444805147</v>
      </c>
    </row>
    <row r="2489" spans="4:17" ht="15" thickBot="1" x14ac:dyDescent="0.35">
      <c r="D2489" s="20">
        <f t="shared" si="190"/>
        <v>2483</v>
      </c>
      <c r="E2489" s="20">
        <f t="shared" si="191"/>
        <v>4450</v>
      </c>
      <c r="F2489" s="20">
        <f t="shared" si="192"/>
        <v>4650</v>
      </c>
      <c r="G2489" s="20">
        <v>0.44532711188688967</v>
      </c>
      <c r="H2489" s="50"/>
      <c r="I2489" s="16"/>
      <c r="J2489" s="16"/>
      <c r="K2489" s="16"/>
      <c r="L2489" s="16"/>
      <c r="M2489" s="16">
        <v>2483</v>
      </c>
      <c r="N2489" s="16">
        <f t="shared" si="193"/>
        <v>0.89042324246771876</v>
      </c>
      <c r="O2489" s="16"/>
      <c r="P2489" s="16"/>
      <c r="Q2489" s="16">
        <f t="shared" si="194"/>
        <v>1.2287820986001159</v>
      </c>
    </row>
    <row r="2490" spans="4:17" ht="15" thickBot="1" x14ac:dyDescent="0.35">
      <c r="D2490" s="20">
        <f t="shared" si="190"/>
        <v>2484</v>
      </c>
      <c r="E2490" s="20">
        <f t="shared" si="191"/>
        <v>4550</v>
      </c>
      <c r="F2490" s="20">
        <f t="shared" si="192"/>
        <v>4650</v>
      </c>
      <c r="G2490" s="20">
        <v>0.44552701093922925</v>
      </c>
      <c r="H2490" s="50"/>
      <c r="I2490" s="16"/>
      <c r="J2490" s="16"/>
      <c r="K2490" s="16"/>
      <c r="L2490" s="16"/>
      <c r="M2490" s="16">
        <v>2484</v>
      </c>
      <c r="N2490" s="16">
        <f t="shared" si="193"/>
        <v>0.89078192252510757</v>
      </c>
      <c r="O2490" s="16"/>
      <c r="P2490" s="16"/>
      <c r="Q2490" s="16">
        <f t="shared" si="194"/>
        <v>1.2306971486020377</v>
      </c>
    </row>
    <row r="2491" spans="4:17" ht="15" thickBot="1" x14ac:dyDescent="0.35">
      <c r="D2491" s="20">
        <f t="shared" si="190"/>
        <v>2485</v>
      </c>
      <c r="E2491" s="20">
        <f t="shared" si="191"/>
        <v>4650</v>
      </c>
      <c r="F2491" s="20">
        <f t="shared" si="192"/>
        <v>4650</v>
      </c>
      <c r="G2491" s="20">
        <v>0.44568156915582297</v>
      </c>
      <c r="H2491" s="50"/>
      <c r="I2491" s="16"/>
      <c r="J2491" s="16"/>
      <c r="K2491" s="16"/>
      <c r="L2491" s="16"/>
      <c r="M2491" s="16">
        <v>2485</v>
      </c>
      <c r="N2491" s="16">
        <f t="shared" si="193"/>
        <v>0.89114060258249639</v>
      </c>
      <c r="O2491" s="16"/>
      <c r="P2491" s="16"/>
      <c r="Q2491" s="16">
        <f t="shared" si="194"/>
        <v>1.2326167227519795</v>
      </c>
    </row>
    <row r="2492" spans="4:17" ht="15" thickBot="1" x14ac:dyDescent="0.35">
      <c r="D2492" s="20">
        <f t="shared" si="190"/>
        <v>2486</v>
      </c>
      <c r="E2492" s="45">
        <f t="shared" si="191"/>
        <v>4750</v>
      </c>
      <c r="F2492" s="45">
        <f t="shared" si="192"/>
        <v>4650</v>
      </c>
      <c r="G2492" s="20">
        <v>0.44580840190219495</v>
      </c>
      <c r="H2492" s="50"/>
      <c r="I2492" s="16"/>
      <c r="J2492" s="16"/>
      <c r="K2492" s="16"/>
      <c r="L2492" s="16"/>
      <c r="M2492" s="16">
        <v>2486</v>
      </c>
      <c r="N2492" s="16">
        <f t="shared" si="193"/>
        <v>0.8914992826398852</v>
      </c>
      <c r="O2492" s="16"/>
      <c r="P2492" s="16"/>
      <c r="Q2492" s="16">
        <f t="shared" si="194"/>
        <v>1.2345408495832078</v>
      </c>
    </row>
    <row r="2493" spans="4:17" ht="15" thickBot="1" x14ac:dyDescent="0.35">
      <c r="D2493" s="20">
        <f t="shared" si="190"/>
        <v>2487</v>
      </c>
      <c r="E2493" s="20">
        <f t="shared" si="191"/>
        <v>4850</v>
      </c>
      <c r="F2493" s="20">
        <f t="shared" si="192"/>
        <v>4650</v>
      </c>
      <c r="G2493" s="20">
        <v>0.44592689921633266</v>
      </c>
      <c r="H2493" s="50"/>
      <c r="I2493" s="16"/>
      <c r="J2493" s="16"/>
      <c r="K2493" s="16"/>
      <c r="L2493" s="16"/>
      <c r="M2493" s="16">
        <v>2487</v>
      </c>
      <c r="N2493" s="16">
        <f t="shared" si="193"/>
        <v>0.89185796269727402</v>
      </c>
      <c r="O2493" s="16"/>
      <c r="P2493" s="16"/>
      <c r="Q2493" s="16">
        <f t="shared" si="194"/>
        <v>1.2364695578999878</v>
      </c>
    </row>
    <row r="2494" spans="4:17" ht="15" thickBot="1" x14ac:dyDescent="0.35">
      <c r="D2494" s="20">
        <f t="shared" si="190"/>
        <v>2488</v>
      </c>
      <c r="E2494" s="44">
        <f t="shared" si="191"/>
        <v>4950</v>
      </c>
      <c r="F2494" s="44">
        <f t="shared" si="192"/>
        <v>4650</v>
      </c>
      <c r="G2494" s="20">
        <v>0.44642822396916904</v>
      </c>
      <c r="H2494" s="50"/>
      <c r="I2494" s="16"/>
      <c r="J2494" s="16"/>
      <c r="K2494" s="16"/>
      <c r="L2494" s="16"/>
      <c r="M2494" s="16">
        <v>2488</v>
      </c>
      <c r="N2494" s="16">
        <f t="shared" si="193"/>
        <v>0.89221664275466284</v>
      </c>
      <c r="O2494" s="16"/>
      <c r="P2494" s="16"/>
      <c r="Q2494" s="16">
        <f t="shared" si="194"/>
        <v>1.2384028767810888</v>
      </c>
    </row>
    <row r="2495" spans="4:17" ht="15" thickBot="1" x14ac:dyDescent="0.35">
      <c r="D2495" s="20">
        <f t="shared" si="190"/>
        <v>2489</v>
      </c>
      <c r="E2495" s="20">
        <f t="shared" si="191"/>
        <v>5050</v>
      </c>
      <c r="F2495" s="20">
        <f t="shared" si="192"/>
        <v>4650</v>
      </c>
      <c r="G2495" s="20">
        <v>0.44645061695559568</v>
      </c>
      <c r="H2495" s="50"/>
      <c r="I2495" s="16"/>
      <c r="J2495" s="16"/>
      <c r="K2495" s="16"/>
      <c r="L2495" s="16"/>
      <c r="M2495" s="16">
        <v>2489</v>
      </c>
      <c r="N2495" s="16">
        <f t="shared" si="193"/>
        <v>0.89257532281205165</v>
      </c>
      <c r="O2495" s="16"/>
      <c r="P2495" s="16"/>
      <c r="Q2495" s="16">
        <f t="shared" si="194"/>
        <v>1.2403408355833341</v>
      </c>
    </row>
    <row r="2496" spans="4:17" ht="15" thickBot="1" x14ac:dyDescent="0.35">
      <c r="D2496" s="20">
        <f t="shared" si="190"/>
        <v>2490</v>
      </c>
      <c r="E2496" s="20">
        <f t="shared" si="191"/>
        <v>5150</v>
      </c>
      <c r="F2496" s="20">
        <f t="shared" si="192"/>
        <v>4650</v>
      </c>
      <c r="G2496" s="20">
        <v>0.44646079704486313</v>
      </c>
      <c r="H2496" s="50"/>
      <c r="I2496" s="16"/>
      <c r="J2496" s="16"/>
      <c r="K2496" s="16"/>
      <c r="L2496" s="16"/>
      <c r="M2496" s="16">
        <v>2490</v>
      </c>
      <c r="N2496" s="16">
        <f t="shared" si="193"/>
        <v>0.89293400286944047</v>
      </c>
      <c r="O2496" s="16"/>
      <c r="P2496" s="16"/>
      <c r="Q2496" s="16">
        <f t="shared" si="194"/>
        <v>1.2422834639452109</v>
      </c>
    </row>
    <row r="2497" spans="4:17" ht="15" thickBot="1" x14ac:dyDescent="0.35">
      <c r="D2497" s="20">
        <f t="shared" si="190"/>
        <v>2491</v>
      </c>
      <c r="E2497" s="20">
        <f t="shared" si="191"/>
        <v>5250</v>
      </c>
      <c r="F2497" s="20">
        <f t="shared" si="192"/>
        <v>4650</v>
      </c>
      <c r="G2497" s="20">
        <v>0.44653043761058597</v>
      </c>
      <c r="H2497" s="50"/>
      <c r="I2497" s="16"/>
      <c r="J2497" s="16"/>
      <c r="K2497" s="16"/>
      <c r="L2497" s="16"/>
      <c r="M2497" s="16">
        <v>2491</v>
      </c>
      <c r="N2497" s="16">
        <f t="shared" si="193"/>
        <v>0.89329268292682928</v>
      </c>
      <c r="O2497" s="16"/>
      <c r="P2497" s="16"/>
      <c r="Q2497" s="16">
        <f t="shared" si="194"/>
        <v>1.2442307917905493</v>
      </c>
    </row>
    <row r="2498" spans="4:17" ht="15" thickBot="1" x14ac:dyDescent="0.35">
      <c r="D2498" s="20">
        <f t="shared" si="190"/>
        <v>2492</v>
      </c>
      <c r="E2498" s="20">
        <f t="shared" si="191"/>
        <v>50</v>
      </c>
      <c r="F2498" s="20">
        <f t="shared" si="192"/>
        <v>4750</v>
      </c>
      <c r="G2498" s="20">
        <v>0.44662589121387841</v>
      </c>
      <c r="H2498" s="50"/>
      <c r="I2498" s="16"/>
      <c r="J2498" s="16"/>
      <c r="K2498" s="16"/>
      <c r="L2498" s="16"/>
      <c r="M2498" s="16">
        <v>2492</v>
      </c>
      <c r="N2498" s="16">
        <f t="shared" si="193"/>
        <v>0.8936513629842181</v>
      </c>
      <c r="O2498" s="16"/>
      <c r="P2498" s="16"/>
      <c r="Q2498" s="16">
        <f t="shared" si="194"/>
        <v>1.2461828493322418</v>
      </c>
    </row>
    <row r="2499" spans="4:17" ht="15" thickBot="1" x14ac:dyDescent="0.35">
      <c r="D2499" s="20">
        <f t="shared" si="190"/>
        <v>2493</v>
      </c>
      <c r="E2499" s="20">
        <f t="shared" si="191"/>
        <v>150</v>
      </c>
      <c r="F2499" s="20">
        <f t="shared" si="192"/>
        <v>4750</v>
      </c>
      <c r="G2499" s="20">
        <v>0.44681153501245219</v>
      </c>
      <c r="H2499" s="50"/>
      <c r="I2499" s="16"/>
      <c r="J2499" s="16"/>
      <c r="K2499" s="16"/>
      <c r="L2499" s="16"/>
      <c r="M2499" s="16">
        <v>2493</v>
      </c>
      <c r="N2499" s="16">
        <f t="shared" si="193"/>
        <v>0.89401004304160692</v>
      </c>
      <c r="O2499" s="16"/>
      <c r="P2499" s="16"/>
      <c r="Q2499" s="16">
        <f t="shared" si="194"/>
        <v>1.2481396670760452</v>
      </c>
    </row>
    <row r="2500" spans="4:17" ht="15" thickBot="1" x14ac:dyDescent="0.35">
      <c r="D2500" s="20">
        <f t="shared" si="190"/>
        <v>2494</v>
      </c>
      <c r="E2500" s="20">
        <f t="shared" si="191"/>
        <v>250</v>
      </c>
      <c r="F2500" s="20">
        <f t="shared" si="192"/>
        <v>4750</v>
      </c>
      <c r="G2500" s="20">
        <v>0.44704783574102686</v>
      </c>
      <c r="H2500" s="50"/>
      <c r="I2500" s="16"/>
      <c r="J2500" s="16"/>
      <c r="K2500" s="16"/>
      <c r="L2500" s="16"/>
      <c r="M2500" s="16">
        <v>2494</v>
      </c>
      <c r="N2500" s="16">
        <f t="shared" si="193"/>
        <v>0.89436872309899573</v>
      </c>
      <c r="O2500" s="16"/>
      <c r="P2500" s="16"/>
      <c r="Q2500" s="16">
        <f t="shared" si="194"/>
        <v>1.2501012758244301</v>
      </c>
    </row>
    <row r="2501" spans="4:17" ht="15" thickBot="1" x14ac:dyDescent="0.35">
      <c r="D2501" s="20">
        <f t="shared" si="190"/>
        <v>2495</v>
      </c>
      <c r="E2501" s="20">
        <f t="shared" si="191"/>
        <v>350</v>
      </c>
      <c r="F2501" s="20">
        <f t="shared" si="192"/>
        <v>4750</v>
      </c>
      <c r="G2501" s="20">
        <v>0.44715720421073191</v>
      </c>
      <c r="H2501" s="50"/>
      <c r="I2501" s="16"/>
      <c r="J2501" s="16"/>
      <c r="K2501" s="16"/>
      <c r="L2501" s="16"/>
      <c r="M2501" s="16">
        <v>2495</v>
      </c>
      <c r="N2501" s="16">
        <f t="shared" si="193"/>
        <v>0.89472740315638455</v>
      </c>
      <c r="O2501" s="16"/>
      <c r="P2501" s="16"/>
      <c r="Q2501" s="16">
        <f t="shared" si="194"/>
        <v>1.2520677066805106</v>
      </c>
    </row>
    <row r="2502" spans="4:17" ht="15" thickBot="1" x14ac:dyDescent="0.35">
      <c r="D2502" s="20">
        <f t="shared" si="190"/>
        <v>2496</v>
      </c>
      <c r="E2502" s="20">
        <f t="shared" si="191"/>
        <v>450</v>
      </c>
      <c r="F2502" s="20">
        <f t="shared" si="192"/>
        <v>4750</v>
      </c>
      <c r="G2502" s="20">
        <v>0.44725238495121633</v>
      </c>
      <c r="H2502" s="50"/>
      <c r="I2502" s="16"/>
      <c r="J2502" s="16"/>
      <c r="K2502" s="16"/>
      <c r="L2502" s="16"/>
      <c r="M2502" s="16">
        <v>2496</v>
      </c>
      <c r="N2502" s="16">
        <f t="shared" si="193"/>
        <v>0.89508608321377336</v>
      </c>
      <c r="O2502" s="16"/>
      <c r="P2502" s="16"/>
      <c r="Q2502" s="16">
        <f t="shared" si="194"/>
        <v>1.2540389910520175</v>
      </c>
    </row>
    <row r="2503" spans="4:17" ht="15" thickBot="1" x14ac:dyDescent="0.35">
      <c r="D2503" s="20">
        <f t="shared" ref="D2503:D2566" si="195">ROW()-6</f>
        <v>2497</v>
      </c>
      <c r="E2503" s="20">
        <f t="shared" ref="E2503:E2566" si="196">(MOD(D2503-1,53)*100)+50</f>
        <v>550</v>
      </c>
      <c r="F2503" s="20">
        <f t="shared" ref="F2503:F2566" si="197">FLOOR((D2503-1)/53,1)*100+50</f>
        <v>4750</v>
      </c>
      <c r="G2503" s="20">
        <v>0.4472888770716541</v>
      </c>
      <c r="H2503" s="50"/>
      <c r="I2503" s="16"/>
      <c r="J2503" s="16"/>
      <c r="K2503" s="16"/>
      <c r="L2503" s="16"/>
      <c r="M2503" s="16">
        <v>2497</v>
      </c>
      <c r="N2503" s="16">
        <f t="shared" si="193"/>
        <v>0.89544476327116207</v>
      </c>
      <c r="O2503" s="16"/>
      <c r="P2503" s="16"/>
      <c r="Q2503" s="16">
        <f t="shared" si="194"/>
        <v>1.2560151606553542</v>
      </c>
    </row>
    <row r="2504" spans="4:17" ht="15" thickBot="1" x14ac:dyDescent="0.35">
      <c r="D2504" s="20">
        <f t="shared" si="195"/>
        <v>2498</v>
      </c>
      <c r="E2504" s="20">
        <f t="shared" si="196"/>
        <v>650</v>
      </c>
      <c r="F2504" s="20">
        <f t="shared" si="197"/>
        <v>4750</v>
      </c>
      <c r="G2504" s="20">
        <v>0.44740410803600128</v>
      </c>
      <c r="H2504" s="50"/>
      <c r="I2504" s="16"/>
      <c r="J2504" s="16"/>
      <c r="K2504" s="16"/>
      <c r="L2504" s="16"/>
      <c r="M2504" s="16">
        <v>2498</v>
      </c>
      <c r="N2504" s="16">
        <f t="shared" ref="N2504:N2567" si="198">(M2504-0.5)/$L$7</f>
        <v>0.89580344332855089</v>
      </c>
      <c r="O2504" s="16"/>
      <c r="P2504" s="16"/>
      <c r="Q2504" s="16">
        <f t="shared" ref="Q2504:Q2567" si="199">_xlfn.NORM.S.INV(N2504)</f>
        <v>1.2579962475197233</v>
      </c>
    </row>
    <row r="2505" spans="4:17" ht="15" thickBot="1" x14ac:dyDescent="0.35">
      <c r="D2505" s="20">
        <f t="shared" si="195"/>
        <v>2499</v>
      </c>
      <c r="E2505" s="20">
        <f t="shared" si="196"/>
        <v>750</v>
      </c>
      <c r="F2505" s="20">
        <f t="shared" si="197"/>
        <v>4750</v>
      </c>
      <c r="G2505" s="20">
        <v>0.44768305359909366</v>
      </c>
      <c r="H2505" s="50"/>
      <c r="I2505" s="16"/>
      <c r="J2505" s="16"/>
      <c r="K2505" s="16"/>
      <c r="L2505" s="16"/>
      <c r="M2505" s="16">
        <v>2499</v>
      </c>
      <c r="N2505" s="16">
        <f t="shared" si="198"/>
        <v>0.8961621233859397</v>
      </c>
      <c r="O2505" s="16"/>
      <c r="P2505" s="16"/>
      <c r="Q2505" s="16">
        <f t="shared" si="199"/>
        <v>1.2599822839913117</v>
      </c>
    </row>
    <row r="2506" spans="4:17" ht="15" thickBot="1" x14ac:dyDescent="0.35">
      <c r="D2506" s="20">
        <f t="shared" si="195"/>
        <v>2500</v>
      </c>
      <c r="E2506" s="20">
        <f t="shared" si="196"/>
        <v>850</v>
      </c>
      <c r="F2506" s="20">
        <f t="shared" si="197"/>
        <v>4750</v>
      </c>
      <c r="G2506" s="20">
        <v>0.44770138139028504</v>
      </c>
      <c r="H2506" s="50"/>
      <c r="I2506" s="16"/>
      <c r="J2506" s="16"/>
      <c r="K2506" s="16"/>
      <c r="L2506" s="16"/>
      <c r="M2506" s="16">
        <v>2500</v>
      </c>
      <c r="N2506" s="16">
        <f t="shared" si="198"/>
        <v>0.89652080344332852</v>
      </c>
      <c r="O2506" s="16"/>
      <c r="P2506" s="16"/>
      <c r="Q2506" s="16">
        <f t="shared" si="199"/>
        <v>1.2619733027375399</v>
      </c>
    </row>
    <row r="2507" spans="4:17" ht="15" thickBot="1" x14ac:dyDescent="0.35">
      <c r="D2507" s="20">
        <f t="shared" si="195"/>
        <v>2501</v>
      </c>
      <c r="E2507" s="20">
        <f t="shared" si="196"/>
        <v>950</v>
      </c>
      <c r="F2507" s="20">
        <f t="shared" si="197"/>
        <v>4750</v>
      </c>
      <c r="G2507" s="20">
        <v>0.44777800991245703</v>
      </c>
      <c r="H2507" s="50"/>
      <c r="I2507" s="16"/>
      <c r="J2507" s="16"/>
      <c r="K2507" s="16"/>
      <c r="L2507" s="16"/>
      <c r="M2507" s="16">
        <v>2501</v>
      </c>
      <c r="N2507" s="16">
        <f t="shared" si="198"/>
        <v>0.89687948350071733</v>
      </c>
      <c r="O2507" s="16"/>
      <c r="P2507" s="16"/>
      <c r="Q2507" s="16">
        <f t="shared" si="199"/>
        <v>1.2639693367514198</v>
      </c>
    </row>
    <row r="2508" spans="4:17" ht="15" thickBot="1" x14ac:dyDescent="0.35">
      <c r="D2508" s="20">
        <f t="shared" si="195"/>
        <v>2502</v>
      </c>
      <c r="E2508" s="20">
        <f t="shared" si="196"/>
        <v>1050</v>
      </c>
      <c r="F2508" s="20">
        <f t="shared" si="197"/>
        <v>4750</v>
      </c>
      <c r="G2508" s="20">
        <v>0.44795397402545784</v>
      </c>
      <c r="H2508" s="50"/>
      <c r="I2508" s="16"/>
      <c r="J2508" s="16"/>
      <c r="K2508" s="16"/>
      <c r="L2508" s="16"/>
      <c r="M2508" s="16">
        <v>2502</v>
      </c>
      <c r="N2508" s="16">
        <f t="shared" si="198"/>
        <v>0.89723816355810615</v>
      </c>
      <c r="O2508" s="16"/>
      <c r="P2508" s="16"/>
      <c r="Q2508" s="16">
        <f t="shared" si="199"/>
        <v>1.2659704193559325</v>
      </c>
    </row>
    <row r="2509" spans="4:17" ht="15" thickBot="1" x14ac:dyDescent="0.35">
      <c r="D2509" s="20">
        <f t="shared" si="195"/>
        <v>2503</v>
      </c>
      <c r="E2509" s="20">
        <f t="shared" si="196"/>
        <v>1150</v>
      </c>
      <c r="F2509" s="20">
        <f t="shared" si="197"/>
        <v>4750</v>
      </c>
      <c r="G2509" s="20">
        <v>0.44800385757132022</v>
      </c>
      <c r="H2509" s="50"/>
      <c r="I2509" s="16"/>
      <c r="J2509" s="16"/>
      <c r="K2509" s="16"/>
      <c r="L2509" s="16"/>
      <c r="M2509" s="16">
        <v>2503</v>
      </c>
      <c r="N2509" s="16">
        <f t="shared" si="198"/>
        <v>0.89759684361549497</v>
      </c>
      <c r="O2509" s="16"/>
      <c r="P2509" s="16"/>
      <c r="Q2509" s="16">
        <f t="shared" si="199"/>
        <v>1.2679765842085293</v>
      </c>
    </row>
    <row r="2510" spans="4:17" ht="15" thickBot="1" x14ac:dyDescent="0.35">
      <c r="D2510" s="20">
        <f t="shared" si="195"/>
        <v>2504</v>
      </c>
      <c r="E2510" s="20">
        <f t="shared" si="196"/>
        <v>1250</v>
      </c>
      <c r="F2510" s="20">
        <f t="shared" si="197"/>
        <v>4750</v>
      </c>
      <c r="G2510" s="20">
        <v>0.44815677292400702</v>
      </c>
      <c r="H2510" s="50"/>
      <c r="I2510" s="16"/>
      <c r="J2510" s="16"/>
      <c r="K2510" s="16"/>
      <c r="L2510" s="16"/>
      <c r="M2510" s="16">
        <v>2504</v>
      </c>
      <c r="N2510" s="16">
        <f t="shared" si="198"/>
        <v>0.89795552367288378</v>
      </c>
      <c r="O2510" s="16"/>
      <c r="P2510" s="16"/>
      <c r="Q2510" s="16">
        <f t="shared" si="199"/>
        <v>1.2699878653056846</v>
      </c>
    </row>
    <row r="2511" spans="4:17" ht="15" thickBot="1" x14ac:dyDescent="0.35">
      <c r="D2511" s="20">
        <f t="shared" si="195"/>
        <v>2505</v>
      </c>
      <c r="E2511" s="20">
        <f t="shared" si="196"/>
        <v>1350</v>
      </c>
      <c r="F2511" s="20">
        <f t="shared" si="197"/>
        <v>4750</v>
      </c>
      <c r="G2511" s="20">
        <v>0.44823190168236493</v>
      </c>
      <c r="H2511" s="50"/>
      <c r="I2511" s="16"/>
      <c r="J2511" s="16"/>
      <c r="K2511" s="16"/>
      <c r="L2511" s="16"/>
      <c r="M2511" s="16">
        <v>2505</v>
      </c>
      <c r="N2511" s="16">
        <f t="shared" si="198"/>
        <v>0.8983142037302726</v>
      </c>
      <c r="O2511" s="16"/>
      <c r="P2511" s="16"/>
      <c r="Q2511" s="16">
        <f t="shared" si="199"/>
        <v>1.2720042969875314</v>
      </c>
    </row>
    <row r="2512" spans="4:17" ht="15" thickBot="1" x14ac:dyDescent="0.35">
      <c r="D2512" s="20">
        <f t="shared" si="195"/>
        <v>2506</v>
      </c>
      <c r="E2512" s="20">
        <f t="shared" si="196"/>
        <v>1450</v>
      </c>
      <c r="F2512" s="20">
        <f t="shared" si="197"/>
        <v>4750</v>
      </c>
      <c r="G2512" s="20">
        <v>0.4485803708577355</v>
      </c>
      <c r="H2512" s="50"/>
      <c r="I2512" s="16"/>
      <c r="J2512" s="16"/>
      <c r="K2512" s="16"/>
      <c r="L2512" s="16"/>
      <c r="M2512" s="16">
        <v>2506</v>
      </c>
      <c r="N2512" s="16">
        <f t="shared" si="198"/>
        <v>0.89867288378766141</v>
      </c>
      <c r="O2512" s="16"/>
      <c r="P2512" s="16"/>
      <c r="Q2512" s="16">
        <f t="shared" si="199"/>
        <v>1.2740259139425794</v>
      </c>
    </row>
    <row r="2513" spans="4:17" ht="15" thickBot="1" x14ac:dyDescent="0.35">
      <c r="D2513" s="20">
        <f t="shared" si="195"/>
        <v>2507</v>
      </c>
      <c r="E2513" s="20">
        <f t="shared" si="196"/>
        <v>1550</v>
      </c>
      <c r="F2513" s="20">
        <f t="shared" si="197"/>
        <v>4750</v>
      </c>
      <c r="G2513" s="20">
        <v>0.44872778321558349</v>
      </c>
      <c r="H2513" s="50"/>
      <c r="I2513" s="16"/>
      <c r="J2513" s="16"/>
      <c r="K2513" s="16"/>
      <c r="L2513" s="16"/>
      <c r="M2513" s="16">
        <v>2507</v>
      </c>
      <c r="N2513" s="16">
        <f t="shared" si="198"/>
        <v>0.89903156384505023</v>
      </c>
      <c r="O2513" s="16"/>
      <c r="P2513" s="16"/>
      <c r="Q2513" s="16">
        <f t="shared" si="199"/>
        <v>1.2760527512125144</v>
      </c>
    </row>
    <row r="2514" spans="4:17" ht="15" thickBot="1" x14ac:dyDescent="0.35">
      <c r="D2514" s="20">
        <f t="shared" si="195"/>
        <v>2508</v>
      </c>
      <c r="E2514" s="20">
        <f t="shared" si="196"/>
        <v>1650</v>
      </c>
      <c r="F2514" s="20">
        <f t="shared" si="197"/>
        <v>4750</v>
      </c>
      <c r="G2514" s="20">
        <v>0.4487506362149527</v>
      </c>
      <c r="H2514" s="50"/>
      <c r="I2514" s="16"/>
      <c r="J2514" s="16"/>
      <c r="K2514" s="16"/>
      <c r="L2514" s="16"/>
      <c r="M2514" s="16">
        <v>2508</v>
      </c>
      <c r="N2514" s="16">
        <f t="shared" si="198"/>
        <v>0.89939024390243905</v>
      </c>
      <c r="O2514" s="16"/>
      <c r="P2514" s="16"/>
      <c r="Q2514" s="16">
        <f t="shared" si="199"/>
        <v>1.2780848441970789</v>
      </c>
    </row>
    <row r="2515" spans="4:17" ht="15" thickBot="1" x14ac:dyDescent="0.35">
      <c r="D2515" s="20">
        <f t="shared" si="195"/>
        <v>2509</v>
      </c>
      <c r="E2515" s="20">
        <f t="shared" si="196"/>
        <v>1750</v>
      </c>
      <c r="F2515" s="20">
        <f t="shared" si="197"/>
        <v>4750</v>
      </c>
      <c r="G2515" s="20">
        <v>0.44877133101228617</v>
      </c>
      <c r="H2515" s="50"/>
      <c r="I2515" s="16"/>
      <c r="J2515" s="16"/>
      <c r="K2515" s="16"/>
      <c r="L2515" s="16"/>
      <c r="M2515" s="16">
        <v>2509</v>
      </c>
      <c r="N2515" s="16">
        <f t="shared" si="198"/>
        <v>0.89974892395982786</v>
      </c>
      <c r="O2515" s="16"/>
      <c r="P2515" s="16"/>
      <c r="Q2515" s="16">
        <f t="shared" si="199"/>
        <v>1.2801222286590417</v>
      </c>
    </row>
    <row r="2516" spans="4:17" ht="15" thickBot="1" x14ac:dyDescent="0.35">
      <c r="D2516" s="20">
        <f t="shared" si="195"/>
        <v>2510</v>
      </c>
      <c r="E2516" s="20">
        <f t="shared" si="196"/>
        <v>1850</v>
      </c>
      <c r="F2516" s="20">
        <f t="shared" si="197"/>
        <v>4750</v>
      </c>
      <c r="G2516" s="20">
        <v>0.44877188227745468</v>
      </c>
      <c r="H2516" s="50"/>
      <c r="I2516" s="16"/>
      <c r="J2516" s="16"/>
      <c r="K2516" s="16"/>
      <c r="L2516" s="16"/>
      <c r="M2516" s="16">
        <v>2510</v>
      </c>
      <c r="N2516" s="16">
        <f t="shared" si="198"/>
        <v>0.90010760401721668</v>
      </c>
      <c r="O2516" s="16"/>
      <c r="P2516" s="16"/>
      <c r="Q2516" s="16">
        <f t="shared" si="199"/>
        <v>1.2821649407292492</v>
      </c>
    </row>
    <row r="2517" spans="4:17" ht="15" thickBot="1" x14ac:dyDescent="0.35">
      <c r="D2517" s="20">
        <f t="shared" si="195"/>
        <v>2511</v>
      </c>
      <c r="E2517" s="20">
        <f t="shared" si="196"/>
        <v>1950</v>
      </c>
      <c r="F2517" s="20">
        <f t="shared" si="197"/>
        <v>4750</v>
      </c>
      <c r="G2517" s="20">
        <v>0.44884399208017739</v>
      </c>
      <c r="H2517" s="50"/>
      <c r="I2517" s="16"/>
      <c r="J2517" s="16"/>
      <c r="K2517" s="16"/>
      <c r="L2517" s="16"/>
      <c r="M2517" s="16">
        <v>2511</v>
      </c>
      <c r="N2517" s="16">
        <f t="shared" si="198"/>
        <v>0.90046628407460549</v>
      </c>
      <c r="O2517" s="16"/>
      <c r="P2517" s="16"/>
      <c r="Q2517" s="16">
        <f t="shared" si="199"/>
        <v>1.2842130169117758</v>
      </c>
    </row>
    <row r="2518" spans="4:17" ht="15" thickBot="1" x14ac:dyDescent="0.35">
      <c r="D2518" s="20">
        <f t="shared" si="195"/>
        <v>2512</v>
      </c>
      <c r="E2518" s="45">
        <f t="shared" si="196"/>
        <v>2050</v>
      </c>
      <c r="F2518" s="45">
        <f t="shared" si="197"/>
        <v>4750</v>
      </c>
      <c r="G2518" s="20">
        <v>0.44892613867611886</v>
      </c>
      <c r="H2518" s="50"/>
      <c r="I2518" s="16"/>
      <c r="J2518" s="16"/>
      <c r="K2518" s="16"/>
      <c r="L2518" s="16"/>
      <c r="M2518" s="16">
        <v>2512</v>
      </c>
      <c r="N2518" s="16">
        <f t="shared" si="198"/>
        <v>0.90082496413199431</v>
      </c>
      <c r="O2518" s="16"/>
      <c r="P2518" s="16"/>
      <c r="Q2518" s="16">
        <f t="shared" si="199"/>
        <v>1.2862664940891466</v>
      </c>
    </row>
    <row r="2519" spans="4:17" ht="15" thickBot="1" x14ac:dyDescent="0.35">
      <c r="D2519" s="20">
        <f t="shared" si="195"/>
        <v>2513</v>
      </c>
      <c r="E2519" s="20">
        <f t="shared" si="196"/>
        <v>2150</v>
      </c>
      <c r="F2519" s="20">
        <f t="shared" si="197"/>
        <v>4750</v>
      </c>
      <c r="G2519" s="20">
        <v>0.44903239474777451</v>
      </c>
      <c r="H2519" s="50"/>
      <c r="I2519" s="16"/>
      <c r="J2519" s="16"/>
      <c r="K2519" s="16"/>
      <c r="L2519" s="16"/>
      <c r="M2519" s="16">
        <v>2513</v>
      </c>
      <c r="N2519" s="16">
        <f t="shared" si="198"/>
        <v>0.90118364418938302</v>
      </c>
      <c r="O2519" s="16"/>
      <c r="P2519" s="16"/>
      <c r="Q2519" s="16">
        <f t="shared" si="199"/>
        <v>1.2883254095276753</v>
      </c>
    </row>
    <row r="2520" spans="4:17" ht="15" thickBot="1" x14ac:dyDescent="0.35">
      <c r="D2520" s="20">
        <f t="shared" si="195"/>
        <v>2514</v>
      </c>
      <c r="E2520" s="20">
        <f t="shared" si="196"/>
        <v>2250</v>
      </c>
      <c r="F2520" s="20">
        <f t="shared" si="197"/>
        <v>4750</v>
      </c>
      <c r="G2520" s="20">
        <v>0.44916500880861754</v>
      </c>
      <c r="H2520" s="50"/>
      <c r="I2520" s="16"/>
      <c r="J2520" s="16"/>
      <c r="K2520" s="16"/>
      <c r="L2520" s="16"/>
      <c r="M2520" s="16">
        <v>2514</v>
      </c>
      <c r="N2520" s="16">
        <f t="shared" si="198"/>
        <v>0.90154232424677183</v>
      </c>
      <c r="O2520" s="16"/>
      <c r="P2520" s="16"/>
      <c r="Q2520" s="16">
        <f t="shared" si="199"/>
        <v>1.2903898008828814</v>
      </c>
    </row>
    <row r="2521" spans="4:17" ht="15" thickBot="1" x14ac:dyDescent="0.35">
      <c r="D2521" s="20">
        <f t="shared" si="195"/>
        <v>2515</v>
      </c>
      <c r="E2521" s="48">
        <f t="shared" si="196"/>
        <v>2350</v>
      </c>
      <c r="F2521" s="48">
        <f t="shared" si="197"/>
        <v>4750</v>
      </c>
      <c r="G2521" s="20">
        <v>0.44932535186957057</v>
      </c>
      <c r="H2521" s="50"/>
      <c r="I2521" s="16"/>
      <c r="J2521" s="16"/>
      <c r="K2521" s="16"/>
      <c r="L2521" s="16"/>
      <c r="M2521" s="16">
        <v>2515</v>
      </c>
      <c r="N2521" s="16">
        <f t="shared" si="198"/>
        <v>0.90190100430416065</v>
      </c>
      <c r="O2521" s="16"/>
      <c r="P2521" s="16"/>
      <c r="Q2521" s="16">
        <f t="shared" si="199"/>
        <v>1.2924597062050058</v>
      </c>
    </row>
    <row r="2522" spans="4:17" ht="15" thickBot="1" x14ac:dyDescent="0.35">
      <c r="D2522" s="20">
        <f t="shared" si="195"/>
        <v>2516</v>
      </c>
      <c r="E2522" s="20">
        <f t="shared" si="196"/>
        <v>2450</v>
      </c>
      <c r="F2522" s="20">
        <f t="shared" si="197"/>
        <v>4750</v>
      </c>
      <c r="G2522" s="20">
        <v>0.44957493240354046</v>
      </c>
      <c r="H2522" s="50"/>
      <c r="I2522" s="16"/>
      <c r="J2522" s="16"/>
      <c r="K2522" s="16"/>
      <c r="L2522" s="16"/>
      <c r="M2522" s="16">
        <v>2516</v>
      </c>
      <c r="N2522" s="16">
        <f t="shared" si="198"/>
        <v>0.90225968436154946</v>
      </c>
      <c r="O2522" s="16"/>
      <c r="P2522" s="16"/>
      <c r="Q2522" s="16">
        <f t="shared" si="199"/>
        <v>1.2945351639446314</v>
      </c>
    </row>
    <row r="2523" spans="4:17" ht="15" thickBot="1" x14ac:dyDescent="0.35">
      <c r="D2523" s="20">
        <f t="shared" si="195"/>
        <v>2517</v>
      </c>
      <c r="E2523" s="20">
        <f t="shared" si="196"/>
        <v>2550</v>
      </c>
      <c r="F2523" s="20">
        <f t="shared" si="197"/>
        <v>4750</v>
      </c>
      <c r="G2523" s="20">
        <v>0.44957607700623869</v>
      </c>
      <c r="H2523" s="50"/>
      <c r="I2523" s="16"/>
      <c r="J2523" s="16"/>
      <c r="K2523" s="16"/>
      <c r="L2523" s="16"/>
      <c r="M2523" s="16">
        <v>2517</v>
      </c>
      <c r="N2523" s="16">
        <f t="shared" si="198"/>
        <v>0.90261836441893828</v>
      </c>
      <c r="O2523" s="16"/>
      <c r="P2523" s="16"/>
      <c r="Q2523" s="16">
        <f t="shared" si="199"/>
        <v>1.2966162129584005</v>
      </c>
    </row>
    <row r="2524" spans="4:17" ht="15" thickBot="1" x14ac:dyDescent="0.35">
      <c r="D2524" s="20">
        <f t="shared" si="195"/>
        <v>2518</v>
      </c>
      <c r="E2524" s="20">
        <f t="shared" si="196"/>
        <v>2650</v>
      </c>
      <c r="F2524" s="20">
        <f t="shared" si="197"/>
        <v>4750</v>
      </c>
      <c r="G2524" s="20">
        <v>0.44967456119826427</v>
      </c>
      <c r="H2524" s="50"/>
      <c r="I2524" s="16"/>
      <c r="J2524" s="16"/>
      <c r="K2524" s="16"/>
      <c r="L2524" s="16"/>
      <c r="M2524" s="16">
        <v>2518</v>
      </c>
      <c r="N2524" s="16">
        <f t="shared" si="198"/>
        <v>0.9029770444763271</v>
      </c>
      <c r="O2524" s="16"/>
      <c r="P2524" s="16"/>
      <c r="Q2524" s="16">
        <f t="shared" si="199"/>
        <v>1.2987028925148338</v>
      </c>
    </row>
    <row r="2525" spans="4:17" ht="15" thickBot="1" x14ac:dyDescent="0.35">
      <c r="D2525" s="20">
        <f t="shared" si="195"/>
        <v>2519</v>
      </c>
      <c r="E2525" s="47">
        <f t="shared" si="196"/>
        <v>2750</v>
      </c>
      <c r="F2525" s="47">
        <f t="shared" si="197"/>
        <v>4750</v>
      </c>
      <c r="G2525" s="20">
        <v>0.44970783566316747</v>
      </c>
      <c r="H2525" s="50"/>
      <c r="I2525" s="16"/>
      <c r="J2525" s="16"/>
      <c r="K2525" s="16"/>
      <c r="L2525" s="16"/>
      <c r="M2525" s="16">
        <v>2519</v>
      </c>
      <c r="N2525" s="16">
        <f t="shared" si="198"/>
        <v>0.90333572453371591</v>
      </c>
      <c r="O2525" s="16"/>
      <c r="P2525" s="16"/>
      <c r="Q2525" s="16">
        <f t="shared" si="199"/>
        <v>1.3007952423002616</v>
      </c>
    </row>
    <row r="2526" spans="4:17" ht="15" thickBot="1" x14ac:dyDescent="0.35">
      <c r="D2526" s="20">
        <f t="shared" si="195"/>
        <v>2520</v>
      </c>
      <c r="E2526" s="20">
        <f t="shared" si="196"/>
        <v>2850</v>
      </c>
      <c r="F2526" s="20">
        <f t="shared" si="197"/>
        <v>4750</v>
      </c>
      <c r="G2526" s="20">
        <v>0.44988642565595605</v>
      </c>
      <c r="H2526" s="50"/>
      <c r="I2526" s="16"/>
      <c r="J2526" s="16"/>
      <c r="K2526" s="16"/>
      <c r="L2526" s="16"/>
      <c r="M2526" s="16">
        <v>2520</v>
      </c>
      <c r="N2526" s="16">
        <f t="shared" si="198"/>
        <v>0.90369440459110473</v>
      </c>
      <c r="O2526" s="16"/>
      <c r="P2526" s="16"/>
      <c r="Q2526" s="16">
        <f t="shared" si="199"/>
        <v>1.3028933024248524</v>
      </c>
    </row>
    <row r="2527" spans="4:17" ht="15" thickBot="1" x14ac:dyDescent="0.35">
      <c r="D2527" s="20">
        <f t="shared" si="195"/>
        <v>2521</v>
      </c>
      <c r="E2527" s="20">
        <f t="shared" si="196"/>
        <v>2950</v>
      </c>
      <c r="F2527" s="20">
        <f t="shared" si="197"/>
        <v>4750</v>
      </c>
      <c r="G2527" s="20">
        <v>0.44989223254378108</v>
      </c>
      <c r="H2527" s="50"/>
      <c r="I2527" s="16"/>
      <c r="J2527" s="16"/>
      <c r="K2527" s="16"/>
      <c r="L2527" s="16"/>
      <c r="M2527" s="16">
        <v>2521</v>
      </c>
      <c r="N2527" s="16">
        <f t="shared" si="198"/>
        <v>0.90405308464849354</v>
      </c>
      <c r="O2527" s="16"/>
      <c r="P2527" s="16"/>
      <c r="Q2527" s="16">
        <f t="shared" si="199"/>
        <v>1.3049971134287632</v>
      </c>
    </row>
    <row r="2528" spans="4:17" ht="15" thickBot="1" x14ac:dyDescent="0.35">
      <c r="D2528" s="20">
        <f t="shared" si="195"/>
        <v>2522</v>
      </c>
      <c r="E2528" s="20">
        <f t="shared" si="196"/>
        <v>3050</v>
      </c>
      <c r="F2528" s="20">
        <f t="shared" si="197"/>
        <v>4750</v>
      </c>
      <c r="G2528" s="20">
        <v>0.44992556176980447</v>
      </c>
      <c r="H2528" s="50"/>
      <c r="I2528" s="16"/>
      <c r="J2528" s="16"/>
      <c r="K2528" s="16"/>
      <c r="L2528" s="16"/>
      <c r="M2528" s="16">
        <v>2522</v>
      </c>
      <c r="N2528" s="16">
        <f t="shared" si="198"/>
        <v>0.90441176470588236</v>
      </c>
      <c r="O2528" s="16"/>
      <c r="P2528" s="16"/>
      <c r="Q2528" s="16">
        <f t="shared" si="199"/>
        <v>1.3071067162883874</v>
      </c>
    </row>
    <row r="2529" spans="4:17" ht="15" thickBot="1" x14ac:dyDescent="0.35">
      <c r="D2529" s="20">
        <f t="shared" si="195"/>
        <v>2523</v>
      </c>
      <c r="E2529" s="20">
        <f t="shared" si="196"/>
        <v>3150</v>
      </c>
      <c r="F2529" s="20">
        <f t="shared" si="197"/>
        <v>4750</v>
      </c>
      <c r="G2529" s="20">
        <v>0.45002803091931615</v>
      </c>
      <c r="H2529" s="50"/>
      <c r="I2529" s="16"/>
      <c r="J2529" s="16"/>
      <c r="K2529" s="16"/>
      <c r="L2529" s="16"/>
      <c r="M2529" s="16">
        <v>2523</v>
      </c>
      <c r="N2529" s="16">
        <f t="shared" si="198"/>
        <v>0.90477044476327118</v>
      </c>
      <c r="O2529" s="16"/>
      <c r="P2529" s="16"/>
      <c r="Q2529" s="16">
        <f t="shared" si="199"/>
        <v>1.3092221524227365</v>
      </c>
    </row>
    <row r="2530" spans="4:17" ht="15" thickBot="1" x14ac:dyDescent="0.35">
      <c r="D2530" s="20">
        <f t="shared" si="195"/>
        <v>2524</v>
      </c>
      <c r="E2530" s="20">
        <f t="shared" si="196"/>
        <v>3250</v>
      </c>
      <c r="F2530" s="20">
        <f t="shared" si="197"/>
        <v>4750</v>
      </c>
      <c r="G2530" s="20">
        <v>0.45013196482625961</v>
      </c>
      <c r="H2530" s="50"/>
      <c r="I2530" s="16"/>
      <c r="J2530" s="16"/>
      <c r="K2530" s="16"/>
      <c r="L2530" s="16"/>
      <c r="M2530" s="16">
        <v>2524</v>
      </c>
      <c r="N2530" s="16">
        <f t="shared" si="198"/>
        <v>0.90512912482065999</v>
      </c>
      <c r="O2530" s="16"/>
      <c r="P2530" s="16"/>
      <c r="Q2530" s="16">
        <f t="shared" si="199"/>
        <v>1.3113434636999233</v>
      </c>
    </row>
    <row r="2531" spans="4:17" ht="15" thickBot="1" x14ac:dyDescent="0.35">
      <c r="D2531" s="20">
        <f t="shared" si="195"/>
        <v>2525</v>
      </c>
      <c r="E2531" s="20">
        <f t="shared" si="196"/>
        <v>3350</v>
      </c>
      <c r="F2531" s="20">
        <f t="shared" si="197"/>
        <v>4750</v>
      </c>
      <c r="G2531" s="20">
        <v>0.45019639407529255</v>
      </c>
      <c r="H2531" s="50"/>
      <c r="I2531" s="16"/>
      <c r="J2531" s="16"/>
      <c r="K2531" s="16"/>
      <c r="L2531" s="16"/>
      <c r="M2531" s="16">
        <v>2525</v>
      </c>
      <c r="N2531" s="16">
        <f t="shared" si="198"/>
        <v>0.90548780487804881</v>
      </c>
      <c r="O2531" s="16"/>
      <c r="P2531" s="16"/>
      <c r="Q2531" s="16">
        <f t="shared" si="199"/>
        <v>1.3134706924437776</v>
      </c>
    </row>
    <row r="2532" spans="4:17" ht="15" thickBot="1" x14ac:dyDescent="0.35">
      <c r="D2532" s="20">
        <f t="shared" si="195"/>
        <v>2526</v>
      </c>
      <c r="E2532" s="20">
        <f t="shared" si="196"/>
        <v>3450</v>
      </c>
      <c r="F2532" s="20">
        <f t="shared" si="197"/>
        <v>4750</v>
      </c>
      <c r="G2532" s="20">
        <v>0.4502832870650163</v>
      </c>
      <c r="H2532" s="50"/>
      <c r="I2532" s="16"/>
      <c r="J2532" s="16"/>
      <c r="K2532" s="16"/>
      <c r="L2532" s="16"/>
      <c r="M2532" s="16">
        <v>2526</v>
      </c>
      <c r="N2532" s="16">
        <f t="shared" si="198"/>
        <v>0.90584648493543762</v>
      </c>
      <c r="O2532" s="16"/>
      <c r="P2532" s="16"/>
      <c r="Q2532" s="16">
        <f t="shared" si="199"/>
        <v>1.3156038814405662</v>
      </c>
    </row>
    <row r="2533" spans="4:17" ht="15" thickBot="1" x14ac:dyDescent="0.35">
      <c r="D2533" s="20">
        <f t="shared" si="195"/>
        <v>2527</v>
      </c>
      <c r="E2533" s="20">
        <f t="shared" si="196"/>
        <v>3550</v>
      </c>
      <c r="F2533" s="20">
        <f t="shared" si="197"/>
        <v>4750</v>
      </c>
      <c r="G2533" s="20">
        <v>0.45038885339446322</v>
      </c>
      <c r="H2533" s="50"/>
      <c r="I2533" s="16"/>
      <c r="J2533" s="16"/>
      <c r="K2533" s="16"/>
      <c r="L2533" s="16"/>
      <c r="M2533" s="16">
        <v>2527</v>
      </c>
      <c r="N2533" s="16">
        <f t="shared" si="198"/>
        <v>0.90620516499282644</v>
      </c>
      <c r="O2533" s="16"/>
      <c r="P2533" s="16"/>
      <c r="Q2533" s="16">
        <f t="shared" si="199"/>
        <v>1.3177430739458669</v>
      </c>
    </row>
    <row r="2534" spans="4:17" ht="15" thickBot="1" x14ac:dyDescent="0.35">
      <c r="D2534" s="20">
        <f t="shared" si="195"/>
        <v>2528</v>
      </c>
      <c r="E2534" s="45">
        <f t="shared" si="196"/>
        <v>3650</v>
      </c>
      <c r="F2534" s="45">
        <f t="shared" si="197"/>
        <v>4750</v>
      </c>
      <c r="G2534" s="20">
        <v>0.45073757212103116</v>
      </c>
      <c r="H2534" s="50"/>
      <c r="I2534" s="16"/>
      <c r="J2534" s="16"/>
      <c r="K2534" s="16"/>
      <c r="L2534" s="16"/>
      <c r="M2534" s="16">
        <v>2528</v>
      </c>
      <c r="N2534" s="16">
        <f t="shared" si="198"/>
        <v>0.90656384505021526</v>
      </c>
      <c r="O2534" s="16"/>
      <c r="P2534" s="16"/>
      <c r="Q2534" s="16">
        <f t="shared" si="199"/>
        <v>1.3198883136915445</v>
      </c>
    </row>
    <row r="2535" spans="4:17" ht="15" thickBot="1" x14ac:dyDescent="0.35">
      <c r="D2535" s="20">
        <f t="shared" si="195"/>
        <v>2529</v>
      </c>
      <c r="E2535" s="20">
        <f t="shared" si="196"/>
        <v>3750</v>
      </c>
      <c r="F2535" s="20">
        <f t="shared" si="197"/>
        <v>4750</v>
      </c>
      <c r="G2535" s="20">
        <v>0.45133154682038173</v>
      </c>
      <c r="H2535" s="50"/>
      <c r="I2535" s="16"/>
      <c r="J2535" s="16"/>
      <c r="K2535" s="16"/>
      <c r="L2535" s="16"/>
      <c r="M2535" s="16">
        <v>2529</v>
      </c>
      <c r="N2535" s="16">
        <f t="shared" si="198"/>
        <v>0.90692252510760407</v>
      </c>
      <c r="O2535" s="16"/>
      <c r="P2535" s="16"/>
      <c r="Q2535" s="16">
        <f t="shared" si="199"/>
        <v>1.3220396448928664</v>
      </c>
    </row>
    <row r="2536" spans="4:17" ht="15" thickBot="1" x14ac:dyDescent="0.35">
      <c r="D2536" s="20">
        <f t="shared" si="195"/>
        <v>2530</v>
      </c>
      <c r="E2536" s="20">
        <f t="shared" si="196"/>
        <v>3850</v>
      </c>
      <c r="F2536" s="20">
        <f t="shared" si="197"/>
        <v>4750</v>
      </c>
      <c r="G2536" s="20">
        <v>0.45147008286341361</v>
      </c>
      <c r="H2536" s="50"/>
      <c r="I2536" s="16"/>
      <c r="J2536" s="16"/>
      <c r="K2536" s="16"/>
      <c r="L2536" s="16"/>
      <c r="M2536" s="16">
        <v>2530</v>
      </c>
      <c r="N2536" s="16">
        <f t="shared" si="198"/>
        <v>0.90728120516499278</v>
      </c>
      <c r="O2536" s="16"/>
      <c r="P2536" s="16"/>
      <c r="Q2536" s="16">
        <f t="shared" si="199"/>
        <v>1.3241971122557661</v>
      </c>
    </row>
    <row r="2537" spans="4:17" ht="15" thickBot="1" x14ac:dyDescent="0.35">
      <c r="D2537" s="20">
        <f t="shared" si="195"/>
        <v>2531</v>
      </c>
      <c r="E2537" s="20">
        <f t="shared" si="196"/>
        <v>3950</v>
      </c>
      <c r="F2537" s="20">
        <f t="shared" si="197"/>
        <v>4750</v>
      </c>
      <c r="G2537" s="20">
        <v>0.45158588393557697</v>
      </c>
      <c r="H2537" s="50"/>
      <c r="I2537" s="16"/>
      <c r="J2537" s="16"/>
      <c r="K2537" s="16"/>
      <c r="L2537" s="16"/>
      <c r="M2537" s="16">
        <v>2531</v>
      </c>
      <c r="N2537" s="16">
        <f t="shared" si="198"/>
        <v>0.90763988522238159</v>
      </c>
      <c r="O2537" s="16"/>
      <c r="P2537" s="16"/>
      <c r="Q2537" s="16">
        <f t="shared" si="199"/>
        <v>1.3263607609842238</v>
      </c>
    </row>
    <row r="2538" spans="4:17" ht="15" thickBot="1" x14ac:dyDescent="0.35">
      <c r="D2538" s="20">
        <f t="shared" si="195"/>
        <v>2532</v>
      </c>
      <c r="E2538" s="20">
        <f t="shared" si="196"/>
        <v>4050</v>
      </c>
      <c r="F2538" s="20">
        <f t="shared" si="197"/>
        <v>4750</v>
      </c>
      <c r="G2538" s="20">
        <v>0.45190530746805563</v>
      </c>
      <c r="H2538" s="50"/>
      <c r="I2538" s="16"/>
      <c r="J2538" s="16"/>
      <c r="K2538" s="16"/>
      <c r="L2538" s="16"/>
      <c r="M2538" s="16">
        <v>2532</v>
      </c>
      <c r="N2538" s="16">
        <f t="shared" si="198"/>
        <v>0.90799856527977041</v>
      </c>
      <c r="O2538" s="16"/>
      <c r="P2538" s="16"/>
      <c r="Q2538" s="16">
        <f t="shared" si="199"/>
        <v>1.3285306367878009</v>
      </c>
    </row>
    <row r="2539" spans="4:17" ht="15" thickBot="1" x14ac:dyDescent="0.35">
      <c r="D2539" s="20">
        <f t="shared" si="195"/>
        <v>2533</v>
      </c>
      <c r="E2539" s="20">
        <f t="shared" si="196"/>
        <v>4150</v>
      </c>
      <c r="F2539" s="20">
        <f t="shared" si="197"/>
        <v>4750</v>
      </c>
      <c r="G2539" s="20">
        <v>0.45200701060906401</v>
      </c>
      <c r="H2539" s="50"/>
      <c r="I2539" s="16"/>
      <c r="J2539" s="16"/>
      <c r="K2539" s="16"/>
      <c r="L2539" s="16"/>
      <c r="M2539" s="16">
        <v>2533</v>
      </c>
      <c r="N2539" s="16">
        <f t="shared" si="198"/>
        <v>0.90835724533715922</v>
      </c>
      <c r="O2539" s="16"/>
      <c r="P2539" s="16"/>
      <c r="Q2539" s="16">
        <f t="shared" si="199"/>
        <v>1.3307067858893096</v>
      </c>
    </row>
    <row r="2540" spans="4:17" ht="15" thickBot="1" x14ac:dyDescent="0.35">
      <c r="D2540" s="20">
        <f t="shared" si="195"/>
        <v>2534</v>
      </c>
      <c r="E2540" s="20">
        <f t="shared" si="196"/>
        <v>4250</v>
      </c>
      <c r="F2540" s="20">
        <f t="shared" si="197"/>
        <v>4750</v>
      </c>
      <c r="G2540" s="20">
        <v>0.45229403400970603</v>
      </c>
      <c r="H2540" s="50"/>
      <c r="I2540" s="16"/>
      <c r="J2540" s="16"/>
      <c r="K2540" s="16"/>
      <c r="L2540" s="16"/>
      <c r="M2540" s="16">
        <v>2534</v>
      </c>
      <c r="N2540" s="16">
        <f t="shared" si="198"/>
        <v>0.90871592539454804</v>
      </c>
      <c r="O2540" s="16"/>
      <c r="P2540" s="16"/>
      <c r="Q2540" s="16">
        <f t="shared" si="199"/>
        <v>1.3328892550326357</v>
      </c>
    </row>
    <row r="2541" spans="4:17" ht="15" thickBot="1" x14ac:dyDescent="0.35">
      <c r="D2541" s="20">
        <f t="shared" si="195"/>
        <v>2535</v>
      </c>
      <c r="E2541" s="20">
        <f t="shared" si="196"/>
        <v>4350</v>
      </c>
      <c r="F2541" s="20">
        <f t="shared" si="197"/>
        <v>4750</v>
      </c>
      <c r="G2541" s="20">
        <v>0.45304610349204222</v>
      </c>
      <c r="H2541" s="50"/>
      <c r="I2541" s="16"/>
      <c r="J2541" s="16"/>
      <c r="K2541" s="16"/>
      <c r="L2541" s="16"/>
      <c r="M2541" s="16">
        <v>2535</v>
      </c>
      <c r="N2541" s="16">
        <f t="shared" si="198"/>
        <v>0.90907460545193686</v>
      </c>
      <c r="O2541" s="16"/>
      <c r="P2541" s="16"/>
      <c r="Q2541" s="16">
        <f t="shared" si="199"/>
        <v>1.3350780914907188</v>
      </c>
    </row>
    <row r="2542" spans="4:17" ht="15" thickBot="1" x14ac:dyDescent="0.35">
      <c r="D2542" s="20">
        <f t="shared" si="195"/>
        <v>2536</v>
      </c>
      <c r="E2542" s="20">
        <f t="shared" si="196"/>
        <v>4450</v>
      </c>
      <c r="F2542" s="20">
        <f t="shared" si="197"/>
        <v>4750</v>
      </c>
      <c r="G2542" s="20">
        <v>0.453233563340801</v>
      </c>
      <c r="H2542" s="50"/>
      <c r="I2542" s="16"/>
      <c r="J2542" s="16"/>
      <c r="K2542" s="16"/>
      <c r="L2542" s="16"/>
      <c r="M2542" s="16">
        <v>2536</v>
      </c>
      <c r="N2542" s="16">
        <f t="shared" si="198"/>
        <v>0.90943328550932567</v>
      </c>
      <c r="O2542" s="16"/>
      <c r="P2542" s="16"/>
      <c r="Q2542" s="16">
        <f t="shared" si="199"/>
        <v>1.3372733430736621</v>
      </c>
    </row>
    <row r="2543" spans="4:17" ht="15" thickBot="1" x14ac:dyDescent="0.35">
      <c r="D2543" s="20">
        <f t="shared" si="195"/>
        <v>2537</v>
      </c>
      <c r="E2543" s="20">
        <f t="shared" si="196"/>
        <v>4550</v>
      </c>
      <c r="F2543" s="20">
        <f t="shared" si="197"/>
        <v>4750</v>
      </c>
      <c r="G2543" s="20">
        <v>0.45325084294422269</v>
      </c>
      <c r="H2543" s="50"/>
      <c r="I2543" s="16"/>
      <c r="J2543" s="16"/>
      <c r="K2543" s="16"/>
      <c r="L2543" s="16"/>
      <c r="M2543" s="16">
        <v>2537</v>
      </c>
      <c r="N2543" s="16">
        <f t="shared" si="198"/>
        <v>0.90979196556671449</v>
      </c>
      <c r="O2543" s="16"/>
      <c r="P2543" s="16"/>
      <c r="Q2543" s="16">
        <f t="shared" si="199"/>
        <v>1.3394750581370303</v>
      </c>
    </row>
    <row r="2544" spans="4:17" ht="15" thickBot="1" x14ac:dyDescent="0.35">
      <c r="D2544" s="20">
        <f t="shared" si="195"/>
        <v>2538</v>
      </c>
      <c r="E2544" s="20">
        <f t="shared" si="196"/>
        <v>4650</v>
      </c>
      <c r="F2544" s="20">
        <f t="shared" si="197"/>
        <v>4750</v>
      </c>
      <c r="G2544" s="20">
        <v>0.45326093174609156</v>
      </c>
      <c r="H2544" s="50"/>
      <c r="I2544" s="16"/>
      <c r="J2544" s="16"/>
      <c r="K2544" s="16"/>
      <c r="L2544" s="16"/>
      <c r="M2544" s="16">
        <v>2538</v>
      </c>
      <c r="N2544" s="16">
        <f t="shared" si="198"/>
        <v>0.9101506456241033</v>
      </c>
      <c r="O2544" s="16"/>
      <c r="P2544" s="16"/>
      <c r="Q2544" s="16">
        <f t="shared" si="199"/>
        <v>1.3416832855902887</v>
      </c>
    </row>
    <row r="2545" spans="4:17" ht="15" thickBot="1" x14ac:dyDescent="0.35">
      <c r="D2545" s="20">
        <f t="shared" si="195"/>
        <v>2539</v>
      </c>
      <c r="E2545" s="20">
        <f t="shared" si="196"/>
        <v>4750</v>
      </c>
      <c r="F2545" s="20">
        <f t="shared" si="197"/>
        <v>4750</v>
      </c>
      <c r="G2545" s="20">
        <v>0.45327956538186948</v>
      </c>
      <c r="H2545" s="50"/>
      <c r="I2545" s="16"/>
      <c r="J2545" s="16"/>
      <c r="K2545" s="16"/>
      <c r="L2545" s="16"/>
      <c r="M2545" s="16">
        <v>2539</v>
      </c>
      <c r="N2545" s="16">
        <f t="shared" si="198"/>
        <v>0.91050932568149212</v>
      </c>
      <c r="O2545" s="16"/>
      <c r="P2545" s="16"/>
      <c r="Q2545" s="16">
        <f t="shared" si="199"/>
        <v>1.3438980749054099</v>
      </c>
    </row>
    <row r="2546" spans="4:17" ht="15" thickBot="1" x14ac:dyDescent="0.35">
      <c r="D2546" s="20">
        <f t="shared" si="195"/>
        <v>2540</v>
      </c>
      <c r="E2546" s="20">
        <f t="shared" si="196"/>
        <v>4850</v>
      </c>
      <c r="F2546" s="20">
        <f t="shared" si="197"/>
        <v>4750</v>
      </c>
      <c r="G2546" s="20">
        <v>0.45366224130450405</v>
      </c>
      <c r="H2546" s="50"/>
      <c r="I2546" s="16"/>
      <c r="J2546" s="16"/>
      <c r="K2546" s="16"/>
      <c r="L2546" s="16"/>
      <c r="M2546" s="16">
        <v>2540</v>
      </c>
      <c r="N2546" s="16">
        <f t="shared" si="198"/>
        <v>0.91086800573888094</v>
      </c>
      <c r="O2546" s="16"/>
      <c r="P2546" s="16"/>
      <c r="Q2546" s="16">
        <f t="shared" si="199"/>
        <v>1.3461194761256574</v>
      </c>
    </row>
    <row r="2547" spans="4:17" ht="15" thickBot="1" x14ac:dyDescent="0.35">
      <c r="D2547" s="20">
        <f t="shared" si="195"/>
        <v>2541</v>
      </c>
      <c r="E2547" s="20">
        <f t="shared" si="196"/>
        <v>4950</v>
      </c>
      <c r="F2547" s="20">
        <f t="shared" si="197"/>
        <v>4750</v>
      </c>
      <c r="G2547" s="20">
        <v>0.45381502710699989</v>
      </c>
      <c r="H2547" s="50"/>
      <c r="I2547" s="16"/>
      <c r="J2547" s="16"/>
      <c r="K2547" s="16"/>
      <c r="L2547" s="16"/>
      <c r="M2547" s="16">
        <v>2541</v>
      </c>
      <c r="N2547" s="16">
        <f t="shared" si="198"/>
        <v>0.91122668579626975</v>
      </c>
      <c r="O2547" s="16"/>
      <c r="P2547" s="16"/>
      <c r="Q2547" s="16">
        <f t="shared" si="199"/>
        <v>1.3483475398745393</v>
      </c>
    </row>
    <row r="2548" spans="4:17" ht="15" thickBot="1" x14ac:dyDescent="0.35">
      <c r="D2548" s="20">
        <f t="shared" si="195"/>
        <v>2542</v>
      </c>
      <c r="E2548" s="20">
        <f t="shared" si="196"/>
        <v>5050</v>
      </c>
      <c r="F2548" s="20">
        <f t="shared" si="197"/>
        <v>4750</v>
      </c>
      <c r="G2548" s="20">
        <v>0.45385291250364279</v>
      </c>
      <c r="H2548" s="50"/>
      <c r="I2548" s="16"/>
      <c r="J2548" s="16"/>
      <c r="K2548" s="16"/>
      <c r="L2548" s="16"/>
      <c r="M2548" s="16">
        <v>2542</v>
      </c>
      <c r="N2548" s="16">
        <f t="shared" si="198"/>
        <v>0.91158536585365857</v>
      </c>
      <c r="O2548" s="16"/>
      <c r="P2548" s="16"/>
      <c r="Q2548" s="16">
        <f t="shared" si="199"/>
        <v>1.3505823173649314</v>
      </c>
    </row>
    <row r="2549" spans="4:17" ht="15" thickBot="1" x14ac:dyDescent="0.35">
      <c r="D2549" s="20">
        <f t="shared" si="195"/>
        <v>2543</v>
      </c>
      <c r="E2549" s="20">
        <f t="shared" si="196"/>
        <v>5150</v>
      </c>
      <c r="F2549" s="20">
        <f t="shared" si="197"/>
        <v>4750</v>
      </c>
      <c r="G2549" s="20">
        <v>0.45423332786535731</v>
      </c>
      <c r="H2549" s="50"/>
      <c r="I2549" s="16"/>
      <c r="J2549" s="16"/>
      <c r="K2549" s="16"/>
      <c r="L2549" s="16"/>
      <c r="M2549" s="16">
        <v>2543</v>
      </c>
      <c r="N2549" s="16">
        <f t="shared" si="198"/>
        <v>0.91194404591104739</v>
      </c>
      <c r="O2549" s="16"/>
      <c r="P2549" s="16"/>
      <c r="Q2549" s="16">
        <f t="shared" si="199"/>
        <v>1.3528238604083949</v>
      </c>
    </row>
    <row r="2550" spans="4:17" ht="15" thickBot="1" x14ac:dyDescent="0.35">
      <c r="D2550" s="20">
        <f t="shared" si="195"/>
        <v>2544</v>
      </c>
      <c r="E2550" s="20">
        <f t="shared" si="196"/>
        <v>5250</v>
      </c>
      <c r="F2550" s="20">
        <f t="shared" si="197"/>
        <v>4750</v>
      </c>
      <c r="G2550" s="20">
        <v>0.45458587288025892</v>
      </c>
      <c r="H2550" s="50"/>
      <c r="I2550" s="16"/>
      <c r="J2550" s="16"/>
      <c r="K2550" s="16"/>
      <c r="L2550" s="16"/>
      <c r="M2550" s="16">
        <v>2544</v>
      </c>
      <c r="N2550" s="16">
        <f t="shared" si="198"/>
        <v>0.9123027259684362</v>
      </c>
      <c r="O2550" s="16"/>
      <c r="P2550" s="16"/>
      <c r="Q2550" s="16">
        <f t="shared" si="199"/>
        <v>1.3550722214246682</v>
      </c>
    </row>
    <row r="2551" spans="4:17" ht="15" thickBot="1" x14ac:dyDescent="0.35">
      <c r="D2551" s="20">
        <f t="shared" si="195"/>
        <v>2545</v>
      </c>
      <c r="E2551" s="20">
        <f t="shared" si="196"/>
        <v>50</v>
      </c>
      <c r="F2551" s="20">
        <f t="shared" si="197"/>
        <v>4850</v>
      </c>
      <c r="G2551" s="20">
        <v>0.45485955689579605</v>
      </c>
      <c r="H2551" s="50"/>
      <c r="I2551" s="16"/>
      <c r="J2551" s="16"/>
      <c r="K2551" s="16"/>
      <c r="L2551" s="16"/>
      <c r="M2551" s="16">
        <v>2545</v>
      </c>
      <c r="N2551" s="16">
        <f t="shared" si="198"/>
        <v>0.91266140602582502</v>
      </c>
      <c r="O2551" s="16"/>
      <c r="P2551" s="16"/>
      <c r="Q2551" s="16">
        <f t="shared" si="199"/>
        <v>1.3573274534513584</v>
      </c>
    </row>
    <row r="2552" spans="4:17" ht="15" thickBot="1" x14ac:dyDescent="0.35">
      <c r="D2552" s="20">
        <f t="shared" si="195"/>
        <v>2546</v>
      </c>
      <c r="E2552" s="20">
        <f t="shared" si="196"/>
        <v>150</v>
      </c>
      <c r="F2552" s="20">
        <f t="shared" si="197"/>
        <v>4850</v>
      </c>
      <c r="G2552" s="20">
        <v>0.45508946149520707</v>
      </c>
      <c r="H2552" s="50"/>
      <c r="I2552" s="16"/>
      <c r="J2552" s="16"/>
      <c r="K2552" s="16"/>
      <c r="L2552" s="16"/>
      <c r="M2552" s="16">
        <v>2546</v>
      </c>
      <c r="N2552" s="16">
        <f t="shared" si="198"/>
        <v>0.91302008608321372</v>
      </c>
      <c r="O2552" s="16"/>
      <c r="P2552" s="16"/>
      <c r="Q2552" s="16">
        <f t="shared" si="199"/>
        <v>1.3595896101538165</v>
      </c>
    </row>
    <row r="2553" spans="4:17" ht="15" thickBot="1" x14ac:dyDescent="0.35">
      <c r="D2553" s="20">
        <f t="shared" si="195"/>
        <v>2547</v>
      </c>
      <c r="E2553" s="20">
        <f t="shared" si="196"/>
        <v>250</v>
      </c>
      <c r="F2553" s="20">
        <f t="shared" si="197"/>
        <v>4850</v>
      </c>
      <c r="G2553" s="20">
        <v>0.45529536499917933</v>
      </c>
      <c r="H2553" s="50"/>
      <c r="I2553" s="16"/>
      <c r="J2553" s="16"/>
      <c r="K2553" s="16"/>
      <c r="L2553" s="16"/>
      <c r="M2553" s="16">
        <v>2547</v>
      </c>
      <c r="N2553" s="16">
        <f t="shared" si="198"/>
        <v>0.91337876614060254</v>
      </c>
      <c r="O2553" s="16"/>
      <c r="P2553" s="16"/>
      <c r="Q2553" s="16">
        <f t="shared" si="199"/>
        <v>1.3618587458352285</v>
      </c>
    </row>
    <row r="2554" spans="4:17" ht="15" thickBot="1" x14ac:dyDescent="0.35">
      <c r="D2554" s="20">
        <f t="shared" si="195"/>
        <v>2548</v>
      </c>
      <c r="E2554" s="20">
        <f t="shared" si="196"/>
        <v>350</v>
      </c>
      <c r="F2554" s="20">
        <f t="shared" si="197"/>
        <v>4850</v>
      </c>
      <c r="G2554" s="20">
        <v>0.4553536044361523</v>
      </c>
      <c r="H2554" s="50"/>
      <c r="I2554" s="16"/>
      <c r="J2554" s="16"/>
      <c r="K2554" s="16"/>
      <c r="L2554" s="16"/>
      <c r="M2554" s="16">
        <v>2548</v>
      </c>
      <c r="N2554" s="16">
        <f t="shared" si="198"/>
        <v>0.91373744619799135</v>
      </c>
      <c r="O2554" s="16"/>
      <c r="P2554" s="16"/>
      <c r="Q2554" s="16">
        <f t="shared" si="199"/>
        <v>1.364134915446892</v>
      </c>
    </row>
    <row r="2555" spans="4:17" ht="15" thickBot="1" x14ac:dyDescent="0.35">
      <c r="D2555" s="20">
        <f t="shared" si="195"/>
        <v>2549</v>
      </c>
      <c r="E2555" s="20">
        <f t="shared" si="196"/>
        <v>450</v>
      </c>
      <c r="F2555" s="20">
        <f t="shared" si="197"/>
        <v>4850</v>
      </c>
      <c r="G2555" s="20">
        <v>0.45542175058755746</v>
      </c>
      <c r="H2555" s="50"/>
      <c r="I2555" s="16"/>
      <c r="J2555" s="16"/>
      <c r="K2555" s="16"/>
      <c r="L2555" s="16"/>
      <c r="M2555" s="16">
        <v>2549</v>
      </c>
      <c r="N2555" s="16">
        <f t="shared" si="198"/>
        <v>0.91409612625538017</v>
      </c>
      <c r="O2555" s="16"/>
      <c r="P2555" s="16"/>
      <c r="Q2555" s="16">
        <f t="shared" si="199"/>
        <v>1.3664181745987194</v>
      </c>
    </row>
    <row r="2556" spans="4:17" ht="15" thickBot="1" x14ac:dyDescent="0.35">
      <c r="D2556" s="20">
        <f t="shared" si="195"/>
        <v>2550</v>
      </c>
      <c r="E2556" s="20">
        <f t="shared" si="196"/>
        <v>550</v>
      </c>
      <c r="F2556" s="20">
        <f t="shared" si="197"/>
        <v>4850</v>
      </c>
      <c r="G2556" s="20">
        <v>0.45546941915304406</v>
      </c>
      <c r="H2556" s="50"/>
      <c r="I2556" s="16"/>
      <c r="J2556" s="16"/>
      <c r="K2556" s="16"/>
      <c r="L2556" s="16"/>
      <c r="M2556" s="16">
        <v>2550</v>
      </c>
      <c r="N2556" s="16">
        <f t="shared" si="198"/>
        <v>0.91445480631276899</v>
      </c>
      <c r="O2556" s="16"/>
      <c r="P2556" s="16"/>
      <c r="Q2556" s="16">
        <f t="shared" si="199"/>
        <v>1.3687085795699447</v>
      </c>
    </row>
    <row r="2557" spans="4:17" ht="15" thickBot="1" x14ac:dyDescent="0.35">
      <c r="D2557" s="20">
        <f t="shared" si="195"/>
        <v>2551</v>
      </c>
      <c r="E2557" s="20">
        <f t="shared" si="196"/>
        <v>650</v>
      </c>
      <c r="F2557" s="20">
        <f t="shared" si="197"/>
        <v>4850</v>
      </c>
      <c r="G2557" s="20">
        <v>0.45565778930448242</v>
      </c>
      <c r="H2557" s="50"/>
      <c r="I2557" s="16"/>
      <c r="J2557" s="16"/>
      <c r="K2557" s="16"/>
      <c r="L2557" s="16"/>
      <c r="M2557" s="16">
        <v>2551</v>
      </c>
      <c r="N2557" s="16">
        <f t="shared" si="198"/>
        <v>0.9148134863701578</v>
      </c>
      <c r="O2557" s="16"/>
      <c r="P2557" s="16"/>
      <c r="Q2557" s="16">
        <f t="shared" si="199"/>
        <v>1.3710061873200583</v>
      </c>
    </row>
    <row r="2558" spans="4:17" ht="15" thickBot="1" x14ac:dyDescent="0.35">
      <c r="D2558" s="20">
        <f t="shared" si="195"/>
        <v>2552</v>
      </c>
      <c r="E2558" s="20">
        <f t="shared" si="196"/>
        <v>750</v>
      </c>
      <c r="F2558" s="20">
        <f t="shared" si="197"/>
        <v>4850</v>
      </c>
      <c r="G2558" s="20">
        <v>0.45595039048920549</v>
      </c>
      <c r="H2558" s="50"/>
      <c r="I2558" s="16"/>
      <c r="J2558" s="16"/>
      <c r="K2558" s="16"/>
      <c r="L2558" s="16"/>
      <c r="M2558" s="16">
        <v>2552</v>
      </c>
      <c r="N2558" s="16">
        <f t="shared" si="198"/>
        <v>0.91517216642754662</v>
      </c>
      <c r="O2558" s="16"/>
      <c r="P2558" s="16"/>
      <c r="Q2558" s="16">
        <f t="shared" si="199"/>
        <v>1.3733110554999568</v>
      </c>
    </row>
    <row r="2559" spans="4:17" ht="15" thickBot="1" x14ac:dyDescent="0.35">
      <c r="D2559" s="20">
        <f t="shared" si="195"/>
        <v>2553</v>
      </c>
      <c r="E2559" s="20">
        <f t="shared" si="196"/>
        <v>850</v>
      </c>
      <c r="F2559" s="20">
        <f t="shared" si="197"/>
        <v>4850</v>
      </c>
      <c r="G2559" s="20">
        <v>0.45605175117886942</v>
      </c>
      <c r="H2559" s="50"/>
      <c r="I2559" s="16"/>
      <c r="J2559" s="16"/>
      <c r="K2559" s="16"/>
      <c r="L2559" s="16"/>
      <c r="M2559" s="16">
        <v>2553</v>
      </c>
      <c r="N2559" s="16">
        <f t="shared" si="198"/>
        <v>0.91553084648493543</v>
      </c>
      <c r="O2559" s="16"/>
      <c r="P2559" s="16"/>
      <c r="Q2559" s="16">
        <f t="shared" si="199"/>
        <v>1.3756232424633337</v>
      </c>
    </row>
    <row r="2560" spans="4:17" ht="15" thickBot="1" x14ac:dyDescent="0.35">
      <c r="D2560" s="20">
        <f t="shared" si="195"/>
        <v>2554</v>
      </c>
      <c r="E2560" s="20">
        <f t="shared" si="196"/>
        <v>950</v>
      </c>
      <c r="F2560" s="20">
        <f t="shared" si="197"/>
        <v>4850</v>
      </c>
      <c r="G2560" s="20">
        <v>0.4563409055575528</v>
      </c>
      <c r="H2560" s="50"/>
      <c r="I2560" s="16"/>
      <c r="J2560" s="16"/>
      <c r="K2560" s="16"/>
      <c r="L2560" s="16"/>
      <c r="M2560" s="16">
        <v>2554</v>
      </c>
      <c r="N2560" s="16">
        <f t="shared" si="198"/>
        <v>0.91588952654232425</v>
      </c>
      <c r="O2560" s="16"/>
      <c r="P2560" s="16"/>
      <c r="Q2560" s="16">
        <f t="shared" si="199"/>
        <v>1.3779428072783071</v>
      </c>
    </row>
    <row r="2561" spans="4:17" ht="15" thickBot="1" x14ac:dyDescent="0.35">
      <c r="D2561" s="20">
        <f t="shared" si="195"/>
        <v>2555</v>
      </c>
      <c r="E2561" s="20">
        <f t="shared" si="196"/>
        <v>1050</v>
      </c>
      <c r="F2561" s="20">
        <f t="shared" si="197"/>
        <v>4850</v>
      </c>
      <c r="G2561" s="20">
        <v>0.45645476459445589</v>
      </c>
      <c r="H2561" s="50"/>
      <c r="I2561" s="16"/>
      <c r="J2561" s="16"/>
      <c r="K2561" s="16"/>
      <c r="L2561" s="16"/>
      <c r="M2561" s="16">
        <v>2555</v>
      </c>
      <c r="N2561" s="16">
        <f t="shared" si="198"/>
        <v>0.91624820659971307</v>
      </c>
      <c r="O2561" s="16"/>
      <c r="P2561" s="16"/>
      <c r="Q2561" s="16">
        <f t="shared" si="199"/>
        <v>1.3802698097392849</v>
      </c>
    </row>
    <row r="2562" spans="4:17" ht="15" thickBot="1" x14ac:dyDescent="0.35">
      <c r="D2562" s="20">
        <f t="shared" si="195"/>
        <v>2556</v>
      </c>
      <c r="E2562" s="20">
        <f t="shared" si="196"/>
        <v>1150</v>
      </c>
      <c r="F2562" s="20">
        <f t="shared" si="197"/>
        <v>4850</v>
      </c>
      <c r="G2562" s="20">
        <v>0.45658550077008647</v>
      </c>
      <c r="H2562" s="50"/>
      <c r="I2562" s="16"/>
      <c r="J2562" s="16"/>
      <c r="K2562" s="16"/>
      <c r="L2562" s="16"/>
      <c r="M2562" s="16">
        <v>2556</v>
      </c>
      <c r="N2562" s="16">
        <f t="shared" si="198"/>
        <v>0.91660688665710188</v>
      </c>
      <c r="O2562" s="16"/>
      <c r="P2562" s="16"/>
      <c r="Q2562" s="16">
        <f t="shared" si="199"/>
        <v>1.3826043103790735</v>
      </c>
    </row>
    <row r="2563" spans="4:17" ht="15" thickBot="1" x14ac:dyDescent="0.35">
      <c r="D2563" s="20">
        <f t="shared" si="195"/>
        <v>2557</v>
      </c>
      <c r="E2563" s="20">
        <f t="shared" si="196"/>
        <v>1250</v>
      </c>
      <c r="F2563" s="20">
        <f t="shared" si="197"/>
        <v>4850</v>
      </c>
      <c r="G2563" s="20">
        <v>0.45685402192895164</v>
      </c>
      <c r="H2563" s="50"/>
      <c r="I2563" s="16"/>
      <c r="J2563" s="16"/>
      <c r="K2563" s="16"/>
      <c r="L2563" s="16"/>
      <c r="M2563" s="16">
        <v>2557</v>
      </c>
      <c r="N2563" s="16">
        <f t="shared" si="198"/>
        <v>0.9169655667144907</v>
      </c>
      <c r="O2563" s="16"/>
      <c r="P2563" s="16"/>
      <c r="Q2563" s="16">
        <f t="shared" si="199"/>
        <v>1.3849463704812679</v>
      </c>
    </row>
    <row r="2564" spans="4:17" ht="15" thickBot="1" x14ac:dyDescent="0.35">
      <c r="D2564" s="20">
        <f t="shared" si="195"/>
        <v>2558</v>
      </c>
      <c r="E2564" s="20">
        <f t="shared" si="196"/>
        <v>1350</v>
      </c>
      <c r="F2564" s="20">
        <f t="shared" si="197"/>
        <v>4850</v>
      </c>
      <c r="G2564" s="20">
        <v>0.45686215795788643</v>
      </c>
      <c r="H2564" s="50"/>
      <c r="I2564" s="16"/>
      <c r="J2564" s="16"/>
      <c r="K2564" s="16"/>
      <c r="L2564" s="16"/>
      <c r="M2564" s="16">
        <v>2558</v>
      </c>
      <c r="N2564" s="16">
        <f t="shared" si="198"/>
        <v>0.91732424677187951</v>
      </c>
      <c r="O2564" s="16"/>
      <c r="P2564" s="16"/>
      <c r="Q2564" s="16">
        <f t="shared" si="199"/>
        <v>1.3872960520928679</v>
      </c>
    </row>
    <row r="2565" spans="4:17" ht="15" thickBot="1" x14ac:dyDescent="0.35">
      <c r="D2565" s="20">
        <f t="shared" si="195"/>
        <v>2559</v>
      </c>
      <c r="E2565" s="20">
        <f t="shared" si="196"/>
        <v>1450</v>
      </c>
      <c r="F2565" s="20">
        <f t="shared" si="197"/>
        <v>4850</v>
      </c>
      <c r="G2565" s="20">
        <v>0.45712642566727546</v>
      </c>
      <c r="H2565" s="50"/>
      <c r="I2565" s="16"/>
      <c r="J2565" s="16"/>
      <c r="K2565" s="16"/>
      <c r="L2565" s="16"/>
      <c r="M2565" s="16">
        <v>2559</v>
      </c>
      <c r="N2565" s="16">
        <f t="shared" si="198"/>
        <v>0.91768292682926833</v>
      </c>
      <c r="O2565" s="16"/>
      <c r="P2565" s="16"/>
      <c r="Q2565" s="16">
        <f t="shared" si="199"/>
        <v>1.3896534180371902</v>
      </c>
    </row>
    <row r="2566" spans="4:17" ht="15" thickBot="1" x14ac:dyDescent="0.35">
      <c r="D2566" s="20">
        <f t="shared" si="195"/>
        <v>2560</v>
      </c>
      <c r="E2566" s="20">
        <f t="shared" si="196"/>
        <v>1550</v>
      </c>
      <c r="F2566" s="20">
        <f t="shared" si="197"/>
        <v>4850</v>
      </c>
      <c r="G2566" s="20">
        <v>0.45741513074183904</v>
      </c>
      <c r="H2566" s="50"/>
      <c r="I2566" s="16"/>
      <c r="J2566" s="16"/>
      <c r="K2566" s="16"/>
      <c r="L2566" s="16"/>
      <c r="M2566" s="16">
        <v>2560</v>
      </c>
      <c r="N2566" s="16">
        <f t="shared" si="198"/>
        <v>0.91804160688665715</v>
      </c>
      <c r="O2566" s="16"/>
      <c r="P2566" s="16"/>
      <c r="Q2566" s="16">
        <f t="shared" si="199"/>
        <v>1.3920185319270373</v>
      </c>
    </row>
    <row r="2567" spans="4:17" ht="15" thickBot="1" x14ac:dyDescent="0.35">
      <c r="D2567" s="20">
        <f t="shared" ref="D2567:D2630" si="200">ROW()-6</f>
        <v>2561</v>
      </c>
      <c r="E2567" s="20">
        <f t="shared" ref="E2567:E2630" si="201">(MOD(D2567-1,53)*100)+50</f>
        <v>1650</v>
      </c>
      <c r="F2567" s="20">
        <f t="shared" ref="F2567:F2630" si="202">FLOOR((D2567-1)/53,1)*100+50</f>
        <v>4850</v>
      </c>
      <c r="G2567" s="20">
        <v>0.45777964186601661</v>
      </c>
      <c r="H2567" s="50"/>
      <c r="I2567" s="16"/>
      <c r="J2567" s="16"/>
      <c r="K2567" s="16"/>
      <c r="L2567" s="16"/>
      <c r="M2567" s="16">
        <v>2561</v>
      </c>
      <c r="N2567" s="16">
        <f t="shared" si="198"/>
        <v>0.91840028694404596</v>
      </c>
      <c r="O2567" s="16"/>
      <c r="P2567" s="16"/>
      <c r="Q2567" s="16">
        <f t="shared" si="199"/>
        <v>1.3943914581781796</v>
      </c>
    </row>
    <row r="2568" spans="4:17" ht="15" thickBot="1" x14ac:dyDescent="0.35">
      <c r="D2568" s="20">
        <f t="shared" si="200"/>
        <v>2562</v>
      </c>
      <c r="E2568" s="20">
        <f t="shared" si="201"/>
        <v>1750</v>
      </c>
      <c r="F2568" s="20">
        <f t="shared" si="202"/>
        <v>4850</v>
      </c>
      <c r="G2568" s="20">
        <v>0.45809759049189214</v>
      </c>
      <c r="H2568" s="50"/>
      <c r="I2568" s="16"/>
      <c r="J2568" s="16"/>
      <c r="K2568" s="16"/>
      <c r="L2568" s="16"/>
      <c r="M2568" s="16">
        <v>2562</v>
      </c>
      <c r="N2568" s="16">
        <f t="shared" ref="N2568:N2631" si="203">(M2568-0.5)/$L$7</f>
        <v>0.91875896700143467</v>
      </c>
      <c r="O2568" s="16"/>
      <c r="P2568" s="16"/>
      <c r="Q2568" s="16">
        <f t="shared" ref="Q2568:Q2631" si="204">_xlfn.NORM.S.INV(N2568)</f>
        <v>1.3967722620230776</v>
      </c>
    </row>
    <row r="2569" spans="4:17" ht="15" thickBot="1" x14ac:dyDescent="0.35">
      <c r="D2569" s="20">
        <f t="shared" si="200"/>
        <v>2563</v>
      </c>
      <c r="E2569" s="20">
        <f t="shared" si="201"/>
        <v>1850</v>
      </c>
      <c r="F2569" s="20">
        <f t="shared" si="202"/>
        <v>4850</v>
      </c>
      <c r="G2569" s="20">
        <v>0.45829233061189778</v>
      </c>
      <c r="H2569" s="50"/>
      <c r="I2569" s="16"/>
      <c r="J2569" s="16"/>
      <c r="K2569" s="16"/>
      <c r="L2569" s="16"/>
      <c r="M2569" s="16">
        <v>2563</v>
      </c>
      <c r="N2569" s="16">
        <f t="shared" si="203"/>
        <v>0.91911764705882348</v>
      </c>
      <c r="O2569" s="16"/>
      <c r="P2569" s="16"/>
      <c r="Q2569" s="16">
        <f t="shared" si="204"/>
        <v>1.399161009524948</v>
      </c>
    </row>
    <row r="2570" spans="4:17" ht="15" thickBot="1" x14ac:dyDescent="0.35">
      <c r="D2570" s="20">
        <f t="shared" si="200"/>
        <v>2564</v>
      </c>
      <c r="E2570" s="20">
        <f t="shared" si="201"/>
        <v>1950</v>
      </c>
      <c r="F2570" s="20">
        <f t="shared" si="202"/>
        <v>4850</v>
      </c>
      <c r="G2570" s="20">
        <v>0.45837578047646921</v>
      </c>
      <c r="H2570" s="50"/>
      <c r="I2570" s="16"/>
      <c r="J2570" s="16"/>
      <c r="K2570" s="16"/>
      <c r="L2570" s="16"/>
      <c r="M2570" s="16">
        <v>2564</v>
      </c>
      <c r="N2570" s="16">
        <f t="shared" si="203"/>
        <v>0.9194763271162123</v>
      </c>
      <c r="O2570" s="16"/>
      <c r="P2570" s="16"/>
      <c r="Q2570" s="16">
        <f t="shared" si="204"/>
        <v>1.4015577675921238</v>
      </c>
    </row>
    <row r="2571" spans="4:17" ht="15" thickBot="1" x14ac:dyDescent="0.35">
      <c r="D2571" s="20">
        <f t="shared" si="200"/>
        <v>2565</v>
      </c>
      <c r="E2571" s="20">
        <f t="shared" si="201"/>
        <v>2050</v>
      </c>
      <c r="F2571" s="20">
        <f t="shared" si="202"/>
        <v>4850</v>
      </c>
      <c r="G2571" s="20">
        <v>0.45885611434967188</v>
      </c>
      <c r="H2571" s="50"/>
      <c r="I2571" s="16"/>
      <c r="J2571" s="16"/>
      <c r="K2571" s="16"/>
      <c r="L2571" s="16"/>
      <c r="M2571" s="16">
        <v>2565</v>
      </c>
      <c r="N2571" s="16">
        <f t="shared" si="203"/>
        <v>0.91983500717360112</v>
      </c>
      <c r="O2571" s="16"/>
      <c r="P2571" s="16"/>
      <c r="Q2571" s="16">
        <f t="shared" si="204"/>
        <v>1.4039626039926962</v>
      </c>
    </row>
    <row r="2572" spans="4:17" ht="15" thickBot="1" x14ac:dyDescent="0.35">
      <c r="D2572" s="20">
        <f t="shared" si="200"/>
        <v>2566</v>
      </c>
      <c r="E2572" s="20">
        <f t="shared" si="201"/>
        <v>2150</v>
      </c>
      <c r="F2572" s="20">
        <f t="shared" si="202"/>
        <v>4850</v>
      </c>
      <c r="G2572" s="20">
        <v>0.45888394760442008</v>
      </c>
      <c r="H2572" s="50"/>
      <c r="I2572" s="16"/>
      <c r="J2572" s="16"/>
      <c r="K2572" s="16"/>
      <c r="L2572" s="16"/>
      <c r="M2572" s="16">
        <v>2566</v>
      </c>
      <c r="N2572" s="16">
        <f t="shared" si="203"/>
        <v>0.92019368723098993</v>
      </c>
      <c r="O2572" s="16"/>
      <c r="P2572" s="16"/>
      <c r="Q2572" s="16">
        <f t="shared" si="204"/>
        <v>1.4063755873695374</v>
      </c>
    </row>
    <row r="2573" spans="4:17" ht="15" thickBot="1" x14ac:dyDescent="0.35">
      <c r="D2573" s="20">
        <f t="shared" si="200"/>
        <v>2567</v>
      </c>
      <c r="E2573" s="20">
        <f t="shared" si="201"/>
        <v>2250</v>
      </c>
      <c r="F2573" s="20">
        <f t="shared" si="202"/>
        <v>4850</v>
      </c>
      <c r="G2573" s="20">
        <v>0.45912716840979706</v>
      </c>
      <c r="H2573" s="50"/>
      <c r="I2573" s="16"/>
      <c r="J2573" s="16"/>
      <c r="K2573" s="16"/>
      <c r="L2573" s="16"/>
      <c r="M2573" s="16">
        <v>2567</v>
      </c>
      <c r="N2573" s="16">
        <f t="shared" si="203"/>
        <v>0.92055236728837875</v>
      </c>
      <c r="O2573" s="16"/>
      <c r="P2573" s="16"/>
      <c r="Q2573" s="16">
        <f t="shared" si="204"/>
        <v>1.4087967872555893</v>
      </c>
    </row>
    <row r="2574" spans="4:17" ht="15" thickBot="1" x14ac:dyDescent="0.35">
      <c r="D2574" s="20">
        <f t="shared" si="200"/>
        <v>2568</v>
      </c>
      <c r="E2574" s="20">
        <f t="shared" si="201"/>
        <v>2350</v>
      </c>
      <c r="F2574" s="20">
        <f t="shared" si="202"/>
        <v>4850</v>
      </c>
      <c r="G2574" s="20">
        <v>0.45914298272525189</v>
      </c>
      <c r="H2574" s="50"/>
      <c r="I2574" s="16"/>
      <c r="J2574" s="16"/>
      <c r="K2574" s="16"/>
      <c r="L2574" s="16"/>
      <c r="M2574" s="16">
        <v>2568</v>
      </c>
      <c r="N2574" s="16">
        <f t="shared" si="203"/>
        <v>0.92091104734576756</v>
      </c>
      <c r="O2574" s="16"/>
      <c r="P2574" s="16"/>
      <c r="Q2574" s="16">
        <f t="shared" si="204"/>
        <v>1.4112262740895367</v>
      </c>
    </row>
    <row r="2575" spans="4:17" ht="15" thickBot="1" x14ac:dyDescent="0.35">
      <c r="D2575" s="20">
        <f t="shared" si="200"/>
        <v>2569</v>
      </c>
      <c r="E2575" s="20">
        <f t="shared" si="201"/>
        <v>2450</v>
      </c>
      <c r="F2575" s="20">
        <f t="shared" si="202"/>
        <v>4850</v>
      </c>
      <c r="G2575" s="20">
        <v>0.45983262490775711</v>
      </c>
      <c r="H2575" s="50"/>
      <c r="I2575" s="16"/>
      <c r="J2575" s="16"/>
      <c r="K2575" s="16"/>
      <c r="L2575" s="16"/>
      <c r="M2575" s="16">
        <v>2569</v>
      </c>
      <c r="N2575" s="16">
        <f t="shared" si="203"/>
        <v>0.92126972740315638</v>
      </c>
      <c r="O2575" s="16"/>
      <c r="P2575" s="16"/>
      <c r="Q2575" s="16">
        <f t="shared" si="204"/>
        <v>1.413664119231822</v>
      </c>
    </row>
    <row r="2576" spans="4:17" ht="15" thickBot="1" x14ac:dyDescent="0.35">
      <c r="D2576" s="20">
        <f t="shared" si="200"/>
        <v>2570</v>
      </c>
      <c r="E2576" s="20">
        <f t="shared" si="201"/>
        <v>2550</v>
      </c>
      <c r="F2576" s="20">
        <f t="shared" si="202"/>
        <v>4850</v>
      </c>
      <c r="G2576" s="20">
        <v>0.46029386413470741</v>
      </c>
      <c r="H2576" s="50"/>
      <c r="I2576" s="16"/>
      <c r="J2576" s="16"/>
      <c r="K2576" s="16"/>
      <c r="L2576" s="16"/>
      <c r="M2576" s="16">
        <v>2570</v>
      </c>
      <c r="N2576" s="16">
        <f t="shared" si="203"/>
        <v>0.9216284074605452</v>
      </c>
      <c r="O2576" s="16"/>
      <c r="P2576" s="16"/>
      <c r="Q2576" s="16">
        <f t="shared" si="204"/>
        <v>1.4161103949809903</v>
      </c>
    </row>
    <row r="2577" spans="4:17" ht="15" thickBot="1" x14ac:dyDescent="0.35">
      <c r="D2577" s="20">
        <f t="shared" si="200"/>
        <v>2571</v>
      </c>
      <c r="E2577" s="20">
        <f t="shared" si="201"/>
        <v>2650</v>
      </c>
      <c r="F2577" s="20">
        <f t="shared" si="202"/>
        <v>4850</v>
      </c>
      <c r="G2577" s="20">
        <v>0.46036316322249038</v>
      </c>
      <c r="H2577" s="50"/>
      <c r="I2577" s="16"/>
      <c r="J2577" s="16"/>
      <c r="K2577" s="16"/>
      <c r="L2577" s="16"/>
      <c r="M2577" s="16">
        <v>2571</v>
      </c>
      <c r="N2577" s="16">
        <f t="shared" si="203"/>
        <v>0.92198708751793401</v>
      </c>
      <c r="O2577" s="16"/>
      <c r="P2577" s="16"/>
      <c r="Q2577" s="16">
        <f t="shared" si="204"/>
        <v>1.4185651745904313</v>
      </c>
    </row>
    <row r="2578" spans="4:17" ht="15" thickBot="1" x14ac:dyDescent="0.35">
      <c r="D2578" s="20">
        <f t="shared" si="200"/>
        <v>2572</v>
      </c>
      <c r="E2578" s="20">
        <f t="shared" si="201"/>
        <v>2750</v>
      </c>
      <c r="F2578" s="20">
        <f t="shared" si="202"/>
        <v>4850</v>
      </c>
      <c r="G2578" s="20">
        <v>0.46037436454727632</v>
      </c>
      <c r="H2578" s="50"/>
      <c r="I2578" s="16"/>
      <c r="J2578" s="16"/>
      <c r="K2578" s="16"/>
      <c r="L2578" s="16"/>
      <c r="M2578" s="16">
        <v>2572</v>
      </c>
      <c r="N2578" s="16">
        <f t="shared" si="203"/>
        <v>0.92234576757532283</v>
      </c>
      <c r="O2578" s="16"/>
      <c r="P2578" s="16"/>
      <c r="Q2578" s="16">
        <f t="shared" si="204"/>
        <v>1.4210285322854883</v>
      </c>
    </row>
    <row r="2579" spans="4:17" ht="15" thickBot="1" x14ac:dyDescent="0.35">
      <c r="D2579" s="20">
        <f t="shared" si="200"/>
        <v>2573</v>
      </c>
      <c r="E2579" s="20">
        <f t="shared" si="201"/>
        <v>2850</v>
      </c>
      <c r="F2579" s="20">
        <f t="shared" si="202"/>
        <v>4850</v>
      </c>
      <c r="G2579" s="20">
        <v>0.46060906501360099</v>
      </c>
      <c r="H2579" s="50"/>
      <c r="I2579" s="16"/>
      <c r="J2579" s="16"/>
      <c r="K2579" s="16"/>
      <c r="L2579" s="16"/>
      <c r="M2579" s="16">
        <v>2573</v>
      </c>
      <c r="N2579" s="16">
        <f t="shared" si="203"/>
        <v>0.92270444763271164</v>
      </c>
      <c r="O2579" s="16"/>
      <c r="P2579" s="16"/>
      <c r="Q2579" s="16">
        <f t="shared" si="204"/>
        <v>1.4235005432809607</v>
      </c>
    </row>
    <row r="2580" spans="4:17" ht="15" thickBot="1" x14ac:dyDescent="0.35">
      <c r="D2580" s="20">
        <f t="shared" si="200"/>
        <v>2574</v>
      </c>
      <c r="E2580" s="20">
        <f t="shared" si="201"/>
        <v>2950</v>
      </c>
      <c r="F2580" s="20">
        <f t="shared" si="202"/>
        <v>4850</v>
      </c>
      <c r="G2580" s="20">
        <v>0.46094327280124864</v>
      </c>
      <c r="H2580" s="50"/>
      <c r="I2580" s="16"/>
      <c r="J2580" s="16"/>
      <c r="K2580" s="16"/>
      <c r="L2580" s="16"/>
      <c r="M2580" s="16">
        <v>2574</v>
      </c>
      <c r="N2580" s="16">
        <f t="shared" si="203"/>
        <v>0.92306312769010046</v>
      </c>
      <c r="O2580" s="16"/>
      <c r="P2580" s="16"/>
      <c r="Q2580" s="16">
        <f t="shared" si="204"/>
        <v>1.4259812837989785</v>
      </c>
    </row>
    <row r="2581" spans="4:17" ht="15" thickBot="1" x14ac:dyDescent="0.35">
      <c r="D2581" s="20">
        <f t="shared" si="200"/>
        <v>2575</v>
      </c>
      <c r="E2581" s="20">
        <f t="shared" si="201"/>
        <v>3050</v>
      </c>
      <c r="F2581" s="20">
        <f t="shared" si="202"/>
        <v>4850</v>
      </c>
      <c r="G2581" s="20">
        <v>0.4609433527398426</v>
      </c>
      <c r="H2581" s="50"/>
      <c r="I2581" s="16"/>
      <c r="J2581" s="16"/>
      <c r="K2581" s="16"/>
      <c r="L2581" s="16"/>
      <c r="M2581" s="16">
        <v>2575</v>
      </c>
      <c r="N2581" s="16">
        <f t="shared" si="203"/>
        <v>0.92342180774748928</v>
      </c>
      <c r="O2581" s="16"/>
      <c r="P2581" s="16"/>
      <c r="Q2581" s="16">
        <f t="shared" si="204"/>
        <v>1.428470831087322</v>
      </c>
    </row>
    <row r="2582" spans="4:17" ht="15" thickBot="1" x14ac:dyDescent="0.35">
      <c r="D2582" s="20">
        <f t="shared" si="200"/>
        <v>2576</v>
      </c>
      <c r="E2582" s="20">
        <f t="shared" si="201"/>
        <v>3150</v>
      </c>
      <c r="F2582" s="20">
        <f t="shared" si="202"/>
        <v>4850</v>
      </c>
      <c r="G2582" s="20">
        <v>0.46107736842435948</v>
      </c>
      <c r="H2582" s="50"/>
      <c r="I2582" s="16"/>
      <c r="J2582" s="16"/>
      <c r="K2582" s="16"/>
      <c r="L2582" s="16"/>
      <c r="M2582" s="16">
        <v>2576</v>
      </c>
      <c r="N2582" s="16">
        <f t="shared" si="203"/>
        <v>0.92378048780487809</v>
      </c>
      <c r="O2582" s="16"/>
      <c r="P2582" s="16"/>
      <c r="Q2582" s="16">
        <f t="shared" si="204"/>
        <v>1.4309692634381443</v>
      </c>
    </row>
    <row r="2583" spans="4:17" ht="15" thickBot="1" x14ac:dyDescent="0.35">
      <c r="D2583" s="20">
        <f t="shared" si="200"/>
        <v>2577</v>
      </c>
      <c r="E2583" s="48">
        <f t="shared" si="201"/>
        <v>3250</v>
      </c>
      <c r="F2583" s="48">
        <f t="shared" si="202"/>
        <v>4850</v>
      </c>
      <c r="G2583" s="20">
        <v>0.46108934769426391</v>
      </c>
      <c r="H2583" s="50"/>
      <c r="I2583" s="16"/>
      <c r="J2583" s="16"/>
      <c r="K2583" s="16"/>
      <c r="L2583" s="16"/>
      <c r="M2583" s="16">
        <v>2577</v>
      </c>
      <c r="N2583" s="16">
        <f t="shared" si="203"/>
        <v>0.92413916786226691</v>
      </c>
      <c r="O2583" s="16"/>
      <c r="P2583" s="16"/>
      <c r="Q2583" s="16">
        <f t="shared" si="204"/>
        <v>1.4334766602071207</v>
      </c>
    </row>
    <row r="2584" spans="4:17" ht="15" thickBot="1" x14ac:dyDescent="0.35">
      <c r="D2584" s="20">
        <f t="shared" si="200"/>
        <v>2578</v>
      </c>
      <c r="E2584" s="20">
        <f t="shared" si="201"/>
        <v>3350</v>
      </c>
      <c r="F2584" s="20">
        <f t="shared" si="202"/>
        <v>4850</v>
      </c>
      <c r="G2584" s="20">
        <v>0.46113484234371754</v>
      </c>
      <c r="H2584" s="50"/>
      <c r="I2584" s="16"/>
      <c r="J2584" s="16"/>
      <c r="K2584" s="16"/>
      <c r="L2584" s="16"/>
      <c r="M2584" s="16">
        <v>2578</v>
      </c>
      <c r="N2584" s="16">
        <f t="shared" si="203"/>
        <v>0.92449784791965561</v>
      </c>
      <c r="O2584" s="16"/>
      <c r="P2584" s="16"/>
      <c r="Q2584" s="16">
        <f t="shared" si="204"/>
        <v>1.4359931018330541</v>
      </c>
    </row>
    <row r="2585" spans="4:17" ht="15" thickBot="1" x14ac:dyDescent="0.35">
      <c r="D2585" s="20">
        <f t="shared" si="200"/>
        <v>2579</v>
      </c>
      <c r="E2585" s="20">
        <f t="shared" si="201"/>
        <v>3450</v>
      </c>
      <c r="F2585" s="20">
        <f t="shared" si="202"/>
        <v>4850</v>
      </c>
      <c r="G2585" s="20">
        <v>0.46218460746938239</v>
      </c>
      <c r="H2585" s="50"/>
      <c r="I2585" s="16"/>
      <c r="J2585" s="16"/>
      <c r="K2585" s="16"/>
      <c r="L2585" s="16"/>
      <c r="M2585" s="16">
        <v>2579</v>
      </c>
      <c r="N2585" s="16">
        <f t="shared" si="203"/>
        <v>0.92485652797704443</v>
      </c>
      <c r="O2585" s="16"/>
      <c r="P2585" s="16"/>
      <c r="Q2585" s="16">
        <f t="shared" si="204"/>
        <v>1.4385186698579233</v>
      </c>
    </row>
    <row r="2586" spans="4:17" ht="15" thickBot="1" x14ac:dyDescent="0.35">
      <c r="D2586" s="20">
        <f t="shared" si="200"/>
        <v>2580</v>
      </c>
      <c r="E2586" s="20">
        <f t="shared" si="201"/>
        <v>3550</v>
      </c>
      <c r="F2586" s="20">
        <f t="shared" si="202"/>
        <v>4850</v>
      </c>
      <c r="G2586" s="20">
        <v>0.46270878431628437</v>
      </c>
      <c r="H2586" s="50"/>
      <c r="I2586" s="16"/>
      <c r="J2586" s="16"/>
      <c r="K2586" s="16"/>
      <c r="L2586" s="16"/>
      <c r="M2586" s="16">
        <v>2580</v>
      </c>
      <c r="N2586" s="16">
        <f t="shared" si="203"/>
        <v>0.92521520803443325</v>
      </c>
      <c r="O2586" s="16"/>
      <c r="P2586" s="16"/>
      <c r="Q2586" s="16">
        <f t="shared" si="204"/>
        <v>1.4410534469474241</v>
      </c>
    </row>
    <row r="2587" spans="4:17" ht="15" thickBot="1" x14ac:dyDescent="0.35">
      <c r="D2587" s="20">
        <f t="shared" si="200"/>
        <v>2581</v>
      </c>
      <c r="E2587" s="20">
        <f t="shared" si="201"/>
        <v>3650</v>
      </c>
      <c r="F2587" s="20">
        <f t="shared" si="202"/>
        <v>4850</v>
      </c>
      <c r="G2587" s="20">
        <v>0.46307558642183405</v>
      </c>
      <c r="H2587" s="50"/>
      <c r="I2587" s="16"/>
      <c r="J2587" s="16"/>
      <c r="K2587" s="16"/>
      <c r="L2587" s="16"/>
      <c r="M2587" s="16">
        <v>2581</v>
      </c>
      <c r="N2587" s="16">
        <f t="shared" si="203"/>
        <v>0.92557388809182206</v>
      </c>
      <c r="O2587" s="16"/>
      <c r="P2587" s="16"/>
      <c r="Q2587" s="16">
        <f t="shared" si="204"/>
        <v>1.4435975169119624</v>
      </c>
    </row>
    <row r="2588" spans="4:17" ht="15" thickBot="1" x14ac:dyDescent="0.35">
      <c r="D2588" s="20">
        <f t="shared" si="200"/>
        <v>2582</v>
      </c>
      <c r="E2588" s="20">
        <f t="shared" si="201"/>
        <v>3750</v>
      </c>
      <c r="F2588" s="20">
        <f t="shared" si="202"/>
        <v>4850</v>
      </c>
      <c r="G2588" s="20">
        <v>0.46312258026435005</v>
      </c>
      <c r="H2588" s="50"/>
      <c r="I2588" s="16"/>
      <c r="J2588" s="16"/>
      <c r="K2588" s="16"/>
      <c r="L2588" s="16"/>
      <c r="M2588" s="16">
        <v>2582</v>
      </c>
      <c r="N2588" s="16">
        <f t="shared" si="203"/>
        <v>0.92593256814921088</v>
      </c>
      <c r="O2588" s="16"/>
      <c r="P2588" s="16"/>
      <c r="Q2588" s="16">
        <f t="shared" si="204"/>
        <v>1.4461509647281685</v>
      </c>
    </row>
    <row r="2589" spans="4:17" ht="15" thickBot="1" x14ac:dyDescent="0.35">
      <c r="D2589" s="20">
        <f t="shared" si="200"/>
        <v>2583</v>
      </c>
      <c r="E2589" s="20">
        <f t="shared" si="201"/>
        <v>3850</v>
      </c>
      <c r="F2589" s="20">
        <f t="shared" si="202"/>
        <v>4850</v>
      </c>
      <c r="G2589" s="20">
        <v>0.46319582003555781</v>
      </c>
      <c r="H2589" s="50"/>
      <c r="I2589" s="16"/>
      <c r="J2589" s="16"/>
      <c r="K2589" s="16"/>
      <c r="L2589" s="16"/>
      <c r="M2589" s="16">
        <v>2583</v>
      </c>
      <c r="N2589" s="16">
        <f t="shared" si="203"/>
        <v>0.92629124820659969</v>
      </c>
      <c r="O2589" s="16"/>
      <c r="P2589" s="16"/>
      <c r="Q2589" s="16">
        <f t="shared" si="204"/>
        <v>1.4487138765609109</v>
      </c>
    </row>
    <row r="2590" spans="4:17" ht="15" thickBot="1" x14ac:dyDescent="0.35">
      <c r="D2590" s="20">
        <f t="shared" si="200"/>
        <v>2584</v>
      </c>
      <c r="E2590" s="20">
        <f t="shared" si="201"/>
        <v>3950</v>
      </c>
      <c r="F2590" s="20">
        <f t="shared" si="202"/>
        <v>4850</v>
      </c>
      <c r="G2590" s="20">
        <v>0.463220288234028</v>
      </c>
      <c r="H2590" s="50"/>
      <c r="I2590" s="16"/>
      <c r="J2590" s="16"/>
      <c r="K2590" s="16"/>
      <c r="L2590" s="16"/>
      <c r="M2590" s="16">
        <v>2584</v>
      </c>
      <c r="N2590" s="16">
        <f t="shared" si="203"/>
        <v>0.92664992826398851</v>
      </c>
      <c r="O2590" s="16"/>
      <c r="P2590" s="16"/>
      <c r="Q2590" s="16">
        <f t="shared" si="204"/>
        <v>1.4512863397858391</v>
      </c>
    </row>
    <row r="2591" spans="4:17" ht="15" thickBot="1" x14ac:dyDescent="0.35">
      <c r="D2591" s="20">
        <f t="shared" si="200"/>
        <v>2585</v>
      </c>
      <c r="E2591" s="20">
        <f t="shared" si="201"/>
        <v>4050</v>
      </c>
      <c r="F2591" s="20">
        <f t="shared" si="202"/>
        <v>4850</v>
      </c>
      <c r="G2591" s="20">
        <v>0.4638143514456296</v>
      </c>
      <c r="H2591" s="50"/>
      <c r="I2591" s="16"/>
      <c r="J2591" s="16"/>
      <c r="K2591" s="16"/>
      <c r="L2591" s="16"/>
      <c r="M2591" s="16">
        <v>2585</v>
      </c>
      <c r="N2591" s="16">
        <f t="shared" si="203"/>
        <v>0.92700860832137733</v>
      </c>
      <c r="O2591" s="16"/>
      <c r="P2591" s="16"/>
      <c r="Q2591" s="16">
        <f t="shared" si="204"/>
        <v>1.4538684430124638</v>
      </c>
    </row>
    <row r="2592" spans="4:17" ht="15" thickBot="1" x14ac:dyDescent="0.35">
      <c r="D2592" s="20">
        <f t="shared" si="200"/>
        <v>2586</v>
      </c>
      <c r="E2592" s="43">
        <f t="shared" si="201"/>
        <v>4150</v>
      </c>
      <c r="F2592" s="43">
        <f t="shared" si="202"/>
        <v>4850</v>
      </c>
      <c r="G2592" s="20">
        <v>0.46398616663249487</v>
      </c>
      <c r="H2592" s="50"/>
      <c r="I2592" s="16"/>
      <c r="J2592" s="16"/>
      <c r="K2592" s="16"/>
      <c r="L2592" s="16"/>
      <c r="M2592" s="16">
        <v>2586</v>
      </c>
      <c r="N2592" s="16">
        <f t="shared" si="203"/>
        <v>0.92736728837876614</v>
      </c>
      <c r="O2592" s="16"/>
      <c r="P2592" s="16"/>
      <c r="Q2592" s="16">
        <f t="shared" si="204"/>
        <v>1.4564602761077976</v>
      </c>
    </row>
    <row r="2593" spans="4:17" ht="15" thickBot="1" x14ac:dyDescent="0.35">
      <c r="D2593" s="20">
        <f t="shared" si="200"/>
        <v>2587</v>
      </c>
      <c r="E2593" s="20">
        <f t="shared" si="201"/>
        <v>4250</v>
      </c>
      <c r="F2593" s="20">
        <f t="shared" si="202"/>
        <v>4850</v>
      </c>
      <c r="G2593" s="20">
        <v>0.46403991224446844</v>
      </c>
      <c r="H2593" s="50"/>
      <c r="I2593" s="16"/>
      <c r="J2593" s="16"/>
      <c r="K2593" s="16"/>
      <c r="L2593" s="16"/>
      <c r="M2593" s="16">
        <v>2587</v>
      </c>
      <c r="N2593" s="16">
        <f t="shared" si="203"/>
        <v>0.92772596843615496</v>
      </c>
      <c r="O2593" s="16"/>
      <c r="P2593" s="16"/>
      <c r="Q2593" s="16">
        <f t="shared" si="204"/>
        <v>1.4590619302205661</v>
      </c>
    </row>
    <row r="2594" spans="4:17" ht="15" thickBot="1" x14ac:dyDescent="0.35">
      <c r="D2594" s="20">
        <f t="shared" si="200"/>
        <v>2588</v>
      </c>
      <c r="E2594" s="20">
        <f t="shared" si="201"/>
        <v>4350</v>
      </c>
      <c r="F2594" s="20">
        <f t="shared" si="202"/>
        <v>4850</v>
      </c>
      <c r="G2594" s="20">
        <v>0.46409779577346433</v>
      </c>
      <c r="H2594" s="50"/>
      <c r="I2594" s="16"/>
      <c r="J2594" s="16"/>
      <c r="K2594" s="16"/>
      <c r="L2594" s="16"/>
      <c r="M2594" s="16">
        <v>2588</v>
      </c>
      <c r="N2594" s="16">
        <f t="shared" si="203"/>
        <v>0.92808464849354377</v>
      </c>
      <c r="O2594" s="16"/>
      <c r="P2594" s="16"/>
      <c r="Q2594" s="16">
        <f t="shared" si="204"/>
        <v>1.4616734978060082</v>
      </c>
    </row>
    <row r="2595" spans="4:17" ht="15" thickBot="1" x14ac:dyDescent="0.35">
      <c r="D2595" s="20">
        <f t="shared" si="200"/>
        <v>2589</v>
      </c>
      <c r="E2595" s="20">
        <f t="shared" si="201"/>
        <v>4450</v>
      </c>
      <c r="F2595" s="20">
        <f t="shared" si="202"/>
        <v>4850</v>
      </c>
      <c r="G2595" s="20">
        <v>0.46423097488596121</v>
      </c>
      <c r="H2595" s="50"/>
      <c r="I2595" s="16"/>
      <c r="J2595" s="16"/>
      <c r="K2595" s="16"/>
      <c r="L2595" s="16"/>
      <c r="M2595" s="16">
        <v>2589</v>
      </c>
      <c r="N2595" s="16">
        <f t="shared" si="203"/>
        <v>0.92844332855093259</v>
      </c>
      <c r="O2595" s="16"/>
      <c r="P2595" s="16"/>
      <c r="Q2595" s="16">
        <f t="shared" si="204"/>
        <v>1.4642950726512829</v>
      </c>
    </row>
    <row r="2596" spans="4:17" ht="15" thickBot="1" x14ac:dyDescent="0.35">
      <c r="D2596" s="20">
        <f t="shared" si="200"/>
        <v>2590</v>
      </c>
      <c r="E2596" s="20">
        <f t="shared" si="201"/>
        <v>4550</v>
      </c>
      <c r="F2596" s="20">
        <f t="shared" si="202"/>
        <v>4850</v>
      </c>
      <c r="G2596" s="20">
        <v>0.46433921788619476</v>
      </c>
      <c r="H2596" s="50"/>
      <c r="I2596" s="16"/>
      <c r="J2596" s="16"/>
      <c r="K2596" s="16"/>
      <c r="L2596" s="16"/>
      <c r="M2596" s="16">
        <v>2590</v>
      </c>
      <c r="N2596" s="16">
        <f t="shared" si="203"/>
        <v>0.92880200860832141</v>
      </c>
      <c r="O2596" s="16"/>
      <c r="P2596" s="16"/>
      <c r="Q2596" s="16">
        <f t="shared" si="204"/>
        <v>1.4669267499015035</v>
      </c>
    </row>
    <row r="2597" spans="4:17" ht="15" thickBot="1" x14ac:dyDescent="0.35">
      <c r="D2597" s="20">
        <f t="shared" si="200"/>
        <v>2591</v>
      </c>
      <c r="E2597" s="20">
        <f t="shared" si="201"/>
        <v>4650</v>
      </c>
      <c r="F2597" s="20">
        <f t="shared" si="202"/>
        <v>4850</v>
      </c>
      <c r="G2597" s="20">
        <v>0.46439500717919652</v>
      </c>
      <c r="H2597" s="50"/>
      <c r="I2597" s="16"/>
      <c r="J2597" s="16"/>
      <c r="K2597" s="16"/>
      <c r="L2597" s="16"/>
      <c r="M2597" s="16">
        <v>2591</v>
      </c>
      <c r="N2597" s="16">
        <f t="shared" si="203"/>
        <v>0.92916068866571022</v>
      </c>
      <c r="O2597" s="16"/>
      <c r="P2597" s="16"/>
      <c r="Q2597" s="16">
        <f t="shared" si="204"/>
        <v>1.4695686260864118</v>
      </c>
    </row>
    <row r="2598" spans="4:17" ht="15" thickBot="1" x14ac:dyDescent="0.35">
      <c r="D2598" s="20">
        <f t="shared" si="200"/>
        <v>2592</v>
      </c>
      <c r="E2598" s="20">
        <f t="shared" si="201"/>
        <v>4750</v>
      </c>
      <c r="F2598" s="20">
        <f t="shared" si="202"/>
        <v>4850</v>
      </c>
      <c r="G2598" s="20">
        <v>0.46449007516112761</v>
      </c>
      <c r="H2598" s="50"/>
      <c r="I2598" s="16"/>
      <c r="J2598" s="16"/>
      <c r="K2598" s="16"/>
      <c r="L2598" s="16"/>
      <c r="M2598" s="16">
        <v>2592</v>
      </c>
      <c r="N2598" s="16">
        <f t="shared" si="203"/>
        <v>0.92951936872309904</v>
      </c>
      <c r="O2598" s="16"/>
      <c r="P2598" s="16"/>
      <c r="Q2598" s="16">
        <f t="shared" si="204"/>
        <v>1.4722207991477154</v>
      </c>
    </row>
    <row r="2599" spans="4:17" ht="15" thickBot="1" x14ac:dyDescent="0.35">
      <c r="D2599" s="20">
        <f t="shared" si="200"/>
        <v>2593</v>
      </c>
      <c r="E2599" s="20">
        <f t="shared" si="201"/>
        <v>4850</v>
      </c>
      <c r="F2599" s="20">
        <f t="shared" si="202"/>
        <v>4850</v>
      </c>
      <c r="G2599" s="20">
        <v>0.46463044924578589</v>
      </c>
      <c r="H2599" s="50"/>
      <c r="I2599" s="16"/>
      <c r="J2599" s="16"/>
      <c r="K2599" s="16"/>
      <c r="L2599" s="16"/>
      <c r="M2599" s="16">
        <v>2593</v>
      </c>
      <c r="N2599" s="16">
        <f t="shared" si="203"/>
        <v>0.92987804878048785</v>
      </c>
      <c r="O2599" s="16"/>
      <c r="P2599" s="16"/>
      <c r="Q2599" s="16">
        <f t="shared" si="204"/>
        <v>1.4748833684671112</v>
      </c>
    </row>
    <row r="2600" spans="4:17" ht="15" thickBot="1" x14ac:dyDescent="0.35">
      <c r="D2600" s="20">
        <f t="shared" si="200"/>
        <v>2594</v>
      </c>
      <c r="E2600" s="20">
        <f t="shared" si="201"/>
        <v>4950</v>
      </c>
      <c r="F2600" s="20">
        <f t="shared" si="202"/>
        <v>4850</v>
      </c>
      <c r="G2600" s="20">
        <v>0.46487346166367238</v>
      </c>
      <c r="H2600" s="50"/>
      <c r="I2600" s="16"/>
      <c r="J2600" s="16"/>
      <c r="K2600" s="16"/>
      <c r="L2600" s="16"/>
      <c r="M2600" s="16">
        <v>2594</v>
      </c>
      <c r="N2600" s="16">
        <f t="shared" si="203"/>
        <v>0.93023672883787656</v>
      </c>
      <c r="O2600" s="16"/>
      <c r="P2600" s="16"/>
      <c r="Q2600" s="16">
        <f t="shared" si="204"/>
        <v>1.4775564348950074</v>
      </c>
    </row>
    <row r="2601" spans="4:17" ht="15" thickBot="1" x14ac:dyDescent="0.35">
      <c r="D2601" s="20">
        <f t="shared" si="200"/>
        <v>2595</v>
      </c>
      <c r="E2601" s="20">
        <f t="shared" si="201"/>
        <v>5050</v>
      </c>
      <c r="F2601" s="20">
        <f t="shared" si="202"/>
        <v>4850</v>
      </c>
      <c r="G2601" s="20">
        <v>0.4649722211415418</v>
      </c>
      <c r="H2601" s="50"/>
      <c r="I2601" s="16"/>
      <c r="J2601" s="16"/>
      <c r="K2601" s="16"/>
      <c r="L2601" s="16"/>
      <c r="M2601" s="16">
        <v>2595</v>
      </c>
      <c r="N2601" s="16">
        <f t="shared" si="203"/>
        <v>0.93059540889526537</v>
      </c>
      <c r="O2601" s="16"/>
      <c r="P2601" s="16"/>
      <c r="Q2601" s="16">
        <f t="shared" si="204"/>
        <v>1.4802401007799733</v>
      </c>
    </row>
    <row r="2602" spans="4:17" ht="15" thickBot="1" x14ac:dyDescent="0.35">
      <c r="D2602" s="20">
        <f t="shared" si="200"/>
        <v>2596</v>
      </c>
      <c r="E2602" s="20">
        <f t="shared" si="201"/>
        <v>5150</v>
      </c>
      <c r="F2602" s="20">
        <f t="shared" si="202"/>
        <v>4850</v>
      </c>
      <c r="G2602" s="20">
        <v>0.46510885681459396</v>
      </c>
      <c r="H2602" s="50"/>
      <c r="I2602" s="16"/>
      <c r="J2602" s="16"/>
      <c r="K2602" s="16"/>
      <c r="L2602" s="16"/>
      <c r="M2602" s="16">
        <v>2596</v>
      </c>
      <c r="N2602" s="16">
        <f t="shared" si="203"/>
        <v>0.93095408895265419</v>
      </c>
      <c r="O2602" s="16"/>
      <c r="P2602" s="16"/>
      <c r="Q2602" s="16">
        <f t="shared" si="204"/>
        <v>1.482934469998934</v>
      </c>
    </row>
    <row r="2603" spans="4:17" ht="15" thickBot="1" x14ac:dyDescent="0.35">
      <c r="D2603" s="20">
        <f t="shared" si="200"/>
        <v>2597</v>
      </c>
      <c r="E2603" s="20">
        <f t="shared" si="201"/>
        <v>5250</v>
      </c>
      <c r="F2603" s="20">
        <f t="shared" si="202"/>
        <v>4850</v>
      </c>
      <c r="G2603" s="20">
        <v>0.46512583903898286</v>
      </c>
      <c r="H2603" s="50"/>
      <c r="I2603" s="16"/>
      <c r="J2603" s="16"/>
      <c r="K2603" s="16"/>
      <c r="L2603" s="16"/>
      <c r="M2603" s="16">
        <v>2597</v>
      </c>
      <c r="N2603" s="16">
        <f t="shared" si="203"/>
        <v>0.93131276901004301</v>
      </c>
      <c r="O2603" s="16"/>
      <c r="P2603" s="16"/>
      <c r="Q2603" s="16">
        <f t="shared" si="204"/>
        <v>1.4856396479881326</v>
      </c>
    </row>
    <row r="2604" spans="4:17" ht="15" thickBot="1" x14ac:dyDescent="0.35">
      <c r="D2604" s="20">
        <f t="shared" si="200"/>
        <v>2598</v>
      </c>
      <c r="E2604" s="48">
        <f t="shared" si="201"/>
        <v>50</v>
      </c>
      <c r="F2604" s="48">
        <f t="shared" si="202"/>
        <v>4950</v>
      </c>
      <c r="G2604" s="20">
        <v>0.46522148116664103</v>
      </c>
      <c r="H2604" s="50"/>
      <c r="I2604" s="16"/>
      <c r="J2604" s="16"/>
      <c r="K2604" s="16"/>
      <c r="L2604" s="16"/>
      <c r="M2604" s="16">
        <v>2598</v>
      </c>
      <c r="N2604" s="16">
        <f t="shared" si="203"/>
        <v>0.93167144906743182</v>
      </c>
      <c r="O2604" s="16"/>
      <c r="P2604" s="16"/>
      <c r="Q2604" s="16">
        <f t="shared" si="204"/>
        <v>1.4883557417748952</v>
      </c>
    </row>
    <row r="2605" spans="4:17" ht="15" thickBot="1" x14ac:dyDescent="0.35">
      <c r="D2605" s="20">
        <f t="shared" si="200"/>
        <v>2599</v>
      </c>
      <c r="E2605" s="20">
        <f t="shared" si="201"/>
        <v>150</v>
      </c>
      <c r="F2605" s="20">
        <f t="shared" si="202"/>
        <v>4950</v>
      </c>
      <c r="G2605" s="20">
        <v>0.46527577287817701</v>
      </c>
      <c r="H2605" s="50"/>
      <c r="I2605" s="16"/>
      <c r="J2605" s="16"/>
      <c r="K2605" s="16"/>
      <c r="L2605" s="16"/>
      <c r="M2605" s="16">
        <v>2599</v>
      </c>
      <c r="N2605" s="16">
        <f t="shared" si="203"/>
        <v>0.93203012912482064</v>
      </c>
      <c r="O2605" s="16"/>
      <c r="P2605" s="16"/>
      <c r="Q2605" s="16">
        <f t="shared" si="204"/>
        <v>1.4910828600102004</v>
      </c>
    </row>
    <row r="2606" spans="4:17" ht="15" thickBot="1" x14ac:dyDescent="0.35">
      <c r="D2606" s="20">
        <f t="shared" si="200"/>
        <v>2600</v>
      </c>
      <c r="E2606" s="20">
        <f t="shared" si="201"/>
        <v>250</v>
      </c>
      <c r="F2606" s="20">
        <f t="shared" si="202"/>
        <v>4950</v>
      </c>
      <c r="G2606" s="20">
        <v>0.46528190834822969</v>
      </c>
      <c r="H2606" s="50"/>
      <c r="I2606" s="16"/>
      <c r="J2606" s="16"/>
      <c r="K2606" s="16"/>
      <c r="L2606" s="16"/>
      <c r="M2606" s="16">
        <v>2600</v>
      </c>
      <c r="N2606" s="16">
        <f t="shared" si="203"/>
        <v>0.93238880918220945</v>
      </c>
      <c r="O2606" s="16"/>
      <c r="P2606" s="16"/>
      <c r="Q2606" s="16">
        <f t="shared" si="204"/>
        <v>1.4938211130021022</v>
      </c>
    </row>
    <row r="2607" spans="4:17" ht="15" thickBot="1" x14ac:dyDescent="0.35">
      <c r="D2607" s="20">
        <f t="shared" si="200"/>
        <v>2601</v>
      </c>
      <c r="E2607" s="20">
        <f t="shared" si="201"/>
        <v>350</v>
      </c>
      <c r="F2607" s="20">
        <f t="shared" si="202"/>
        <v>4950</v>
      </c>
      <c r="G2607" s="20">
        <v>0.46532734103655471</v>
      </c>
      <c r="H2607" s="50"/>
      <c r="I2607" s="16"/>
      <c r="J2607" s="16"/>
      <c r="K2607" s="16"/>
      <c r="L2607" s="16"/>
      <c r="M2607" s="16">
        <v>2601</v>
      </c>
      <c r="N2607" s="16">
        <f t="shared" si="203"/>
        <v>0.93274748923959827</v>
      </c>
      <c r="O2607" s="16"/>
      <c r="P2607" s="16"/>
      <c r="Q2607" s="16">
        <f t="shared" si="204"/>
        <v>1.4965706127500205</v>
      </c>
    </row>
    <row r="2608" spans="4:17" ht="15" thickBot="1" x14ac:dyDescent="0.35">
      <c r="D2608" s="20">
        <f t="shared" si="200"/>
        <v>2602</v>
      </c>
      <c r="E2608" s="20">
        <f t="shared" si="201"/>
        <v>450</v>
      </c>
      <c r="F2608" s="20">
        <f t="shared" si="202"/>
        <v>4950</v>
      </c>
      <c r="G2608" s="20">
        <v>0.46561288805260981</v>
      </c>
      <c r="H2608" s="50"/>
      <c r="I2608" s="16"/>
      <c r="J2608" s="16"/>
      <c r="K2608" s="16"/>
      <c r="L2608" s="16"/>
      <c r="M2608" s="16">
        <v>2602</v>
      </c>
      <c r="N2608" s="16">
        <f t="shared" si="203"/>
        <v>0.93310616929698709</v>
      </c>
      <c r="O2608" s="16"/>
      <c r="P2608" s="16"/>
      <c r="Q2608" s="16">
        <f t="shared" si="204"/>
        <v>1.4993314729799281</v>
      </c>
    </row>
    <row r="2609" spans="4:17" ht="15" thickBot="1" x14ac:dyDescent="0.35">
      <c r="D2609" s="20">
        <f t="shared" si="200"/>
        <v>2603</v>
      </c>
      <c r="E2609" s="45">
        <f t="shared" si="201"/>
        <v>550</v>
      </c>
      <c r="F2609" s="45">
        <f t="shared" si="202"/>
        <v>4950</v>
      </c>
      <c r="G2609" s="20">
        <v>0.46571760260546913</v>
      </c>
      <c r="H2609" s="50"/>
      <c r="I2609" s="16"/>
      <c r="J2609" s="16"/>
      <c r="K2609" s="16"/>
      <c r="L2609" s="16"/>
      <c r="M2609" s="16">
        <v>2603</v>
      </c>
      <c r="N2609" s="16">
        <f t="shared" si="203"/>
        <v>0.9334648493543759</v>
      </c>
      <c r="O2609" s="16"/>
      <c r="P2609" s="16"/>
      <c r="Q2609" s="16">
        <f t="shared" si="204"/>
        <v>1.5021038091804613</v>
      </c>
    </row>
    <row r="2610" spans="4:17" ht="15" thickBot="1" x14ac:dyDescent="0.35">
      <c r="D2610" s="20">
        <f t="shared" si="200"/>
        <v>2604</v>
      </c>
      <c r="E2610" s="20">
        <f t="shared" si="201"/>
        <v>650</v>
      </c>
      <c r="F2610" s="20">
        <f t="shared" si="202"/>
        <v>4950</v>
      </c>
      <c r="G2610" s="20">
        <v>0.46580999215435831</v>
      </c>
      <c r="H2610" s="50"/>
      <c r="I2610" s="16"/>
      <c r="J2610" s="16"/>
      <c r="K2610" s="16"/>
      <c r="L2610" s="16"/>
      <c r="M2610" s="16">
        <v>2604</v>
      </c>
      <c r="N2610" s="16">
        <f t="shared" si="203"/>
        <v>0.93382352941176472</v>
      </c>
      <c r="O2610" s="16"/>
      <c r="P2610" s="16"/>
      <c r="Q2610" s="16">
        <f t="shared" si="204"/>
        <v>1.5048877386399939</v>
      </c>
    </row>
    <row r="2611" spans="4:17" ht="15" thickBot="1" x14ac:dyDescent="0.35">
      <c r="D2611" s="20">
        <f t="shared" si="200"/>
        <v>2605</v>
      </c>
      <c r="E2611" s="20">
        <f t="shared" si="201"/>
        <v>750</v>
      </c>
      <c r="F2611" s="20">
        <f t="shared" si="202"/>
        <v>4950</v>
      </c>
      <c r="G2611" s="20">
        <v>0.46600190543021647</v>
      </c>
      <c r="H2611" s="50"/>
      <c r="I2611" s="16"/>
      <c r="J2611" s="16"/>
      <c r="K2611" s="16"/>
      <c r="L2611" s="16"/>
      <c r="M2611" s="16">
        <v>2605</v>
      </c>
      <c r="N2611" s="16">
        <f t="shared" si="203"/>
        <v>0.93418220946915353</v>
      </c>
      <c r="O2611" s="16"/>
      <c r="P2611" s="16"/>
      <c r="Q2611" s="16">
        <f t="shared" si="204"/>
        <v>1.5076833804846861</v>
      </c>
    </row>
    <row r="2612" spans="4:17" ht="15" thickBot="1" x14ac:dyDescent="0.35">
      <c r="D2612" s="20">
        <f t="shared" si="200"/>
        <v>2606</v>
      </c>
      <c r="E2612" s="20">
        <f t="shared" si="201"/>
        <v>850</v>
      </c>
      <c r="F2612" s="20">
        <f t="shared" si="202"/>
        <v>4950</v>
      </c>
      <c r="G2612" s="20">
        <v>0.46666298858555044</v>
      </c>
      <c r="H2612" s="50"/>
      <c r="I2612" s="16"/>
      <c r="J2612" s="16"/>
      <c r="K2612" s="16"/>
      <c r="L2612" s="16"/>
      <c r="M2612" s="16">
        <v>2606</v>
      </c>
      <c r="N2612" s="16">
        <f t="shared" si="203"/>
        <v>0.93454088952654235</v>
      </c>
      <c r="O2612" s="16"/>
      <c r="P2612" s="16"/>
      <c r="Q2612" s="16">
        <f t="shared" si="204"/>
        <v>1.5104908557175603</v>
      </c>
    </row>
    <row r="2613" spans="4:17" ht="15" thickBot="1" x14ac:dyDescent="0.35">
      <c r="D2613" s="20">
        <f t="shared" si="200"/>
        <v>2607</v>
      </c>
      <c r="E2613" s="20">
        <f t="shared" si="201"/>
        <v>950</v>
      </c>
      <c r="F2613" s="20">
        <f t="shared" si="202"/>
        <v>4950</v>
      </c>
      <c r="G2613" s="20">
        <v>0.46690567392442028</v>
      </c>
      <c r="H2613" s="50"/>
      <c r="I2613" s="16"/>
      <c r="J2613" s="16"/>
      <c r="K2613" s="16"/>
      <c r="L2613" s="16"/>
      <c r="M2613" s="16">
        <v>2607</v>
      </c>
      <c r="N2613" s="16">
        <f t="shared" si="203"/>
        <v>0.93489956958393117</v>
      </c>
      <c r="O2613" s="16"/>
      <c r="P2613" s="16"/>
      <c r="Q2613" s="16">
        <f t="shared" si="204"/>
        <v>1.5133102872586259</v>
      </c>
    </row>
    <row r="2614" spans="4:17" ht="15" thickBot="1" x14ac:dyDescent="0.35">
      <c r="D2614" s="20">
        <f t="shared" si="200"/>
        <v>2608</v>
      </c>
      <c r="E2614" s="20">
        <f t="shared" si="201"/>
        <v>1050</v>
      </c>
      <c r="F2614" s="20">
        <f t="shared" si="202"/>
        <v>4950</v>
      </c>
      <c r="G2614" s="20">
        <v>0.46694350575543986</v>
      </c>
      <c r="H2614" s="50"/>
      <c r="I2614" s="16"/>
      <c r="J2614" s="16"/>
      <c r="K2614" s="16"/>
      <c r="L2614" s="16"/>
      <c r="M2614" s="16">
        <v>2608</v>
      </c>
      <c r="N2614" s="16">
        <f t="shared" si="203"/>
        <v>0.93525824964131998</v>
      </c>
      <c r="O2614" s="16"/>
      <c r="P2614" s="16"/>
      <c r="Q2614" s="16">
        <f t="shared" si="204"/>
        <v>1.5161417999860829</v>
      </c>
    </row>
    <row r="2615" spans="4:17" ht="15" thickBot="1" x14ac:dyDescent="0.35">
      <c r="D2615" s="20">
        <f t="shared" si="200"/>
        <v>2609</v>
      </c>
      <c r="E2615" s="20">
        <f t="shared" si="201"/>
        <v>1150</v>
      </c>
      <c r="F2615" s="20">
        <f t="shared" si="202"/>
        <v>4950</v>
      </c>
      <c r="G2615" s="20">
        <v>0.46698225940593741</v>
      </c>
      <c r="H2615" s="50"/>
      <c r="I2615" s="16"/>
      <c r="J2615" s="16"/>
      <c r="K2615" s="16"/>
      <c r="L2615" s="16"/>
      <c r="M2615" s="16">
        <v>2609</v>
      </c>
      <c r="N2615" s="16">
        <f t="shared" si="203"/>
        <v>0.9356169296987088</v>
      </c>
      <c r="O2615" s="16"/>
      <c r="P2615" s="16"/>
      <c r="Q2615" s="16">
        <f t="shared" si="204"/>
        <v>1.5189855207786545</v>
      </c>
    </row>
    <row r="2616" spans="4:17" ht="15" thickBot="1" x14ac:dyDescent="0.35">
      <c r="D2616" s="20">
        <f t="shared" si="200"/>
        <v>2610</v>
      </c>
      <c r="E2616" s="20">
        <f t="shared" si="201"/>
        <v>1250</v>
      </c>
      <c r="F2616" s="20">
        <f t="shared" si="202"/>
        <v>4950</v>
      </c>
      <c r="G2616" s="20">
        <v>0.46744249169736046</v>
      </c>
      <c r="H2616" s="50"/>
      <c r="I2616" s="16"/>
      <c r="J2616" s="16"/>
      <c r="K2616" s="16"/>
      <c r="L2616" s="16"/>
      <c r="M2616" s="16">
        <v>2610</v>
      </c>
      <c r="N2616" s="16">
        <f t="shared" si="203"/>
        <v>0.93597560975609762</v>
      </c>
      <c r="O2616" s="16"/>
      <c r="P2616" s="16"/>
      <c r="Q2616" s="16">
        <f t="shared" si="204"/>
        <v>1.5218415785590738</v>
      </c>
    </row>
    <row r="2617" spans="4:17" ht="15" thickBot="1" x14ac:dyDescent="0.35">
      <c r="D2617" s="20">
        <f t="shared" si="200"/>
        <v>2611</v>
      </c>
      <c r="E2617" s="20">
        <f t="shared" si="201"/>
        <v>1350</v>
      </c>
      <c r="F2617" s="20">
        <f t="shared" si="202"/>
        <v>4950</v>
      </c>
      <c r="G2617" s="20">
        <v>0.46751519078285725</v>
      </c>
      <c r="H2617" s="50"/>
      <c r="I2617" s="16"/>
      <c r="J2617" s="16"/>
      <c r="K2617" s="16"/>
      <c r="L2617" s="16"/>
      <c r="M2617" s="16">
        <v>2611</v>
      </c>
      <c r="N2617" s="16">
        <f t="shared" si="203"/>
        <v>0.93633428981348632</v>
      </c>
      <c r="O2617" s="16"/>
      <c r="P2617" s="16"/>
      <c r="Q2617" s="16">
        <f t="shared" si="204"/>
        <v>1.5247101043387628</v>
      </c>
    </row>
    <row r="2618" spans="4:17" ht="15" thickBot="1" x14ac:dyDescent="0.35">
      <c r="D2618" s="20">
        <f t="shared" si="200"/>
        <v>2612</v>
      </c>
      <c r="E2618" s="20">
        <f t="shared" si="201"/>
        <v>1450</v>
      </c>
      <c r="F2618" s="20">
        <f t="shared" si="202"/>
        <v>4950</v>
      </c>
      <c r="G2618" s="20">
        <v>0.46788403106001875</v>
      </c>
      <c r="H2618" s="50"/>
      <c r="I2618" s="16"/>
      <c r="J2618" s="16"/>
      <c r="K2618" s="16"/>
      <c r="L2618" s="16"/>
      <c r="M2618" s="16">
        <v>2612</v>
      </c>
      <c r="N2618" s="16">
        <f t="shared" si="203"/>
        <v>0.93669296987087514</v>
      </c>
      <c r="O2618" s="16"/>
      <c r="P2618" s="16"/>
      <c r="Q2618" s="16">
        <f t="shared" si="204"/>
        <v>1.5275912312637558</v>
      </c>
    </row>
    <row r="2619" spans="4:17" ht="15" thickBot="1" x14ac:dyDescent="0.35">
      <c r="D2619" s="20">
        <f t="shared" si="200"/>
        <v>2613</v>
      </c>
      <c r="E2619" s="20">
        <f t="shared" si="201"/>
        <v>1550</v>
      </c>
      <c r="F2619" s="20">
        <f t="shared" si="202"/>
        <v>4950</v>
      </c>
      <c r="G2619" s="20">
        <v>0.46791221043969755</v>
      </c>
      <c r="H2619" s="50"/>
      <c r="I2619" s="16"/>
      <c r="J2619" s="16"/>
      <c r="K2619" s="16"/>
      <c r="L2619" s="16"/>
      <c r="M2619" s="16">
        <v>2613</v>
      </c>
      <c r="N2619" s="16">
        <f t="shared" si="203"/>
        <v>0.93705164992826395</v>
      </c>
      <c r="O2619" s="16"/>
      <c r="P2619" s="16"/>
      <c r="Q2619" s="16">
        <f t="shared" si="204"/>
        <v>1.5304850946618891</v>
      </c>
    </row>
    <row r="2620" spans="4:17" ht="15" thickBot="1" x14ac:dyDescent="0.35">
      <c r="D2620" s="20">
        <f t="shared" si="200"/>
        <v>2614</v>
      </c>
      <c r="E2620" s="20">
        <f t="shared" si="201"/>
        <v>1650</v>
      </c>
      <c r="F2620" s="20">
        <f t="shared" si="202"/>
        <v>4950</v>
      </c>
      <c r="G2620" s="20">
        <v>0.4680418083084133</v>
      </c>
      <c r="H2620" s="50"/>
      <c r="I2620" s="16"/>
      <c r="J2620" s="16"/>
      <c r="K2620" s="16"/>
      <c r="L2620" s="16"/>
      <c r="M2620" s="16">
        <v>2614</v>
      </c>
      <c r="N2620" s="16">
        <f t="shared" si="203"/>
        <v>0.93741032998565277</v>
      </c>
      <c r="O2620" s="16"/>
      <c r="P2620" s="16"/>
      <c r="Q2620" s="16">
        <f t="shared" si="204"/>
        <v>1.5333918320913198</v>
      </c>
    </row>
    <row r="2621" spans="4:17" ht="15" thickBot="1" x14ac:dyDescent="0.35">
      <c r="D2621" s="20">
        <f t="shared" si="200"/>
        <v>2615</v>
      </c>
      <c r="E2621" s="20">
        <f t="shared" si="201"/>
        <v>1750</v>
      </c>
      <c r="F2621" s="20">
        <f t="shared" si="202"/>
        <v>4950</v>
      </c>
      <c r="G2621" s="20">
        <v>0.46832697448626631</v>
      </c>
      <c r="H2621" s="50"/>
      <c r="I2621" s="16"/>
      <c r="J2621" s="16"/>
      <c r="K2621" s="16"/>
      <c r="L2621" s="16"/>
      <c r="M2621" s="16">
        <v>2615</v>
      </c>
      <c r="N2621" s="16">
        <f t="shared" si="203"/>
        <v>0.93776901004304158</v>
      </c>
      <c r="O2621" s="16"/>
      <c r="P2621" s="16"/>
      <c r="Q2621" s="16">
        <f t="shared" si="204"/>
        <v>1.5363115833904037</v>
      </c>
    </row>
    <row r="2622" spans="4:17" ht="15" thickBot="1" x14ac:dyDescent="0.35">
      <c r="D2622" s="20">
        <f t="shared" si="200"/>
        <v>2616</v>
      </c>
      <c r="E2622" s="20">
        <f t="shared" si="201"/>
        <v>1850</v>
      </c>
      <c r="F2622" s="20">
        <f t="shared" si="202"/>
        <v>4950</v>
      </c>
      <c r="G2622" s="20">
        <v>0.46843876301503284</v>
      </c>
      <c r="H2622" s="50"/>
      <c r="I2622" s="16"/>
      <c r="J2622" s="16"/>
      <c r="K2622" s="16"/>
      <c r="L2622" s="16"/>
      <c r="M2622" s="16">
        <v>2616</v>
      </c>
      <c r="N2622" s="16">
        <f t="shared" si="203"/>
        <v>0.9381276901004304</v>
      </c>
      <c r="O2622" s="16"/>
      <c r="P2622" s="16"/>
      <c r="Q2622" s="16">
        <f t="shared" si="204"/>
        <v>1.5392444907289911</v>
      </c>
    </row>
    <row r="2623" spans="4:17" ht="15" thickBot="1" x14ac:dyDescent="0.35">
      <c r="D2623" s="20">
        <f t="shared" si="200"/>
        <v>2617</v>
      </c>
      <c r="E2623" s="20">
        <f t="shared" si="201"/>
        <v>1950</v>
      </c>
      <c r="F2623" s="20">
        <f t="shared" si="202"/>
        <v>4950</v>
      </c>
      <c r="G2623" s="20">
        <v>0.46877249099192991</v>
      </c>
      <c r="H2623" s="50"/>
      <c r="I2623" s="16"/>
      <c r="J2623" s="16"/>
      <c r="K2623" s="16"/>
      <c r="L2623" s="16"/>
      <c r="M2623" s="16">
        <v>2617</v>
      </c>
      <c r="N2623" s="16">
        <f t="shared" si="203"/>
        <v>0.93848637015781922</v>
      </c>
      <c r="O2623" s="16"/>
      <c r="P2623" s="16"/>
      <c r="Q2623" s="16">
        <f t="shared" si="204"/>
        <v>1.542190698661174</v>
      </c>
    </row>
    <row r="2624" spans="4:17" ht="15" thickBot="1" x14ac:dyDescent="0.35">
      <c r="D2624" s="20">
        <f t="shared" si="200"/>
        <v>2618</v>
      </c>
      <c r="E2624" s="20">
        <f t="shared" si="201"/>
        <v>2050</v>
      </c>
      <c r="F2624" s="20">
        <f t="shared" si="202"/>
        <v>4950</v>
      </c>
      <c r="G2624" s="20">
        <v>0.46889602770100508</v>
      </c>
      <c r="H2624" s="50"/>
      <c r="I2624" s="16"/>
      <c r="J2624" s="16"/>
      <c r="K2624" s="16"/>
      <c r="L2624" s="16"/>
      <c r="M2624" s="16">
        <v>2618</v>
      </c>
      <c r="N2624" s="16">
        <f t="shared" si="203"/>
        <v>0.93884505021520803</v>
      </c>
      <c r="O2624" s="16"/>
      <c r="P2624" s="16"/>
      <c r="Q2624" s="16">
        <f t="shared" si="204"/>
        <v>1.545150354179549</v>
      </c>
    </row>
    <row r="2625" spans="4:17" ht="15" thickBot="1" x14ac:dyDescent="0.35">
      <c r="D2625" s="20">
        <f t="shared" si="200"/>
        <v>2619</v>
      </c>
      <c r="E2625" s="20">
        <f t="shared" si="201"/>
        <v>2150</v>
      </c>
      <c r="F2625" s="20">
        <f t="shared" si="202"/>
        <v>4950</v>
      </c>
      <c r="G2625" s="20">
        <v>0.46937290951516919</v>
      </c>
      <c r="H2625" s="50"/>
      <c r="I2625" s="16"/>
      <c r="J2625" s="16"/>
      <c r="K2625" s="16"/>
      <c r="L2625" s="16"/>
      <c r="M2625" s="16">
        <v>2619</v>
      </c>
      <c r="N2625" s="16">
        <f t="shared" si="203"/>
        <v>0.93920373027259685</v>
      </c>
      <c r="O2625" s="16"/>
      <c r="P2625" s="16"/>
      <c r="Q2625" s="16">
        <f t="shared" si="204"/>
        <v>1.5481236067710449</v>
      </c>
    </row>
    <row r="2626" spans="4:17" ht="15" thickBot="1" x14ac:dyDescent="0.35">
      <c r="D2626" s="20">
        <f t="shared" si="200"/>
        <v>2620</v>
      </c>
      <c r="E2626" s="20">
        <f t="shared" si="201"/>
        <v>2250</v>
      </c>
      <c r="F2626" s="20">
        <f t="shared" si="202"/>
        <v>4950</v>
      </c>
      <c r="G2626" s="20">
        <v>0.46959060565305988</v>
      </c>
      <c r="H2626" s="50"/>
      <c r="I2626" s="16"/>
      <c r="J2626" s="16"/>
      <c r="K2626" s="16"/>
      <c r="L2626" s="16"/>
      <c r="M2626" s="16">
        <v>2620</v>
      </c>
      <c r="N2626" s="16">
        <f t="shared" si="203"/>
        <v>0.93956241032998566</v>
      </c>
      <c r="O2626" s="16"/>
      <c r="P2626" s="16"/>
      <c r="Q2626" s="16">
        <f t="shared" si="204"/>
        <v>1.5511106084743602</v>
      </c>
    </row>
    <row r="2627" spans="4:17" ht="15" thickBot="1" x14ac:dyDescent="0.35">
      <c r="D2627" s="20">
        <f t="shared" si="200"/>
        <v>2621</v>
      </c>
      <c r="E2627" s="20">
        <f t="shared" si="201"/>
        <v>2350</v>
      </c>
      <c r="F2627" s="20">
        <f t="shared" si="202"/>
        <v>4950</v>
      </c>
      <c r="G2627" s="20">
        <v>0.46972829270667393</v>
      </c>
      <c r="H2627" s="50"/>
      <c r="I2627" s="16"/>
      <c r="J2627" s="16"/>
      <c r="K2627" s="16"/>
      <c r="L2627" s="16"/>
      <c r="M2627" s="16">
        <v>2621</v>
      </c>
      <c r="N2627" s="16">
        <f t="shared" si="203"/>
        <v>0.93992109038737448</v>
      </c>
      <c r="O2627" s="16"/>
      <c r="P2627" s="16"/>
      <c r="Q2627" s="16">
        <f t="shared" si="204"/>
        <v>1.5541115139390813</v>
      </c>
    </row>
    <row r="2628" spans="4:17" ht="15" thickBot="1" x14ac:dyDescent="0.35">
      <c r="D2628" s="20">
        <f t="shared" si="200"/>
        <v>2622</v>
      </c>
      <c r="E2628" s="20">
        <f t="shared" si="201"/>
        <v>2450</v>
      </c>
      <c r="F2628" s="20">
        <f t="shared" si="202"/>
        <v>4950</v>
      </c>
      <c r="G2628" s="20">
        <v>0.46979623678547827</v>
      </c>
      <c r="H2628" s="50"/>
      <c r="I2628" s="16"/>
      <c r="J2628" s="16"/>
      <c r="K2628" s="16"/>
      <c r="L2628" s="16"/>
      <c r="M2628" s="16">
        <v>2622</v>
      </c>
      <c r="N2628" s="16">
        <f t="shared" si="203"/>
        <v>0.9402797704447633</v>
      </c>
      <c r="O2628" s="16"/>
      <c r="P2628" s="16"/>
      <c r="Q2628" s="16">
        <f t="shared" si="204"/>
        <v>1.5571264804865295</v>
      </c>
    </row>
    <row r="2629" spans="4:17" ht="15" thickBot="1" x14ac:dyDescent="0.35">
      <c r="D2629" s="20">
        <f t="shared" si="200"/>
        <v>2623</v>
      </c>
      <c r="E2629" s="43">
        <f t="shared" si="201"/>
        <v>2550</v>
      </c>
      <c r="F2629" s="43">
        <f t="shared" si="202"/>
        <v>4950</v>
      </c>
      <c r="G2629" s="20">
        <v>0.46990484290945428</v>
      </c>
      <c r="H2629" s="50"/>
      <c r="I2629" s="16"/>
      <c r="J2629" s="16"/>
      <c r="K2629" s="16"/>
      <c r="L2629" s="16"/>
      <c r="M2629" s="16">
        <v>2623</v>
      </c>
      <c r="N2629" s="16">
        <f t="shared" si="203"/>
        <v>0.94063845050215211</v>
      </c>
      <c r="O2629" s="16"/>
      <c r="P2629" s="16"/>
      <c r="Q2629" s="16">
        <f t="shared" si="204"/>
        <v>1.560155668172406</v>
      </c>
    </row>
    <row r="2630" spans="4:17" ht="15" thickBot="1" x14ac:dyDescent="0.35">
      <c r="D2630" s="20">
        <f t="shared" si="200"/>
        <v>2624</v>
      </c>
      <c r="E2630" s="20">
        <f t="shared" si="201"/>
        <v>2650</v>
      </c>
      <c r="F2630" s="20">
        <f t="shared" si="202"/>
        <v>4950</v>
      </c>
      <c r="G2630" s="20">
        <v>0.47009471124127661</v>
      </c>
      <c r="H2630" s="50"/>
      <c r="I2630" s="16"/>
      <c r="J2630" s="16"/>
      <c r="K2630" s="16"/>
      <c r="L2630" s="16"/>
      <c r="M2630" s="16">
        <v>2624</v>
      </c>
      <c r="N2630" s="16">
        <f t="shared" si="203"/>
        <v>0.94099713055954093</v>
      </c>
      <c r="O2630" s="16"/>
      <c r="P2630" s="16"/>
      <c r="Q2630" s="16">
        <f t="shared" si="204"/>
        <v>1.5631992398512935</v>
      </c>
    </row>
    <row r="2631" spans="4:17" ht="15" thickBot="1" x14ac:dyDescent="0.35">
      <c r="D2631" s="20">
        <f t="shared" ref="D2631:D2694" si="205">ROW()-6</f>
        <v>2625</v>
      </c>
      <c r="E2631" s="20">
        <f t="shared" ref="E2631:E2694" si="206">(MOD(D2631-1,53)*100)+50</f>
        <v>2750</v>
      </c>
      <c r="F2631" s="20">
        <f t="shared" ref="F2631:F2694" si="207">FLOOR((D2631-1)/53,1)*100+50</f>
        <v>4950</v>
      </c>
      <c r="G2631" s="20">
        <v>0.47098835486157425</v>
      </c>
      <c r="H2631" s="50"/>
      <c r="I2631" s="16"/>
      <c r="J2631" s="16"/>
      <c r="K2631" s="16"/>
      <c r="L2631" s="16"/>
      <c r="M2631" s="16">
        <v>2625</v>
      </c>
      <c r="N2631" s="16">
        <f t="shared" si="203"/>
        <v>0.94135581061692974</v>
      </c>
      <c r="O2631" s="16"/>
      <c r="P2631" s="16"/>
      <c r="Q2631" s="16">
        <f t="shared" si="204"/>
        <v>1.5662573612430826</v>
      </c>
    </row>
    <row r="2632" spans="4:17" ht="15" thickBot="1" x14ac:dyDescent="0.35">
      <c r="D2632" s="20">
        <f t="shared" si="205"/>
        <v>2626</v>
      </c>
      <c r="E2632" s="20">
        <f t="shared" si="206"/>
        <v>2850</v>
      </c>
      <c r="F2632" s="20">
        <f t="shared" si="207"/>
        <v>4950</v>
      </c>
      <c r="G2632" s="20">
        <v>0.47130329957047207</v>
      </c>
      <c r="H2632" s="50"/>
      <c r="I2632" s="16"/>
      <c r="J2632" s="16"/>
      <c r="K2632" s="16"/>
      <c r="L2632" s="16"/>
      <c r="M2632" s="16">
        <v>2626</v>
      </c>
      <c r="N2632" s="16">
        <f t="shared" ref="N2632:N2695" si="208">(M2632-0.5)/$L$7</f>
        <v>0.94171449067431856</v>
      </c>
      <c r="O2632" s="16"/>
      <c r="P2632" s="16"/>
      <c r="Q2632" s="16">
        <f t="shared" ref="Q2632:Q2695" si="209">_xlfn.NORM.S.INV(N2632)</f>
        <v>1.5693302010013974</v>
      </c>
    </row>
    <row r="2633" spans="4:17" ht="15" thickBot="1" x14ac:dyDescent="0.35">
      <c r="D2633" s="20">
        <f t="shared" si="205"/>
        <v>2627</v>
      </c>
      <c r="E2633" s="20">
        <f t="shared" si="206"/>
        <v>2950</v>
      </c>
      <c r="F2633" s="20">
        <f t="shared" si="207"/>
        <v>4950</v>
      </c>
      <c r="G2633" s="20">
        <v>0.4713512398096642</v>
      </c>
      <c r="H2633" s="50"/>
      <c r="I2633" s="16"/>
      <c r="J2633" s="16"/>
      <c r="K2633" s="16"/>
      <c r="L2633" s="16"/>
      <c r="M2633" s="16">
        <v>2627</v>
      </c>
      <c r="N2633" s="16">
        <f t="shared" si="208"/>
        <v>0.94207317073170727</v>
      </c>
      <c r="O2633" s="16"/>
      <c r="P2633" s="16"/>
      <c r="Q2633" s="16">
        <f t="shared" si="209"/>
        <v>1.5724179307840838</v>
      </c>
    </row>
    <row r="2634" spans="4:17" ht="15" thickBot="1" x14ac:dyDescent="0.35">
      <c r="D2634" s="20">
        <f t="shared" si="205"/>
        <v>2628</v>
      </c>
      <c r="E2634" s="20">
        <f t="shared" si="206"/>
        <v>3050</v>
      </c>
      <c r="F2634" s="20">
        <f t="shared" si="207"/>
        <v>4950</v>
      </c>
      <c r="G2634" s="20">
        <v>0.47142585411237625</v>
      </c>
      <c r="H2634" s="50"/>
      <c r="I2634" s="16"/>
      <c r="J2634" s="16"/>
      <c r="K2634" s="16"/>
      <c r="L2634" s="16"/>
      <c r="M2634" s="16">
        <v>2628</v>
      </c>
      <c r="N2634" s="16">
        <f t="shared" si="208"/>
        <v>0.94243185078909608</v>
      </c>
      <c r="O2634" s="16"/>
      <c r="P2634" s="16"/>
      <c r="Q2634" s="16">
        <f t="shared" si="209"/>
        <v>1.5755207253258503</v>
      </c>
    </row>
    <row r="2635" spans="4:17" ht="15" thickBot="1" x14ac:dyDescent="0.35">
      <c r="D2635" s="20">
        <f t="shared" si="205"/>
        <v>2629</v>
      </c>
      <c r="E2635" s="20">
        <f t="shared" si="206"/>
        <v>3150</v>
      </c>
      <c r="F2635" s="20">
        <f t="shared" si="207"/>
        <v>4950</v>
      </c>
      <c r="G2635" s="20">
        <v>0.47163957612214791</v>
      </c>
      <c r="H2635" s="50"/>
      <c r="I2635" s="16"/>
      <c r="J2635" s="16"/>
      <c r="K2635" s="16"/>
      <c r="L2635" s="16"/>
      <c r="M2635" s="16">
        <v>2629</v>
      </c>
      <c r="N2635" s="16">
        <f t="shared" si="208"/>
        <v>0.9427905308464849</v>
      </c>
      <c r="O2635" s="16"/>
      <c r="P2635" s="16"/>
      <c r="Q2635" s="16">
        <f t="shared" si="209"/>
        <v>1.5786387625131177</v>
      </c>
    </row>
    <row r="2636" spans="4:17" ht="15" thickBot="1" x14ac:dyDescent="0.35">
      <c r="D2636" s="20">
        <f t="shared" si="205"/>
        <v>2630</v>
      </c>
      <c r="E2636" s="20">
        <f t="shared" si="206"/>
        <v>3250</v>
      </c>
      <c r="F2636" s="20">
        <f t="shared" si="207"/>
        <v>4950</v>
      </c>
      <c r="G2636" s="20">
        <v>0.47181095429007608</v>
      </c>
      <c r="H2636" s="50"/>
      <c r="I2636" s="16"/>
      <c r="J2636" s="16"/>
      <c r="K2636" s="16"/>
      <c r="L2636" s="16"/>
      <c r="M2636" s="16">
        <v>2630</v>
      </c>
      <c r="N2636" s="16">
        <f t="shared" si="208"/>
        <v>0.94314921090387371</v>
      </c>
      <c r="O2636" s="16"/>
      <c r="P2636" s="16"/>
      <c r="Q2636" s="16">
        <f t="shared" si="209"/>
        <v>1.5817722234611888</v>
      </c>
    </row>
    <row r="2637" spans="4:17" ht="15" thickBot="1" x14ac:dyDescent="0.35">
      <c r="D2637" s="20">
        <f t="shared" si="205"/>
        <v>2631</v>
      </c>
      <c r="E2637" s="20">
        <f t="shared" si="206"/>
        <v>3350</v>
      </c>
      <c r="F2637" s="20">
        <f t="shared" si="207"/>
        <v>4950</v>
      </c>
      <c r="G2637" s="20">
        <v>0.47233712074992518</v>
      </c>
      <c r="H2637" s="50"/>
      <c r="I2637" s="16"/>
      <c r="J2637" s="16"/>
      <c r="K2637" s="16"/>
      <c r="L2637" s="16"/>
      <c r="M2637" s="16">
        <v>2631</v>
      </c>
      <c r="N2637" s="16">
        <f t="shared" si="208"/>
        <v>0.94350789096126253</v>
      </c>
      <c r="O2637" s="16"/>
      <c r="P2637" s="16"/>
      <c r="Q2637" s="16">
        <f t="shared" si="209"/>
        <v>1.5849212925938005</v>
      </c>
    </row>
    <row r="2638" spans="4:17" ht="15" thickBot="1" x14ac:dyDescent="0.35">
      <c r="D2638" s="20">
        <f t="shared" si="205"/>
        <v>2632</v>
      </c>
      <c r="E2638" s="44">
        <f t="shared" si="206"/>
        <v>3450</v>
      </c>
      <c r="F2638" s="44">
        <f t="shared" si="207"/>
        <v>4950</v>
      </c>
      <c r="G2638" s="20">
        <v>0.47247636971059642</v>
      </c>
      <c r="H2638" s="50"/>
      <c r="I2638" s="16"/>
      <c r="J2638" s="16"/>
      <c r="K2638" s="16"/>
      <c r="L2638" s="16"/>
      <c r="M2638" s="16">
        <v>2632</v>
      </c>
      <c r="N2638" s="16">
        <f t="shared" si="208"/>
        <v>0.94386657101865135</v>
      </c>
      <c r="O2638" s="16"/>
      <c r="P2638" s="16"/>
      <c r="Q2638" s="16">
        <f t="shared" si="209"/>
        <v>1.5880861577251608</v>
      </c>
    </row>
    <row r="2639" spans="4:17" ht="15" thickBot="1" x14ac:dyDescent="0.35">
      <c r="D2639" s="20">
        <f t="shared" si="205"/>
        <v>2633</v>
      </c>
      <c r="E2639" s="20">
        <f t="shared" si="206"/>
        <v>3550</v>
      </c>
      <c r="F2639" s="20">
        <f t="shared" si="207"/>
        <v>4950</v>
      </c>
      <c r="G2639" s="20">
        <v>0.47249566347733213</v>
      </c>
      <c r="H2639" s="50"/>
      <c r="I2639" s="16"/>
      <c r="J2639" s="16"/>
      <c r="K2639" s="16"/>
      <c r="L2639" s="16"/>
      <c r="M2639" s="16">
        <v>2633</v>
      </c>
      <c r="N2639" s="16">
        <f t="shared" si="208"/>
        <v>0.94422525107604016</v>
      </c>
      <c r="O2639" s="16"/>
      <c r="P2639" s="16"/>
      <c r="Q2639" s="16">
        <f t="shared" si="209"/>
        <v>1.5912670101445581</v>
      </c>
    </row>
    <row r="2640" spans="4:17" ht="15" thickBot="1" x14ac:dyDescent="0.35">
      <c r="D2640" s="20">
        <f t="shared" si="205"/>
        <v>2634</v>
      </c>
      <c r="E2640" s="20">
        <f t="shared" si="206"/>
        <v>3650</v>
      </c>
      <c r="F2640" s="20">
        <f t="shared" si="207"/>
        <v>4950</v>
      </c>
      <c r="G2640" s="20">
        <v>0.47286541613769445</v>
      </c>
      <c r="H2640" s="50"/>
      <c r="I2640" s="16"/>
      <c r="J2640" s="16"/>
      <c r="K2640" s="16"/>
      <c r="L2640" s="16"/>
      <c r="M2640" s="16">
        <v>2634</v>
      </c>
      <c r="N2640" s="16">
        <f t="shared" si="208"/>
        <v>0.94458393113342898</v>
      </c>
      <c r="O2640" s="16"/>
      <c r="P2640" s="16"/>
      <c r="Q2640" s="16">
        <f t="shared" si="209"/>
        <v>1.5944640447036484</v>
      </c>
    </row>
    <row r="2641" spans="4:17" ht="15" thickBot="1" x14ac:dyDescent="0.35">
      <c r="D2641" s="20">
        <f t="shared" si="205"/>
        <v>2635</v>
      </c>
      <c r="E2641" s="20">
        <f t="shared" si="206"/>
        <v>3750</v>
      </c>
      <c r="F2641" s="20">
        <f t="shared" si="207"/>
        <v>4950</v>
      </c>
      <c r="G2641" s="20">
        <v>0.47291435138734383</v>
      </c>
      <c r="H2641" s="50"/>
      <c r="I2641" s="16"/>
      <c r="J2641" s="16"/>
      <c r="K2641" s="16"/>
      <c r="L2641" s="16"/>
      <c r="M2641" s="16">
        <v>2635</v>
      </c>
      <c r="N2641" s="16">
        <f t="shared" si="208"/>
        <v>0.94494261119081779</v>
      </c>
      <c r="O2641" s="16"/>
      <c r="P2641" s="16"/>
      <c r="Q2641" s="16">
        <f t="shared" si="209"/>
        <v>1.5976774599065131</v>
      </c>
    </row>
    <row r="2642" spans="4:17" ht="15" thickBot="1" x14ac:dyDescent="0.35">
      <c r="D2642" s="20">
        <f t="shared" si="205"/>
        <v>2636</v>
      </c>
      <c r="E2642" s="20">
        <f t="shared" si="206"/>
        <v>3850</v>
      </c>
      <c r="F2642" s="20">
        <f t="shared" si="207"/>
        <v>4950</v>
      </c>
      <c r="G2642" s="20">
        <v>0.47297268075869353</v>
      </c>
      <c r="H2642" s="50"/>
      <c r="I2642" s="16"/>
      <c r="J2642" s="16"/>
      <c r="K2642" s="16"/>
      <c r="L2642" s="16"/>
      <c r="M2642" s="16">
        <v>2636</v>
      </c>
      <c r="N2642" s="16">
        <f t="shared" si="208"/>
        <v>0.94530129124820661</v>
      </c>
      <c r="O2642" s="16"/>
      <c r="P2642" s="16"/>
      <c r="Q2642" s="16">
        <f t="shared" si="209"/>
        <v>1.6009074580025999</v>
      </c>
    </row>
    <row r="2643" spans="4:17" ht="15" thickBot="1" x14ac:dyDescent="0.35">
      <c r="D2643" s="20">
        <f t="shared" si="205"/>
        <v>2637</v>
      </c>
      <c r="E2643" s="20">
        <f t="shared" si="206"/>
        <v>3950</v>
      </c>
      <c r="F2643" s="20">
        <f t="shared" si="207"/>
        <v>4950</v>
      </c>
      <c r="G2643" s="20">
        <v>0.47338825735176293</v>
      </c>
      <c r="H2643" s="50"/>
      <c r="I2643" s="16"/>
      <c r="J2643" s="16"/>
      <c r="K2643" s="16"/>
      <c r="L2643" s="16"/>
      <c r="M2643" s="16">
        <v>2637</v>
      </c>
      <c r="N2643" s="16">
        <f t="shared" si="208"/>
        <v>0.94565997130559543</v>
      </c>
      <c r="O2643" s="16"/>
      <c r="P2643" s="16"/>
      <c r="Q2643" s="16">
        <f t="shared" si="209"/>
        <v>1.6041542450826647</v>
      </c>
    </row>
    <row r="2644" spans="4:17" ht="15" thickBot="1" x14ac:dyDescent="0.35">
      <c r="D2644" s="20">
        <f t="shared" si="205"/>
        <v>2638</v>
      </c>
      <c r="E2644" s="20">
        <f t="shared" si="206"/>
        <v>4050</v>
      </c>
      <c r="F2644" s="20">
        <f t="shared" si="207"/>
        <v>4950</v>
      </c>
      <c r="G2644" s="20">
        <v>0.47343713571838697</v>
      </c>
      <c r="H2644" s="50"/>
      <c r="I2644" s="16"/>
      <c r="J2644" s="16"/>
      <c r="K2644" s="16"/>
      <c r="L2644" s="16"/>
      <c r="M2644" s="16">
        <v>2638</v>
      </c>
      <c r="N2644" s="16">
        <f t="shared" si="208"/>
        <v>0.94601865136298424</v>
      </c>
      <c r="O2644" s="16"/>
      <c r="P2644" s="16"/>
      <c r="Q2644" s="16">
        <f t="shared" si="209"/>
        <v>1.6074180311778146</v>
      </c>
    </row>
    <row r="2645" spans="4:17" ht="15" thickBot="1" x14ac:dyDescent="0.35">
      <c r="D2645" s="20">
        <f t="shared" si="205"/>
        <v>2639</v>
      </c>
      <c r="E2645" s="20">
        <f t="shared" si="206"/>
        <v>4150</v>
      </c>
      <c r="F2645" s="20">
        <f t="shared" si="207"/>
        <v>4950</v>
      </c>
      <c r="G2645" s="20">
        <v>0.47371485036319688</v>
      </c>
      <c r="H2645" s="50"/>
      <c r="I2645" s="16"/>
      <c r="J2645" s="16"/>
      <c r="K2645" s="16"/>
      <c r="L2645" s="16"/>
      <c r="M2645" s="16">
        <v>2639</v>
      </c>
      <c r="N2645" s="16">
        <f t="shared" si="208"/>
        <v>0.94637733142037306</v>
      </c>
      <c r="O2645" s="16"/>
      <c r="P2645" s="16"/>
      <c r="Q2645" s="16">
        <f t="shared" si="209"/>
        <v>1.6106990303617927</v>
      </c>
    </row>
    <row r="2646" spans="4:17" ht="15" thickBot="1" x14ac:dyDescent="0.35">
      <c r="D2646" s="20">
        <f t="shared" si="205"/>
        <v>2640</v>
      </c>
      <c r="E2646" s="20">
        <f t="shared" si="206"/>
        <v>4250</v>
      </c>
      <c r="F2646" s="20">
        <f t="shared" si="207"/>
        <v>4950</v>
      </c>
      <c r="G2646" s="20">
        <v>0.47395412139838022</v>
      </c>
      <c r="H2646" s="50"/>
      <c r="I2646" s="16"/>
      <c r="J2646" s="16"/>
      <c r="K2646" s="16"/>
      <c r="L2646" s="16"/>
      <c r="M2646" s="16">
        <v>2640</v>
      </c>
      <c r="N2646" s="16">
        <f t="shared" si="208"/>
        <v>0.94673601147776187</v>
      </c>
      <c r="O2646" s="16"/>
      <c r="P2646" s="16"/>
      <c r="Q2646" s="16">
        <f t="shared" si="209"/>
        <v>1.6139974608566234</v>
      </c>
    </row>
    <row r="2647" spans="4:17" ht="15" thickBot="1" x14ac:dyDescent="0.35">
      <c r="D2647" s="20">
        <f t="shared" si="205"/>
        <v>2641</v>
      </c>
      <c r="E2647" s="20">
        <f t="shared" si="206"/>
        <v>4350</v>
      </c>
      <c r="F2647" s="20">
        <f t="shared" si="207"/>
        <v>4950</v>
      </c>
      <c r="G2647" s="20">
        <v>0.47413221035792491</v>
      </c>
      <c r="H2647" s="50"/>
      <c r="I2647" s="16"/>
      <c r="J2647" s="16"/>
      <c r="K2647" s="16"/>
      <c r="L2647" s="16"/>
      <c r="M2647" s="16">
        <v>2641</v>
      </c>
      <c r="N2647" s="16">
        <f t="shared" si="208"/>
        <v>0.94709469153515069</v>
      </c>
      <c r="O2647" s="16"/>
      <c r="P2647" s="16"/>
      <c r="Q2647" s="16">
        <f t="shared" si="209"/>
        <v>1.6173135451417484</v>
      </c>
    </row>
    <row r="2648" spans="4:17" ht="15" thickBot="1" x14ac:dyDescent="0.35">
      <c r="D2648" s="20">
        <f t="shared" si="205"/>
        <v>2642</v>
      </c>
      <c r="E2648" s="20">
        <f t="shared" si="206"/>
        <v>4450</v>
      </c>
      <c r="F2648" s="20">
        <f t="shared" si="207"/>
        <v>4950</v>
      </c>
      <c r="G2648" s="20">
        <v>0.47430886694591567</v>
      </c>
      <c r="H2648" s="50"/>
      <c r="I2648" s="16"/>
      <c r="J2648" s="16"/>
      <c r="K2648" s="16"/>
      <c r="L2648" s="16"/>
      <c r="M2648" s="16">
        <v>2642</v>
      </c>
      <c r="N2648" s="16">
        <f t="shared" si="208"/>
        <v>0.94745337159253951</v>
      </c>
      <c r="O2648" s="16"/>
      <c r="P2648" s="16"/>
      <c r="Q2648" s="16">
        <f t="shared" si="209"/>
        <v>1.6206475100668076</v>
      </c>
    </row>
    <row r="2649" spans="4:17" ht="15" thickBot="1" x14ac:dyDescent="0.35">
      <c r="D2649" s="20">
        <f t="shared" si="205"/>
        <v>2643</v>
      </c>
      <c r="E2649" s="20">
        <f t="shared" si="206"/>
        <v>4550</v>
      </c>
      <c r="F2649" s="20">
        <f t="shared" si="207"/>
        <v>4950</v>
      </c>
      <c r="G2649" s="20">
        <v>0.474652044364065</v>
      </c>
      <c r="H2649" s="50"/>
      <c r="I2649" s="16"/>
      <c r="J2649" s="16"/>
      <c r="K2649" s="16"/>
      <c r="L2649" s="16"/>
      <c r="M2649" s="16">
        <v>2643</v>
      </c>
      <c r="N2649" s="16">
        <f t="shared" si="208"/>
        <v>0.94781205164992821</v>
      </c>
      <c r="O2649" s="16"/>
      <c r="P2649" s="16"/>
      <c r="Q2649" s="16">
        <f t="shared" si="209"/>
        <v>1.6239995869681965</v>
      </c>
    </row>
    <row r="2650" spans="4:17" ht="15" thickBot="1" x14ac:dyDescent="0.35">
      <c r="D2650" s="20">
        <f t="shared" si="205"/>
        <v>2644</v>
      </c>
      <c r="E2650" s="20">
        <f t="shared" si="206"/>
        <v>4650</v>
      </c>
      <c r="F2650" s="20">
        <f t="shared" si="207"/>
        <v>4950</v>
      </c>
      <c r="G2650" s="20">
        <v>0.47498192291688707</v>
      </c>
      <c r="H2650" s="50"/>
      <c r="I2650" s="16"/>
      <c r="J2650" s="16"/>
      <c r="K2650" s="16"/>
      <c r="L2650" s="16"/>
      <c r="M2650" s="16">
        <v>2644</v>
      </c>
      <c r="N2650" s="16">
        <f t="shared" si="208"/>
        <v>0.94817073170731703</v>
      </c>
      <c r="O2650" s="16"/>
      <c r="P2650" s="16"/>
      <c r="Q2650" s="16">
        <f t="shared" si="209"/>
        <v>1.6273700117895662</v>
      </c>
    </row>
    <row r="2651" spans="4:17" ht="15" thickBot="1" x14ac:dyDescent="0.35">
      <c r="D2651" s="20">
        <f t="shared" si="205"/>
        <v>2645</v>
      </c>
      <c r="E2651" s="20">
        <f t="shared" si="206"/>
        <v>4750</v>
      </c>
      <c r="F2651" s="20">
        <f t="shared" si="207"/>
        <v>4950</v>
      </c>
      <c r="G2651" s="20">
        <v>0.47510635641148746</v>
      </c>
      <c r="H2651" s="50"/>
      <c r="I2651" s="16"/>
      <c r="J2651" s="16"/>
      <c r="K2651" s="16"/>
      <c r="L2651" s="16"/>
      <c r="M2651" s="16">
        <v>2645</v>
      </c>
      <c r="N2651" s="16">
        <f t="shared" si="208"/>
        <v>0.94852941176470584</v>
      </c>
      <c r="O2651" s="16"/>
      <c r="P2651" s="16"/>
      <c r="Q2651" s="16">
        <f t="shared" si="209"/>
        <v>1.6307590252064119</v>
      </c>
    </row>
    <row r="2652" spans="4:17" ht="15" thickBot="1" x14ac:dyDescent="0.35">
      <c r="D2652" s="20">
        <f t="shared" si="205"/>
        <v>2646</v>
      </c>
      <c r="E2652" s="20">
        <f t="shared" si="206"/>
        <v>4850</v>
      </c>
      <c r="F2652" s="20">
        <f t="shared" si="207"/>
        <v>4950</v>
      </c>
      <c r="G2652" s="20">
        <v>0.47522339414828374</v>
      </c>
      <c r="H2652" s="50"/>
      <c r="I2652" s="16"/>
      <c r="J2652" s="16"/>
      <c r="K2652" s="16"/>
      <c r="L2652" s="16"/>
      <c r="M2652" s="16">
        <v>2646</v>
      </c>
      <c r="N2652" s="16">
        <f t="shared" si="208"/>
        <v>0.94888809182209466</v>
      </c>
      <c r="O2652" s="16"/>
      <c r="P2652" s="16"/>
      <c r="Q2652" s="16">
        <f t="shared" si="209"/>
        <v>1.6341668727549439</v>
      </c>
    </row>
    <row r="2653" spans="4:17" ht="15" thickBot="1" x14ac:dyDescent="0.35">
      <c r="D2653" s="20">
        <f t="shared" si="205"/>
        <v>2647</v>
      </c>
      <c r="E2653" s="20">
        <f t="shared" si="206"/>
        <v>4950</v>
      </c>
      <c r="F2653" s="20">
        <f t="shared" si="207"/>
        <v>4950</v>
      </c>
      <c r="G2653" s="20">
        <v>0.47546137939830319</v>
      </c>
      <c r="H2653" s="50"/>
      <c r="I2653" s="16"/>
      <c r="J2653" s="16"/>
      <c r="K2653" s="16"/>
      <c r="L2653" s="16"/>
      <c r="M2653" s="16">
        <v>2647</v>
      </c>
      <c r="N2653" s="16">
        <f t="shared" si="208"/>
        <v>0.94924677187948348</v>
      </c>
      <c r="O2653" s="16"/>
      <c r="P2653" s="16"/>
      <c r="Q2653" s="16">
        <f t="shared" si="209"/>
        <v>1.6375938049653909</v>
      </c>
    </row>
    <row r="2654" spans="4:17" ht="15" thickBot="1" x14ac:dyDescent="0.35">
      <c r="D2654" s="20">
        <f t="shared" si="205"/>
        <v>2648</v>
      </c>
      <c r="E2654" s="20">
        <f t="shared" si="206"/>
        <v>5050</v>
      </c>
      <c r="F2654" s="20">
        <f t="shared" si="207"/>
        <v>4950</v>
      </c>
      <c r="G2654" s="20">
        <v>0.47575547849931638</v>
      </c>
      <c r="H2654" s="50"/>
      <c r="I2654" s="16"/>
      <c r="J2654" s="16"/>
      <c r="K2654" s="16"/>
      <c r="L2654" s="16"/>
      <c r="M2654" s="16">
        <v>2648</v>
      </c>
      <c r="N2654" s="16">
        <f t="shared" si="208"/>
        <v>0.94960545193687229</v>
      </c>
      <c r="O2654" s="16"/>
      <c r="P2654" s="16"/>
      <c r="Q2654" s="16">
        <f t="shared" si="209"/>
        <v>1.6410400774999403</v>
      </c>
    </row>
    <row r="2655" spans="4:17" ht="15" thickBot="1" x14ac:dyDescent="0.35">
      <c r="D2655" s="20">
        <f t="shared" si="205"/>
        <v>2649</v>
      </c>
      <c r="E2655" s="20">
        <f t="shared" si="206"/>
        <v>5150</v>
      </c>
      <c r="F2655" s="20">
        <f t="shared" si="207"/>
        <v>4950</v>
      </c>
      <c r="G2655" s="20">
        <v>0.47594571038004618</v>
      </c>
      <c r="H2655" s="50"/>
      <c r="I2655" s="16"/>
      <c r="J2655" s="16"/>
      <c r="K2655" s="16"/>
      <c r="L2655" s="16"/>
      <c r="M2655" s="16">
        <v>2649</v>
      </c>
      <c r="N2655" s="16">
        <f t="shared" si="208"/>
        <v>0.94996413199426111</v>
      </c>
      <c r="O2655" s="16"/>
      <c r="P2655" s="16"/>
      <c r="Q2655" s="16">
        <f t="shared" si="209"/>
        <v>1.6445059512955067</v>
      </c>
    </row>
    <row r="2656" spans="4:17" ht="15" thickBot="1" x14ac:dyDescent="0.35">
      <c r="D2656" s="20">
        <f t="shared" si="205"/>
        <v>2650</v>
      </c>
      <c r="E2656" s="20">
        <f t="shared" si="206"/>
        <v>5250</v>
      </c>
      <c r="F2656" s="20">
        <f t="shared" si="207"/>
        <v>4950</v>
      </c>
      <c r="G2656" s="20">
        <v>0.4765501543821351</v>
      </c>
      <c r="H2656" s="50"/>
      <c r="I2656" s="16"/>
      <c r="J2656" s="16"/>
      <c r="K2656" s="16"/>
      <c r="L2656" s="16"/>
      <c r="M2656" s="16">
        <v>2650</v>
      </c>
      <c r="N2656" s="16">
        <f t="shared" si="208"/>
        <v>0.95032281205164992</v>
      </c>
      <c r="O2656" s="16"/>
      <c r="P2656" s="16"/>
      <c r="Q2656" s="16">
        <f t="shared" si="209"/>
        <v>1.6479916927115246</v>
      </c>
    </row>
    <row r="2657" spans="4:17" ht="15" thickBot="1" x14ac:dyDescent="0.35">
      <c r="D2657" s="20">
        <f t="shared" si="205"/>
        <v>2651</v>
      </c>
      <c r="E2657" s="20">
        <f t="shared" si="206"/>
        <v>50</v>
      </c>
      <c r="F2657" s="20">
        <f t="shared" si="207"/>
        <v>5050</v>
      </c>
      <c r="G2657" s="20">
        <v>0.4775667339488695</v>
      </c>
      <c r="H2657" s="50"/>
      <c r="I2657" s="16"/>
      <c r="J2657" s="16"/>
      <c r="K2657" s="16"/>
      <c r="L2657" s="16"/>
      <c r="M2657" s="16">
        <v>2651</v>
      </c>
      <c r="N2657" s="16">
        <f t="shared" si="208"/>
        <v>0.95068149210903874</v>
      </c>
      <c r="O2657" s="16"/>
      <c r="P2657" s="16"/>
      <c r="Q2657" s="16">
        <f t="shared" si="209"/>
        <v>1.6514975736829922</v>
      </c>
    </row>
    <row r="2658" spans="4:17" ht="15" thickBot="1" x14ac:dyDescent="0.35">
      <c r="D2658" s="20">
        <f t="shared" si="205"/>
        <v>2652</v>
      </c>
      <c r="E2658" s="47">
        <f t="shared" si="206"/>
        <v>150</v>
      </c>
      <c r="F2658" s="47">
        <f t="shared" si="207"/>
        <v>5050</v>
      </c>
      <c r="G2658" s="20">
        <v>0.47796325868325035</v>
      </c>
      <c r="H2658" s="50"/>
      <c r="I2658" s="16"/>
      <c r="J2658" s="16"/>
      <c r="K2658" s="16"/>
      <c r="L2658" s="16"/>
      <c r="M2658" s="16">
        <v>2652</v>
      </c>
      <c r="N2658" s="16">
        <f t="shared" si="208"/>
        <v>0.95104017216642756</v>
      </c>
      <c r="O2658" s="16"/>
      <c r="P2658" s="16"/>
      <c r="Q2658" s="16">
        <f t="shared" si="209"/>
        <v>1.6550238718789902</v>
      </c>
    </row>
    <row r="2659" spans="4:17" ht="15" thickBot="1" x14ac:dyDescent="0.35">
      <c r="D2659" s="20">
        <f t="shared" si="205"/>
        <v>2653</v>
      </c>
      <c r="E2659" s="20">
        <f t="shared" si="206"/>
        <v>250</v>
      </c>
      <c r="F2659" s="20">
        <f t="shared" si="207"/>
        <v>5050</v>
      </c>
      <c r="G2659" s="20">
        <v>0.47798921466525629</v>
      </c>
      <c r="H2659" s="50"/>
      <c r="I2659" s="16"/>
      <c r="J2659" s="16"/>
      <c r="K2659" s="16"/>
      <c r="L2659" s="16"/>
      <c r="M2659" s="16">
        <v>2653</v>
      </c>
      <c r="N2659" s="16">
        <f t="shared" si="208"/>
        <v>0.95139885222381637</v>
      </c>
      <c r="O2659" s="16"/>
      <c r="P2659" s="16"/>
      <c r="Q2659" s="16">
        <f t="shared" si="209"/>
        <v>1.658570870866902</v>
      </c>
    </row>
    <row r="2660" spans="4:17" ht="15" thickBot="1" x14ac:dyDescent="0.35">
      <c r="D2660" s="20">
        <f t="shared" si="205"/>
        <v>2654</v>
      </c>
      <c r="E2660" s="20">
        <f t="shared" si="206"/>
        <v>350</v>
      </c>
      <c r="F2660" s="20">
        <f t="shared" si="207"/>
        <v>5050</v>
      </c>
      <c r="G2660" s="20">
        <v>0.47853266970465724</v>
      </c>
      <c r="H2660" s="50"/>
      <c r="I2660" s="16"/>
      <c r="J2660" s="16"/>
      <c r="K2660" s="16"/>
      <c r="L2660" s="16"/>
      <c r="M2660" s="16">
        <v>2654</v>
      </c>
      <c r="N2660" s="16">
        <f t="shared" si="208"/>
        <v>0.95175753228120519</v>
      </c>
      <c r="O2660" s="16"/>
      <c r="P2660" s="16"/>
      <c r="Q2660" s="16">
        <f t="shared" si="209"/>
        <v>1.6621388602826019</v>
      </c>
    </row>
    <row r="2661" spans="4:17" ht="15" thickBot="1" x14ac:dyDescent="0.35">
      <c r="D2661" s="20">
        <f t="shared" si="205"/>
        <v>2655</v>
      </c>
      <c r="E2661" s="20">
        <f t="shared" si="206"/>
        <v>450</v>
      </c>
      <c r="F2661" s="20">
        <f t="shared" si="207"/>
        <v>5050</v>
      </c>
      <c r="G2661" s="20">
        <v>0.47902087338812743</v>
      </c>
      <c r="H2661" s="50"/>
      <c r="I2661" s="16"/>
      <c r="J2661" s="16"/>
      <c r="K2661" s="16"/>
      <c r="L2661" s="16"/>
      <c r="M2661" s="16">
        <v>2655</v>
      </c>
      <c r="N2661" s="16">
        <f t="shared" si="208"/>
        <v>0.952116212338594</v>
      </c>
      <c r="O2661" s="16"/>
      <c r="P2661" s="16"/>
      <c r="Q2661" s="16">
        <f t="shared" si="209"/>
        <v>1.6657281360068612</v>
      </c>
    </row>
    <row r="2662" spans="4:17" ht="15" thickBot="1" x14ac:dyDescent="0.35">
      <c r="D2662" s="20">
        <f t="shared" si="205"/>
        <v>2656</v>
      </c>
      <c r="E2662" s="20">
        <f t="shared" si="206"/>
        <v>550</v>
      </c>
      <c r="F2662" s="20">
        <f t="shared" si="207"/>
        <v>5050</v>
      </c>
      <c r="G2662" s="20">
        <v>0.47912812977885921</v>
      </c>
      <c r="H2662" s="50"/>
      <c r="I2662" s="16"/>
      <c r="J2662" s="16"/>
      <c r="K2662" s="16"/>
      <c r="L2662" s="16"/>
      <c r="M2662" s="16">
        <v>2656</v>
      </c>
      <c r="N2662" s="16">
        <f t="shared" si="208"/>
        <v>0.95247489239598282</v>
      </c>
      <c r="O2662" s="16"/>
      <c r="P2662" s="16"/>
      <c r="Q2662" s="16">
        <f t="shared" si="209"/>
        <v>1.6693390003482491</v>
      </c>
    </row>
    <row r="2663" spans="4:17" ht="15" thickBot="1" x14ac:dyDescent="0.35">
      <c r="D2663" s="20">
        <f t="shared" si="205"/>
        <v>2657</v>
      </c>
      <c r="E2663" s="20">
        <f t="shared" si="206"/>
        <v>650</v>
      </c>
      <c r="F2663" s="20">
        <f t="shared" si="207"/>
        <v>5050</v>
      </c>
      <c r="G2663" s="20">
        <v>0.47926803017738895</v>
      </c>
      <c r="H2663" s="50"/>
      <c r="I2663" s="16"/>
      <c r="J2663" s="16"/>
      <c r="K2663" s="16"/>
      <c r="L2663" s="16"/>
      <c r="M2663" s="16">
        <v>2657</v>
      </c>
      <c r="N2663" s="16">
        <f t="shared" si="208"/>
        <v>0.95283357245337164</v>
      </c>
      <c r="O2663" s="16"/>
      <c r="P2663" s="16"/>
      <c r="Q2663" s="16">
        <f t="shared" si="209"/>
        <v>1.6729717622328317</v>
      </c>
    </row>
    <row r="2664" spans="4:17" ht="15" thickBot="1" x14ac:dyDescent="0.35">
      <c r="D2664" s="20">
        <f t="shared" si="205"/>
        <v>2658</v>
      </c>
      <c r="E2664" s="20">
        <f t="shared" si="206"/>
        <v>750</v>
      </c>
      <c r="F2664" s="20">
        <f t="shared" si="207"/>
        <v>5050</v>
      </c>
      <c r="G2664" s="20">
        <v>0.47940159711771502</v>
      </c>
      <c r="H2664" s="50"/>
      <c r="I2664" s="16"/>
      <c r="J2664" s="16"/>
      <c r="K2664" s="16"/>
      <c r="L2664" s="16"/>
      <c r="M2664" s="16">
        <v>2658</v>
      </c>
      <c r="N2664" s="16">
        <f t="shared" si="208"/>
        <v>0.95319225251076045</v>
      </c>
      <c r="O2664" s="16"/>
      <c r="P2664" s="16"/>
      <c r="Q2664" s="16">
        <f t="shared" si="209"/>
        <v>1.676626737400954</v>
      </c>
    </row>
    <row r="2665" spans="4:17" ht="15" thickBot="1" x14ac:dyDescent="0.35">
      <c r="D2665" s="20">
        <f t="shared" si="205"/>
        <v>2659</v>
      </c>
      <c r="E2665" s="20">
        <f t="shared" si="206"/>
        <v>850</v>
      </c>
      <c r="F2665" s="20">
        <f t="shared" si="207"/>
        <v>5050</v>
      </c>
      <c r="G2665" s="20">
        <v>0.47952021790440524</v>
      </c>
      <c r="H2665" s="50"/>
      <c r="I2665" s="16"/>
      <c r="J2665" s="16"/>
      <c r="K2665" s="16"/>
      <c r="L2665" s="16"/>
      <c r="M2665" s="16">
        <v>2659</v>
      </c>
      <c r="N2665" s="16">
        <f t="shared" si="208"/>
        <v>0.95355093256814916</v>
      </c>
      <c r="O2665" s="16"/>
      <c r="P2665" s="16"/>
      <c r="Q2665" s="16">
        <f t="shared" si="209"/>
        <v>1.680304248611443</v>
      </c>
    </row>
    <row r="2666" spans="4:17" ht="15" thickBot="1" x14ac:dyDescent="0.35">
      <c r="D2666" s="20">
        <f t="shared" si="205"/>
        <v>2660</v>
      </c>
      <c r="E2666" s="43">
        <f t="shared" si="206"/>
        <v>950</v>
      </c>
      <c r="F2666" s="43">
        <f t="shared" si="207"/>
        <v>5050</v>
      </c>
      <c r="G2666" s="20">
        <v>0.47994381572177269</v>
      </c>
      <c r="H2666" s="50"/>
      <c r="I2666" s="16"/>
      <c r="J2666" s="16"/>
      <c r="K2666" s="16"/>
      <c r="L2666" s="16"/>
      <c r="M2666" s="16">
        <v>2660</v>
      </c>
      <c r="N2666" s="16">
        <f t="shared" si="208"/>
        <v>0.95390961262553797</v>
      </c>
      <c r="O2666" s="16"/>
      <c r="P2666" s="16"/>
      <c r="Q2666" s="16">
        <f t="shared" si="209"/>
        <v>1.6840046258535759</v>
      </c>
    </row>
    <row r="2667" spans="4:17" ht="15" thickBot="1" x14ac:dyDescent="0.35">
      <c r="D2667" s="20">
        <f t="shared" si="205"/>
        <v>2661</v>
      </c>
      <c r="E2667" s="20">
        <f t="shared" si="206"/>
        <v>1050</v>
      </c>
      <c r="F2667" s="20">
        <f t="shared" si="207"/>
        <v>5050</v>
      </c>
      <c r="G2667" s="20">
        <v>0.48061167002971961</v>
      </c>
      <c r="H2667" s="50"/>
      <c r="I2667" s="16"/>
      <c r="J2667" s="16"/>
      <c r="K2667" s="16"/>
      <c r="L2667" s="16"/>
      <c r="M2667" s="16">
        <v>2661</v>
      </c>
      <c r="N2667" s="16">
        <f t="shared" si="208"/>
        <v>0.95426829268292679</v>
      </c>
      <c r="O2667" s="16"/>
      <c r="P2667" s="16"/>
      <c r="Q2667" s="16">
        <f t="shared" si="209"/>
        <v>1.6877282065671406</v>
      </c>
    </row>
    <row r="2668" spans="4:17" ht="15" thickBot="1" x14ac:dyDescent="0.35">
      <c r="D2668" s="20">
        <f t="shared" si="205"/>
        <v>2662</v>
      </c>
      <c r="E2668" s="20">
        <f t="shared" si="206"/>
        <v>1150</v>
      </c>
      <c r="F2668" s="20">
        <f t="shared" si="207"/>
        <v>5050</v>
      </c>
      <c r="G2668" s="20">
        <v>0.48182086847191308</v>
      </c>
      <c r="H2668" s="50"/>
      <c r="I2668" s="16"/>
      <c r="J2668" s="16"/>
      <c r="K2668" s="16"/>
      <c r="L2668" s="16"/>
      <c r="M2668" s="16">
        <v>2662</v>
      </c>
      <c r="N2668" s="16">
        <f t="shared" si="208"/>
        <v>0.9546269727403156</v>
      </c>
      <c r="O2668" s="16"/>
      <c r="P2668" s="16"/>
      <c r="Q2668" s="16">
        <f t="shared" si="209"/>
        <v>1.6914753358710071</v>
      </c>
    </row>
    <row r="2669" spans="4:17" ht="15" thickBot="1" x14ac:dyDescent="0.35">
      <c r="D2669" s="20">
        <f t="shared" si="205"/>
        <v>2663</v>
      </c>
      <c r="E2669" s="43">
        <f t="shared" si="206"/>
        <v>1250</v>
      </c>
      <c r="F2669" s="43">
        <f t="shared" si="207"/>
        <v>5050</v>
      </c>
      <c r="G2669" s="20">
        <v>0.48190932331390857</v>
      </c>
      <c r="H2669" s="50"/>
      <c r="I2669" s="16"/>
      <c r="J2669" s="16"/>
      <c r="K2669" s="16"/>
      <c r="L2669" s="16"/>
      <c r="M2669" s="16">
        <v>2663</v>
      </c>
      <c r="N2669" s="16">
        <f t="shared" si="208"/>
        <v>0.95498565279770442</v>
      </c>
      <c r="O2669" s="16"/>
      <c r="P2669" s="16"/>
      <c r="Q2669" s="16">
        <f t="shared" si="209"/>
        <v>1.6952463668005777</v>
      </c>
    </row>
    <row r="2670" spans="4:17" ht="15" thickBot="1" x14ac:dyDescent="0.35">
      <c r="D2670" s="20">
        <f t="shared" si="205"/>
        <v>2664</v>
      </c>
      <c r="E2670" s="20">
        <f t="shared" si="206"/>
        <v>1350</v>
      </c>
      <c r="F2670" s="20">
        <f t="shared" si="207"/>
        <v>5050</v>
      </c>
      <c r="G2670" s="20">
        <v>0.48259288979726445</v>
      </c>
      <c r="H2670" s="50"/>
      <c r="I2670" s="16"/>
      <c r="J2670" s="16"/>
      <c r="K2670" s="16"/>
      <c r="L2670" s="16"/>
      <c r="M2670" s="16">
        <v>2664</v>
      </c>
      <c r="N2670" s="16">
        <f t="shared" si="208"/>
        <v>0.95534433285509324</v>
      </c>
      <c r="O2670" s="16"/>
      <c r="P2670" s="16"/>
      <c r="Q2670" s="16">
        <f t="shared" si="209"/>
        <v>1.6990416605545431</v>
      </c>
    </row>
    <row r="2671" spans="4:17" ht="15" thickBot="1" x14ac:dyDescent="0.35">
      <c r="D2671" s="20">
        <f t="shared" si="205"/>
        <v>2665</v>
      </c>
      <c r="E2671" s="20">
        <f t="shared" si="206"/>
        <v>1450</v>
      </c>
      <c r="F2671" s="20">
        <f t="shared" si="207"/>
        <v>5050</v>
      </c>
      <c r="G2671" s="20">
        <v>0.48269433870681849</v>
      </c>
      <c r="H2671" s="50"/>
      <c r="I2671" s="16"/>
      <c r="J2671" s="16"/>
      <c r="K2671" s="16"/>
      <c r="L2671" s="16"/>
      <c r="M2671" s="16">
        <v>2665</v>
      </c>
      <c r="N2671" s="16">
        <f t="shared" si="208"/>
        <v>0.95570301291248205</v>
      </c>
      <c r="O2671" s="16"/>
      <c r="P2671" s="16"/>
      <c r="Q2671" s="16">
        <f t="shared" si="209"/>
        <v>1.7028615867513979</v>
      </c>
    </row>
    <row r="2672" spans="4:17" ht="15" thickBot="1" x14ac:dyDescent="0.35">
      <c r="D2672" s="20">
        <f t="shared" si="205"/>
        <v>2666</v>
      </c>
      <c r="E2672" s="20">
        <f t="shared" si="206"/>
        <v>1550</v>
      </c>
      <c r="F2672" s="20">
        <f t="shared" si="207"/>
        <v>5050</v>
      </c>
      <c r="G2672" s="20">
        <v>0.48312362540520937</v>
      </c>
      <c r="H2672" s="50"/>
      <c r="I2672" s="16"/>
      <c r="J2672" s="16"/>
      <c r="K2672" s="16"/>
      <c r="L2672" s="16"/>
      <c r="M2672" s="16">
        <v>2666</v>
      </c>
      <c r="N2672" s="16">
        <f t="shared" si="208"/>
        <v>0.95606169296987087</v>
      </c>
      <c r="O2672" s="16"/>
      <c r="P2672" s="16"/>
      <c r="Q2672" s="16">
        <f t="shared" si="209"/>
        <v>1.7067065236961663</v>
      </c>
    </row>
    <row r="2673" spans="4:17" ht="15" thickBot="1" x14ac:dyDescent="0.35">
      <c r="D2673" s="20">
        <f t="shared" si="205"/>
        <v>2667</v>
      </c>
      <c r="E2673" s="20">
        <f t="shared" si="206"/>
        <v>1650</v>
      </c>
      <c r="F2673" s="20">
        <f t="shared" si="207"/>
        <v>5050</v>
      </c>
      <c r="G2673" s="20">
        <v>0.48361070445209331</v>
      </c>
      <c r="H2673" s="50"/>
      <c r="I2673" s="16"/>
      <c r="J2673" s="16"/>
      <c r="K2673" s="16"/>
      <c r="L2673" s="16"/>
      <c r="M2673" s="16">
        <v>2667</v>
      </c>
      <c r="N2673" s="16">
        <f t="shared" si="208"/>
        <v>0.95642037302725968</v>
      </c>
      <c r="O2673" s="16"/>
      <c r="P2673" s="16"/>
      <c r="Q2673" s="16">
        <f t="shared" si="209"/>
        <v>1.7105768586578463</v>
      </c>
    </row>
    <row r="2674" spans="4:17" ht="15" thickBot="1" x14ac:dyDescent="0.35">
      <c r="D2674" s="20">
        <f t="shared" si="205"/>
        <v>2668</v>
      </c>
      <c r="E2674" s="20">
        <f t="shared" si="206"/>
        <v>1750</v>
      </c>
      <c r="F2674" s="20">
        <f t="shared" si="207"/>
        <v>5050</v>
      </c>
      <c r="G2674" s="20">
        <v>0.48410664140017801</v>
      </c>
      <c r="H2674" s="50"/>
      <c r="I2674" s="16"/>
      <c r="J2674" s="16"/>
      <c r="K2674" s="16"/>
      <c r="L2674" s="16"/>
      <c r="M2674" s="16">
        <v>2668</v>
      </c>
      <c r="N2674" s="16">
        <f t="shared" si="208"/>
        <v>0.9567790530846485</v>
      </c>
      <c r="O2674" s="16"/>
      <c r="P2674" s="16"/>
      <c r="Q2674" s="16">
        <f t="shared" si="209"/>
        <v>1.7144729881580878</v>
      </c>
    </row>
    <row r="2675" spans="4:17" ht="15" thickBot="1" x14ac:dyDescent="0.35">
      <c r="D2675" s="20">
        <f t="shared" si="205"/>
        <v>2669</v>
      </c>
      <c r="E2675" s="20">
        <f t="shared" si="206"/>
        <v>1850</v>
      </c>
      <c r="F2675" s="20">
        <f t="shared" si="207"/>
        <v>5050</v>
      </c>
      <c r="G2675" s="20">
        <v>0.48425218675945186</v>
      </c>
      <c r="H2675" s="50"/>
      <c r="I2675" s="16"/>
      <c r="J2675" s="16"/>
      <c r="K2675" s="16"/>
      <c r="L2675" s="16"/>
      <c r="M2675" s="16">
        <v>2669</v>
      </c>
      <c r="N2675" s="16">
        <f t="shared" si="208"/>
        <v>0.95713773314203732</v>
      </c>
      <c r="O2675" s="16"/>
      <c r="P2675" s="16"/>
      <c r="Q2675" s="16">
        <f t="shared" si="209"/>
        <v>1.7183953182716616</v>
      </c>
    </row>
    <row r="2676" spans="4:17" ht="15" thickBot="1" x14ac:dyDescent="0.35">
      <c r="D2676" s="20">
        <f t="shared" si="205"/>
        <v>2670</v>
      </c>
      <c r="E2676" s="20">
        <f t="shared" si="206"/>
        <v>1950</v>
      </c>
      <c r="F2676" s="20">
        <f t="shared" si="207"/>
        <v>5050</v>
      </c>
      <c r="G2676" s="20">
        <v>0.48443723807165107</v>
      </c>
      <c r="H2676" s="50"/>
      <c r="I2676" s="16"/>
      <c r="J2676" s="16"/>
      <c r="K2676" s="16"/>
      <c r="L2676" s="16"/>
      <c r="M2676" s="16">
        <v>2670</v>
      </c>
      <c r="N2676" s="16">
        <f t="shared" si="208"/>
        <v>0.95749641319942613</v>
      </c>
      <c r="O2676" s="16"/>
      <c r="P2676" s="16"/>
      <c r="Q2676" s="16">
        <f t="shared" si="209"/>
        <v>1.7223442649393006</v>
      </c>
    </row>
    <row r="2677" spans="4:17" ht="15" thickBot="1" x14ac:dyDescent="0.35">
      <c r="D2677" s="20">
        <f t="shared" si="205"/>
        <v>2671</v>
      </c>
      <c r="E2677" s="20">
        <f t="shared" si="206"/>
        <v>2050</v>
      </c>
      <c r="F2677" s="20">
        <f t="shared" si="207"/>
        <v>5050</v>
      </c>
      <c r="G2677" s="20">
        <v>0.48490432968547914</v>
      </c>
      <c r="H2677" s="50"/>
      <c r="I2677" s="16"/>
      <c r="J2677" s="16"/>
      <c r="K2677" s="16"/>
      <c r="L2677" s="16"/>
      <c r="M2677" s="16">
        <v>2671</v>
      </c>
      <c r="N2677" s="16">
        <f t="shared" si="208"/>
        <v>0.95785509325681495</v>
      </c>
      <c r="O2677" s="16"/>
      <c r="P2677" s="16"/>
      <c r="Q2677" s="16">
        <f t="shared" si="209"/>
        <v>1.726320254293531</v>
      </c>
    </row>
    <row r="2678" spans="4:17" ht="15" thickBot="1" x14ac:dyDescent="0.35">
      <c r="D2678" s="20">
        <f t="shared" si="205"/>
        <v>2672</v>
      </c>
      <c r="E2678" s="47">
        <f t="shared" si="206"/>
        <v>2150</v>
      </c>
      <c r="F2678" s="47">
        <f t="shared" si="207"/>
        <v>5050</v>
      </c>
      <c r="G2678" s="20">
        <v>0.48507662964464826</v>
      </c>
      <c r="H2678" s="50"/>
      <c r="I2678" s="16"/>
      <c r="J2678" s="16"/>
      <c r="K2678" s="16"/>
      <c r="L2678" s="16"/>
      <c r="M2678" s="16">
        <v>2672</v>
      </c>
      <c r="N2678" s="16">
        <f t="shared" si="208"/>
        <v>0.95821377331420376</v>
      </c>
      <c r="O2678" s="16"/>
      <c r="P2678" s="16"/>
      <c r="Q2678" s="16">
        <f t="shared" si="209"/>
        <v>1.7303237229981581</v>
      </c>
    </row>
    <row r="2679" spans="4:17" ht="15" thickBot="1" x14ac:dyDescent="0.35">
      <c r="D2679" s="20">
        <f t="shared" si="205"/>
        <v>2673</v>
      </c>
      <c r="E2679" s="20">
        <f t="shared" si="206"/>
        <v>2250</v>
      </c>
      <c r="F2679" s="20">
        <f t="shared" si="207"/>
        <v>5050</v>
      </c>
      <c r="G2679" s="20">
        <v>0.48508719443137749</v>
      </c>
      <c r="H2679" s="50"/>
      <c r="I2679" s="16"/>
      <c r="J2679" s="16"/>
      <c r="K2679" s="16"/>
      <c r="L2679" s="16"/>
      <c r="M2679" s="16">
        <v>2673</v>
      </c>
      <c r="N2679" s="16">
        <f t="shared" si="208"/>
        <v>0.95857245337159258</v>
      </c>
      <c r="O2679" s="16"/>
      <c r="P2679" s="16"/>
      <c r="Q2679" s="16">
        <f t="shared" si="209"/>
        <v>1.7343551186020891</v>
      </c>
    </row>
    <row r="2680" spans="4:17" ht="15" thickBot="1" x14ac:dyDescent="0.35">
      <c r="D2680" s="20">
        <f t="shared" si="205"/>
        <v>2674</v>
      </c>
      <c r="E2680" s="20">
        <f t="shared" si="206"/>
        <v>2350</v>
      </c>
      <c r="F2680" s="20">
        <f t="shared" si="207"/>
        <v>5050</v>
      </c>
      <c r="G2680" s="20">
        <v>0.48522327761978157</v>
      </c>
      <c r="H2680" s="50"/>
      <c r="I2680" s="16"/>
      <c r="J2680" s="16"/>
      <c r="K2680" s="16"/>
      <c r="L2680" s="16"/>
      <c r="M2680" s="16">
        <v>2674</v>
      </c>
      <c r="N2680" s="16">
        <f t="shared" si="208"/>
        <v>0.9589311334289814</v>
      </c>
      <c r="O2680" s="16"/>
      <c r="P2680" s="16"/>
      <c r="Q2680" s="16">
        <f t="shared" si="209"/>
        <v>1.7384148999082374</v>
      </c>
    </row>
    <row r="2681" spans="4:17" ht="15" thickBot="1" x14ac:dyDescent="0.35">
      <c r="D2681" s="20">
        <f t="shared" si="205"/>
        <v>2675</v>
      </c>
      <c r="E2681" s="20">
        <f t="shared" si="206"/>
        <v>2450</v>
      </c>
      <c r="F2681" s="20">
        <f t="shared" si="207"/>
        <v>5050</v>
      </c>
      <c r="G2681" s="20">
        <v>0.48523603461674325</v>
      </c>
      <c r="H2681" s="50"/>
      <c r="I2681" s="16"/>
      <c r="J2681" s="16"/>
      <c r="K2681" s="16"/>
      <c r="L2681" s="16"/>
      <c r="M2681" s="16">
        <v>2675</v>
      </c>
      <c r="N2681" s="16">
        <f t="shared" si="208"/>
        <v>0.95928981348637021</v>
      </c>
      <c r="O2681" s="16"/>
      <c r="P2681" s="16"/>
      <c r="Q2681" s="16">
        <f t="shared" si="209"/>
        <v>1.7425035373582876</v>
      </c>
    </row>
    <row r="2682" spans="4:17" ht="15" thickBot="1" x14ac:dyDescent="0.35">
      <c r="D2682" s="20">
        <f t="shared" si="205"/>
        <v>2676</v>
      </c>
      <c r="E2682" s="20">
        <f t="shared" si="206"/>
        <v>2550</v>
      </c>
      <c r="F2682" s="20">
        <f t="shared" si="207"/>
        <v>5050</v>
      </c>
      <c r="G2682" s="20">
        <v>0.48545536332410766</v>
      </c>
      <c r="H2682" s="50"/>
      <c r="I2682" s="16"/>
      <c r="J2682" s="16"/>
      <c r="K2682" s="16"/>
      <c r="L2682" s="16"/>
      <c r="M2682" s="16">
        <v>2676</v>
      </c>
      <c r="N2682" s="16">
        <f t="shared" si="208"/>
        <v>0.95964849354375892</v>
      </c>
      <c r="O2682" s="16"/>
      <c r="P2682" s="16"/>
      <c r="Q2682" s="16">
        <f t="shared" si="209"/>
        <v>1.7466215134341447</v>
      </c>
    </row>
    <row r="2683" spans="4:17" ht="15" thickBot="1" x14ac:dyDescent="0.35">
      <c r="D2683" s="20">
        <f t="shared" si="205"/>
        <v>2677</v>
      </c>
      <c r="E2683" s="43">
        <f t="shared" si="206"/>
        <v>2650</v>
      </c>
      <c r="F2683" s="43">
        <f t="shared" si="207"/>
        <v>5050</v>
      </c>
      <c r="G2683" s="20">
        <v>0.48557004475904436</v>
      </c>
      <c r="H2683" s="50"/>
      <c r="I2683" s="16"/>
      <c r="J2683" s="16"/>
      <c r="K2683" s="16"/>
      <c r="L2683" s="16"/>
      <c r="M2683" s="16">
        <v>2677</v>
      </c>
      <c r="N2683" s="16">
        <f t="shared" si="208"/>
        <v>0.96000717360114773</v>
      </c>
      <c r="O2683" s="16"/>
      <c r="P2683" s="16"/>
      <c r="Q2683" s="16">
        <f t="shared" si="209"/>
        <v>1.7507693230769634</v>
      </c>
    </row>
    <row r="2684" spans="4:17" ht="15" thickBot="1" x14ac:dyDescent="0.35">
      <c r="D2684" s="20">
        <f t="shared" si="205"/>
        <v>2678</v>
      </c>
      <c r="E2684" s="20">
        <f t="shared" si="206"/>
        <v>2750</v>
      </c>
      <c r="F2684" s="20">
        <f t="shared" si="207"/>
        <v>5050</v>
      </c>
      <c r="G2684" s="20">
        <v>0.48582484533737091</v>
      </c>
      <c r="H2684" s="50"/>
      <c r="I2684" s="16"/>
      <c r="J2684" s="16"/>
      <c r="K2684" s="16"/>
      <c r="L2684" s="16"/>
      <c r="M2684" s="16">
        <v>2678</v>
      </c>
      <c r="N2684" s="16">
        <f t="shared" si="208"/>
        <v>0.96036585365853655</v>
      </c>
      <c r="O2684" s="16"/>
      <c r="P2684" s="16"/>
      <c r="Q2684" s="16">
        <f t="shared" si="209"/>
        <v>1.754947474124662</v>
      </c>
    </row>
    <row r="2685" spans="4:17" ht="15" thickBot="1" x14ac:dyDescent="0.35">
      <c r="D2685" s="20">
        <f t="shared" si="205"/>
        <v>2679</v>
      </c>
      <c r="E2685" s="20">
        <f t="shared" si="206"/>
        <v>2850</v>
      </c>
      <c r="F2685" s="20">
        <f t="shared" si="207"/>
        <v>5050</v>
      </c>
      <c r="G2685" s="20">
        <v>0.48588588331457139</v>
      </c>
      <c r="H2685" s="50"/>
      <c r="I2685" s="16"/>
      <c r="J2685" s="16"/>
      <c r="K2685" s="16"/>
      <c r="L2685" s="16"/>
      <c r="M2685" s="16">
        <v>2679</v>
      </c>
      <c r="N2685" s="16">
        <f t="shared" si="208"/>
        <v>0.96072453371592537</v>
      </c>
      <c r="O2685" s="16"/>
      <c r="P2685" s="16"/>
      <c r="Q2685" s="16">
        <f t="shared" si="209"/>
        <v>1.7591564877689472</v>
      </c>
    </row>
    <row r="2686" spans="4:17" ht="15" thickBot="1" x14ac:dyDescent="0.35">
      <c r="D2686" s="20">
        <f t="shared" si="205"/>
        <v>2680</v>
      </c>
      <c r="E2686" s="20">
        <f t="shared" si="206"/>
        <v>2950</v>
      </c>
      <c r="F2686" s="20">
        <f t="shared" si="207"/>
        <v>5050</v>
      </c>
      <c r="G2686" s="20">
        <v>0.48628909494641326</v>
      </c>
      <c r="H2686" s="50"/>
      <c r="I2686" s="16"/>
      <c r="J2686" s="16"/>
      <c r="K2686" s="16"/>
      <c r="L2686" s="16"/>
      <c r="M2686" s="16">
        <v>2680</v>
      </c>
      <c r="N2686" s="16">
        <f t="shared" si="208"/>
        <v>0.96108321377331418</v>
      </c>
      <c r="O2686" s="16"/>
      <c r="P2686" s="16"/>
      <c r="Q2686" s="16">
        <f t="shared" si="209"/>
        <v>1.7633968990328865</v>
      </c>
    </row>
    <row r="2687" spans="4:17" ht="15" thickBot="1" x14ac:dyDescent="0.35">
      <c r="D2687" s="20">
        <f t="shared" si="205"/>
        <v>2681</v>
      </c>
      <c r="E2687" s="20">
        <f t="shared" si="206"/>
        <v>3050</v>
      </c>
      <c r="F2687" s="20">
        <f t="shared" si="207"/>
        <v>5050</v>
      </c>
      <c r="G2687" s="20">
        <v>0.48630362519954495</v>
      </c>
      <c r="H2687" s="50"/>
      <c r="I2687" s="16"/>
      <c r="J2687" s="16"/>
      <c r="K2687" s="16"/>
      <c r="L2687" s="16"/>
      <c r="M2687" s="16">
        <v>2681</v>
      </c>
      <c r="N2687" s="16">
        <f t="shared" si="208"/>
        <v>0.961441893830703</v>
      </c>
      <c r="O2687" s="16"/>
      <c r="P2687" s="16"/>
      <c r="Q2687" s="16">
        <f t="shared" si="209"/>
        <v>1.7676692572701533</v>
      </c>
    </row>
    <row r="2688" spans="4:17" ht="15" thickBot="1" x14ac:dyDescent="0.35">
      <c r="D2688" s="20">
        <f t="shared" si="205"/>
        <v>2682</v>
      </c>
      <c r="E2688" s="43">
        <f t="shared" si="206"/>
        <v>3150</v>
      </c>
      <c r="F2688" s="43">
        <f t="shared" si="207"/>
        <v>5050</v>
      </c>
      <c r="G2688" s="20">
        <v>0.48669236502227192</v>
      </c>
      <c r="H2688" s="50"/>
      <c r="I2688" s="16"/>
      <c r="J2688" s="16"/>
      <c r="K2688" s="16"/>
      <c r="L2688" s="16"/>
      <c r="M2688" s="16">
        <v>2682</v>
      </c>
      <c r="N2688" s="16">
        <f t="shared" si="208"/>
        <v>0.96180057388809181</v>
      </c>
      <c r="O2688" s="16"/>
      <c r="P2688" s="16"/>
      <c r="Q2688" s="16">
        <f t="shared" si="209"/>
        <v>1.7719741266871492</v>
      </c>
    </row>
    <row r="2689" spans="4:17" ht="15" thickBot="1" x14ac:dyDescent="0.35">
      <c r="D2689" s="20">
        <f t="shared" si="205"/>
        <v>2683</v>
      </c>
      <c r="E2689" s="20">
        <f t="shared" si="206"/>
        <v>3250</v>
      </c>
      <c r="F2689" s="20">
        <f t="shared" si="207"/>
        <v>5050</v>
      </c>
      <c r="G2689" s="20">
        <v>0.48693620936031795</v>
      </c>
      <c r="H2689" s="50"/>
      <c r="I2689" s="16"/>
      <c r="J2689" s="16"/>
      <c r="K2689" s="16"/>
      <c r="L2689" s="16"/>
      <c r="M2689" s="16">
        <v>2683</v>
      </c>
      <c r="N2689" s="16">
        <f t="shared" si="208"/>
        <v>0.96215925394548063</v>
      </c>
      <c r="O2689" s="16"/>
      <c r="P2689" s="16"/>
      <c r="Q2689" s="16">
        <f t="shared" si="209"/>
        <v>1.7763120868892648</v>
      </c>
    </row>
    <row r="2690" spans="4:17" ht="15" thickBot="1" x14ac:dyDescent="0.35">
      <c r="D2690" s="20">
        <f t="shared" si="205"/>
        <v>2684</v>
      </c>
      <c r="E2690" s="20">
        <f t="shared" si="206"/>
        <v>3350</v>
      </c>
      <c r="F2690" s="20">
        <f t="shared" si="207"/>
        <v>5050</v>
      </c>
      <c r="G2690" s="20">
        <v>0.48705003661748653</v>
      </c>
      <c r="H2690" s="50"/>
      <c r="I2690" s="16"/>
      <c r="J2690" s="16"/>
      <c r="K2690" s="16"/>
      <c r="L2690" s="16"/>
      <c r="M2690" s="16">
        <v>2684</v>
      </c>
      <c r="N2690" s="16">
        <f t="shared" si="208"/>
        <v>0.96251793400286945</v>
      </c>
      <c r="O2690" s="16"/>
      <c r="P2690" s="16"/>
      <c r="Q2690" s="16">
        <f t="shared" si="209"/>
        <v>1.7806837334526524</v>
      </c>
    </row>
    <row r="2691" spans="4:17" ht="15" thickBot="1" x14ac:dyDescent="0.35">
      <c r="D2691" s="20">
        <f t="shared" si="205"/>
        <v>2685</v>
      </c>
      <c r="E2691" s="20">
        <f t="shared" si="206"/>
        <v>3450</v>
      </c>
      <c r="F2691" s="20">
        <f t="shared" si="207"/>
        <v>5050</v>
      </c>
      <c r="G2691" s="20">
        <v>0.48767700695083605</v>
      </c>
      <c r="H2691" s="50"/>
      <c r="I2691" s="16"/>
      <c r="J2691" s="16"/>
      <c r="K2691" s="16"/>
      <c r="L2691" s="16"/>
      <c r="M2691" s="16">
        <v>2685</v>
      </c>
      <c r="N2691" s="16">
        <f t="shared" si="208"/>
        <v>0.96287661406025826</v>
      </c>
      <c r="O2691" s="16"/>
      <c r="P2691" s="16"/>
      <c r="Q2691" s="16">
        <f t="shared" si="209"/>
        <v>1.7850896785229433</v>
      </c>
    </row>
    <row r="2692" spans="4:17" ht="15" thickBot="1" x14ac:dyDescent="0.35">
      <c r="D2692" s="20">
        <f t="shared" si="205"/>
        <v>2686</v>
      </c>
      <c r="E2692" s="20">
        <f t="shared" si="206"/>
        <v>3550</v>
      </c>
      <c r="F2692" s="20">
        <f t="shared" si="207"/>
        <v>5050</v>
      </c>
      <c r="G2692" s="20">
        <v>0.48821543615350937</v>
      </c>
      <c r="H2692" s="50"/>
      <c r="I2692" s="16"/>
      <c r="J2692" s="16"/>
      <c r="K2692" s="16"/>
      <c r="L2692" s="16"/>
      <c r="M2692" s="16">
        <v>2686</v>
      </c>
      <c r="N2692" s="16">
        <f t="shared" si="208"/>
        <v>0.96323529411764708</v>
      </c>
      <c r="O2692" s="16"/>
      <c r="P2692" s="16"/>
      <c r="Q2692" s="16">
        <f t="shared" si="209"/>
        <v>1.7895305514424666</v>
      </c>
    </row>
    <row r="2693" spans="4:17" ht="15" thickBot="1" x14ac:dyDescent="0.35">
      <c r="D2693" s="20">
        <f t="shared" si="205"/>
        <v>2687</v>
      </c>
      <c r="E2693" s="20">
        <f t="shared" si="206"/>
        <v>3650</v>
      </c>
      <c r="F2693" s="20">
        <f t="shared" si="207"/>
        <v>5050</v>
      </c>
      <c r="G2693" s="20">
        <v>0.48841010412135899</v>
      </c>
      <c r="H2693" s="50"/>
      <c r="I2693" s="16"/>
      <c r="J2693" s="16"/>
      <c r="K2693" s="16"/>
      <c r="L2693" s="16"/>
      <c r="M2693" s="16">
        <v>2687</v>
      </c>
      <c r="N2693" s="16">
        <f t="shared" si="208"/>
        <v>0.96359397417503589</v>
      </c>
      <c r="O2693" s="16"/>
      <c r="P2693" s="16"/>
      <c r="Q2693" s="16">
        <f t="shared" si="209"/>
        <v>1.7940069994076109</v>
      </c>
    </row>
    <row r="2694" spans="4:17" ht="15" thickBot="1" x14ac:dyDescent="0.35">
      <c r="D2694" s="20">
        <f t="shared" si="205"/>
        <v>2688</v>
      </c>
      <c r="E2694" s="20">
        <f t="shared" si="206"/>
        <v>3750</v>
      </c>
      <c r="F2694" s="20">
        <f t="shared" si="207"/>
        <v>5050</v>
      </c>
      <c r="G2694" s="20">
        <v>0.48865405088301428</v>
      </c>
      <c r="H2694" s="50"/>
      <c r="I2694" s="16"/>
      <c r="J2694" s="16"/>
      <c r="K2694" s="16"/>
      <c r="L2694" s="16"/>
      <c r="M2694" s="16">
        <v>2688</v>
      </c>
      <c r="N2694" s="16">
        <f t="shared" si="208"/>
        <v>0.96395265423242471</v>
      </c>
      <c r="O2694" s="16"/>
      <c r="P2694" s="16"/>
      <c r="Q2694" s="16">
        <f t="shared" si="209"/>
        <v>1.7985196881580989</v>
      </c>
    </row>
    <row r="2695" spans="4:17" ht="15" thickBot="1" x14ac:dyDescent="0.35">
      <c r="D2695" s="20">
        <f t="shared" ref="D2695:D2758" si="210">ROW()-6</f>
        <v>2689</v>
      </c>
      <c r="E2695" s="20">
        <f t="shared" ref="E2695:E2758" si="211">(MOD(D2695-1,53)*100)+50</f>
        <v>3850</v>
      </c>
      <c r="F2695" s="20">
        <f t="shared" ref="F2695:F2758" si="212">FLOOR((D2695-1)/53,1)*100+50</f>
        <v>5050</v>
      </c>
      <c r="G2695" s="20">
        <v>0.48877537546363237</v>
      </c>
      <c r="H2695" s="50"/>
      <c r="I2695" s="16"/>
      <c r="J2695" s="16"/>
      <c r="K2695" s="16"/>
      <c r="L2695" s="16"/>
      <c r="M2695" s="16">
        <v>2689</v>
      </c>
      <c r="N2695" s="16">
        <f t="shared" si="208"/>
        <v>0.96431133428981353</v>
      </c>
      <c r="O2695" s="16"/>
      <c r="P2695" s="16"/>
      <c r="Q2695" s="16">
        <f t="shared" si="209"/>
        <v>1.8030693027000528</v>
      </c>
    </row>
    <row r="2696" spans="4:17" ht="15" thickBot="1" x14ac:dyDescent="0.35">
      <c r="D2696" s="20">
        <f t="shared" si="210"/>
        <v>2690</v>
      </c>
      <c r="E2696" s="20">
        <f t="shared" si="211"/>
        <v>3950</v>
      </c>
      <c r="F2696" s="20">
        <f t="shared" si="212"/>
        <v>5050</v>
      </c>
      <c r="G2696" s="20">
        <v>0.49024897340069556</v>
      </c>
      <c r="H2696" s="50"/>
      <c r="I2696" s="16"/>
      <c r="J2696" s="16"/>
      <c r="K2696" s="16"/>
      <c r="L2696" s="16"/>
      <c r="M2696" s="16">
        <v>2690</v>
      </c>
      <c r="N2696" s="16">
        <f t="shared" ref="N2696:N2759" si="213">(M2696-0.5)/$L$7</f>
        <v>0.96467001434720234</v>
      </c>
      <c r="O2696" s="16"/>
      <c r="P2696" s="16"/>
      <c r="Q2696" s="16">
        <f t="shared" ref="Q2696:Q2759" si="214">_xlfn.NORM.S.INV(N2696)</f>
        <v>1.8076565480648688</v>
      </c>
    </row>
    <row r="2697" spans="4:17" ht="15" thickBot="1" x14ac:dyDescent="0.35">
      <c r="D2697" s="20">
        <f t="shared" si="210"/>
        <v>2691</v>
      </c>
      <c r="E2697" s="20">
        <f t="shared" si="211"/>
        <v>4050</v>
      </c>
      <c r="F2697" s="20">
        <f t="shared" si="212"/>
        <v>5050</v>
      </c>
      <c r="G2697" s="20">
        <v>0.49029406736050812</v>
      </c>
      <c r="H2697" s="50"/>
      <c r="I2697" s="16"/>
      <c r="J2697" s="16"/>
      <c r="K2697" s="16"/>
      <c r="L2697" s="16"/>
      <c r="M2697" s="16">
        <v>2691</v>
      </c>
      <c r="N2697" s="16">
        <f t="shared" si="213"/>
        <v>0.96502869440459116</v>
      </c>
      <c r="O2697" s="16"/>
      <c r="P2697" s="16"/>
      <c r="Q2697" s="16">
        <f t="shared" si="214"/>
        <v>1.812282150106062</v>
      </c>
    </row>
    <row r="2698" spans="4:17" ht="15" thickBot="1" x14ac:dyDescent="0.35">
      <c r="D2698" s="20">
        <f t="shared" si="210"/>
        <v>2692</v>
      </c>
      <c r="E2698" s="20">
        <f t="shared" si="211"/>
        <v>4150</v>
      </c>
      <c r="F2698" s="20">
        <f t="shared" si="212"/>
        <v>5050</v>
      </c>
      <c r="G2698" s="20">
        <v>0.49082559717100671</v>
      </c>
      <c r="H2698" s="50"/>
      <c r="I2698" s="16"/>
      <c r="J2698" s="16"/>
      <c r="K2698" s="16"/>
      <c r="L2698" s="16"/>
      <c r="M2698" s="16">
        <v>2692</v>
      </c>
      <c r="N2698" s="16">
        <f t="shared" si="213"/>
        <v>0.96538737446197986</v>
      </c>
      <c r="O2698" s="16"/>
      <c r="P2698" s="16"/>
      <c r="Q2698" s="16">
        <f t="shared" si="214"/>
        <v>1.8169468563363838</v>
      </c>
    </row>
    <row r="2699" spans="4:17" ht="15" thickBot="1" x14ac:dyDescent="0.35">
      <c r="D2699" s="20">
        <f t="shared" si="210"/>
        <v>2693</v>
      </c>
      <c r="E2699" s="20">
        <f t="shared" si="211"/>
        <v>4250</v>
      </c>
      <c r="F2699" s="20">
        <f t="shared" si="212"/>
        <v>5050</v>
      </c>
      <c r="G2699" s="20">
        <v>0.49136660754835126</v>
      </c>
      <c r="H2699" s="50"/>
      <c r="I2699" s="16"/>
      <c r="J2699" s="16"/>
      <c r="K2699" s="16"/>
      <c r="L2699" s="16"/>
      <c r="M2699" s="16">
        <v>2693</v>
      </c>
      <c r="N2699" s="16">
        <f t="shared" si="213"/>
        <v>0.96574605451936868</v>
      </c>
      <c r="O2699" s="16"/>
      <c r="P2699" s="16"/>
      <c r="Q2699" s="16">
        <f t="shared" si="214"/>
        <v>1.8216514368077072</v>
      </c>
    </row>
    <row r="2700" spans="4:17" ht="15" thickBot="1" x14ac:dyDescent="0.35">
      <c r="D2700" s="20">
        <f t="shared" si="210"/>
        <v>2694</v>
      </c>
      <c r="E2700" s="20">
        <f t="shared" si="211"/>
        <v>4350</v>
      </c>
      <c r="F2700" s="20">
        <f t="shared" si="212"/>
        <v>5050</v>
      </c>
      <c r="G2700" s="20">
        <v>0.49166048336713641</v>
      </c>
      <c r="H2700" s="50"/>
      <c r="I2700" s="16"/>
      <c r="J2700" s="16"/>
      <c r="K2700" s="16"/>
      <c r="L2700" s="16"/>
      <c r="M2700" s="16">
        <v>2694</v>
      </c>
      <c r="N2700" s="16">
        <f t="shared" si="213"/>
        <v>0.9661047345767575</v>
      </c>
      <c r="O2700" s="16"/>
      <c r="P2700" s="16"/>
      <c r="Q2700" s="16">
        <f t="shared" si="214"/>
        <v>1.8263966850363107</v>
      </c>
    </row>
    <row r="2701" spans="4:17" ht="15" thickBot="1" x14ac:dyDescent="0.35">
      <c r="D2701" s="20">
        <f t="shared" si="210"/>
        <v>2695</v>
      </c>
      <c r="E2701" s="20">
        <f t="shared" si="211"/>
        <v>4450</v>
      </c>
      <c r="F2701" s="20">
        <f t="shared" si="212"/>
        <v>5050</v>
      </c>
      <c r="G2701" s="20">
        <v>0.49183322205102764</v>
      </c>
      <c r="H2701" s="50"/>
      <c r="I2701" s="16"/>
      <c r="J2701" s="16"/>
      <c r="K2701" s="16"/>
      <c r="L2701" s="16"/>
      <c r="M2701" s="16">
        <v>2695</v>
      </c>
      <c r="N2701" s="16">
        <f t="shared" si="213"/>
        <v>0.96646341463414631</v>
      </c>
      <c r="O2701" s="16"/>
      <c r="P2701" s="16"/>
      <c r="Q2701" s="16">
        <f t="shared" si="214"/>
        <v>1.8311834189764442</v>
      </c>
    </row>
    <row r="2702" spans="4:17" ht="15" thickBot="1" x14ac:dyDescent="0.35">
      <c r="D2702" s="20">
        <f t="shared" si="210"/>
        <v>2696</v>
      </c>
      <c r="E2702" s="20">
        <f t="shared" si="211"/>
        <v>4550</v>
      </c>
      <c r="F2702" s="20">
        <f t="shared" si="212"/>
        <v>5050</v>
      </c>
      <c r="G2702" s="20">
        <v>0.492169227396142</v>
      </c>
      <c r="H2702" s="50"/>
      <c r="I2702" s="16"/>
      <c r="J2702" s="16"/>
      <c r="K2702" s="16"/>
      <c r="L2702" s="16"/>
      <c r="M2702" s="16">
        <v>2696</v>
      </c>
      <c r="N2702" s="16">
        <f t="shared" si="213"/>
        <v>0.96682209469153513</v>
      </c>
      <c r="O2702" s="16"/>
      <c r="P2702" s="16"/>
      <c r="Q2702" s="16">
        <f t="shared" si="214"/>
        <v>1.8360124820452237</v>
      </c>
    </row>
    <row r="2703" spans="4:17" ht="15" thickBot="1" x14ac:dyDescent="0.35">
      <c r="D2703" s="20">
        <f t="shared" si="210"/>
        <v>2697</v>
      </c>
      <c r="E2703" s="20">
        <f t="shared" si="211"/>
        <v>4650</v>
      </c>
      <c r="F2703" s="20">
        <f t="shared" si="212"/>
        <v>5050</v>
      </c>
      <c r="G2703" s="20">
        <v>0.49381340116560712</v>
      </c>
      <c r="H2703" s="50"/>
      <c r="I2703" s="16"/>
      <c r="J2703" s="16"/>
      <c r="K2703" s="16"/>
      <c r="L2703" s="16"/>
      <c r="M2703" s="16">
        <v>2697</v>
      </c>
      <c r="N2703" s="16">
        <f t="shared" si="213"/>
        <v>0.96718077474892394</v>
      </c>
      <c r="O2703" s="16"/>
      <c r="P2703" s="16"/>
      <c r="Q2703" s="16">
        <f t="shared" si="214"/>
        <v>1.8408847442021521</v>
      </c>
    </row>
    <row r="2704" spans="4:17" ht="15" thickBot="1" x14ac:dyDescent="0.35">
      <c r="D2704" s="20">
        <f t="shared" si="210"/>
        <v>2698</v>
      </c>
      <c r="E2704" s="20">
        <f t="shared" si="211"/>
        <v>4750</v>
      </c>
      <c r="F2704" s="20">
        <f t="shared" si="212"/>
        <v>5050</v>
      </c>
      <c r="G2704" s="20">
        <v>0.49393738973233936</v>
      </c>
      <c r="H2704" s="50"/>
      <c r="I2704" s="16"/>
      <c r="J2704" s="16"/>
      <c r="K2704" s="16"/>
      <c r="L2704" s="16"/>
      <c r="M2704" s="16">
        <v>2698</v>
      </c>
      <c r="N2704" s="16">
        <f t="shared" si="213"/>
        <v>0.96753945480631276</v>
      </c>
      <c r="O2704" s="16"/>
      <c r="P2704" s="16"/>
      <c r="Q2704" s="16">
        <f t="shared" si="214"/>
        <v>1.8458011030868184</v>
      </c>
    </row>
    <row r="2705" spans="4:17" ht="15" thickBot="1" x14ac:dyDescent="0.35">
      <c r="D2705" s="20">
        <f t="shared" si="210"/>
        <v>2699</v>
      </c>
      <c r="E2705" s="20">
        <f t="shared" si="211"/>
        <v>4850</v>
      </c>
      <c r="F2705" s="20">
        <f t="shared" si="212"/>
        <v>5050</v>
      </c>
      <c r="G2705" s="20">
        <v>0.49401704296657856</v>
      </c>
      <c r="H2705" s="50"/>
      <c r="I2705" s="16"/>
      <c r="J2705" s="16"/>
      <c r="K2705" s="16"/>
      <c r="L2705" s="16"/>
      <c r="M2705" s="16">
        <v>2699</v>
      </c>
      <c r="N2705" s="16">
        <f t="shared" si="213"/>
        <v>0.96789813486370158</v>
      </c>
      <c r="O2705" s="16"/>
      <c r="P2705" s="16"/>
      <c r="Q2705" s="16">
        <f t="shared" si="214"/>
        <v>1.8507624852185902</v>
      </c>
    </row>
    <row r="2706" spans="4:17" ht="15" thickBot="1" x14ac:dyDescent="0.35">
      <c r="D2706" s="20">
        <f t="shared" si="210"/>
        <v>2700</v>
      </c>
      <c r="E2706" s="20">
        <f t="shared" si="211"/>
        <v>4950</v>
      </c>
      <c r="F2706" s="20">
        <f t="shared" si="212"/>
        <v>5050</v>
      </c>
      <c r="G2706" s="20">
        <v>0.4944515049546821</v>
      </c>
      <c r="H2706" s="50"/>
      <c r="I2706" s="16"/>
      <c r="J2706" s="16"/>
      <c r="K2706" s="16"/>
      <c r="L2706" s="16"/>
      <c r="M2706" s="16">
        <v>2700</v>
      </c>
      <c r="N2706" s="16">
        <f t="shared" si="213"/>
        <v>0.96825681492109039</v>
      </c>
      <c r="O2706" s="16"/>
      <c r="P2706" s="16"/>
      <c r="Q2706" s="16">
        <f t="shared" si="214"/>
        <v>1.8557698472624082</v>
      </c>
    </row>
    <row r="2707" spans="4:17" ht="15" thickBot="1" x14ac:dyDescent="0.35">
      <c r="D2707" s="20">
        <f t="shared" si="210"/>
        <v>2701</v>
      </c>
      <c r="E2707" s="20">
        <f t="shared" si="211"/>
        <v>5050</v>
      </c>
      <c r="F2707" s="20">
        <f t="shared" si="212"/>
        <v>5050</v>
      </c>
      <c r="G2707" s="20">
        <v>0.49493862210691075</v>
      </c>
      <c r="H2707" s="50"/>
      <c r="I2707" s="16"/>
      <c r="J2707" s="16"/>
      <c r="K2707" s="16"/>
      <c r="L2707" s="16"/>
      <c r="M2707" s="16">
        <v>2701</v>
      </c>
      <c r="N2707" s="16">
        <f t="shared" si="213"/>
        <v>0.96861549497847921</v>
      </c>
      <c r="O2707" s="16"/>
      <c r="P2707" s="16"/>
      <c r="Q2707" s="16">
        <f t="shared" si="214"/>
        <v>1.8608241773651306</v>
      </c>
    </row>
    <row r="2708" spans="4:17" ht="15" thickBot="1" x14ac:dyDescent="0.35">
      <c r="D2708" s="20">
        <f t="shared" si="210"/>
        <v>2702</v>
      </c>
      <c r="E2708" s="20">
        <f t="shared" si="211"/>
        <v>5150</v>
      </c>
      <c r="F2708" s="20">
        <f t="shared" si="212"/>
        <v>5050</v>
      </c>
      <c r="G2708" s="20">
        <v>0.49524592686834978</v>
      </c>
      <c r="H2708" s="50"/>
      <c r="I2708" s="16"/>
      <c r="J2708" s="16"/>
      <c r="K2708" s="16"/>
      <c r="L2708" s="16"/>
      <c r="M2708" s="16">
        <v>2702</v>
      </c>
      <c r="N2708" s="16">
        <f t="shared" si="213"/>
        <v>0.96897417503586802</v>
      </c>
      <c r="O2708" s="16"/>
      <c r="P2708" s="16"/>
      <c r="Q2708" s="16">
        <f t="shared" si="214"/>
        <v>1.8659264965672064</v>
      </c>
    </row>
    <row r="2709" spans="4:17" ht="15" thickBot="1" x14ac:dyDescent="0.35">
      <c r="D2709" s="20">
        <f t="shared" si="210"/>
        <v>2703</v>
      </c>
      <c r="E2709" s="20">
        <f t="shared" si="211"/>
        <v>5250</v>
      </c>
      <c r="F2709" s="20">
        <f t="shared" si="212"/>
        <v>5050</v>
      </c>
      <c r="G2709" s="20">
        <v>0.49541628280122407</v>
      </c>
      <c r="H2709" s="50"/>
      <c r="I2709" s="16"/>
      <c r="J2709" s="16"/>
      <c r="K2709" s="16"/>
      <c r="L2709" s="16"/>
      <c r="M2709" s="16">
        <v>2703</v>
      </c>
      <c r="N2709" s="16">
        <f t="shared" si="213"/>
        <v>0.96933285509325684</v>
      </c>
      <c r="O2709" s="16"/>
      <c r="P2709" s="16"/>
      <c r="Q2709" s="16">
        <f t="shared" si="214"/>
        <v>1.8710778602948619</v>
      </c>
    </row>
    <row r="2710" spans="4:17" ht="15" thickBot="1" x14ac:dyDescent="0.35">
      <c r="D2710" s="20">
        <f t="shared" si="210"/>
        <v>2704</v>
      </c>
      <c r="E2710" s="20">
        <f t="shared" si="211"/>
        <v>50</v>
      </c>
      <c r="F2710" s="20">
        <f t="shared" si="212"/>
        <v>5150</v>
      </c>
      <c r="G2710" s="20">
        <v>0.49596910325511767</v>
      </c>
      <c r="H2710" s="50"/>
      <c r="I2710" s="16"/>
      <c r="J2710" s="16"/>
      <c r="K2710" s="16"/>
      <c r="L2710" s="16"/>
      <c r="M2710" s="16">
        <v>2704</v>
      </c>
      <c r="N2710" s="16">
        <f t="shared" si="213"/>
        <v>0.96969153515064566</v>
      </c>
      <c r="O2710" s="16"/>
      <c r="P2710" s="16"/>
      <c r="Q2710" s="16">
        <f t="shared" si="214"/>
        <v>1.876279359938384</v>
      </c>
    </row>
    <row r="2711" spans="4:17" ht="15" thickBot="1" x14ac:dyDescent="0.35">
      <c r="D2711" s="20">
        <f t="shared" si="210"/>
        <v>2705</v>
      </c>
      <c r="E2711" s="20">
        <f t="shared" si="211"/>
        <v>150</v>
      </c>
      <c r="F2711" s="20">
        <f t="shared" si="212"/>
        <v>5150</v>
      </c>
      <c r="G2711" s="20">
        <v>0.49624640508252083</v>
      </c>
      <c r="H2711" s="50"/>
      <c r="I2711" s="16"/>
      <c r="J2711" s="16"/>
      <c r="K2711" s="16"/>
      <c r="L2711" s="16"/>
      <c r="M2711" s="16">
        <v>2705</v>
      </c>
      <c r="N2711" s="16">
        <f t="shared" si="213"/>
        <v>0.97005021520803447</v>
      </c>
      <c r="O2711" s="16"/>
      <c r="P2711" s="16"/>
      <c r="Q2711" s="16">
        <f t="shared" si="214"/>
        <v>1.8815321245225691</v>
      </c>
    </row>
    <row r="2712" spans="4:17" ht="15" thickBot="1" x14ac:dyDescent="0.35">
      <c r="D2712" s="20">
        <f t="shared" si="210"/>
        <v>2706</v>
      </c>
      <c r="E2712" s="20">
        <f t="shared" si="211"/>
        <v>250</v>
      </c>
      <c r="F2712" s="20">
        <f t="shared" si="212"/>
        <v>5150</v>
      </c>
      <c r="G2712" s="20">
        <v>0.49645676829179486</v>
      </c>
      <c r="H2712" s="50"/>
      <c r="I2712" s="16"/>
      <c r="J2712" s="16"/>
      <c r="K2712" s="16"/>
      <c r="L2712" s="16"/>
      <c r="M2712" s="16">
        <v>2706</v>
      </c>
      <c r="N2712" s="16">
        <f t="shared" si="213"/>
        <v>0.97040889526542329</v>
      </c>
      <c r="O2712" s="16"/>
      <c r="P2712" s="16"/>
      <c r="Q2712" s="16">
        <f t="shared" si="214"/>
        <v>1.8868373224758828</v>
      </c>
    </row>
    <row r="2713" spans="4:17" ht="15" thickBot="1" x14ac:dyDescent="0.35">
      <c r="D2713" s="20">
        <f t="shared" si="210"/>
        <v>2707</v>
      </c>
      <c r="E2713" s="20">
        <f t="shared" si="211"/>
        <v>350</v>
      </c>
      <c r="F2713" s="20">
        <f t="shared" si="212"/>
        <v>5150</v>
      </c>
      <c r="G2713" s="20">
        <v>0.4965142647129922</v>
      </c>
      <c r="H2713" s="50"/>
      <c r="I2713" s="16"/>
      <c r="J2713" s="16"/>
      <c r="K2713" s="16"/>
      <c r="L2713" s="16"/>
      <c r="M2713" s="16">
        <v>2707</v>
      </c>
      <c r="N2713" s="16">
        <f t="shared" si="213"/>
        <v>0.9707675753228121</v>
      </c>
      <c r="O2713" s="16"/>
      <c r="P2713" s="16"/>
      <c r="Q2713" s="16">
        <f t="shared" si="214"/>
        <v>1.8921961635054541</v>
      </c>
    </row>
    <row r="2714" spans="4:17" ht="15" thickBot="1" x14ac:dyDescent="0.35">
      <c r="D2714" s="20">
        <f t="shared" si="210"/>
        <v>2708</v>
      </c>
      <c r="E2714" s="20">
        <f t="shared" si="211"/>
        <v>450</v>
      </c>
      <c r="F2714" s="20">
        <f t="shared" si="212"/>
        <v>5150</v>
      </c>
      <c r="G2714" s="20">
        <v>0.49662577779353301</v>
      </c>
      <c r="H2714" s="50"/>
      <c r="I2714" s="16"/>
      <c r="J2714" s="16"/>
      <c r="K2714" s="16"/>
      <c r="L2714" s="16"/>
      <c r="M2714" s="16">
        <v>2708</v>
      </c>
      <c r="N2714" s="16">
        <f t="shared" si="213"/>
        <v>0.97112625538020081</v>
      </c>
      <c r="O2714" s="16"/>
      <c r="P2714" s="16"/>
      <c r="Q2714" s="16">
        <f t="shared" si="214"/>
        <v>1.8976099005856133</v>
      </c>
    </row>
    <row r="2715" spans="4:17" ht="15" thickBot="1" x14ac:dyDescent="0.35">
      <c r="D2715" s="20">
        <f t="shared" si="210"/>
        <v>2709</v>
      </c>
      <c r="E2715" s="47">
        <f t="shared" si="211"/>
        <v>550</v>
      </c>
      <c r="F2715" s="47">
        <f t="shared" si="212"/>
        <v>5150</v>
      </c>
      <c r="G2715" s="20">
        <v>0.49732053523237263</v>
      </c>
      <c r="H2715" s="50"/>
      <c r="I2715" s="16"/>
      <c r="J2715" s="16"/>
      <c r="K2715" s="16"/>
      <c r="L2715" s="16"/>
      <c r="M2715" s="16">
        <v>2709</v>
      </c>
      <c r="N2715" s="16">
        <f t="shared" si="213"/>
        <v>0.97148493543758963</v>
      </c>
      <c r="O2715" s="16"/>
      <c r="P2715" s="16"/>
      <c r="Q2715" s="16">
        <f t="shared" si="214"/>
        <v>1.9030798320683731</v>
      </c>
    </row>
    <row r="2716" spans="4:17" ht="15" thickBot="1" x14ac:dyDescent="0.35">
      <c r="D2716" s="20">
        <f t="shared" si="210"/>
        <v>2710</v>
      </c>
      <c r="E2716" s="20">
        <f t="shared" si="211"/>
        <v>650</v>
      </c>
      <c r="F2716" s="20">
        <f t="shared" si="212"/>
        <v>5150</v>
      </c>
      <c r="G2716" s="20">
        <v>0.49824153359165357</v>
      </c>
      <c r="H2716" s="50"/>
      <c r="I2716" s="16"/>
      <c r="J2716" s="16"/>
      <c r="K2716" s="16"/>
      <c r="L2716" s="16"/>
      <c r="M2716" s="16">
        <v>2710</v>
      </c>
      <c r="N2716" s="16">
        <f t="shared" si="213"/>
        <v>0.97184361549497844</v>
      </c>
      <c r="O2716" s="16"/>
      <c r="P2716" s="16"/>
      <c r="Q2716" s="16">
        <f t="shared" si="214"/>
        <v>1.9086073039249438</v>
      </c>
    </row>
    <row r="2717" spans="4:17" ht="15" thickBot="1" x14ac:dyDescent="0.35">
      <c r="D2717" s="20">
        <f t="shared" si="210"/>
        <v>2711</v>
      </c>
      <c r="E2717" s="20">
        <f t="shared" si="211"/>
        <v>750</v>
      </c>
      <c r="F2717" s="20">
        <f t="shared" si="212"/>
        <v>5150</v>
      </c>
      <c r="G2717" s="20">
        <v>0.49855726128739819</v>
      </c>
      <c r="H2717" s="50"/>
      <c r="I2717" s="16"/>
      <c r="J2717" s="16"/>
      <c r="K2717" s="16"/>
      <c r="L2717" s="16"/>
      <c r="M2717" s="16">
        <v>2711</v>
      </c>
      <c r="N2717" s="16">
        <f t="shared" si="213"/>
        <v>0.97220229555236726</v>
      </c>
      <c r="O2717" s="16"/>
      <c r="P2717" s="16"/>
      <c r="Q2717" s="16">
        <f t="shared" si="214"/>
        <v>1.9141937121282462</v>
      </c>
    </row>
    <row r="2718" spans="4:17" ht="15" thickBot="1" x14ac:dyDescent="0.35">
      <c r="D2718" s="20">
        <f t="shared" si="210"/>
        <v>2712</v>
      </c>
      <c r="E2718" s="20">
        <f t="shared" si="211"/>
        <v>850</v>
      </c>
      <c r="F2718" s="20">
        <f t="shared" si="212"/>
        <v>5150</v>
      </c>
      <c r="G2718" s="20">
        <v>0.49919310772274061</v>
      </c>
      <c r="H2718" s="50"/>
      <c r="I2718" s="16"/>
      <c r="J2718" s="16"/>
      <c r="K2718" s="16"/>
      <c r="L2718" s="16"/>
      <c r="M2718" s="16">
        <v>2712</v>
      </c>
      <c r="N2718" s="16">
        <f t="shared" si="213"/>
        <v>0.97256097560975607</v>
      </c>
      <c r="O2718" s="16"/>
      <c r="P2718" s="16"/>
      <c r="Q2718" s="16">
        <f t="shared" si="214"/>
        <v>1.9198405051872072</v>
      </c>
    </row>
    <row r="2719" spans="4:17" ht="15" thickBot="1" x14ac:dyDescent="0.35">
      <c r="D2719" s="20">
        <f t="shared" si="210"/>
        <v>2713</v>
      </c>
      <c r="E2719" s="20">
        <f t="shared" si="211"/>
        <v>950</v>
      </c>
      <c r="F2719" s="20">
        <f t="shared" si="212"/>
        <v>5150</v>
      </c>
      <c r="G2719" s="20">
        <v>0.49985833294085463</v>
      </c>
      <c r="H2719" s="50"/>
      <c r="I2719" s="16"/>
      <c r="J2719" s="16"/>
      <c r="K2719" s="16"/>
      <c r="L2719" s="16"/>
      <c r="M2719" s="16">
        <v>2713</v>
      </c>
      <c r="N2719" s="16">
        <f t="shared" si="213"/>
        <v>0.97291965566714489</v>
      </c>
      <c r="O2719" s="16"/>
      <c r="P2719" s="16"/>
      <c r="Q2719" s="16">
        <f t="shared" si="214"/>
        <v>1.9255491868446599</v>
      </c>
    </row>
    <row r="2720" spans="4:17" ht="15" thickBot="1" x14ac:dyDescent="0.35">
      <c r="D2720" s="20">
        <f t="shared" si="210"/>
        <v>2714</v>
      </c>
      <c r="E2720" s="20">
        <f t="shared" si="211"/>
        <v>1050</v>
      </c>
      <c r="F2720" s="20">
        <f t="shared" si="212"/>
        <v>5150</v>
      </c>
      <c r="G2720" s="20">
        <v>0.50100883630911019</v>
      </c>
      <c r="H2720" s="50"/>
      <c r="I2720" s="16"/>
      <c r="J2720" s="16"/>
      <c r="K2720" s="16"/>
      <c r="L2720" s="16"/>
      <c r="M2720" s="16">
        <v>2714</v>
      </c>
      <c r="N2720" s="16">
        <f t="shared" si="213"/>
        <v>0.97327833572453371</v>
      </c>
      <c r="O2720" s="16"/>
      <c r="P2720" s="16"/>
      <c r="Q2720" s="16">
        <f t="shared" si="214"/>
        <v>1.9313213189517258</v>
      </c>
    </row>
    <row r="2721" spans="4:17" ht="15" thickBot="1" x14ac:dyDescent="0.35">
      <c r="D2721" s="20">
        <f t="shared" si="210"/>
        <v>2715</v>
      </c>
      <c r="E2721" s="20">
        <f t="shared" si="211"/>
        <v>1150</v>
      </c>
      <c r="F2721" s="20">
        <f t="shared" si="212"/>
        <v>5150</v>
      </c>
      <c r="G2721" s="20">
        <v>0.50118818407136656</v>
      </c>
      <c r="H2721" s="50"/>
      <c r="I2721" s="16"/>
      <c r="J2721" s="16"/>
      <c r="K2721" s="16"/>
      <c r="L2721" s="16"/>
      <c r="M2721" s="16">
        <v>2715</v>
      </c>
      <c r="N2721" s="16">
        <f t="shared" si="213"/>
        <v>0.97363701578192252</v>
      </c>
      <c r="O2721" s="16"/>
      <c r="P2721" s="16"/>
      <c r="Q2721" s="16">
        <f t="shared" si="214"/>
        <v>1.93715852453277</v>
      </c>
    </row>
    <row r="2722" spans="4:17" ht="15" thickBot="1" x14ac:dyDescent="0.35">
      <c r="D2722" s="20">
        <f t="shared" si="210"/>
        <v>2716</v>
      </c>
      <c r="E2722" s="20">
        <f t="shared" si="211"/>
        <v>1250</v>
      </c>
      <c r="F2722" s="20">
        <f t="shared" si="212"/>
        <v>5150</v>
      </c>
      <c r="G2722" s="20">
        <v>0.50128936103930755</v>
      </c>
      <c r="H2722" s="50"/>
      <c r="I2722" s="16"/>
      <c r="J2722" s="16"/>
      <c r="K2722" s="16"/>
      <c r="L2722" s="16"/>
      <c r="M2722" s="16">
        <v>2716</v>
      </c>
      <c r="N2722" s="16">
        <f t="shared" si="213"/>
        <v>0.97399569583931134</v>
      </c>
      <c r="O2722" s="16"/>
      <c r="P2722" s="16"/>
      <c r="Q2722" s="16">
        <f t="shared" si="214"/>
        <v>1.9430624910563674</v>
      </c>
    </row>
    <row r="2723" spans="4:17" ht="15" thickBot="1" x14ac:dyDescent="0.35">
      <c r="D2723" s="20">
        <f t="shared" si="210"/>
        <v>2717</v>
      </c>
      <c r="E2723" s="20">
        <f t="shared" si="211"/>
        <v>1350</v>
      </c>
      <c r="F2723" s="20">
        <f t="shared" si="212"/>
        <v>5150</v>
      </c>
      <c r="G2723" s="20">
        <v>0.50147212048917433</v>
      </c>
      <c r="H2723" s="50"/>
      <c r="I2723" s="16"/>
      <c r="J2723" s="16"/>
      <c r="K2723" s="16"/>
      <c r="L2723" s="16"/>
      <c r="M2723" s="16">
        <v>2717</v>
      </c>
      <c r="N2723" s="16">
        <f t="shared" si="213"/>
        <v>0.97435437589670015</v>
      </c>
      <c r="O2723" s="16"/>
      <c r="P2723" s="16"/>
      <c r="Q2723" s="16">
        <f t="shared" si="214"/>
        <v>1.9490349739291684</v>
      </c>
    </row>
    <row r="2724" spans="4:17" ht="15" thickBot="1" x14ac:dyDescent="0.35">
      <c r="D2724" s="20">
        <f t="shared" si="210"/>
        <v>2718</v>
      </c>
      <c r="E2724" s="20">
        <f t="shared" si="211"/>
        <v>1450</v>
      </c>
      <c r="F2724" s="20">
        <f t="shared" si="212"/>
        <v>5150</v>
      </c>
      <c r="G2724" s="20">
        <v>0.50157129228815278</v>
      </c>
      <c r="H2724" s="50"/>
      <c r="I2724" s="16"/>
      <c r="J2724" s="16"/>
      <c r="K2724" s="16"/>
      <c r="L2724" s="16"/>
      <c r="M2724" s="16">
        <v>2718</v>
      </c>
      <c r="N2724" s="16">
        <f t="shared" si="213"/>
        <v>0.97471305595408897</v>
      </c>
      <c r="O2724" s="16"/>
      <c r="P2724" s="16"/>
      <c r="Q2724" s="16">
        <f t="shared" si="214"/>
        <v>1.9550778002312319</v>
      </c>
    </row>
    <row r="2725" spans="4:17" ht="15" thickBot="1" x14ac:dyDescent="0.35">
      <c r="D2725" s="20">
        <f t="shared" si="210"/>
        <v>2719</v>
      </c>
      <c r="E2725" s="20">
        <f t="shared" si="211"/>
        <v>1550</v>
      </c>
      <c r="F2725" s="20">
        <f t="shared" si="212"/>
        <v>5150</v>
      </c>
      <c r="G2725" s="20">
        <v>0.50208047240889342</v>
      </c>
      <c r="H2725" s="50"/>
      <c r="I2725" s="16"/>
      <c r="J2725" s="16"/>
      <c r="K2725" s="16"/>
      <c r="L2725" s="16"/>
      <c r="M2725" s="16">
        <v>2719</v>
      </c>
      <c r="N2725" s="16">
        <f t="shared" si="213"/>
        <v>0.97507173601147779</v>
      </c>
      <c r="O2725" s="16"/>
      <c r="P2725" s="16"/>
      <c r="Q2725" s="16">
        <f t="shared" si="214"/>
        <v>1.9611928727131966</v>
      </c>
    </row>
    <row r="2726" spans="4:17" ht="15" thickBot="1" x14ac:dyDescent="0.35">
      <c r="D2726" s="20">
        <f t="shared" si="210"/>
        <v>2720</v>
      </c>
      <c r="E2726" s="44">
        <f t="shared" si="211"/>
        <v>1650</v>
      </c>
      <c r="F2726" s="44">
        <f t="shared" si="212"/>
        <v>5150</v>
      </c>
      <c r="G2726" s="20">
        <v>0.50254815900557792</v>
      </c>
      <c r="H2726" s="50"/>
      <c r="I2726" s="16"/>
      <c r="J2726" s="16"/>
      <c r="K2726" s="16"/>
      <c r="L2726" s="16"/>
      <c r="M2726" s="16">
        <v>2720</v>
      </c>
      <c r="N2726" s="16">
        <f t="shared" si="213"/>
        <v>0.9754304160688666</v>
      </c>
      <c r="O2726" s="16"/>
      <c r="P2726" s="16"/>
      <c r="Q2726" s="16">
        <f t="shared" si="214"/>
        <v>1.96738217407773</v>
      </c>
    </row>
    <row r="2727" spans="4:17" ht="15" thickBot="1" x14ac:dyDescent="0.35">
      <c r="D2727" s="20">
        <f t="shared" si="210"/>
        <v>2721</v>
      </c>
      <c r="E2727" s="20">
        <f t="shared" si="211"/>
        <v>1750</v>
      </c>
      <c r="F2727" s="20">
        <f t="shared" si="212"/>
        <v>5150</v>
      </c>
      <c r="G2727" s="20">
        <v>0.50266525085194391</v>
      </c>
      <c r="H2727" s="50"/>
      <c r="I2727" s="16"/>
      <c r="J2727" s="16"/>
      <c r="K2727" s="16"/>
      <c r="L2727" s="16"/>
      <c r="M2727" s="16">
        <v>2721</v>
      </c>
      <c r="N2727" s="16">
        <f t="shared" si="213"/>
        <v>0.97578909612625542</v>
      </c>
      <c r="O2727" s="16"/>
      <c r="P2727" s="16"/>
      <c r="Q2727" s="16">
        <f t="shared" si="214"/>
        <v>1.9736477715699376</v>
      </c>
    </row>
    <row r="2728" spans="4:17" ht="15" thickBot="1" x14ac:dyDescent="0.35">
      <c r="D2728" s="20">
        <f t="shared" si="210"/>
        <v>2722</v>
      </c>
      <c r="E2728" s="20">
        <f t="shared" si="211"/>
        <v>1850</v>
      </c>
      <c r="F2728" s="20">
        <f t="shared" si="212"/>
        <v>5150</v>
      </c>
      <c r="G2728" s="20">
        <v>0.50278450071355207</v>
      </c>
      <c r="H2728" s="50"/>
      <c r="I2728" s="16"/>
      <c r="J2728" s="16"/>
      <c r="K2728" s="16"/>
      <c r="L2728" s="16"/>
      <c r="M2728" s="16">
        <v>2722</v>
      </c>
      <c r="N2728" s="16">
        <f t="shared" si="213"/>
        <v>0.97614777618364423</v>
      </c>
      <c r="O2728" s="16"/>
      <c r="P2728" s="16"/>
      <c r="Q2728" s="16">
        <f t="shared" si="214"/>
        <v>1.9799918219040149</v>
      </c>
    </row>
    <row r="2729" spans="4:17" ht="15" thickBot="1" x14ac:dyDescent="0.35">
      <c r="D2729" s="20">
        <f t="shared" si="210"/>
        <v>2723</v>
      </c>
      <c r="E2729" s="20">
        <f t="shared" si="211"/>
        <v>1950</v>
      </c>
      <c r="F2729" s="20">
        <f t="shared" si="212"/>
        <v>5150</v>
      </c>
      <c r="G2729" s="20">
        <v>0.50284085672943124</v>
      </c>
      <c r="H2729" s="50"/>
      <c r="I2729" s="16"/>
      <c r="J2729" s="16"/>
      <c r="K2729" s="16"/>
      <c r="L2729" s="16"/>
      <c r="M2729" s="16">
        <v>2723</v>
      </c>
      <c r="N2729" s="16">
        <f t="shared" si="213"/>
        <v>0.97650645624103305</v>
      </c>
      <c r="O2729" s="16"/>
      <c r="P2729" s="16"/>
      <c r="Q2729" s="16">
        <f t="shared" si="214"/>
        <v>1.9864165765562174</v>
      </c>
    </row>
    <row r="2730" spans="4:17" ht="15" thickBot="1" x14ac:dyDescent="0.35">
      <c r="D2730" s="20">
        <f t="shared" si="210"/>
        <v>2724</v>
      </c>
      <c r="E2730" s="45">
        <f t="shared" si="211"/>
        <v>2050</v>
      </c>
      <c r="F2730" s="45">
        <f t="shared" si="212"/>
        <v>5150</v>
      </c>
      <c r="G2730" s="20">
        <v>0.5032947403349155</v>
      </c>
      <c r="H2730" s="50"/>
      <c r="I2730" s="16"/>
      <c r="J2730" s="16"/>
      <c r="K2730" s="16"/>
      <c r="L2730" s="16"/>
      <c r="M2730" s="16">
        <v>2724</v>
      </c>
      <c r="N2730" s="16">
        <f t="shared" si="213"/>
        <v>0.97686513629842175</v>
      </c>
      <c r="O2730" s="16"/>
      <c r="P2730" s="16"/>
      <c r="Q2730" s="16">
        <f t="shared" si="214"/>
        <v>1.9929243874574774</v>
      </c>
    </row>
    <row r="2731" spans="4:17" ht="15" thickBot="1" x14ac:dyDescent="0.35">
      <c r="D2731" s="20">
        <f t="shared" si="210"/>
        <v>2725</v>
      </c>
      <c r="E2731" s="20">
        <f t="shared" si="211"/>
        <v>2150</v>
      </c>
      <c r="F2731" s="20">
        <f t="shared" si="212"/>
        <v>5150</v>
      </c>
      <c r="G2731" s="20">
        <v>0.50374651499925727</v>
      </c>
      <c r="H2731" s="50"/>
      <c r="I2731" s="16"/>
      <c r="J2731" s="16"/>
      <c r="K2731" s="16"/>
      <c r="L2731" s="16"/>
      <c r="M2731" s="16">
        <v>2725</v>
      </c>
      <c r="N2731" s="16">
        <f t="shared" si="213"/>
        <v>0.97722381635581057</v>
      </c>
      <c r="O2731" s="16"/>
      <c r="P2731" s="16"/>
      <c r="Q2731" s="16">
        <f t="shared" si="214"/>
        <v>1.999517713122577</v>
      </c>
    </row>
    <row r="2732" spans="4:17" ht="15" thickBot="1" x14ac:dyDescent="0.35">
      <c r="D2732" s="20">
        <f t="shared" si="210"/>
        <v>2726</v>
      </c>
      <c r="E2732" s="20">
        <f t="shared" si="211"/>
        <v>2250</v>
      </c>
      <c r="F2732" s="20">
        <f t="shared" si="212"/>
        <v>5150</v>
      </c>
      <c r="G2732" s="20">
        <v>0.50427496221919788</v>
      </c>
      <c r="H2732" s="50"/>
      <c r="I2732" s="16"/>
      <c r="J2732" s="16"/>
      <c r="K2732" s="16"/>
      <c r="L2732" s="16"/>
      <c r="M2732" s="16">
        <v>2726</v>
      </c>
      <c r="N2732" s="16">
        <f t="shared" si="213"/>
        <v>0.97758249641319939</v>
      </c>
      <c r="O2732" s="16"/>
      <c r="P2732" s="16"/>
      <c r="Q2732" s="16">
        <f t="shared" si="214"/>
        <v>2.0061991252567983</v>
      </c>
    </row>
    <row r="2733" spans="4:17" ht="15" thickBot="1" x14ac:dyDescent="0.35">
      <c r="D2733" s="20">
        <f t="shared" si="210"/>
        <v>2727</v>
      </c>
      <c r="E2733" s="20">
        <f t="shared" si="211"/>
        <v>2350</v>
      </c>
      <c r="F2733" s="20">
        <f t="shared" si="212"/>
        <v>5150</v>
      </c>
      <c r="G2733" s="20">
        <v>0.50456033801748834</v>
      </c>
      <c r="H2733" s="50"/>
      <c r="I2733" s="16"/>
      <c r="J2733" s="16"/>
      <c r="K2733" s="16"/>
      <c r="L2733" s="16"/>
      <c r="M2733" s="16">
        <v>2727</v>
      </c>
      <c r="N2733" s="16">
        <f t="shared" si="213"/>
        <v>0.9779411764705882</v>
      </c>
      <c r="O2733" s="16"/>
      <c r="P2733" s="16"/>
      <c r="Q2733" s="16">
        <f t="shared" si="214"/>
        <v>2.0129713158856162</v>
      </c>
    </row>
    <row r="2734" spans="4:17" ht="15" thickBot="1" x14ac:dyDescent="0.35">
      <c r="D2734" s="20">
        <f t="shared" si="210"/>
        <v>2728</v>
      </c>
      <c r="E2734" s="20">
        <f t="shared" si="211"/>
        <v>2450</v>
      </c>
      <c r="F2734" s="20">
        <f t="shared" si="212"/>
        <v>5150</v>
      </c>
      <c r="G2734" s="20">
        <v>0.50532259493626008</v>
      </c>
      <c r="H2734" s="50"/>
      <c r="I2734" s="16"/>
      <c r="J2734" s="16"/>
      <c r="K2734" s="16"/>
      <c r="L2734" s="16"/>
      <c r="M2734" s="16">
        <v>2728</v>
      </c>
      <c r="N2734" s="16">
        <f t="shared" si="213"/>
        <v>0.97829985652797702</v>
      </c>
      <c r="O2734" s="16"/>
      <c r="P2734" s="16"/>
      <c r="Q2734" s="16">
        <f t="shared" si="214"/>
        <v>2.0198371050580786</v>
      </c>
    </row>
    <row r="2735" spans="4:17" ht="15" thickBot="1" x14ac:dyDescent="0.35">
      <c r="D2735" s="20">
        <f t="shared" si="210"/>
        <v>2729</v>
      </c>
      <c r="E2735" s="20">
        <f t="shared" si="211"/>
        <v>2550</v>
      </c>
      <c r="F2735" s="20">
        <f t="shared" si="212"/>
        <v>5150</v>
      </c>
      <c r="G2735" s="20">
        <v>0.50602352831342656</v>
      </c>
      <c r="H2735" s="50"/>
      <c r="I2735" s="16"/>
      <c r="J2735" s="16"/>
      <c r="K2735" s="16"/>
      <c r="L2735" s="16"/>
      <c r="M2735" s="16">
        <v>2729</v>
      </c>
      <c r="N2735" s="16">
        <f t="shared" si="213"/>
        <v>0.97865853658536583</v>
      </c>
      <c r="O2735" s="16"/>
      <c r="P2735" s="16"/>
      <c r="Q2735" s="16">
        <f t="shared" si="214"/>
        <v>2.0267994491804067</v>
      </c>
    </row>
    <row r="2736" spans="4:17" ht="15" thickBot="1" x14ac:dyDescent="0.35">
      <c r="D2736" s="20">
        <f t="shared" si="210"/>
        <v>2730</v>
      </c>
      <c r="E2736" s="20">
        <f t="shared" si="211"/>
        <v>2650</v>
      </c>
      <c r="F2736" s="20">
        <f t="shared" si="212"/>
        <v>5150</v>
      </c>
      <c r="G2736" s="20">
        <v>0.50658779712998336</v>
      </c>
      <c r="H2736" s="50"/>
      <c r="I2736" s="16"/>
      <c r="J2736" s="16"/>
      <c r="K2736" s="16"/>
      <c r="L2736" s="16"/>
      <c r="M2736" s="16">
        <v>2730</v>
      </c>
      <c r="N2736" s="16">
        <f t="shared" si="213"/>
        <v>0.97901721664275465</v>
      </c>
      <c r="O2736" s="16"/>
      <c r="P2736" s="16"/>
      <c r="Q2736" s="16">
        <f t="shared" si="214"/>
        <v>2.0338614500429455</v>
      </c>
    </row>
    <row r="2737" spans="4:17" ht="15" thickBot="1" x14ac:dyDescent="0.35">
      <c r="D2737" s="20">
        <f t="shared" si="210"/>
        <v>2731</v>
      </c>
      <c r="E2737" s="20">
        <f t="shared" si="211"/>
        <v>2750</v>
      </c>
      <c r="F2737" s="20">
        <f t="shared" si="212"/>
        <v>5150</v>
      </c>
      <c r="G2737" s="20">
        <v>0.50659820643112563</v>
      </c>
      <c r="H2737" s="50"/>
      <c r="I2737" s="16"/>
      <c r="J2737" s="16"/>
      <c r="K2737" s="16"/>
      <c r="L2737" s="16"/>
      <c r="M2737" s="16">
        <v>2731</v>
      </c>
      <c r="N2737" s="16">
        <f t="shared" si="213"/>
        <v>0.97937589670014347</v>
      </c>
      <c r="O2737" s="16"/>
      <c r="P2737" s="16"/>
      <c r="Q2737" s="16">
        <f t="shared" si="214"/>
        <v>2.0410263646111351</v>
      </c>
    </row>
    <row r="2738" spans="4:17" ht="15" thickBot="1" x14ac:dyDescent="0.35">
      <c r="D2738" s="20">
        <f t="shared" si="210"/>
        <v>2732</v>
      </c>
      <c r="E2738" s="45">
        <f t="shared" si="211"/>
        <v>2850</v>
      </c>
      <c r="F2738" s="45">
        <f t="shared" si="212"/>
        <v>5150</v>
      </c>
      <c r="G2738" s="20">
        <v>0.50718452344474652</v>
      </c>
      <c r="H2738" s="50"/>
      <c r="I2738" s="16"/>
      <c r="J2738" s="16"/>
      <c r="K2738" s="16"/>
      <c r="L2738" s="16"/>
      <c r="M2738" s="16">
        <v>2732</v>
      </c>
      <c r="N2738" s="16">
        <f t="shared" si="213"/>
        <v>0.97973457675753228</v>
      </c>
      <c r="O2738" s="16"/>
      <c r="P2738" s="16"/>
      <c r="Q2738" s="16">
        <f t="shared" si="214"/>
        <v>2.0482976156597346</v>
      </c>
    </row>
    <row r="2739" spans="4:17" ht="15" thickBot="1" x14ac:dyDescent="0.35">
      <c r="D2739" s="20">
        <f t="shared" si="210"/>
        <v>2733</v>
      </c>
      <c r="E2739" s="47">
        <f t="shared" si="211"/>
        <v>2950</v>
      </c>
      <c r="F2739" s="47">
        <f t="shared" si="212"/>
        <v>5150</v>
      </c>
      <c r="G2739" s="20">
        <v>0.50944401222888624</v>
      </c>
      <c r="H2739" s="50"/>
      <c r="I2739" s="16"/>
      <c r="J2739" s="16"/>
      <c r="K2739" s="16"/>
      <c r="L2739" s="16"/>
      <c r="M2739" s="16">
        <v>2733</v>
      </c>
      <c r="N2739" s="16">
        <f t="shared" si="213"/>
        <v>0.9800932568149211</v>
      </c>
      <c r="O2739" s="16"/>
      <c r="P2739" s="16"/>
      <c r="Q2739" s="16">
        <f t="shared" si="214"/>
        <v>2.0556788033393087</v>
      </c>
    </row>
    <row r="2740" spans="4:17" ht="15" thickBot="1" x14ac:dyDescent="0.35">
      <c r="D2740" s="20">
        <f t="shared" si="210"/>
        <v>2734</v>
      </c>
      <c r="E2740" s="20">
        <f t="shared" si="211"/>
        <v>3050</v>
      </c>
      <c r="F2740" s="20">
        <f t="shared" si="212"/>
        <v>5150</v>
      </c>
      <c r="G2740" s="20">
        <v>0.5106681509235157</v>
      </c>
      <c r="H2740" s="50"/>
      <c r="I2740" s="16"/>
      <c r="J2740" s="16"/>
      <c r="K2740" s="16"/>
      <c r="L2740" s="16"/>
      <c r="M2740" s="16">
        <v>2734</v>
      </c>
      <c r="N2740" s="16">
        <f t="shared" si="213"/>
        <v>0.98045193687230991</v>
      </c>
      <c r="O2740" s="16"/>
      <c r="P2740" s="16"/>
      <c r="Q2740" s="16">
        <f t="shared" si="214"/>
        <v>2.0631737177751912</v>
      </c>
    </row>
    <row r="2741" spans="4:17" ht="15" thickBot="1" x14ac:dyDescent="0.35">
      <c r="D2741" s="20">
        <f t="shared" si="210"/>
        <v>2735</v>
      </c>
      <c r="E2741" s="20">
        <f t="shared" si="211"/>
        <v>3150</v>
      </c>
      <c r="F2741" s="20">
        <f t="shared" si="212"/>
        <v>5150</v>
      </c>
      <c r="G2741" s="20">
        <v>0.51102926995711639</v>
      </c>
      <c r="H2741" s="50"/>
      <c r="I2741" s="16"/>
      <c r="J2741" s="16"/>
      <c r="K2741" s="16"/>
      <c r="L2741" s="16"/>
      <c r="M2741" s="16">
        <v>2735</v>
      </c>
      <c r="N2741" s="16">
        <f t="shared" si="213"/>
        <v>0.98081061692969873</v>
      </c>
      <c r="O2741" s="16"/>
      <c r="P2741" s="16"/>
      <c r="Q2741" s="16">
        <f t="shared" si="214"/>
        <v>2.0707863528119423</v>
      </c>
    </row>
    <row r="2742" spans="4:17" ht="15" thickBot="1" x14ac:dyDescent="0.35">
      <c r="D2742" s="20">
        <f t="shared" si="210"/>
        <v>2736</v>
      </c>
      <c r="E2742" s="20">
        <f t="shared" si="211"/>
        <v>3250</v>
      </c>
      <c r="F2742" s="20">
        <f t="shared" si="212"/>
        <v>5150</v>
      </c>
      <c r="G2742" s="20">
        <v>0.51121573754903549</v>
      </c>
      <c r="H2742" s="50"/>
      <c r="I2742" s="16"/>
      <c r="J2742" s="16"/>
      <c r="K2742" s="16"/>
      <c r="L2742" s="16"/>
      <c r="M2742" s="16">
        <v>2736</v>
      </c>
      <c r="N2742" s="16">
        <f t="shared" si="213"/>
        <v>0.98116929698708755</v>
      </c>
      <c r="O2742" s="16"/>
      <c r="P2742" s="16"/>
      <c r="Q2742" s="16">
        <f t="shared" si="214"/>
        <v>2.0785209210311031</v>
      </c>
    </row>
    <row r="2743" spans="4:17" ht="15" thickBot="1" x14ac:dyDescent="0.35">
      <c r="D2743" s="20">
        <f t="shared" si="210"/>
        <v>2737</v>
      </c>
      <c r="E2743" s="47">
        <f t="shared" si="211"/>
        <v>3350</v>
      </c>
      <c r="F2743" s="47">
        <f t="shared" si="212"/>
        <v>5150</v>
      </c>
      <c r="G2743" s="20">
        <v>0.5117892241395493</v>
      </c>
      <c r="H2743" s="50"/>
      <c r="I2743" s="16"/>
      <c r="J2743" s="16"/>
      <c r="K2743" s="16"/>
      <c r="L2743" s="16"/>
      <c r="M2743" s="16">
        <v>2737</v>
      </c>
      <c r="N2743" s="16">
        <f t="shared" si="213"/>
        <v>0.98152797704447636</v>
      </c>
      <c r="O2743" s="16"/>
      <c r="P2743" s="16"/>
      <c r="Q2743" s="16">
        <f t="shared" si="214"/>
        <v>2.0863818701869787</v>
      </c>
    </row>
    <row r="2744" spans="4:17" ht="15" thickBot="1" x14ac:dyDescent="0.35">
      <c r="D2744" s="20">
        <f t="shared" si="210"/>
        <v>2738</v>
      </c>
      <c r="E2744" s="20">
        <f t="shared" si="211"/>
        <v>3450</v>
      </c>
      <c r="F2744" s="20">
        <f t="shared" si="212"/>
        <v>5150</v>
      </c>
      <c r="G2744" s="20">
        <v>0.51204775190019247</v>
      </c>
      <c r="H2744" s="50"/>
      <c r="I2744" s="16"/>
      <c r="J2744" s="16"/>
      <c r="K2744" s="16"/>
      <c r="L2744" s="16"/>
      <c r="M2744" s="16">
        <v>2738</v>
      </c>
      <c r="N2744" s="16">
        <f t="shared" si="213"/>
        <v>0.98188665710186518</v>
      </c>
      <c r="O2744" s="16"/>
      <c r="P2744" s="16"/>
      <c r="Q2744" s="16">
        <f t="shared" si="214"/>
        <v>2.0943739012248801</v>
      </c>
    </row>
    <row r="2745" spans="4:17" ht="15" thickBot="1" x14ac:dyDescent="0.35">
      <c r="D2745" s="20">
        <f t="shared" si="210"/>
        <v>2739</v>
      </c>
      <c r="E2745" s="20">
        <f t="shared" si="211"/>
        <v>3550</v>
      </c>
      <c r="F2745" s="20">
        <f t="shared" si="212"/>
        <v>5150</v>
      </c>
      <c r="G2745" s="20">
        <v>0.51219814610849568</v>
      </c>
      <c r="H2745" s="50"/>
      <c r="I2745" s="16"/>
      <c r="J2745" s="16"/>
      <c r="K2745" s="16"/>
      <c r="L2745" s="16"/>
      <c r="M2745" s="16">
        <v>2739</v>
      </c>
      <c r="N2745" s="16">
        <f t="shared" si="213"/>
        <v>0.982245337159254</v>
      </c>
      <c r="O2745" s="16"/>
      <c r="P2745" s="16"/>
      <c r="Q2745" s="16">
        <f t="shared" si="214"/>
        <v>2.1025019880689184</v>
      </c>
    </row>
    <row r="2746" spans="4:17" ht="15" thickBot="1" x14ac:dyDescent="0.35">
      <c r="D2746" s="20">
        <f t="shared" si="210"/>
        <v>2740</v>
      </c>
      <c r="E2746" s="20">
        <f t="shared" si="211"/>
        <v>3650</v>
      </c>
      <c r="F2746" s="20">
        <f t="shared" si="212"/>
        <v>5150</v>
      </c>
      <c r="G2746" s="20">
        <v>0.51258703282941265</v>
      </c>
      <c r="H2746" s="50"/>
      <c r="I2746" s="16"/>
      <c r="J2746" s="16"/>
      <c r="K2746" s="16"/>
      <c r="L2746" s="16"/>
      <c r="M2746" s="16">
        <v>2740</v>
      </c>
      <c r="N2746" s="16">
        <f t="shared" si="213"/>
        <v>0.9826040172166427</v>
      </c>
      <c r="O2746" s="16"/>
      <c r="P2746" s="16"/>
      <c r="Q2746" s="16">
        <f t="shared" si="214"/>
        <v>2.1107713993928963</v>
      </c>
    </row>
    <row r="2747" spans="4:17" ht="15" thickBot="1" x14ac:dyDescent="0.35">
      <c r="D2747" s="20">
        <f t="shared" si="210"/>
        <v>2741</v>
      </c>
      <c r="E2747" s="20">
        <f t="shared" si="211"/>
        <v>3750</v>
      </c>
      <c r="F2747" s="20">
        <f t="shared" si="212"/>
        <v>5150</v>
      </c>
      <c r="G2747" s="20">
        <v>0.51288190951513002</v>
      </c>
      <c r="H2747" s="50"/>
      <c r="I2747" s="16"/>
      <c r="J2747" s="16"/>
      <c r="K2747" s="16"/>
      <c r="L2747" s="16"/>
      <c r="M2747" s="16">
        <v>2741</v>
      </c>
      <c r="N2747" s="16">
        <f t="shared" si="213"/>
        <v>0.98296269727403152</v>
      </c>
      <c r="O2747" s="16"/>
      <c r="P2747" s="16"/>
      <c r="Q2747" s="16">
        <f t="shared" si="214"/>
        <v>2.1191877226186029</v>
      </c>
    </row>
    <row r="2748" spans="4:17" ht="15" thickBot="1" x14ac:dyDescent="0.35">
      <c r="D2748" s="20">
        <f t="shared" si="210"/>
        <v>2742</v>
      </c>
      <c r="E2748" s="20">
        <f t="shared" si="211"/>
        <v>3850</v>
      </c>
      <c r="F2748" s="20">
        <f t="shared" si="212"/>
        <v>5150</v>
      </c>
      <c r="G2748" s="20">
        <v>0.51295313844944279</v>
      </c>
      <c r="H2748" s="50"/>
      <c r="I2748" s="16"/>
      <c r="J2748" s="16"/>
      <c r="K2748" s="16"/>
      <c r="L2748" s="16"/>
      <c r="M2748" s="16">
        <v>2742</v>
      </c>
      <c r="N2748" s="16">
        <f t="shared" si="213"/>
        <v>0.98332137733142033</v>
      </c>
      <c r="O2748" s="16"/>
      <c r="P2748" s="16"/>
      <c r="Q2748" s="16">
        <f t="shared" si="214"/>
        <v>2.1277568904216899</v>
      </c>
    </row>
    <row r="2749" spans="4:17" ht="15" thickBot="1" x14ac:dyDescent="0.35">
      <c r="D2749" s="20">
        <f t="shared" si="210"/>
        <v>2743</v>
      </c>
      <c r="E2749" s="20">
        <f t="shared" si="211"/>
        <v>3950</v>
      </c>
      <c r="F2749" s="20">
        <f t="shared" si="212"/>
        <v>5150</v>
      </c>
      <c r="G2749" s="20">
        <v>0.51295614186387417</v>
      </c>
      <c r="H2749" s="50"/>
      <c r="I2749" s="16"/>
      <c r="J2749" s="16"/>
      <c r="K2749" s="16"/>
      <c r="L2749" s="16"/>
      <c r="M2749" s="16">
        <v>2743</v>
      </c>
      <c r="N2749" s="16">
        <f t="shared" si="213"/>
        <v>0.98368005738880915</v>
      </c>
      <c r="O2749" s="16"/>
      <c r="P2749" s="16"/>
      <c r="Q2749" s="16">
        <f t="shared" si="214"/>
        <v>2.1364852100675571</v>
      </c>
    </row>
    <row r="2750" spans="4:17" ht="15" thickBot="1" x14ac:dyDescent="0.35">
      <c r="D2750" s="20">
        <f t="shared" si="210"/>
        <v>2744</v>
      </c>
      <c r="E2750" s="20">
        <f t="shared" si="211"/>
        <v>4050</v>
      </c>
      <c r="F2750" s="20">
        <f t="shared" si="212"/>
        <v>5150</v>
      </c>
      <c r="G2750" s="20">
        <v>0.51375071315047527</v>
      </c>
      <c r="H2750" s="50"/>
      <c r="I2750" s="16"/>
      <c r="J2750" s="16"/>
      <c r="K2750" s="16"/>
      <c r="L2750" s="16"/>
      <c r="M2750" s="16">
        <v>2744</v>
      </c>
      <c r="N2750" s="16">
        <f t="shared" si="213"/>
        <v>0.98403873744619796</v>
      </c>
      <c r="O2750" s="16"/>
      <c r="P2750" s="16"/>
      <c r="Q2750" s="16">
        <f t="shared" si="214"/>
        <v>2.1453793959490768</v>
      </c>
    </row>
    <row r="2751" spans="4:17" ht="15" thickBot="1" x14ac:dyDescent="0.35">
      <c r="D2751" s="20">
        <f t="shared" si="210"/>
        <v>2745</v>
      </c>
      <c r="E2751" s="20">
        <f t="shared" si="211"/>
        <v>4150</v>
      </c>
      <c r="F2751" s="20">
        <f t="shared" si="212"/>
        <v>5150</v>
      </c>
      <c r="G2751" s="20">
        <v>0.51408855452018276</v>
      </c>
      <c r="H2751" s="50"/>
      <c r="I2751" s="16"/>
      <c r="J2751" s="16"/>
      <c r="K2751" s="16"/>
      <c r="L2751" s="16"/>
      <c r="M2751" s="16">
        <v>2745</v>
      </c>
      <c r="N2751" s="16">
        <f t="shared" si="213"/>
        <v>0.98439741750358678</v>
      </c>
      <c r="O2751" s="16"/>
      <c r="P2751" s="16"/>
      <c r="Q2751" s="16">
        <f t="shared" si="214"/>
        <v>2.1544466057565428</v>
      </c>
    </row>
    <row r="2752" spans="4:17" ht="15" thickBot="1" x14ac:dyDescent="0.35">
      <c r="D2752" s="20">
        <f t="shared" si="210"/>
        <v>2746</v>
      </c>
      <c r="E2752" s="20">
        <f t="shared" si="211"/>
        <v>4250</v>
      </c>
      <c r="F2752" s="20">
        <f t="shared" si="212"/>
        <v>5150</v>
      </c>
      <c r="G2752" s="20">
        <v>0.5159306488243407</v>
      </c>
      <c r="H2752" s="50"/>
      <c r="I2752" s="16"/>
      <c r="J2752" s="16"/>
      <c r="K2752" s="16"/>
      <c r="L2752" s="16"/>
      <c r="M2752" s="16">
        <v>2746</v>
      </c>
      <c r="N2752" s="16">
        <f t="shared" si="213"/>
        <v>0.9847560975609756</v>
      </c>
      <c r="O2752" s="16"/>
      <c r="P2752" s="16"/>
      <c r="Q2752" s="16">
        <f t="shared" si="214"/>
        <v>2.1636944807793634</v>
      </c>
    </row>
    <row r="2753" spans="4:17" ht="15" thickBot="1" x14ac:dyDescent="0.35">
      <c r="D2753" s="20">
        <f t="shared" si="210"/>
        <v>2747</v>
      </c>
      <c r="E2753" s="20">
        <f t="shared" si="211"/>
        <v>4350</v>
      </c>
      <c r="F2753" s="20">
        <f t="shared" si="212"/>
        <v>5150</v>
      </c>
      <c r="G2753" s="20">
        <v>0.5160753564872379</v>
      </c>
      <c r="H2753" s="50"/>
      <c r="I2753" s="16"/>
      <c r="J2753" s="16"/>
      <c r="K2753" s="16"/>
      <c r="L2753" s="16"/>
      <c r="M2753" s="16">
        <v>2747</v>
      </c>
      <c r="N2753" s="16">
        <f t="shared" si="213"/>
        <v>0.98511477761836441</v>
      </c>
      <c r="O2753" s="16"/>
      <c r="P2753" s="16"/>
      <c r="Q2753" s="16">
        <f t="shared" si="214"/>
        <v>2.1731311909213424</v>
      </c>
    </row>
    <row r="2754" spans="4:17" ht="15" thickBot="1" x14ac:dyDescent="0.35">
      <c r="D2754" s="20">
        <f t="shared" si="210"/>
        <v>2748</v>
      </c>
      <c r="E2754" s="20">
        <f t="shared" si="211"/>
        <v>4450</v>
      </c>
      <c r="F2754" s="20">
        <f t="shared" si="212"/>
        <v>5150</v>
      </c>
      <c r="G2754" s="20">
        <v>0.51726560006265376</v>
      </c>
      <c r="H2754" s="50"/>
      <c r="I2754" s="16"/>
      <c r="J2754" s="16"/>
      <c r="K2754" s="16"/>
      <c r="L2754" s="16"/>
      <c r="M2754" s="16">
        <v>2748</v>
      </c>
      <c r="N2754" s="16">
        <f t="shared" si="213"/>
        <v>0.98547345767575323</v>
      </c>
      <c r="O2754" s="16"/>
      <c r="P2754" s="16"/>
      <c r="Q2754" s="16">
        <f t="shared" si="214"/>
        <v>2.1827654851094609</v>
      </c>
    </row>
    <row r="2755" spans="4:17" ht="15" thickBot="1" x14ac:dyDescent="0.35">
      <c r="D2755" s="20">
        <f t="shared" si="210"/>
        <v>2749</v>
      </c>
      <c r="E2755" s="20">
        <f t="shared" si="211"/>
        <v>4550</v>
      </c>
      <c r="F2755" s="20">
        <f t="shared" si="212"/>
        <v>5150</v>
      </c>
      <c r="G2755" s="20">
        <v>0.51755744156942496</v>
      </c>
      <c r="H2755" s="50"/>
      <c r="I2755" s="16"/>
      <c r="J2755" s="16"/>
      <c r="K2755" s="16"/>
      <c r="L2755" s="16"/>
      <c r="M2755" s="16">
        <v>2749</v>
      </c>
      <c r="N2755" s="16">
        <f t="shared" si="213"/>
        <v>0.98583213773314204</v>
      </c>
      <c r="O2755" s="16"/>
      <c r="P2755" s="16"/>
      <c r="Q2755" s="16">
        <f t="shared" si="214"/>
        <v>2.1926067478937172</v>
      </c>
    </row>
    <row r="2756" spans="4:17" ht="15" thickBot="1" x14ac:dyDescent="0.35">
      <c r="D2756" s="20">
        <f t="shared" si="210"/>
        <v>2750</v>
      </c>
      <c r="E2756" s="20">
        <f t="shared" si="211"/>
        <v>4650</v>
      </c>
      <c r="F2756" s="20">
        <f t="shared" si="212"/>
        <v>5150</v>
      </c>
      <c r="G2756" s="20">
        <v>0.51916249410327664</v>
      </c>
      <c r="H2756" s="50"/>
      <c r="I2756" s="16"/>
      <c r="J2756" s="16"/>
      <c r="K2756" s="16"/>
      <c r="L2756" s="16"/>
      <c r="M2756" s="16">
        <v>2750</v>
      </c>
      <c r="N2756" s="16">
        <f t="shared" si="213"/>
        <v>0.98619081779053086</v>
      </c>
      <c r="O2756" s="16"/>
      <c r="P2756" s="16"/>
      <c r="Q2756" s="16">
        <f t="shared" si="214"/>
        <v>2.2026650631769504</v>
      </c>
    </row>
    <row r="2757" spans="4:17" ht="15" thickBot="1" x14ac:dyDescent="0.35">
      <c r="D2757" s="20">
        <f t="shared" si="210"/>
        <v>2751</v>
      </c>
      <c r="E2757" s="20">
        <f t="shared" si="211"/>
        <v>4750</v>
      </c>
      <c r="F2757" s="20">
        <f t="shared" si="212"/>
        <v>5150</v>
      </c>
      <c r="G2757" s="20">
        <v>0.51943982836892544</v>
      </c>
      <c r="H2757" s="50"/>
      <c r="I2757" s="16"/>
      <c r="J2757" s="16"/>
      <c r="K2757" s="16"/>
      <c r="L2757" s="16"/>
      <c r="M2757" s="16">
        <v>2751</v>
      </c>
      <c r="N2757" s="16">
        <f t="shared" si="213"/>
        <v>0.98654949784791968</v>
      </c>
      <c r="O2757" s="16"/>
      <c r="P2757" s="16"/>
      <c r="Q2757" s="16">
        <f t="shared" si="214"/>
        <v>2.2129512861845346</v>
      </c>
    </row>
    <row r="2758" spans="4:17" ht="15" thickBot="1" x14ac:dyDescent="0.35">
      <c r="D2758" s="20">
        <f t="shared" si="210"/>
        <v>2752</v>
      </c>
      <c r="E2758" s="20">
        <f t="shared" si="211"/>
        <v>4850</v>
      </c>
      <c r="F2758" s="20">
        <f t="shared" si="212"/>
        <v>5150</v>
      </c>
      <c r="G2758" s="20">
        <v>0.52007435696147852</v>
      </c>
      <c r="H2758" s="50"/>
      <c r="I2758" s="16"/>
      <c r="J2758" s="16"/>
      <c r="K2758" s="16"/>
      <c r="L2758" s="16"/>
      <c r="M2758" s="16">
        <v>2752</v>
      </c>
      <c r="N2758" s="16">
        <f t="shared" si="213"/>
        <v>0.98690817790530849</v>
      </c>
      <c r="O2758" s="16"/>
      <c r="P2758" s="16"/>
      <c r="Q2758" s="16">
        <f t="shared" si="214"/>
        <v>2.2234771249912777</v>
      </c>
    </row>
    <row r="2759" spans="4:17" ht="15" thickBot="1" x14ac:dyDescent="0.35">
      <c r="D2759" s="20">
        <f t="shared" ref="D2759:D2794" si="215">ROW()-6</f>
        <v>2753</v>
      </c>
      <c r="E2759" s="20">
        <f t="shared" ref="E2759:E2794" si="216">(MOD(D2759-1,53)*100)+50</f>
        <v>4950</v>
      </c>
      <c r="F2759" s="20">
        <f t="shared" ref="F2759:F2794" si="217">FLOOR((D2759-1)/53,1)*100+50</f>
        <v>5150</v>
      </c>
      <c r="G2759" s="20">
        <v>0.52127310765701296</v>
      </c>
      <c r="H2759" s="50"/>
      <c r="I2759" s="16"/>
      <c r="J2759" s="16"/>
      <c r="K2759" s="16"/>
      <c r="L2759" s="16"/>
      <c r="M2759" s="16">
        <v>2753</v>
      </c>
      <c r="N2759" s="16">
        <f t="shared" si="213"/>
        <v>0.98726685796269731</v>
      </c>
      <c r="O2759" s="16"/>
      <c r="P2759" s="16"/>
      <c r="Q2759" s="16">
        <f t="shared" si="214"/>
        <v>2.2342552331759924</v>
      </c>
    </row>
    <row r="2760" spans="4:17" ht="15" thickBot="1" x14ac:dyDescent="0.35">
      <c r="D2760" s="20">
        <f t="shared" si="215"/>
        <v>2754</v>
      </c>
      <c r="E2760" s="45">
        <f t="shared" si="216"/>
        <v>5050</v>
      </c>
      <c r="F2760" s="45">
        <f t="shared" si="217"/>
        <v>5150</v>
      </c>
      <c r="G2760" s="20">
        <v>0.52377615184586934</v>
      </c>
      <c r="H2760" s="50"/>
      <c r="I2760" s="16"/>
      <c r="J2760" s="16"/>
      <c r="K2760" s="16"/>
      <c r="L2760" s="16"/>
      <c r="M2760" s="16">
        <v>2754</v>
      </c>
      <c r="N2760" s="16">
        <f t="shared" ref="N2760:N2794" si="218">(M2760-0.5)/$L$7</f>
        <v>0.98762553802008612</v>
      </c>
      <c r="O2760" s="16"/>
      <c r="P2760" s="16"/>
      <c r="Q2760" s="16">
        <f t="shared" ref="Q2760:Q2794" si="219">_xlfn.NORM.S.INV(N2760)</f>
        <v>2.2452993154846275</v>
      </c>
    </row>
    <row r="2761" spans="4:17" ht="15" thickBot="1" x14ac:dyDescent="0.35">
      <c r="D2761" s="20">
        <f t="shared" si="215"/>
        <v>2755</v>
      </c>
      <c r="E2761" s="20">
        <f t="shared" si="216"/>
        <v>5150</v>
      </c>
      <c r="F2761" s="20">
        <f t="shared" si="217"/>
        <v>5150</v>
      </c>
      <c r="G2761" s="20">
        <v>0.5244220115690803</v>
      </c>
      <c r="H2761" s="50"/>
      <c r="I2761" s="16"/>
      <c r="J2761" s="16"/>
      <c r="K2761" s="16"/>
      <c r="L2761" s="16"/>
      <c r="M2761" s="16">
        <v>2755</v>
      </c>
      <c r="N2761" s="16">
        <f t="shared" si="218"/>
        <v>0.98798421807747494</v>
      </c>
      <c r="O2761" s="16"/>
      <c r="P2761" s="16"/>
      <c r="Q2761" s="16">
        <f t="shared" si="219"/>
        <v>2.2566242487654868</v>
      </c>
    </row>
    <row r="2762" spans="4:17" ht="15" thickBot="1" x14ac:dyDescent="0.35">
      <c r="D2762" s="20">
        <f t="shared" si="215"/>
        <v>2756</v>
      </c>
      <c r="E2762" s="20">
        <f t="shared" si="216"/>
        <v>5250</v>
      </c>
      <c r="F2762" s="20">
        <f t="shared" si="217"/>
        <v>5150</v>
      </c>
      <c r="G2762" s="20">
        <v>0.5254531720414144</v>
      </c>
      <c r="H2762" s="50"/>
      <c r="I2762" s="16"/>
      <c r="J2762" s="16"/>
      <c r="K2762" s="16"/>
      <c r="L2762" s="16"/>
      <c r="M2762" s="16">
        <v>2756</v>
      </c>
      <c r="N2762" s="16">
        <f t="shared" si="218"/>
        <v>0.98834289813486376</v>
      </c>
      <c r="O2762" s="16"/>
      <c r="P2762" s="16"/>
      <c r="Q2762" s="16">
        <f t="shared" si="219"/>
        <v>2.2682462209146403</v>
      </c>
    </row>
    <row r="2763" spans="4:17" ht="15" thickBot="1" x14ac:dyDescent="0.35">
      <c r="D2763" s="20">
        <f t="shared" si="215"/>
        <v>2757</v>
      </c>
      <c r="E2763" s="20">
        <f t="shared" si="216"/>
        <v>50</v>
      </c>
      <c r="F2763" s="20">
        <f t="shared" si="217"/>
        <v>5250</v>
      </c>
      <c r="G2763" s="20">
        <v>0.52561492867583171</v>
      </c>
      <c r="H2763" s="50"/>
      <c r="I2763" s="16"/>
      <c r="J2763" s="16"/>
      <c r="K2763" s="16"/>
      <c r="L2763" s="16"/>
      <c r="M2763" s="16">
        <v>2757</v>
      </c>
      <c r="N2763" s="16">
        <f t="shared" si="218"/>
        <v>0.98870157819225246</v>
      </c>
      <c r="O2763" s="16"/>
      <c r="P2763" s="16"/>
      <c r="Q2763" s="16">
        <f t="shared" si="219"/>
        <v>2.2801828911615751</v>
      </c>
    </row>
    <row r="2764" spans="4:17" ht="15" thickBot="1" x14ac:dyDescent="0.35">
      <c r="D2764" s="20">
        <f t="shared" si="215"/>
        <v>2758</v>
      </c>
      <c r="E2764" s="20">
        <f t="shared" si="216"/>
        <v>150</v>
      </c>
      <c r="F2764" s="20">
        <f t="shared" si="217"/>
        <v>5250</v>
      </c>
      <c r="G2764" s="20">
        <v>0.52586517012693901</v>
      </c>
      <c r="H2764" s="50"/>
      <c r="I2764" s="16"/>
      <c r="J2764" s="16"/>
      <c r="K2764" s="16"/>
      <c r="L2764" s="16"/>
      <c r="M2764" s="16">
        <v>2758</v>
      </c>
      <c r="N2764" s="16">
        <f t="shared" si="218"/>
        <v>0.98906025824964128</v>
      </c>
      <c r="O2764" s="16"/>
      <c r="P2764" s="16"/>
      <c r="Q2764" s="16">
        <f t="shared" si="219"/>
        <v>2.292453575768405</v>
      </c>
    </row>
    <row r="2765" spans="4:17" ht="15" thickBot="1" x14ac:dyDescent="0.35">
      <c r="D2765" s="20">
        <f t="shared" si="215"/>
        <v>2759</v>
      </c>
      <c r="E2765" s="20">
        <f t="shared" si="216"/>
        <v>250</v>
      </c>
      <c r="F2765" s="20">
        <f t="shared" si="217"/>
        <v>5250</v>
      </c>
      <c r="G2765" s="20">
        <v>0.52589854921953116</v>
      </c>
      <c r="H2765" s="50"/>
      <c r="I2765" s="16"/>
      <c r="J2765" s="16"/>
      <c r="K2765" s="16"/>
      <c r="L2765" s="16"/>
      <c r="M2765" s="16">
        <v>2759</v>
      </c>
      <c r="N2765" s="16">
        <f t="shared" si="218"/>
        <v>0.98941893830703009</v>
      </c>
      <c r="O2765" s="16"/>
      <c r="P2765" s="16"/>
      <c r="Q2765" s="16">
        <f t="shared" si="219"/>
        <v>2.3050794641552956</v>
      </c>
    </row>
    <row r="2766" spans="4:17" ht="15" thickBot="1" x14ac:dyDescent="0.35">
      <c r="D2766" s="20">
        <f t="shared" si="215"/>
        <v>2760</v>
      </c>
      <c r="E2766" s="20">
        <f t="shared" si="216"/>
        <v>350</v>
      </c>
      <c r="F2766" s="20">
        <f t="shared" si="217"/>
        <v>5250</v>
      </c>
      <c r="G2766" s="20">
        <v>0.52638405810664468</v>
      </c>
      <c r="H2766" s="50"/>
      <c r="I2766" s="16"/>
      <c r="J2766" s="16"/>
      <c r="K2766" s="16"/>
      <c r="L2766" s="16"/>
      <c r="M2766" s="16">
        <v>2760</v>
      </c>
      <c r="N2766" s="16">
        <f t="shared" si="218"/>
        <v>0.98977761836441891</v>
      </c>
      <c r="O2766" s="16"/>
      <c r="P2766" s="16"/>
      <c r="Q2766" s="16">
        <f t="shared" si="219"/>
        <v>2.3180838716609893</v>
      </c>
    </row>
    <row r="2767" spans="4:17" ht="15" thickBot="1" x14ac:dyDescent="0.35">
      <c r="D2767" s="20">
        <f t="shared" si="215"/>
        <v>2761</v>
      </c>
      <c r="E2767" s="20">
        <f t="shared" si="216"/>
        <v>450</v>
      </c>
      <c r="F2767" s="20">
        <f t="shared" si="217"/>
        <v>5250</v>
      </c>
      <c r="G2767" s="20">
        <v>0.52653633246644471</v>
      </c>
      <c r="H2767" s="50"/>
      <c r="I2767" s="16"/>
      <c r="J2767" s="16"/>
      <c r="K2767" s="16"/>
      <c r="L2767" s="16"/>
      <c r="M2767" s="16">
        <v>2761</v>
      </c>
      <c r="N2767" s="16">
        <f t="shared" si="218"/>
        <v>0.99013629842180773</v>
      </c>
      <c r="O2767" s="16"/>
      <c r="P2767" s="16"/>
      <c r="Q2767" s="16">
        <f t="shared" si="219"/>
        <v>2.3314925366815529</v>
      </c>
    </row>
    <row r="2768" spans="4:17" ht="15" thickBot="1" x14ac:dyDescent="0.35">
      <c r="D2768" s="20">
        <f t="shared" si="215"/>
        <v>2762</v>
      </c>
      <c r="E2768" s="20">
        <f t="shared" si="216"/>
        <v>550</v>
      </c>
      <c r="F2768" s="20">
        <f t="shared" si="217"/>
        <v>5250</v>
      </c>
      <c r="G2768" s="20">
        <v>0.52656313051800685</v>
      </c>
      <c r="H2768" s="50"/>
      <c r="I2768" s="16"/>
      <c r="J2768" s="16"/>
      <c r="K2768" s="16"/>
      <c r="L2768" s="16"/>
      <c r="M2768" s="16">
        <v>2762</v>
      </c>
      <c r="N2768" s="16">
        <f t="shared" si="218"/>
        <v>0.99049497847919654</v>
      </c>
      <c r="O2768" s="16"/>
      <c r="P2768" s="16"/>
      <c r="Q2768" s="16">
        <f t="shared" si="219"/>
        <v>2.345333971915236</v>
      </c>
    </row>
    <row r="2769" spans="4:17" ht="15" thickBot="1" x14ac:dyDescent="0.35">
      <c r="D2769" s="20">
        <f t="shared" si="215"/>
        <v>2763</v>
      </c>
      <c r="E2769" s="20">
        <f t="shared" si="216"/>
        <v>650</v>
      </c>
      <c r="F2769" s="20">
        <f t="shared" si="217"/>
        <v>5250</v>
      </c>
      <c r="G2769" s="20">
        <v>0.52667639797977994</v>
      </c>
      <c r="H2769" s="50"/>
      <c r="I2769" s="16"/>
      <c r="J2769" s="16"/>
      <c r="K2769" s="16"/>
      <c r="L2769" s="16"/>
      <c r="M2769" s="16">
        <v>2763</v>
      </c>
      <c r="N2769" s="16">
        <f t="shared" si="218"/>
        <v>0.99085365853658536</v>
      </c>
      <c r="O2769" s="16"/>
      <c r="P2769" s="16"/>
      <c r="Q2769" s="16">
        <f t="shared" si="219"/>
        <v>2.3596398820306175</v>
      </c>
    </row>
    <row r="2770" spans="4:17" ht="15" thickBot="1" x14ac:dyDescent="0.35">
      <c r="D2770" s="20">
        <f t="shared" si="215"/>
        <v>2764</v>
      </c>
      <c r="E2770" s="47">
        <f t="shared" si="216"/>
        <v>750</v>
      </c>
      <c r="F2770" s="47">
        <f t="shared" si="217"/>
        <v>5250</v>
      </c>
      <c r="G2770" s="20">
        <v>0.52744579172802064</v>
      </c>
      <c r="H2770" s="50"/>
      <c r="I2770" s="16"/>
      <c r="J2770" s="16"/>
      <c r="K2770" s="16"/>
      <c r="L2770" s="16"/>
      <c r="M2770" s="16">
        <v>2764</v>
      </c>
      <c r="N2770" s="16">
        <f t="shared" si="218"/>
        <v>0.99121233859397417</v>
      </c>
      <c r="O2770" s="16"/>
      <c r="P2770" s="16"/>
      <c r="Q2770" s="16">
        <f t="shared" si="219"/>
        <v>2.3744456634852953</v>
      </c>
    </row>
    <row r="2771" spans="4:17" ht="15" thickBot="1" x14ac:dyDescent="0.35">
      <c r="D2771" s="20">
        <f t="shared" si="215"/>
        <v>2765</v>
      </c>
      <c r="E2771" s="20">
        <f t="shared" si="216"/>
        <v>850</v>
      </c>
      <c r="F2771" s="20">
        <f t="shared" si="217"/>
        <v>5250</v>
      </c>
      <c r="G2771" s="20">
        <v>0.52861419352705508</v>
      </c>
      <c r="H2771" s="50"/>
      <c r="I2771" s="16"/>
      <c r="J2771" s="16"/>
      <c r="K2771" s="16"/>
      <c r="L2771" s="16"/>
      <c r="M2771" s="16">
        <v>2765</v>
      </c>
      <c r="N2771" s="16">
        <f t="shared" si="218"/>
        <v>0.99157101865136299</v>
      </c>
      <c r="O2771" s="16"/>
      <c r="P2771" s="16"/>
      <c r="Q2771" s="16">
        <f t="shared" si="219"/>
        <v>2.3897910067580828</v>
      </c>
    </row>
    <row r="2772" spans="4:17" ht="15" thickBot="1" x14ac:dyDescent="0.35">
      <c r="D2772" s="20">
        <f t="shared" si="215"/>
        <v>2766</v>
      </c>
      <c r="E2772" s="20">
        <f t="shared" si="216"/>
        <v>950</v>
      </c>
      <c r="F2772" s="20">
        <f t="shared" si="217"/>
        <v>5250</v>
      </c>
      <c r="G2772" s="20">
        <v>0.53078704711394642</v>
      </c>
      <c r="H2772" s="50"/>
      <c r="I2772" s="16"/>
      <c r="J2772" s="16"/>
      <c r="K2772" s="16"/>
      <c r="L2772" s="16"/>
      <c r="M2772" s="16">
        <v>2766</v>
      </c>
      <c r="N2772" s="16">
        <f t="shared" si="218"/>
        <v>0.99192969870875181</v>
      </c>
      <c r="O2772" s="16"/>
      <c r="P2772" s="16"/>
      <c r="Q2772" s="16">
        <f t="shared" si="219"/>
        <v>2.405720627356323</v>
      </c>
    </row>
    <row r="2773" spans="4:17" ht="15" thickBot="1" x14ac:dyDescent="0.35">
      <c r="D2773" s="20">
        <f t="shared" si="215"/>
        <v>2767</v>
      </c>
      <c r="E2773" s="20">
        <f t="shared" si="216"/>
        <v>1050</v>
      </c>
      <c r="F2773" s="20">
        <f t="shared" si="217"/>
        <v>5250</v>
      </c>
      <c r="G2773" s="20">
        <v>0.53096189122729609</v>
      </c>
      <c r="H2773" s="50"/>
      <c r="I2773" s="16"/>
      <c r="J2773" s="16"/>
      <c r="K2773" s="16"/>
      <c r="L2773" s="16"/>
      <c r="M2773" s="16">
        <v>2767</v>
      </c>
      <c r="N2773" s="16">
        <f t="shared" si="218"/>
        <v>0.99228837876614062</v>
      </c>
      <c r="O2773" s="16"/>
      <c r="P2773" s="16"/>
      <c r="Q2773" s="16">
        <f t="shared" si="219"/>
        <v>2.4222851602552833</v>
      </c>
    </row>
    <row r="2774" spans="4:17" ht="15" thickBot="1" x14ac:dyDescent="0.35">
      <c r="D2774" s="20">
        <f t="shared" si="215"/>
        <v>2768</v>
      </c>
      <c r="E2774" s="20">
        <f t="shared" si="216"/>
        <v>1150</v>
      </c>
      <c r="F2774" s="20">
        <f t="shared" si="217"/>
        <v>5250</v>
      </c>
      <c r="G2774" s="20">
        <v>0.53430651256942419</v>
      </c>
      <c r="H2774" s="50"/>
      <c r="I2774" s="16"/>
      <c r="J2774" s="16"/>
      <c r="K2774" s="16"/>
      <c r="L2774" s="16"/>
      <c r="M2774" s="16">
        <v>2768</v>
      </c>
      <c r="N2774" s="16">
        <f t="shared" si="218"/>
        <v>0.99264705882352944</v>
      </c>
      <c r="O2774" s="16"/>
      <c r="P2774" s="16"/>
      <c r="Q2774" s="16">
        <f t="shared" si="219"/>
        <v>2.4395422638528821</v>
      </c>
    </row>
    <row r="2775" spans="4:17" ht="15" thickBot="1" x14ac:dyDescent="0.35">
      <c r="D2775" s="20">
        <f t="shared" si="215"/>
        <v>2769</v>
      </c>
      <c r="E2775" s="20">
        <f t="shared" si="216"/>
        <v>1250</v>
      </c>
      <c r="F2775" s="20">
        <f t="shared" si="217"/>
        <v>5250</v>
      </c>
      <c r="G2775" s="20">
        <v>0.53494553568159786</v>
      </c>
      <c r="H2775" s="50"/>
      <c r="I2775" s="16"/>
      <c r="J2775" s="16"/>
      <c r="K2775" s="16"/>
      <c r="L2775" s="16"/>
      <c r="M2775" s="16">
        <v>2769</v>
      </c>
      <c r="N2775" s="16">
        <f t="shared" si="218"/>
        <v>0.99300573888091825</v>
      </c>
      <c r="O2775" s="16"/>
      <c r="P2775" s="16"/>
      <c r="Q2775" s="16">
        <f t="shared" si="219"/>
        <v>2.457557995477925</v>
      </c>
    </row>
    <row r="2776" spans="4:17" ht="15" thickBot="1" x14ac:dyDescent="0.35">
      <c r="D2776" s="20">
        <f t="shared" si="215"/>
        <v>2770</v>
      </c>
      <c r="E2776" s="20">
        <f t="shared" si="216"/>
        <v>1350</v>
      </c>
      <c r="F2776" s="20">
        <f t="shared" si="217"/>
        <v>5250</v>
      </c>
      <c r="G2776" s="20">
        <v>0.53627049422324158</v>
      </c>
      <c r="H2776" s="50"/>
      <c r="I2776" s="16"/>
      <c r="J2776" s="16"/>
      <c r="K2776" s="16"/>
      <c r="L2776" s="16"/>
      <c r="M2776" s="16">
        <v>2770</v>
      </c>
      <c r="N2776" s="16">
        <f t="shared" si="218"/>
        <v>0.99336441893830707</v>
      </c>
      <c r="O2776" s="16"/>
      <c r="P2776" s="16"/>
      <c r="Q2776" s="16">
        <f t="shared" si="219"/>
        <v>2.4764085431022047</v>
      </c>
    </row>
    <row r="2777" spans="4:17" ht="15" thickBot="1" x14ac:dyDescent="0.35">
      <c r="D2777" s="20">
        <f t="shared" si="215"/>
        <v>2771</v>
      </c>
      <c r="E2777" s="20">
        <f t="shared" si="216"/>
        <v>1450</v>
      </c>
      <c r="F2777" s="20">
        <f t="shared" si="217"/>
        <v>5250</v>
      </c>
      <c r="G2777" s="20">
        <v>0.53705875080809717</v>
      </c>
      <c r="H2777" s="50"/>
      <c r="I2777" s="16"/>
      <c r="J2777" s="16"/>
      <c r="K2777" s="16"/>
      <c r="L2777" s="16"/>
      <c r="M2777" s="16">
        <v>2771</v>
      </c>
      <c r="N2777" s="16">
        <f t="shared" si="218"/>
        <v>0.99372309899569589</v>
      </c>
      <c r="O2777" s="16"/>
      <c r="P2777" s="16"/>
      <c r="Q2777" s="16">
        <f t="shared" si="219"/>
        <v>2.4961824304795486</v>
      </c>
    </row>
    <row r="2778" spans="4:17" ht="15" thickBot="1" x14ac:dyDescent="0.35">
      <c r="D2778" s="20">
        <f t="shared" si="215"/>
        <v>2772</v>
      </c>
      <c r="E2778" s="20">
        <f t="shared" si="216"/>
        <v>1550</v>
      </c>
      <c r="F2778" s="20">
        <f t="shared" si="217"/>
        <v>5250</v>
      </c>
      <c r="G2778" s="20">
        <v>0.53747014509321489</v>
      </c>
      <c r="H2778" s="50"/>
      <c r="I2778" s="16"/>
      <c r="J2778" s="16"/>
      <c r="K2778" s="16"/>
      <c r="L2778" s="16"/>
      <c r="M2778" s="16">
        <v>2772</v>
      </c>
      <c r="N2778" s="16">
        <f t="shared" si="218"/>
        <v>0.9940817790530847</v>
      </c>
      <c r="O2778" s="16"/>
      <c r="P2778" s="16"/>
      <c r="Q2778" s="16">
        <f t="shared" si="219"/>
        <v>2.5169833607026773</v>
      </c>
    </row>
    <row r="2779" spans="4:17" ht="15" thickBot="1" x14ac:dyDescent="0.35">
      <c r="D2779" s="20">
        <f t="shared" si="215"/>
        <v>2773</v>
      </c>
      <c r="E2779" s="20">
        <f t="shared" si="216"/>
        <v>1650</v>
      </c>
      <c r="F2779" s="20">
        <f t="shared" si="217"/>
        <v>5250</v>
      </c>
      <c r="G2779" s="20">
        <v>0.5401424527511216</v>
      </c>
      <c r="H2779" s="50"/>
      <c r="I2779" s="16"/>
      <c r="J2779" s="16"/>
      <c r="K2779" s="16"/>
      <c r="L2779" s="16"/>
      <c r="M2779" s="16">
        <v>2773</v>
      </c>
      <c r="N2779" s="16">
        <f t="shared" si="218"/>
        <v>0.99444045911047341</v>
      </c>
      <c r="O2779" s="16"/>
      <c r="P2779" s="16"/>
      <c r="Q2779" s="16">
        <f t="shared" si="219"/>
        <v>2.5389339346171442</v>
      </c>
    </row>
    <row r="2780" spans="4:17" ht="15" thickBot="1" x14ac:dyDescent="0.35">
      <c r="D2780" s="20">
        <f t="shared" si="215"/>
        <v>2774</v>
      </c>
      <c r="E2780" s="20">
        <f t="shared" si="216"/>
        <v>1750</v>
      </c>
      <c r="F2780" s="20">
        <f t="shared" si="217"/>
        <v>5250</v>
      </c>
      <c r="G2780" s="20">
        <v>0.54027791783536372</v>
      </c>
      <c r="H2780" s="50"/>
      <c r="I2780" s="16"/>
      <c r="J2780" s="16"/>
      <c r="K2780" s="16"/>
      <c r="L2780" s="16"/>
      <c r="M2780" s="16">
        <v>2774</v>
      </c>
      <c r="N2780" s="16">
        <f t="shared" si="218"/>
        <v>0.99479913916786222</v>
      </c>
      <c r="O2780" s="16"/>
      <c r="P2780" s="16"/>
      <c r="Q2780" s="16">
        <f t="shared" si="219"/>
        <v>2.5621805897711489</v>
      </c>
    </row>
    <row r="2781" spans="4:17" ht="15" thickBot="1" x14ac:dyDescent="0.35">
      <c r="D2781" s="20">
        <f t="shared" si="215"/>
        <v>2775</v>
      </c>
      <c r="E2781" s="20">
        <f t="shared" si="216"/>
        <v>1850</v>
      </c>
      <c r="F2781" s="20">
        <f t="shared" si="217"/>
        <v>5250</v>
      </c>
      <c r="G2781" s="20">
        <v>0.54267924634435949</v>
      </c>
      <c r="H2781" s="50"/>
      <c r="I2781" s="16"/>
      <c r="J2781" s="16"/>
      <c r="K2781" s="16"/>
      <c r="L2781" s="16"/>
      <c r="M2781" s="16">
        <v>2775</v>
      </c>
      <c r="N2781" s="16">
        <f t="shared" si="218"/>
        <v>0.99515781922525104</v>
      </c>
      <c r="O2781" s="16"/>
      <c r="P2781" s="16"/>
      <c r="Q2781" s="16">
        <f t="shared" si="219"/>
        <v>2.5869002767436013</v>
      </c>
    </row>
    <row r="2782" spans="4:17" ht="15" thickBot="1" x14ac:dyDescent="0.35">
      <c r="D2782" s="20">
        <f t="shared" si="215"/>
        <v>2776</v>
      </c>
      <c r="E2782" s="20">
        <f t="shared" si="216"/>
        <v>1950</v>
      </c>
      <c r="F2782" s="20">
        <f t="shared" si="217"/>
        <v>5250</v>
      </c>
      <c r="G2782" s="20">
        <v>0.54620940536779028</v>
      </c>
      <c r="H2782" s="50"/>
      <c r="I2782" s="16"/>
      <c r="J2782" s="16"/>
      <c r="K2782" s="16"/>
      <c r="L2782" s="16"/>
      <c r="M2782" s="16">
        <v>2776</v>
      </c>
      <c r="N2782" s="16">
        <f t="shared" si="218"/>
        <v>0.99551649928263986</v>
      </c>
      <c r="O2782" s="16"/>
      <c r="P2782" s="16"/>
      <c r="Q2782" s="16">
        <f t="shared" si="219"/>
        <v>2.6133096653846599</v>
      </c>
    </row>
    <row r="2783" spans="4:17" ht="15" thickBot="1" x14ac:dyDescent="0.35">
      <c r="D2783" s="20">
        <f t="shared" si="215"/>
        <v>2777</v>
      </c>
      <c r="E2783" s="20">
        <f t="shared" si="216"/>
        <v>2050</v>
      </c>
      <c r="F2783" s="20">
        <f t="shared" si="217"/>
        <v>5250</v>
      </c>
      <c r="G2783" s="20">
        <v>0.5464302386702492</v>
      </c>
      <c r="H2783" s="50"/>
      <c r="I2783" s="16"/>
      <c r="J2783" s="16"/>
      <c r="K2783" s="16"/>
      <c r="L2783" s="16"/>
      <c r="M2783" s="16">
        <v>2777</v>
      </c>
      <c r="N2783" s="16">
        <f t="shared" si="218"/>
        <v>0.99587517934002867</v>
      </c>
      <c r="O2783" s="16"/>
      <c r="P2783" s="16"/>
      <c r="Q2783" s="16">
        <f t="shared" si="219"/>
        <v>2.6416781316648503</v>
      </c>
    </row>
    <row r="2784" spans="4:17" ht="15" thickBot="1" x14ac:dyDescent="0.35">
      <c r="D2784" s="20">
        <f t="shared" si="215"/>
        <v>2778</v>
      </c>
      <c r="E2784" s="20">
        <f t="shared" si="216"/>
        <v>2150</v>
      </c>
      <c r="F2784" s="20">
        <f t="shared" si="217"/>
        <v>5250</v>
      </c>
      <c r="G2784" s="20">
        <v>0.54745936041539012</v>
      </c>
      <c r="H2784" s="50"/>
      <c r="I2784" s="16"/>
      <c r="J2784" s="16"/>
      <c r="K2784" s="16"/>
      <c r="L2784" s="16"/>
      <c r="M2784" s="16">
        <v>2778</v>
      </c>
      <c r="N2784" s="16">
        <f t="shared" si="218"/>
        <v>0.99623385939741749</v>
      </c>
      <c r="O2784" s="16"/>
      <c r="P2784" s="16"/>
      <c r="Q2784" s="16">
        <f t="shared" si="219"/>
        <v>2.6723465649805789</v>
      </c>
    </row>
    <row r="2785" spans="4:17" ht="15" thickBot="1" x14ac:dyDescent="0.35">
      <c r="D2785" s="20">
        <f t="shared" si="215"/>
        <v>2779</v>
      </c>
      <c r="E2785" s="20">
        <f t="shared" si="216"/>
        <v>2250</v>
      </c>
      <c r="F2785" s="20">
        <f t="shared" si="217"/>
        <v>5250</v>
      </c>
      <c r="G2785" s="20">
        <v>0.54802946266496888</v>
      </c>
      <c r="H2785" s="50"/>
      <c r="I2785" s="16"/>
      <c r="J2785" s="16"/>
      <c r="K2785" s="16"/>
      <c r="L2785" s="16"/>
      <c r="M2785" s="16">
        <v>2779</v>
      </c>
      <c r="N2785" s="16">
        <f t="shared" si="218"/>
        <v>0.9965925394548063</v>
      </c>
      <c r="O2785" s="16"/>
      <c r="P2785" s="16"/>
      <c r="Q2785" s="16">
        <f t="shared" si="219"/>
        <v>2.7057554524714367</v>
      </c>
    </row>
    <row r="2786" spans="4:17" ht="15" thickBot="1" x14ac:dyDescent="0.35">
      <c r="D2786" s="20">
        <f t="shared" si="215"/>
        <v>2780</v>
      </c>
      <c r="E2786" s="20">
        <f t="shared" si="216"/>
        <v>2350</v>
      </c>
      <c r="F2786" s="20">
        <f t="shared" si="217"/>
        <v>5250</v>
      </c>
      <c r="G2786" s="20">
        <v>0.54890210788292426</v>
      </c>
      <c r="H2786" s="50"/>
      <c r="I2786" s="16"/>
      <c r="J2786" s="16"/>
      <c r="K2786" s="16"/>
      <c r="L2786" s="16"/>
      <c r="M2786" s="16">
        <v>2780</v>
      </c>
      <c r="N2786" s="16">
        <f t="shared" si="218"/>
        <v>0.99695121951219512</v>
      </c>
      <c r="O2786" s="16"/>
      <c r="P2786" s="16"/>
      <c r="Q2786" s="16">
        <f t="shared" si="219"/>
        <v>2.74248836655691</v>
      </c>
    </row>
    <row r="2787" spans="4:17" ht="15" thickBot="1" x14ac:dyDescent="0.35">
      <c r="D2787" s="20">
        <f t="shared" si="215"/>
        <v>2781</v>
      </c>
      <c r="E2787" s="20">
        <f t="shared" si="216"/>
        <v>2450</v>
      </c>
      <c r="F2787" s="20">
        <f t="shared" si="217"/>
        <v>5250</v>
      </c>
      <c r="G2787" s="20">
        <v>0.55550564870441888</v>
      </c>
      <c r="H2787" s="50"/>
      <c r="I2787" s="16"/>
      <c r="J2787" s="16"/>
      <c r="K2787" s="16"/>
      <c r="L2787" s="16"/>
      <c r="M2787" s="16">
        <v>2781</v>
      </c>
      <c r="N2787" s="16">
        <f t="shared" si="218"/>
        <v>0.99730989956958394</v>
      </c>
      <c r="O2787" s="16"/>
      <c r="P2787" s="16"/>
      <c r="Q2787" s="16">
        <f t="shared" si="219"/>
        <v>2.7833423110877873</v>
      </c>
    </row>
    <row r="2788" spans="4:17" ht="15" thickBot="1" x14ac:dyDescent="0.35">
      <c r="D2788" s="20">
        <f t="shared" si="215"/>
        <v>2782</v>
      </c>
      <c r="E2788" s="20">
        <f t="shared" si="216"/>
        <v>2550</v>
      </c>
      <c r="F2788" s="20">
        <f t="shared" si="217"/>
        <v>5250</v>
      </c>
      <c r="G2788" s="20">
        <v>0.55806653648497373</v>
      </c>
      <c r="H2788" s="50"/>
      <c r="I2788" s="16"/>
      <c r="J2788" s="16"/>
      <c r="K2788" s="16"/>
      <c r="L2788" s="16"/>
      <c r="M2788" s="16">
        <v>2782</v>
      </c>
      <c r="N2788" s="16">
        <f t="shared" si="218"/>
        <v>0.99766857962697275</v>
      </c>
      <c r="O2788" s="16"/>
      <c r="P2788" s="16"/>
      <c r="Q2788" s="16">
        <f t="shared" si="219"/>
        <v>2.8294477889155938</v>
      </c>
    </row>
    <row r="2789" spans="4:17" ht="15" thickBot="1" x14ac:dyDescent="0.35">
      <c r="D2789" s="20">
        <f t="shared" si="215"/>
        <v>2783</v>
      </c>
      <c r="E2789" s="20">
        <f t="shared" si="216"/>
        <v>2650</v>
      </c>
      <c r="F2789" s="20">
        <f t="shared" si="217"/>
        <v>5250</v>
      </c>
      <c r="G2789" s="20">
        <v>0.55909690732640471</v>
      </c>
      <c r="H2789" s="50"/>
      <c r="I2789" s="16"/>
      <c r="J2789" s="16"/>
      <c r="K2789" s="16"/>
      <c r="L2789" s="16"/>
      <c r="M2789" s="16">
        <v>2783</v>
      </c>
      <c r="N2789" s="16">
        <f t="shared" si="218"/>
        <v>0.99802725968436157</v>
      </c>
      <c r="O2789" s="16"/>
      <c r="P2789" s="16"/>
      <c r="Q2789" s="16">
        <f t="shared" si="219"/>
        <v>2.8824880803291024</v>
      </c>
    </row>
    <row r="2790" spans="4:17" ht="15" thickBot="1" x14ac:dyDescent="0.35">
      <c r="D2790" s="20">
        <f t="shared" si="215"/>
        <v>2784</v>
      </c>
      <c r="E2790" s="20">
        <f t="shared" si="216"/>
        <v>2750</v>
      </c>
      <c r="F2790" s="20">
        <f t="shared" si="217"/>
        <v>5250</v>
      </c>
      <c r="G2790" s="20">
        <v>0.55985353784496095</v>
      </c>
      <c r="H2790" s="50"/>
      <c r="I2790" s="16"/>
      <c r="J2790" s="16"/>
      <c r="K2790" s="16"/>
      <c r="L2790" s="16"/>
      <c r="M2790" s="16">
        <v>2784</v>
      </c>
      <c r="N2790" s="16">
        <f t="shared" si="218"/>
        <v>0.99838593974175038</v>
      </c>
      <c r="O2790" s="16"/>
      <c r="P2790" s="16"/>
      <c r="Q2790" s="16">
        <f t="shared" si="219"/>
        <v>2.9451366546690014</v>
      </c>
    </row>
    <row r="2791" spans="4:17" ht="15" thickBot="1" x14ac:dyDescent="0.35">
      <c r="D2791" s="20">
        <f t="shared" si="215"/>
        <v>2785</v>
      </c>
      <c r="E2791" s="20">
        <f t="shared" si="216"/>
        <v>2850</v>
      </c>
      <c r="F2791" s="20">
        <f t="shared" si="217"/>
        <v>5250</v>
      </c>
      <c r="G2791" s="20">
        <v>0.56211112658231721</v>
      </c>
      <c r="H2791" s="50"/>
      <c r="I2791" s="16"/>
      <c r="J2791" s="16"/>
      <c r="K2791" s="16"/>
      <c r="L2791" s="16"/>
      <c r="M2791" s="16">
        <v>2785</v>
      </c>
      <c r="N2791" s="16">
        <f t="shared" si="218"/>
        <v>0.9987446197991392</v>
      </c>
      <c r="O2791" s="16"/>
      <c r="P2791" s="16"/>
      <c r="Q2791" s="16">
        <f t="shared" si="219"/>
        <v>3.0220416007492337</v>
      </c>
    </row>
    <row r="2792" spans="4:17" ht="15" thickBot="1" x14ac:dyDescent="0.35">
      <c r="D2792" s="20">
        <f t="shared" si="215"/>
        <v>2786</v>
      </c>
      <c r="E2792" s="20">
        <f t="shared" si="216"/>
        <v>2950</v>
      </c>
      <c r="F2792" s="20">
        <f t="shared" si="217"/>
        <v>5250</v>
      </c>
      <c r="G2792" s="20">
        <v>0.56657218467718184</v>
      </c>
      <c r="H2792" s="50"/>
      <c r="I2792" s="16"/>
      <c r="J2792" s="16"/>
      <c r="K2792" s="16"/>
      <c r="L2792" s="16"/>
      <c r="M2792" s="16">
        <v>2786</v>
      </c>
      <c r="N2792" s="16">
        <f t="shared" si="218"/>
        <v>0.99910329985652802</v>
      </c>
      <c r="O2792" s="16"/>
      <c r="P2792" s="16"/>
      <c r="Q2792" s="16">
        <f t="shared" si="219"/>
        <v>3.1224705800301642</v>
      </c>
    </row>
    <row r="2793" spans="4:17" ht="15" thickBot="1" x14ac:dyDescent="0.35">
      <c r="D2793" s="20">
        <f t="shared" si="215"/>
        <v>2787</v>
      </c>
      <c r="E2793" s="20">
        <f t="shared" si="216"/>
        <v>3050</v>
      </c>
      <c r="F2793" s="20">
        <f t="shared" si="217"/>
        <v>5250</v>
      </c>
      <c r="G2793" s="20">
        <v>0.59127257731404892</v>
      </c>
      <c r="H2793" s="50"/>
      <c r="I2793" s="16"/>
      <c r="J2793" s="16"/>
      <c r="K2793" s="16"/>
      <c r="L2793" s="16"/>
      <c r="M2793" s="16">
        <v>2787</v>
      </c>
      <c r="N2793" s="16">
        <f t="shared" si="218"/>
        <v>0.99946197991391683</v>
      </c>
      <c r="O2793" s="16"/>
      <c r="P2793" s="16"/>
      <c r="Q2793" s="16">
        <f t="shared" si="219"/>
        <v>3.2698513417567963</v>
      </c>
    </row>
    <row r="2794" spans="4:17" ht="15" thickBot="1" x14ac:dyDescent="0.35">
      <c r="D2794" s="20">
        <f t="shared" si="215"/>
        <v>2788</v>
      </c>
      <c r="E2794" s="20">
        <f t="shared" si="216"/>
        <v>3150</v>
      </c>
      <c r="F2794" s="20">
        <f t="shared" si="217"/>
        <v>5250</v>
      </c>
      <c r="G2794" s="20">
        <v>0.62218347902956728</v>
      </c>
      <c r="H2794" s="50"/>
      <c r="I2794" s="16"/>
      <c r="J2794" s="16"/>
      <c r="K2794" s="16"/>
      <c r="L2794" s="16"/>
      <c r="M2794" s="16">
        <v>2788</v>
      </c>
      <c r="N2794" s="16">
        <f t="shared" si="218"/>
        <v>0.99982065997130565</v>
      </c>
      <c r="O2794" s="16"/>
      <c r="P2794" s="16"/>
      <c r="Q2794" s="16">
        <f t="shared" si="219"/>
        <v>3.5687561582399581</v>
      </c>
    </row>
  </sheetData>
  <sortState ref="D7:G2794">
    <sortCondition ref="G7:G2794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E2794"/>
  <sheetViews>
    <sheetView tabSelected="1" topLeftCell="AR1" zoomScale="83" zoomScaleNormal="60" workbookViewId="0">
      <selection activeCell="BA7" sqref="BA7"/>
    </sheetView>
  </sheetViews>
  <sheetFormatPr defaultRowHeight="14.4" x14ac:dyDescent="0.3"/>
  <cols>
    <col min="1" max="1" width="8.88671875" style="16"/>
    <col min="2" max="3" width="11" style="16" customWidth="1"/>
    <col min="4" max="6" width="8.88671875" style="16"/>
    <col min="7" max="7" width="13.109375" style="16" bestFit="1" customWidth="1"/>
    <col min="8" max="8" width="13.109375" style="16" customWidth="1"/>
    <col min="9" max="9" width="10" style="16" bestFit="1" customWidth="1"/>
    <col min="10" max="12" width="12.5546875" style="16" customWidth="1"/>
    <col min="13" max="13" width="9" style="16" bestFit="1" customWidth="1"/>
    <col min="14" max="15" width="8.88671875" style="16"/>
    <col min="16" max="16" width="2.5546875" style="16" customWidth="1"/>
    <col min="17" max="17" width="21.6640625" style="16" customWidth="1"/>
    <col min="18" max="18" width="11.44140625" style="16" customWidth="1"/>
    <col min="19" max="26" width="12.88671875" style="16" bestFit="1" customWidth="1"/>
    <col min="27" max="28" width="13" style="16" bestFit="1" customWidth="1"/>
    <col min="29" max="47" width="12.6640625" style="16" bestFit="1" customWidth="1"/>
    <col min="48" max="48" width="7.44140625" style="16" customWidth="1"/>
    <col min="49" max="49" width="15.109375" style="16" customWidth="1"/>
    <col min="50" max="50" width="16.6640625" style="16" customWidth="1"/>
    <col min="51" max="51" width="12.21875" style="16" customWidth="1"/>
    <col min="52" max="52" width="15.109375" style="16" customWidth="1"/>
    <col min="53" max="53" width="20.5546875" style="16" customWidth="1"/>
    <col min="54" max="54" width="19.77734375" style="16" customWidth="1"/>
    <col min="55" max="55" width="23.6640625" style="16" customWidth="1"/>
    <col min="56" max="56" width="28.5546875" style="16" customWidth="1"/>
    <col min="57" max="57" width="30.33203125" style="16" customWidth="1"/>
    <col min="58" max="16384" width="8.88671875" style="16"/>
  </cols>
  <sheetData>
    <row r="1" spans="3:57" x14ac:dyDescent="0.3">
      <c r="E1" s="16" t="s">
        <v>5</v>
      </c>
      <c r="F1" s="16">
        <v>25</v>
      </c>
      <c r="G1" s="16" t="s">
        <v>6</v>
      </c>
    </row>
    <row r="2" spans="3:57" x14ac:dyDescent="0.3">
      <c r="E2" s="16" t="s">
        <v>7</v>
      </c>
      <c r="F2" s="16">
        <v>640</v>
      </c>
      <c r="G2" s="16" t="s">
        <v>8</v>
      </c>
    </row>
    <row r="3" spans="3:57" x14ac:dyDescent="0.3">
      <c r="E3" s="32" t="s">
        <v>9</v>
      </c>
      <c r="F3" s="16">
        <v>0.25</v>
      </c>
    </row>
    <row r="4" spans="3:57" x14ac:dyDescent="0.3">
      <c r="E4" s="32" t="s">
        <v>10</v>
      </c>
      <c r="F4" s="16">
        <v>1.2</v>
      </c>
      <c r="G4" s="16" t="s">
        <v>11</v>
      </c>
    </row>
    <row r="5" spans="3:57" ht="15" thickBot="1" x14ac:dyDescent="0.35">
      <c r="N5" s="33"/>
      <c r="O5" s="33"/>
      <c r="P5" s="33"/>
    </row>
    <row r="6" spans="3:57" ht="42" thickBot="1" x14ac:dyDescent="0.35">
      <c r="C6" s="34" t="s">
        <v>21</v>
      </c>
      <c r="D6" s="9" t="s">
        <v>0</v>
      </c>
      <c r="E6" s="35" t="s">
        <v>1</v>
      </c>
      <c r="F6" s="36" t="s">
        <v>2</v>
      </c>
      <c r="G6" s="9" t="s">
        <v>3</v>
      </c>
      <c r="H6" s="9" t="s">
        <v>20</v>
      </c>
      <c r="J6" s="9" t="s">
        <v>4</v>
      </c>
      <c r="K6" s="15" t="s">
        <v>12</v>
      </c>
      <c r="L6" s="9" t="s">
        <v>13</v>
      </c>
      <c r="M6" s="9" t="s">
        <v>14</v>
      </c>
      <c r="N6" s="10"/>
      <c r="O6" s="10"/>
      <c r="P6" s="10"/>
      <c r="Q6" s="18" t="s">
        <v>22</v>
      </c>
      <c r="AW6" s="17" t="s">
        <v>23</v>
      </c>
      <c r="AX6" s="18" t="s">
        <v>24</v>
      </c>
      <c r="AY6" s="17" t="s">
        <v>25</v>
      </c>
      <c r="AZ6" s="18" t="s">
        <v>26</v>
      </c>
      <c r="BA6" s="18" t="s">
        <v>27</v>
      </c>
      <c r="BB6" s="17" t="s">
        <v>25</v>
      </c>
      <c r="BC6" s="18" t="s">
        <v>28</v>
      </c>
      <c r="BD6" s="18" t="s">
        <v>29</v>
      </c>
      <c r="BE6" s="18" t="s">
        <v>30</v>
      </c>
    </row>
    <row r="7" spans="3:57" ht="15" thickBot="1" x14ac:dyDescent="0.35">
      <c r="C7" s="37">
        <v>1</v>
      </c>
      <c r="D7" s="38">
        <v>1084</v>
      </c>
      <c r="E7" s="20">
        <v>2350</v>
      </c>
      <c r="F7" s="28">
        <v>2050</v>
      </c>
      <c r="G7" s="39">
        <v>0.32925152947039282</v>
      </c>
      <c r="H7" s="16">
        <f t="shared" ref="H7:H70" ca="1" si="0">RANDBETWEEN(1,2788)</f>
        <v>763</v>
      </c>
      <c r="J7" s="12">
        <f>AVERAGE(G7:G2794)</f>
        <v>0.35083758137041238</v>
      </c>
      <c r="K7" s="14">
        <f>F2*43560*F1*F3</f>
        <v>174240000</v>
      </c>
      <c r="L7" s="13">
        <f>K7*(1-J7)/F4/5.615/10^6</f>
        <v>16.786889258239736</v>
      </c>
      <c r="M7" s="11">
        <f>_xlfn.STDEV.P(G7:G2794)</f>
        <v>7.7600863369751277E-2</v>
      </c>
      <c r="Q7" s="17">
        <v>1</v>
      </c>
      <c r="R7" s="19" t="s">
        <v>31</v>
      </c>
      <c r="S7" s="20">
        <v>1155</v>
      </c>
      <c r="T7" s="20">
        <v>843</v>
      </c>
      <c r="U7" s="20">
        <v>1348</v>
      </c>
      <c r="V7" s="20">
        <v>212</v>
      </c>
      <c r="W7" s="20">
        <v>1089</v>
      </c>
      <c r="X7" s="20">
        <v>2053</v>
      </c>
      <c r="Y7" s="20">
        <v>787</v>
      </c>
      <c r="Z7" s="20">
        <v>325</v>
      </c>
      <c r="AA7" s="20">
        <v>387</v>
      </c>
      <c r="AB7" s="20">
        <v>1723</v>
      </c>
      <c r="AC7" s="20">
        <v>57</v>
      </c>
      <c r="AD7" s="20">
        <v>758</v>
      </c>
      <c r="AE7" s="20">
        <v>2033</v>
      </c>
      <c r="AF7" s="20">
        <v>2443</v>
      </c>
      <c r="AG7" s="20">
        <v>68</v>
      </c>
      <c r="AH7" s="20">
        <v>2690</v>
      </c>
      <c r="AI7" s="20">
        <v>515</v>
      </c>
      <c r="AJ7" s="20">
        <v>2671</v>
      </c>
      <c r="AK7" s="20">
        <v>121</v>
      </c>
      <c r="AL7" s="20">
        <v>1024</v>
      </c>
      <c r="AM7" s="20">
        <v>1100</v>
      </c>
      <c r="AN7" s="20">
        <v>1887</v>
      </c>
      <c r="AO7" s="20">
        <v>981</v>
      </c>
      <c r="AP7" s="20">
        <v>2081</v>
      </c>
      <c r="AQ7" s="20">
        <v>849</v>
      </c>
      <c r="AR7" s="20">
        <v>1291</v>
      </c>
      <c r="AS7" s="20">
        <v>906</v>
      </c>
      <c r="AT7" s="20">
        <v>1218</v>
      </c>
      <c r="AU7" s="20">
        <v>1293</v>
      </c>
      <c r="AV7" s="20">
        <v>1684</v>
      </c>
      <c r="AX7" s="21">
        <f>AVERAGE(AW7:AW26)</f>
        <v>0.35107522578121753</v>
      </c>
      <c r="AY7" s="22">
        <f>AX7-J7</f>
        <v>2.3764441080514898E-4</v>
      </c>
      <c r="AZ7" s="21">
        <f>K7*(1-AX7)/(5.615*F4*(10^6))</f>
        <v>16.780743938836547</v>
      </c>
      <c r="BA7" s="23">
        <f>((AZ7-L7)*100/AZ7)</f>
        <v>-3.6621257231426896E-2</v>
      </c>
      <c r="BB7" s="24"/>
      <c r="BC7" s="25"/>
      <c r="BD7" s="26">
        <f>AVERAGE(BC8:BC26)</f>
        <v>1.2039295268663362E-4</v>
      </c>
      <c r="BE7" s="27">
        <f>SQRT(BD7)</f>
        <v>1.0972372245172583E-2</v>
      </c>
    </row>
    <row r="8" spans="3:57" ht="15" thickBot="1" x14ac:dyDescent="0.35">
      <c r="C8" s="40">
        <v>2</v>
      </c>
      <c r="D8" s="41">
        <v>1777</v>
      </c>
      <c r="E8" s="20">
        <v>2750</v>
      </c>
      <c r="F8" s="20">
        <v>3350</v>
      </c>
      <c r="G8" s="42">
        <v>0.37905647927643543</v>
      </c>
      <c r="H8" s="16">
        <f t="shared" ca="1" si="0"/>
        <v>1689</v>
      </c>
      <c r="R8" s="16" t="s">
        <v>32</v>
      </c>
      <c r="S8" s="39">
        <v>0.33444415280766066</v>
      </c>
      <c r="T8" s="42">
        <v>0.30966517363969942</v>
      </c>
      <c r="U8" s="20">
        <v>0.34889353497100806</v>
      </c>
      <c r="V8" s="20">
        <v>0.23881795685395329</v>
      </c>
      <c r="W8" s="20">
        <v>0.32968388004681121</v>
      </c>
      <c r="X8" s="20">
        <v>0.39987045955356726</v>
      </c>
      <c r="Y8" s="20">
        <v>0.30560827926170592</v>
      </c>
      <c r="Z8" s="20">
        <v>0.2574721568239785</v>
      </c>
      <c r="AA8" s="20">
        <v>0.26604163825770888</v>
      </c>
      <c r="AB8" s="20">
        <v>0.37602644215116438</v>
      </c>
      <c r="AC8" s="20">
        <v>0.19159219344382558</v>
      </c>
      <c r="AD8" s="20">
        <v>0.30264162057595689</v>
      </c>
      <c r="AE8" s="20">
        <v>0.39802318769956091</v>
      </c>
      <c r="AF8" s="20">
        <v>0.44002797063933718</v>
      </c>
      <c r="AG8" s="20">
        <v>0.19660426203995435</v>
      </c>
      <c r="AH8" s="20">
        <v>0.49024897340069556</v>
      </c>
      <c r="AI8" s="20">
        <v>0.28021442437657884</v>
      </c>
      <c r="AJ8" s="20">
        <v>0.48490432968547914</v>
      </c>
      <c r="AK8" s="20">
        <v>0.21587150988463366</v>
      </c>
      <c r="AL8" s="20">
        <v>0.32395398764875522</v>
      </c>
      <c r="AM8" s="20">
        <v>0.33026241608191992</v>
      </c>
      <c r="AN8" s="20">
        <v>0.3877661794897313</v>
      </c>
      <c r="AO8" s="20">
        <v>0.32068943670780864</v>
      </c>
      <c r="AP8" s="20">
        <v>0.40362613295005267</v>
      </c>
      <c r="AQ8" s="20">
        <v>0.31031511581429</v>
      </c>
      <c r="AR8" s="20">
        <v>0.34522003696844705</v>
      </c>
      <c r="AS8" s="20">
        <v>0.31478295249962412</v>
      </c>
      <c r="AT8" s="20">
        <v>0.3392087108107667</v>
      </c>
      <c r="AU8" s="20">
        <v>0.34531239295380245</v>
      </c>
      <c r="AV8" s="20">
        <v>0.37306268215354382</v>
      </c>
      <c r="AW8" s="21">
        <f>AVERAGE(S8:AV8)</f>
        <v>0.33202840633973402</v>
      </c>
      <c r="BB8" s="22">
        <f>$J$7-AW8</f>
        <v>1.880917503067836E-2</v>
      </c>
      <c r="BC8" s="29">
        <f>BB8^2</f>
        <v>3.5378506533469427E-4</v>
      </c>
    </row>
    <row r="9" spans="3:57" ht="15" thickBot="1" x14ac:dyDescent="0.35">
      <c r="C9" s="40">
        <v>3</v>
      </c>
      <c r="D9" s="41">
        <v>622</v>
      </c>
      <c r="E9" s="20">
        <v>3850</v>
      </c>
      <c r="F9" s="20">
        <v>1150</v>
      </c>
      <c r="G9" s="20">
        <v>0.29066687131277014</v>
      </c>
      <c r="H9" s="16">
        <f t="shared" ca="1" si="0"/>
        <v>2011</v>
      </c>
      <c r="Q9" s="17">
        <v>2</v>
      </c>
      <c r="R9" s="19" t="s">
        <v>31</v>
      </c>
      <c r="S9" s="42">
        <v>2200</v>
      </c>
      <c r="T9" s="20">
        <v>1993</v>
      </c>
      <c r="U9" s="20">
        <v>1492</v>
      </c>
      <c r="V9" s="20">
        <v>846</v>
      </c>
      <c r="W9" s="20">
        <v>1175</v>
      </c>
      <c r="X9" s="20">
        <v>89</v>
      </c>
      <c r="Y9" s="20">
        <v>1863</v>
      </c>
      <c r="Z9" s="20">
        <v>2395</v>
      </c>
      <c r="AA9" s="20">
        <v>2383</v>
      </c>
      <c r="AB9" s="20">
        <v>2422</v>
      </c>
      <c r="AC9" s="20">
        <v>352</v>
      </c>
      <c r="AD9" s="20">
        <v>1769</v>
      </c>
      <c r="AE9" s="20">
        <v>2596</v>
      </c>
      <c r="AF9" s="20">
        <v>1952</v>
      </c>
      <c r="AG9" s="20">
        <v>1430</v>
      </c>
      <c r="AH9" s="20">
        <v>2420</v>
      </c>
      <c r="AI9" s="20">
        <v>473</v>
      </c>
      <c r="AJ9" s="20">
        <v>1450</v>
      </c>
      <c r="AK9" s="20">
        <v>1234</v>
      </c>
      <c r="AL9" s="20">
        <v>1003</v>
      </c>
      <c r="AM9" s="20">
        <v>219</v>
      </c>
      <c r="AN9" s="20">
        <v>379</v>
      </c>
      <c r="AO9" s="20">
        <v>1261</v>
      </c>
      <c r="AP9" s="20">
        <v>921</v>
      </c>
      <c r="AQ9" s="20">
        <v>2267</v>
      </c>
      <c r="AR9" s="20">
        <v>1833</v>
      </c>
      <c r="AS9" s="20">
        <v>1795</v>
      </c>
      <c r="AT9" s="20">
        <v>2479</v>
      </c>
      <c r="AU9" s="20">
        <v>1892</v>
      </c>
      <c r="AV9" s="20">
        <v>2704</v>
      </c>
      <c r="BB9" s="22"/>
      <c r="BC9" s="30"/>
    </row>
    <row r="10" spans="3:57" ht="15" thickBot="1" x14ac:dyDescent="0.35">
      <c r="C10" s="40">
        <v>4</v>
      </c>
      <c r="D10" s="41">
        <v>1801</v>
      </c>
      <c r="E10" s="20">
        <v>5150</v>
      </c>
      <c r="F10" s="20">
        <v>3350</v>
      </c>
      <c r="G10" s="20">
        <v>0.3809224253628874</v>
      </c>
      <c r="H10" s="16">
        <f t="shared" ca="1" si="0"/>
        <v>1089</v>
      </c>
      <c r="R10" s="16" t="s">
        <v>32</v>
      </c>
      <c r="S10" s="39">
        <v>0.41484644018255357</v>
      </c>
      <c r="T10" s="42">
        <v>0.39502963530063628</v>
      </c>
      <c r="U10" s="20">
        <v>0.35915465675561381</v>
      </c>
      <c r="V10" s="20">
        <v>0.31011527597127342</v>
      </c>
      <c r="W10" s="20">
        <v>0.33616862619749438</v>
      </c>
      <c r="X10" s="20">
        <v>0.20754153819525373</v>
      </c>
      <c r="Y10" s="20">
        <v>0.38575653803364585</v>
      </c>
      <c r="Z10" s="20">
        <v>0.43495248705282019</v>
      </c>
      <c r="AA10" s="20">
        <v>0.43312429856395152</v>
      </c>
      <c r="AB10" s="20">
        <v>0.43782475154902145</v>
      </c>
      <c r="AC10" s="20">
        <v>0.26148175038227478</v>
      </c>
      <c r="AD10" s="20">
        <v>0.37871610840495556</v>
      </c>
      <c r="AE10" s="20">
        <v>0.46510885681459396</v>
      </c>
      <c r="AF10" s="20">
        <v>0.39180668325474893</v>
      </c>
      <c r="AG10" s="20">
        <v>0.35506871238082216</v>
      </c>
      <c r="AH10" s="20">
        <v>0.43751755923164143</v>
      </c>
      <c r="AI10" s="20">
        <v>0.27615100465385334</v>
      </c>
      <c r="AJ10" s="20">
        <v>0.35589000182561004</v>
      </c>
      <c r="AK10" s="20">
        <v>0.34038767810295922</v>
      </c>
      <c r="AL10" s="20">
        <v>0.32268147819654119</v>
      </c>
      <c r="AM10" s="20">
        <v>0.23977645408003004</v>
      </c>
      <c r="AN10" s="20">
        <v>0.26493498864668241</v>
      </c>
      <c r="AO10" s="20">
        <v>0.34241967519541783</v>
      </c>
      <c r="AP10" s="20">
        <v>0.31590523883242405</v>
      </c>
      <c r="AQ10" s="20">
        <v>0.42184643647493258</v>
      </c>
      <c r="AR10" s="20">
        <v>0.38327805256197911</v>
      </c>
      <c r="AS10" s="20">
        <v>0.3806940245231929</v>
      </c>
      <c r="AT10" s="20">
        <v>0.44495864272332702</v>
      </c>
      <c r="AU10" s="20">
        <v>0.38792157113279507</v>
      </c>
      <c r="AV10" s="20">
        <v>0.49596910325511767</v>
      </c>
      <c r="AW10" s="21">
        <f t="shared" ref="AW10:AW24" si="1">AVERAGE(S10:AV10)</f>
        <v>0.36590094228253878</v>
      </c>
      <c r="BB10" s="22">
        <f t="shared" ref="BB10:BB26" si="2">$J$7-AW10</f>
        <v>-1.50633609121264E-2</v>
      </c>
      <c r="BC10" s="29">
        <f>BB10^2</f>
        <v>2.269048419689775E-4</v>
      </c>
    </row>
    <row r="11" spans="3:57" ht="15" thickBot="1" x14ac:dyDescent="0.35">
      <c r="C11" s="40">
        <v>5</v>
      </c>
      <c r="D11" s="41">
        <v>596</v>
      </c>
      <c r="E11" s="20">
        <v>1250</v>
      </c>
      <c r="F11" s="20">
        <v>1150</v>
      </c>
      <c r="G11" s="20">
        <v>0.2886746259242553</v>
      </c>
      <c r="H11" s="16">
        <f t="shared" ca="1" si="0"/>
        <v>1899</v>
      </c>
      <c r="Q11" s="17">
        <v>3</v>
      </c>
      <c r="R11" s="19" t="s">
        <v>31</v>
      </c>
      <c r="S11" s="42">
        <v>2605</v>
      </c>
      <c r="T11" s="20">
        <v>2460</v>
      </c>
      <c r="U11" s="20">
        <v>1156</v>
      </c>
      <c r="V11" s="20">
        <v>2485</v>
      </c>
      <c r="W11" s="20">
        <v>514</v>
      </c>
      <c r="X11" s="20">
        <v>783</v>
      </c>
      <c r="Y11" s="20">
        <v>1537</v>
      </c>
      <c r="Z11" s="20">
        <v>499</v>
      </c>
      <c r="AA11" s="20">
        <v>330</v>
      </c>
      <c r="AB11" s="20">
        <v>962</v>
      </c>
      <c r="AC11" s="20">
        <v>533</v>
      </c>
      <c r="AD11" s="20">
        <v>1673</v>
      </c>
      <c r="AE11" s="20">
        <v>270</v>
      </c>
      <c r="AF11" s="20">
        <v>1820</v>
      </c>
      <c r="AG11" s="20">
        <v>1760</v>
      </c>
      <c r="AH11" s="20">
        <v>1358</v>
      </c>
      <c r="AI11" s="20">
        <v>523</v>
      </c>
      <c r="AJ11" s="20">
        <v>2762</v>
      </c>
      <c r="AK11" s="20">
        <v>408</v>
      </c>
      <c r="AL11" s="20">
        <v>2209</v>
      </c>
      <c r="AM11" s="20">
        <v>577</v>
      </c>
      <c r="AN11" s="20">
        <v>1523</v>
      </c>
      <c r="AO11" s="20">
        <v>804</v>
      </c>
      <c r="AP11" s="20">
        <v>1503</v>
      </c>
      <c r="AQ11" s="20">
        <v>1415</v>
      </c>
      <c r="AR11" s="20">
        <v>2785</v>
      </c>
      <c r="AS11" s="20">
        <v>646</v>
      </c>
      <c r="AT11" s="20">
        <v>564</v>
      </c>
      <c r="AU11" s="20">
        <v>310</v>
      </c>
      <c r="AV11" s="20">
        <v>1213</v>
      </c>
      <c r="BB11" s="22"/>
      <c r="BC11" s="30"/>
    </row>
    <row r="12" spans="3:57" ht="15" thickBot="1" x14ac:dyDescent="0.35">
      <c r="C12" s="40">
        <v>6</v>
      </c>
      <c r="D12" s="41">
        <v>218</v>
      </c>
      <c r="E12" s="48">
        <v>550</v>
      </c>
      <c r="F12" s="48">
        <v>450</v>
      </c>
      <c r="G12" s="20">
        <v>0.23954965211640122</v>
      </c>
      <c r="H12" s="16">
        <f t="shared" ca="1" si="0"/>
        <v>2382</v>
      </c>
      <c r="R12" s="16" t="s">
        <v>32</v>
      </c>
      <c r="S12" s="39">
        <v>0.46600190543021647</v>
      </c>
      <c r="T12" s="42">
        <v>0.4421452847304409</v>
      </c>
      <c r="U12" s="20">
        <v>0.33454768087662595</v>
      </c>
      <c r="V12" s="20">
        <v>0.44568156915582297</v>
      </c>
      <c r="W12" s="20">
        <v>0.27991398159393061</v>
      </c>
      <c r="X12" s="20">
        <v>0.30529318603190364</v>
      </c>
      <c r="Y12" s="20">
        <v>0.36258415684517054</v>
      </c>
      <c r="Z12" s="20">
        <v>0.27824726845787218</v>
      </c>
      <c r="AA12" s="20">
        <v>0.2581580971484258</v>
      </c>
      <c r="AB12" s="20">
        <v>0.31936249590362364</v>
      </c>
      <c r="AC12" s="20">
        <v>0.28182249663805953</v>
      </c>
      <c r="AD12" s="20">
        <v>0.37174521473050887</v>
      </c>
      <c r="AE12" s="20">
        <v>0.24897587318120523</v>
      </c>
      <c r="AF12" s="20">
        <v>0.38199184677105574</v>
      </c>
      <c r="AG12" s="20">
        <v>0.37831166376463699</v>
      </c>
      <c r="AH12" s="20">
        <v>0.34926417389581244</v>
      </c>
      <c r="AI12" s="20">
        <v>0.28109360972345843</v>
      </c>
      <c r="AJ12" s="20">
        <v>0.52656313051800685</v>
      </c>
      <c r="AK12" s="20">
        <v>0.26840855104281447</v>
      </c>
      <c r="AL12" s="20">
        <v>0.41581280071937027</v>
      </c>
      <c r="AM12" s="20">
        <v>0.28652549843438624</v>
      </c>
      <c r="AN12" s="20">
        <v>0.36138017431233355</v>
      </c>
      <c r="AO12" s="20">
        <v>0.30687668852353528</v>
      </c>
      <c r="AP12" s="20">
        <v>0.36021284676872334</v>
      </c>
      <c r="AQ12" s="20">
        <v>0.35381854863312573</v>
      </c>
      <c r="AR12" s="20">
        <v>0.56211112658231721</v>
      </c>
      <c r="AS12" s="20">
        <v>0.29309927945794434</v>
      </c>
      <c r="AT12" s="20">
        <v>0.2849839764400342</v>
      </c>
      <c r="AU12" s="20">
        <v>0.25467159093105163</v>
      </c>
      <c r="AV12" s="20">
        <v>0.33878394488990105</v>
      </c>
      <c r="AW12" s="21">
        <f t="shared" si="1"/>
        <v>0.34661295540441051</v>
      </c>
      <c r="BB12" s="22">
        <f t="shared" si="2"/>
        <v>4.2246259660018715E-3</v>
      </c>
      <c r="BC12" s="29">
        <f t="shared" ref="BC12:BC26" si="3">BB12^2</f>
        <v>1.7847464552617244E-5</v>
      </c>
    </row>
    <row r="13" spans="3:57" ht="15" thickBot="1" x14ac:dyDescent="0.35">
      <c r="C13" s="40">
        <v>7</v>
      </c>
      <c r="D13" s="41">
        <v>1482</v>
      </c>
      <c r="E13" s="20">
        <v>5050</v>
      </c>
      <c r="F13" s="20">
        <v>2750</v>
      </c>
      <c r="G13" s="20">
        <v>0.3584657695781488</v>
      </c>
      <c r="H13" s="16">
        <f t="shared" ca="1" si="0"/>
        <v>331</v>
      </c>
      <c r="Q13" s="17">
        <v>4</v>
      </c>
      <c r="R13" s="19" t="s">
        <v>31</v>
      </c>
      <c r="S13" s="42">
        <v>1265</v>
      </c>
      <c r="T13" s="20">
        <v>218</v>
      </c>
      <c r="U13" s="20">
        <v>1255</v>
      </c>
      <c r="V13" s="20">
        <v>2282</v>
      </c>
      <c r="W13" s="20">
        <v>990</v>
      </c>
      <c r="X13" s="20">
        <v>742</v>
      </c>
      <c r="Y13" s="20">
        <v>1377</v>
      </c>
      <c r="Z13" s="20">
        <v>1540</v>
      </c>
      <c r="AA13" s="20">
        <v>1285</v>
      </c>
      <c r="AB13" s="20">
        <v>2283</v>
      </c>
      <c r="AC13" s="20">
        <v>41</v>
      </c>
      <c r="AD13" s="20">
        <v>1924</v>
      </c>
      <c r="AE13" s="20">
        <v>1598</v>
      </c>
      <c r="AF13" s="20">
        <v>624</v>
      </c>
      <c r="AG13" s="20">
        <v>489</v>
      </c>
      <c r="AH13" s="20">
        <v>741</v>
      </c>
      <c r="AI13" s="20">
        <v>1788</v>
      </c>
      <c r="AJ13" s="20">
        <v>1361</v>
      </c>
      <c r="AK13" s="20">
        <v>2164</v>
      </c>
      <c r="AL13" s="20">
        <v>254</v>
      </c>
      <c r="AM13" s="20">
        <v>2697</v>
      </c>
      <c r="AN13" s="20">
        <v>2744</v>
      </c>
      <c r="AO13" s="20">
        <v>2090</v>
      </c>
      <c r="AP13" s="20">
        <v>938</v>
      </c>
      <c r="AQ13" s="20">
        <v>1855</v>
      </c>
      <c r="AR13" s="20">
        <v>1297</v>
      </c>
      <c r="AS13" s="20">
        <v>752</v>
      </c>
      <c r="AT13" s="20">
        <v>2034</v>
      </c>
      <c r="AU13" s="20">
        <v>2071</v>
      </c>
      <c r="AV13" s="20">
        <v>1158</v>
      </c>
      <c r="BB13" s="22"/>
      <c r="BC13" s="30"/>
    </row>
    <row r="14" spans="3:57" ht="15" thickBot="1" x14ac:dyDescent="0.35">
      <c r="C14" s="40">
        <v>8</v>
      </c>
      <c r="D14" s="41">
        <v>1637</v>
      </c>
      <c r="E14" s="20">
        <v>4650</v>
      </c>
      <c r="F14" s="20">
        <v>3050</v>
      </c>
      <c r="G14" s="20">
        <v>0.36948358937695042</v>
      </c>
      <c r="H14" s="16">
        <f t="shared" ca="1" si="0"/>
        <v>666</v>
      </c>
      <c r="R14" s="16" t="s">
        <v>32</v>
      </c>
      <c r="S14" s="39">
        <v>0.34275990488901675</v>
      </c>
      <c r="T14" s="42">
        <v>0.23954965211640122</v>
      </c>
      <c r="U14" s="20">
        <v>0.34220379284927693</v>
      </c>
      <c r="V14" s="20">
        <v>0.42396327624775221</v>
      </c>
      <c r="W14" s="20">
        <v>0.32144495821007268</v>
      </c>
      <c r="X14" s="20">
        <v>0.30146389183738187</v>
      </c>
      <c r="Y14" s="20">
        <v>0.35010623237387872</v>
      </c>
      <c r="Z14" s="20">
        <v>0.36305994255577712</v>
      </c>
      <c r="AA14" s="20">
        <v>0.34469993809680899</v>
      </c>
      <c r="AB14" s="20">
        <v>0.42400363937798952</v>
      </c>
      <c r="AC14" s="20">
        <v>0.17901803860587207</v>
      </c>
      <c r="AD14" s="20">
        <v>0.38958311308810128</v>
      </c>
      <c r="AE14" s="20">
        <v>0.36669347981249706</v>
      </c>
      <c r="AF14" s="20">
        <v>0.29092145397479907</v>
      </c>
      <c r="AG14" s="20">
        <v>0.27750840279023808</v>
      </c>
      <c r="AH14" s="20">
        <v>0.3013903080044445</v>
      </c>
      <c r="AI14" s="20">
        <v>0.38005679013612753</v>
      </c>
      <c r="AJ14" s="20">
        <v>0.3493395030511095</v>
      </c>
      <c r="AK14" s="20">
        <v>0.41146510098141731</v>
      </c>
      <c r="AL14" s="20">
        <v>0.24544154303373078</v>
      </c>
      <c r="AM14" s="20">
        <v>0.49381340116560712</v>
      </c>
      <c r="AN14" s="20">
        <v>0.51375071315047527</v>
      </c>
      <c r="AO14" s="20">
        <v>0.40428227628150309</v>
      </c>
      <c r="AP14" s="20">
        <v>0.31737983098104772</v>
      </c>
      <c r="AQ14" s="20">
        <v>0.38510416897275851</v>
      </c>
      <c r="AR14" s="20">
        <v>0.34561128517925416</v>
      </c>
      <c r="AS14" s="20">
        <v>0.3021614157216031</v>
      </c>
      <c r="AT14" s="20">
        <v>0.39802444366473405</v>
      </c>
      <c r="AU14" s="20">
        <v>0.40287455963151914</v>
      </c>
      <c r="AV14" s="20">
        <v>0.33482619202061542</v>
      </c>
      <c r="AW14" s="21">
        <f t="shared" si="1"/>
        <v>0.35141670829339372</v>
      </c>
      <c r="BB14" s="22">
        <f t="shared" si="2"/>
        <v>-5.7912692298134338E-4</v>
      </c>
      <c r="BC14" s="29">
        <f t="shared" si="3"/>
        <v>3.3538799292183883E-7</v>
      </c>
    </row>
    <row r="15" spans="3:57" ht="15" thickBot="1" x14ac:dyDescent="0.35">
      <c r="C15" s="40">
        <v>9</v>
      </c>
      <c r="D15" s="41">
        <v>1792</v>
      </c>
      <c r="E15" s="20">
        <v>4250</v>
      </c>
      <c r="F15" s="20">
        <v>3350</v>
      </c>
      <c r="G15" s="20">
        <v>0.38053233878814685</v>
      </c>
      <c r="H15" s="16">
        <f t="shared" ca="1" si="0"/>
        <v>962</v>
      </c>
      <c r="Q15" s="17">
        <v>5</v>
      </c>
      <c r="R15" s="19" t="s">
        <v>31</v>
      </c>
      <c r="S15" s="42">
        <v>803</v>
      </c>
      <c r="T15" s="20">
        <v>2186</v>
      </c>
      <c r="U15" s="20">
        <v>1011</v>
      </c>
      <c r="V15" s="20">
        <v>2115</v>
      </c>
      <c r="W15" s="20">
        <v>1705</v>
      </c>
      <c r="X15" s="20">
        <v>422</v>
      </c>
      <c r="Y15" s="20">
        <v>2396</v>
      </c>
      <c r="Z15" s="20">
        <v>2261</v>
      </c>
      <c r="AA15" s="20">
        <v>2207</v>
      </c>
      <c r="AB15" s="20">
        <v>1693</v>
      </c>
      <c r="AC15" s="20">
        <v>2481</v>
      </c>
      <c r="AD15" s="20">
        <v>2602</v>
      </c>
      <c r="AE15" s="20">
        <v>2068</v>
      </c>
      <c r="AF15" s="20">
        <v>1745</v>
      </c>
      <c r="AG15" s="20">
        <v>2355</v>
      </c>
      <c r="AH15" s="20">
        <v>2551</v>
      </c>
      <c r="AI15" s="20">
        <v>2580</v>
      </c>
      <c r="AJ15" s="20">
        <v>1120</v>
      </c>
      <c r="AK15" s="20">
        <v>262</v>
      </c>
      <c r="AL15" s="20">
        <v>1117</v>
      </c>
      <c r="AM15" s="20">
        <v>1098</v>
      </c>
      <c r="AN15" s="20">
        <v>147</v>
      </c>
      <c r="AO15" s="20">
        <v>2097</v>
      </c>
      <c r="AP15" s="20">
        <v>361</v>
      </c>
      <c r="AQ15" s="20">
        <v>1225</v>
      </c>
      <c r="AR15" s="20">
        <v>690</v>
      </c>
      <c r="AS15" s="20">
        <v>2015</v>
      </c>
      <c r="AT15" s="20">
        <v>1594</v>
      </c>
      <c r="AU15" s="20">
        <v>2657</v>
      </c>
      <c r="AV15" s="20">
        <v>808</v>
      </c>
      <c r="BB15" s="22"/>
      <c r="BC15" s="30"/>
    </row>
    <row r="16" spans="3:57" ht="15" thickBot="1" x14ac:dyDescent="0.35">
      <c r="C16" s="40">
        <v>10</v>
      </c>
      <c r="D16" s="41">
        <v>433</v>
      </c>
      <c r="E16" s="20">
        <v>850</v>
      </c>
      <c r="F16" s="20">
        <v>850</v>
      </c>
      <c r="G16" s="20">
        <v>0.27170860658448831</v>
      </c>
      <c r="H16" s="16">
        <f t="shared" ca="1" si="0"/>
        <v>987</v>
      </c>
      <c r="R16" s="16" t="s">
        <v>32</v>
      </c>
      <c r="S16" s="39">
        <v>0.30685750734178535</v>
      </c>
      <c r="T16" s="42">
        <v>0.41364949672062157</v>
      </c>
      <c r="U16" s="20">
        <v>0.32296321915960319</v>
      </c>
      <c r="V16" s="20">
        <v>0.40776259516744345</v>
      </c>
      <c r="W16" s="20">
        <v>0.37480498123480183</v>
      </c>
      <c r="X16" s="20">
        <v>0.2702013925550425</v>
      </c>
      <c r="Y16" s="20">
        <v>0.43512619399609231</v>
      </c>
      <c r="Z16" s="20">
        <v>0.42142453011534059</v>
      </c>
      <c r="AA16" s="20">
        <v>0.41534887960622668</v>
      </c>
      <c r="AB16" s="20">
        <v>0.37371458090517196</v>
      </c>
      <c r="AC16" s="20">
        <v>0.44523907538438512</v>
      </c>
      <c r="AD16" s="20">
        <v>0.46561288805260981</v>
      </c>
      <c r="AE16" s="20">
        <v>0.40253384566525635</v>
      </c>
      <c r="AF16" s="20">
        <v>0.37743762753761917</v>
      </c>
      <c r="AG16" s="20">
        <v>0.43055053605817256</v>
      </c>
      <c r="AH16" s="20">
        <v>0.45565778930448242</v>
      </c>
      <c r="AI16" s="20">
        <v>0.46270878431628437</v>
      </c>
      <c r="AJ16" s="20">
        <v>0.33143967426893101</v>
      </c>
      <c r="AK16" s="20">
        <v>0.24744935954777442</v>
      </c>
      <c r="AL16" s="20">
        <v>0.33137722877524373</v>
      </c>
      <c r="AM16" s="20">
        <v>0.33014137202356048</v>
      </c>
      <c r="AN16" s="20">
        <v>0.22197002304840285</v>
      </c>
      <c r="AO16" s="20">
        <v>0.40515701612024912</v>
      </c>
      <c r="AP16" s="20">
        <v>0.26207550114446621</v>
      </c>
      <c r="AQ16" s="20">
        <v>0.33982013306059267</v>
      </c>
      <c r="AR16" s="20">
        <v>0.2975205679519311</v>
      </c>
      <c r="AS16" s="20">
        <v>0.39686888535605575</v>
      </c>
      <c r="AT16" s="20">
        <v>0.36644025802887165</v>
      </c>
      <c r="AU16" s="20">
        <v>0.47926803017738895</v>
      </c>
      <c r="AV16" s="20">
        <v>0.30722499116601343</v>
      </c>
      <c r="AW16" s="21">
        <f t="shared" si="1"/>
        <v>0.36994489879301401</v>
      </c>
      <c r="BB16" s="22">
        <f t="shared" si="2"/>
        <v>-1.9107317422601633E-2</v>
      </c>
      <c r="BC16" s="29">
        <f t="shared" si="3"/>
        <v>3.6508957908805591E-4</v>
      </c>
    </row>
    <row r="17" spans="3:55" ht="15" thickBot="1" x14ac:dyDescent="0.35">
      <c r="C17" s="40">
        <v>11</v>
      </c>
      <c r="D17" s="41">
        <v>2648</v>
      </c>
      <c r="E17" s="20">
        <v>5050</v>
      </c>
      <c r="F17" s="20">
        <v>4950</v>
      </c>
      <c r="G17" s="20">
        <v>0.47575547849931638</v>
      </c>
      <c r="H17" s="16">
        <f t="shared" ca="1" si="0"/>
        <v>2228</v>
      </c>
      <c r="Q17" s="17">
        <v>6</v>
      </c>
      <c r="R17" s="19" t="s">
        <v>31</v>
      </c>
      <c r="S17" s="42">
        <v>1903</v>
      </c>
      <c r="T17" s="20">
        <v>1212</v>
      </c>
      <c r="U17" s="20">
        <v>1128</v>
      </c>
      <c r="V17" s="20">
        <v>1653</v>
      </c>
      <c r="W17" s="20">
        <v>1755</v>
      </c>
      <c r="X17" s="20">
        <v>1508</v>
      </c>
      <c r="Y17" s="20">
        <v>1248</v>
      </c>
      <c r="Z17" s="20">
        <v>70</v>
      </c>
      <c r="AA17" s="20">
        <v>916</v>
      </c>
      <c r="AB17" s="20">
        <v>764</v>
      </c>
      <c r="AC17" s="20">
        <v>1707</v>
      </c>
      <c r="AD17" s="20">
        <v>1034</v>
      </c>
      <c r="AE17" s="20">
        <v>1956</v>
      </c>
      <c r="AF17" s="20">
        <v>800</v>
      </c>
      <c r="AG17" s="20">
        <v>1376</v>
      </c>
      <c r="AH17" s="20">
        <v>1077</v>
      </c>
      <c r="AI17" s="20">
        <v>135</v>
      </c>
      <c r="AJ17" s="20">
        <v>1659</v>
      </c>
      <c r="AK17" s="20">
        <v>190</v>
      </c>
      <c r="AL17" s="20">
        <v>1058</v>
      </c>
      <c r="AM17" s="20">
        <v>1761</v>
      </c>
      <c r="AN17" s="20">
        <v>412</v>
      </c>
      <c r="AO17" s="20">
        <v>1645</v>
      </c>
      <c r="AP17" s="20">
        <v>2777</v>
      </c>
      <c r="AQ17" s="20">
        <v>793</v>
      </c>
      <c r="AR17" s="20">
        <v>2427</v>
      </c>
      <c r="AS17" s="20">
        <v>2555</v>
      </c>
      <c r="AT17" s="20">
        <v>2702</v>
      </c>
      <c r="AU17" s="20">
        <v>369</v>
      </c>
      <c r="AV17" s="20">
        <v>1833</v>
      </c>
      <c r="BB17" s="22"/>
      <c r="BC17" s="30"/>
    </row>
    <row r="18" spans="3:55" ht="15" thickBot="1" x14ac:dyDescent="0.35">
      <c r="C18" s="40">
        <v>12</v>
      </c>
      <c r="D18" s="41">
        <v>859</v>
      </c>
      <c r="E18" s="20">
        <v>1050</v>
      </c>
      <c r="F18" s="20">
        <v>1650</v>
      </c>
      <c r="G18" s="20">
        <v>0.31097319274526647</v>
      </c>
      <c r="H18" s="16">
        <f t="shared" ca="1" si="0"/>
        <v>1779</v>
      </c>
      <c r="R18" s="16" t="s">
        <v>32</v>
      </c>
      <c r="S18" s="39">
        <v>0.38847662218291512</v>
      </c>
      <c r="T18" s="42">
        <v>0.33860596197871207</v>
      </c>
      <c r="U18" s="20">
        <v>0.33263087186018531</v>
      </c>
      <c r="V18" s="20">
        <v>0.3704290884793609</v>
      </c>
      <c r="W18" s="20">
        <v>0.3778496510188678</v>
      </c>
      <c r="X18" s="20">
        <v>0.36068904344204394</v>
      </c>
      <c r="Y18" s="20">
        <v>0.34145240340387112</v>
      </c>
      <c r="Z18" s="20">
        <v>0.19765733082982642</v>
      </c>
      <c r="AA18" s="20">
        <v>0.31536346142774141</v>
      </c>
      <c r="AB18" s="20">
        <v>0.30325554743273453</v>
      </c>
      <c r="AC18" s="20">
        <v>0.37519800256843633</v>
      </c>
      <c r="AD18" s="20">
        <v>0.32464317989882613</v>
      </c>
      <c r="AE18" s="20">
        <v>0.39226486027137836</v>
      </c>
      <c r="AF18" s="20">
        <v>0.3065741483431092</v>
      </c>
      <c r="AG18" s="20">
        <v>0.35002143558698601</v>
      </c>
      <c r="AH18" s="20">
        <v>0.32839559489248599</v>
      </c>
      <c r="AI18" s="20">
        <v>0.21940182197036068</v>
      </c>
      <c r="AJ18" s="20">
        <v>0.37070819564535407</v>
      </c>
      <c r="AK18" s="20">
        <v>0.2326430096823604</v>
      </c>
      <c r="AL18" s="20">
        <v>0.32707806913663218</v>
      </c>
      <c r="AM18" s="20">
        <v>0.37838907097235081</v>
      </c>
      <c r="AN18" s="20">
        <v>0.26911433291201486</v>
      </c>
      <c r="AO18" s="20">
        <v>0.36994752566354155</v>
      </c>
      <c r="AP18" s="20">
        <v>0.5464302386702492</v>
      </c>
      <c r="AQ18" s="20">
        <v>0.30610191284804211</v>
      </c>
      <c r="AR18" s="20">
        <v>0.43798950783911184</v>
      </c>
      <c r="AS18" s="20">
        <v>0.45645476459445589</v>
      </c>
      <c r="AT18" s="20">
        <v>0.49524592686834978</v>
      </c>
      <c r="AU18" s="20">
        <v>0.26372351220035972</v>
      </c>
      <c r="AV18" s="20">
        <v>0.38327805256197911</v>
      </c>
      <c r="AW18" s="21">
        <f t="shared" si="1"/>
        <v>0.34866710483942137</v>
      </c>
      <c r="BB18" s="22">
        <f t="shared" si="2"/>
        <v>2.1704765309910057E-3</v>
      </c>
      <c r="BC18" s="29">
        <f t="shared" si="3"/>
        <v>4.7109683715827502E-6</v>
      </c>
    </row>
    <row r="19" spans="3:55" ht="15" thickBot="1" x14ac:dyDescent="0.35">
      <c r="C19" s="40">
        <v>13</v>
      </c>
      <c r="D19" s="41">
        <v>1709</v>
      </c>
      <c r="E19" s="20">
        <v>1250</v>
      </c>
      <c r="F19" s="20">
        <v>3250</v>
      </c>
      <c r="G19" s="20">
        <v>0.37528130167284385</v>
      </c>
      <c r="H19" s="16">
        <f t="shared" ca="1" si="0"/>
        <v>351</v>
      </c>
      <c r="Q19" s="17">
        <v>7</v>
      </c>
      <c r="R19" s="19" t="s">
        <v>31</v>
      </c>
      <c r="S19" s="42">
        <v>462</v>
      </c>
      <c r="T19" s="20">
        <v>2186</v>
      </c>
      <c r="U19" s="20">
        <v>2595</v>
      </c>
      <c r="V19" s="20">
        <v>1441</v>
      </c>
      <c r="W19" s="20">
        <v>1606</v>
      </c>
      <c r="X19" s="20">
        <v>160</v>
      </c>
      <c r="Y19" s="20">
        <v>273</v>
      </c>
      <c r="Z19" s="20">
        <v>569</v>
      </c>
      <c r="AA19" s="20">
        <v>1607</v>
      </c>
      <c r="AB19" s="20">
        <v>73</v>
      </c>
      <c r="AC19" s="20">
        <v>1778</v>
      </c>
      <c r="AD19" s="20">
        <v>674</v>
      </c>
      <c r="AE19" s="20">
        <v>1287</v>
      </c>
      <c r="AF19" s="20">
        <v>2588</v>
      </c>
      <c r="AG19" s="20">
        <v>2401</v>
      </c>
      <c r="AH19" s="20">
        <v>1694</v>
      </c>
      <c r="AI19" s="20">
        <v>1714</v>
      </c>
      <c r="AJ19" s="20">
        <v>747</v>
      </c>
      <c r="AK19" s="20">
        <v>262</v>
      </c>
      <c r="AL19" s="20">
        <v>814</v>
      </c>
      <c r="AM19" s="20">
        <v>2263</v>
      </c>
      <c r="AN19" s="20">
        <v>107</v>
      </c>
      <c r="AO19" s="20">
        <v>2274</v>
      </c>
      <c r="AP19" s="20">
        <v>2211</v>
      </c>
      <c r="AQ19" s="20">
        <v>1910</v>
      </c>
      <c r="AR19" s="20">
        <v>1815</v>
      </c>
      <c r="AS19" s="20">
        <v>1583</v>
      </c>
      <c r="AT19" s="20">
        <v>1885</v>
      </c>
      <c r="AU19" s="20">
        <v>1267</v>
      </c>
      <c r="AV19" s="20">
        <v>2147</v>
      </c>
      <c r="BB19" s="22"/>
      <c r="BC19" s="30"/>
    </row>
    <row r="20" spans="3:55" ht="15" thickBot="1" x14ac:dyDescent="0.35">
      <c r="C20" s="40">
        <v>14</v>
      </c>
      <c r="D20" s="41">
        <v>851</v>
      </c>
      <c r="E20" s="20">
        <v>250</v>
      </c>
      <c r="F20" s="20">
        <v>1650</v>
      </c>
      <c r="G20" s="20">
        <v>0.31046616744462957</v>
      </c>
      <c r="H20" s="16">
        <f t="shared" ca="1" si="0"/>
        <v>639</v>
      </c>
      <c r="Q20" s="31"/>
      <c r="R20" s="16" t="s">
        <v>32</v>
      </c>
      <c r="S20" s="39">
        <v>0.27516878148011514</v>
      </c>
      <c r="T20" s="42">
        <v>0.41364949672062157</v>
      </c>
      <c r="U20" s="20">
        <v>0.4649722211415418</v>
      </c>
      <c r="V20" s="20">
        <v>0.35535514241911897</v>
      </c>
      <c r="W20" s="20">
        <v>0.3673335078379768</v>
      </c>
      <c r="X20" s="20">
        <v>0.22422268049810745</v>
      </c>
      <c r="Y20" s="20">
        <v>0.24944567887376745</v>
      </c>
      <c r="Z20" s="20">
        <v>0.28599166254357933</v>
      </c>
      <c r="AA20" s="20">
        <v>0.36735912672219523</v>
      </c>
      <c r="AB20" s="20">
        <v>0.19930426014935185</v>
      </c>
      <c r="AC20" s="20">
        <v>0.37907950468662949</v>
      </c>
      <c r="AD20" s="20">
        <v>0.2960930022192968</v>
      </c>
      <c r="AE20" s="20">
        <v>0.34480071497507148</v>
      </c>
      <c r="AF20" s="20">
        <v>0.46409779577346433</v>
      </c>
      <c r="AG20" s="20">
        <v>0.43541315737685976</v>
      </c>
      <c r="AH20" s="20">
        <v>0.3737672821483588</v>
      </c>
      <c r="AI20" s="20">
        <v>0.37542150698603144</v>
      </c>
      <c r="AJ20" s="20">
        <v>0.30176559897583144</v>
      </c>
      <c r="AK20" s="20">
        <v>0.24744935954777442</v>
      </c>
      <c r="AL20" s="20">
        <v>0.30771287531645763</v>
      </c>
      <c r="AM20" s="20">
        <v>0.42151843850808968</v>
      </c>
      <c r="AN20" s="20">
        <v>0.21288016832557752</v>
      </c>
      <c r="AO20" s="20">
        <v>0.42265651222111406</v>
      </c>
      <c r="AP20" s="20">
        <v>0.41595994946484888</v>
      </c>
      <c r="AQ20" s="20">
        <v>0.38885315104810625</v>
      </c>
      <c r="AR20" s="20">
        <v>0.38176989661486116</v>
      </c>
      <c r="AS20" s="20">
        <v>0.36592745894249229</v>
      </c>
      <c r="AT20" s="20">
        <v>0.38769374497965997</v>
      </c>
      <c r="AU20" s="20">
        <v>0.34326945920345725</v>
      </c>
      <c r="AV20" s="20">
        <v>0.41022510022567182</v>
      </c>
      <c r="AW20" s="21">
        <f t="shared" si="1"/>
        <v>0.34930524119753431</v>
      </c>
      <c r="BB20" s="22">
        <f t="shared" si="2"/>
        <v>1.5323401728780661E-3</v>
      </c>
      <c r="BC20" s="29">
        <f t="shared" si="3"/>
        <v>2.3480664054159817E-6</v>
      </c>
    </row>
    <row r="21" spans="3:55" ht="15" thickBot="1" x14ac:dyDescent="0.35">
      <c r="C21" s="40">
        <v>15</v>
      </c>
      <c r="D21" s="41">
        <v>280</v>
      </c>
      <c r="E21" s="20">
        <v>1450</v>
      </c>
      <c r="F21" s="20">
        <v>550</v>
      </c>
      <c r="G21" s="20">
        <v>0.24997873450298902</v>
      </c>
      <c r="H21" s="16">
        <f t="shared" ca="1" si="0"/>
        <v>1337</v>
      </c>
      <c r="Q21" s="17">
        <v>8</v>
      </c>
      <c r="R21" s="19" t="s">
        <v>31</v>
      </c>
      <c r="S21" s="42">
        <v>2544</v>
      </c>
      <c r="T21" s="20">
        <v>1749</v>
      </c>
      <c r="U21" s="20">
        <v>1547</v>
      </c>
      <c r="V21" s="20">
        <v>1990</v>
      </c>
      <c r="W21" s="20">
        <v>2417</v>
      </c>
      <c r="X21" s="20">
        <v>606</v>
      </c>
      <c r="Y21" s="20">
        <v>193</v>
      </c>
      <c r="Z21" s="20">
        <v>491</v>
      </c>
      <c r="AA21" s="20">
        <v>2146</v>
      </c>
      <c r="AB21" s="20">
        <v>51</v>
      </c>
      <c r="AC21" s="20">
        <v>769</v>
      </c>
      <c r="AD21" s="20">
        <v>2780</v>
      </c>
      <c r="AE21" s="20">
        <v>2269</v>
      </c>
      <c r="AF21" s="20">
        <v>109</v>
      </c>
      <c r="AG21" s="20">
        <v>236</v>
      </c>
      <c r="AH21" s="20">
        <v>2251</v>
      </c>
      <c r="AI21" s="20">
        <v>1716</v>
      </c>
      <c r="AJ21" s="20">
        <v>915</v>
      </c>
      <c r="AK21" s="20">
        <v>1599</v>
      </c>
      <c r="AL21" s="20">
        <v>182</v>
      </c>
      <c r="AM21" s="20">
        <v>2374</v>
      </c>
      <c r="AN21" s="20">
        <v>573</v>
      </c>
      <c r="AO21" s="20">
        <v>1877</v>
      </c>
      <c r="AP21" s="20">
        <v>2122</v>
      </c>
      <c r="AQ21" s="20">
        <v>932</v>
      </c>
      <c r="AR21" s="20">
        <v>2141</v>
      </c>
      <c r="AS21" s="20">
        <v>253</v>
      </c>
      <c r="AT21" s="20">
        <v>81</v>
      </c>
      <c r="AU21" s="20">
        <v>553</v>
      </c>
      <c r="AV21" s="20">
        <v>1156</v>
      </c>
      <c r="BB21" s="22"/>
      <c r="BC21" s="30"/>
    </row>
    <row r="22" spans="3:55" ht="15" thickBot="1" x14ac:dyDescent="0.35">
      <c r="C22" s="40">
        <v>16</v>
      </c>
      <c r="D22" s="41">
        <v>204</v>
      </c>
      <c r="E22" s="20">
        <v>4450</v>
      </c>
      <c r="F22" s="20">
        <v>350</v>
      </c>
      <c r="G22" s="20">
        <v>0.23646693685429848</v>
      </c>
      <c r="H22" s="16">
        <f t="shared" ca="1" si="0"/>
        <v>2406</v>
      </c>
      <c r="R22" s="16" t="s">
        <v>32</v>
      </c>
      <c r="S22" s="39">
        <v>0.45458587288025892</v>
      </c>
      <c r="T22" s="42">
        <v>0.37771705115795073</v>
      </c>
      <c r="U22" s="20">
        <v>0.36329936703380239</v>
      </c>
      <c r="V22" s="20">
        <v>0.39492577733884815</v>
      </c>
      <c r="W22" s="20">
        <v>0.43731941857156492</v>
      </c>
      <c r="X22" s="20">
        <v>0.28933367494418544</v>
      </c>
      <c r="Y22" s="20">
        <v>0.23367801218198647</v>
      </c>
      <c r="Z22" s="20">
        <v>0.27784085269862241</v>
      </c>
      <c r="AA22" s="20">
        <v>0.41018172316940688</v>
      </c>
      <c r="AB22" s="20">
        <v>0.18453067847117308</v>
      </c>
      <c r="AC22" s="20">
        <v>0.30367320864477831</v>
      </c>
      <c r="AD22" s="20">
        <v>0.54890210788292426</v>
      </c>
      <c r="AE22" s="20">
        <v>0.42197352944238814</v>
      </c>
      <c r="AF22" s="20">
        <v>0.21337347945167801</v>
      </c>
      <c r="AG22" s="20">
        <v>0.24320621590159255</v>
      </c>
      <c r="AH22" s="20">
        <v>0.42047195014193239</v>
      </c>
      <c r="AI22" s="20">
        <v>0.37559900152513565</v>
      </c>
      <c r="AJ22" s="20">
        <v>0.31532762655017793</v>
      </c>
      <c r="AK22" s="20">
        <v>0.3668013741589608</v>
      </c>
      <c r="AL22" s="20">
        <v>0.22951655833768919</v>
      </c>
      <c r="AM22" s="20">
        <v>0.43197102070958221</v>
      </c>
      <c r="AN22" s="20">
        <v>0.28623358899020501</v>
      </c>
      <c r="AO22" s="20">
        <v>0.38666702495748989</v>
      </c>
      <c r="AP22" s="20">
        <v>0.40829189868619897</v>
      </c>
      <c r="AQ22" s="20">
        <v>0.31704446187873137</v>
      </c>
      <c r="AR22" s="20">
        <v>0.40958002667687654</v>
      </c>
      <c r="AS22" s="20">
        <v>0.24541289602201771</v>
      </c>
      <c r="AT22" s="20">
        <v>0.20245172163984332</v>
      </c>
      <c r="AU22" s="20">
        <v>0.28418234276013676</v>
      </c>
      <c r="AV22" s="20">
        <v>0.33454768087662595</v>
      </c>
      <c r="AW22" s="21">
        <f t="shared" si="1"/>
        <v>0.33895467145609209</v>
      </c>
      <c r="BB22" s="22">
        <f t="shared" si="2"/>
        <v>1.1882909914320283E-2</v>
      </c>
      <c r="BC22" s="29">
        <f t="shared" si="3"/>
        <v>1.4120354803185127E-4</v>
      </c>
    </row>
    <row r="23" spans="3:55" ht="15" thickBot="1" x14ac:dyDescent="0.35">
      <c r="C23" s="40">
        <v>17</v>
      </c>
      <c r="D23" s="41">
        <v>2492</v>
      </c>
      <c r="E23" s="20">
        <v>50</v>
      </c>
      <c r="F23" s="20">
        <v>4750</v>
      </c>
      <c r="G23" s="20">
        <v>0.44662589121387841</v>
      </c>
      <c r="H23" s="16">
        <f t="shared" ca="1" si="0"/>
        <v>690</v>
      </c>
      <c r="Q23" s="17">
        <v>9</v>
      </c>
      <c r="R23" s="19" t="s">
        <v>31</v>
      </c>
      <c r="S23" s="42">
        <v>2177</v>
      </c>
      <c r="T23" s="20">
        <v>198</v>
      </c>
      <c r="U23" s="20">
        <v>571</v>
      </c>
      <c r="V23" s="20">
        <v>328</v>
      </c>
      <c r="W23" s="20">
        <v>2001</v>
      </c>
      <c r="X23" s="20">
        <v>1860</v>
      </c>
      <c r="Y23" s="20">
        <v>2487</v>
      </c>
      <c r="Z23" s="20">
        <v>800</v>
      </c>
      <c r="AA23" s="20">
        <v>44</v>
      </c>
      <c r="AB23" s="20">
        <v>403</v>
      </c>
      <c r="AC23" s="20">
        <v>1829</v>
      </c>
      <c r="AD23" s="20">
        <v>1659</v>
      </c>
      <c r="AE23" s="20">
        <v>798</v>
      </c>
      <c r="AF23" s="20">
        <v>2469</v>
      </c>
      <c r="AG23" s="20">
        <v>2310</v>
      </c>
      <c r="AH23" s="20">
        <v>938</v>
      </c>
      <c r="AI23" s="20">
        <v>2100</v>
      </c>
      <c r="AJ23" s="20">
        <v>1863</v>
      </c>
      <c r="AK23" s="20">
        <v>1418</v>
      </c>
      <c r="AL23" s="20">
        <v>2051</v>
      </c>
      <c r="AM23" s="20">
        <v>1229</v>
      </c>
      <c r="AN23" s="20">
        <v>1096</v>
      </c>
      <c r="AO23" s="20">
        <v>2504</v>
      </c>
      <c r="AP23" s="20">
        <v>2348</v>
      </c>
      <c r="AQ23" s="20">
        <v>1566</v>
      </c>
      <c r="AR23" s="20">
        <v>1587</v>
      </c>
      <c r="AS23" s="20">
        <v>1634</v>
      </c>
      <c r="AT23" s="20">
        <v>2726</v>
      </c>
      <c r="AU23" s="20">
        <v>1480</v>
      </c>
      <c r="AV23" s="20">
        <v>1013</v>
      </c>
      <c r="BB23" s="22"/>
      <c r="BC23" s="30"/>
    </row>
    <row r="24" spans="3:55" ht="15" thickBot="1" x14ac:dyDescent="0.35">
      <c r="C24" s="40">
        <v>18</v>
      </c>
      <c r="D24" s="41">
        <v>743</v>
      </c>
      <c r="E24" s="20">
        <v>50</v>
      </c>
      <c r="F24" s="20">
        <v>1450</v>
      </c>
      <c r="G24" s="20">
        <v>0.30147976600302306</v>
      </c>
      <c r="H24" s="16">
        <f t="shared" ca="1" si="0"/>
        <v>590</v>
      </c>
      <c r="R24" s="16" t="s">
        <v>32</v>
      </c>
      <c r="S24" s="39">
        <v>0.41255551847873645</v>
      </c>
      <c r="T24" s="42">
        <v>0.23481613606366514</v>
      </c>
      <c r="U24" s="20">
        <v>0.28610799074183146</v>
      </c>
      <c r="V24" s="20">
        <v>0.25811023938732625</v>
      </c>
      <c r="W24" s="20">
        <v>0.39573231312946089</v>
      </c>
      <c r="X24" s="20">
        <v>0.38563691539202527</v>
      </c>
      <c r="Y24" s="20">
        <v>0.44592689921633266</v>
      </c>
      <c r="Z24" s="20">
        <v>0.3065741483431092</v>
      </c>
      <c r="AA24" s="20">
        <v>0.18023266799415844</v>
      </c>
      <c r="AB24" s="20">
        <v>0.26756479201997513</v>
      </c>
      <c r="AC24" s="20">
        <v>0.38284871992236191</v>
      </c>
      <c r="AD24" s="20">
        <v>0.37070819564535407</v>
      </c>
      <c r="AE24" s="20">
        <v>0.30638192893268501</v>
      </c>
      <c r="AF24" s="20">
        <v>0.44307940715530209</v>
      </c>
      <c r="AG24" s="20">
        <v>0.42584249449347622</v>
      </c>
      <c r="AH24" s="20">
        <v>0.31737983098104772</v>
      </c>
      <c r="AI24" s="20">
        <v>0.40555214598308797</v>
      </c>
      <c r="AJ24" s="20">
        <v>0.38575653803364585</v>
      </c>
      <c r="AK24" s="20">
        <v>0.35426155069431442</v>
      </c>
      <c r="AL24" s="20">
        <v>0.39976826841064372</v>
      </c>
      <c r="AM24" s="20">
        <v>0.34006971920246459</v>
      </c>
      <c r="AN24" s="20">
        <v>0.33011894458946234</v>
      </c>
      <c r="AO24" s="20">
        <v>0.44815677292400702</v>
      </c>
      <c r="AP24" s="20">
        <v>0.43013043262296369</v>
      </c>
      <c r="AQ24" s="20">
        <v>0.36449082926166615</v>
      </c>
      <c r="AR24" s="20">
        <v>0.36621565429771269</v>
      </c>
      <c r="AS24" s="20">
        <v>0.36916144707977538</v>
      </c>
      <c r="AT24" s="20">
        <v>0.50427496221919788</v>
      </c>
      <c r="AU24" s="20">
        <v>0.35841879075482336</v>
      </c>
      <c r="AV24" s="20">
        <v>0.32319214958900905</v>
      </c>
      <c r="AW24" s="21">
        <f t="shared" si="1"/>
        <v>0.35996888011865402</v>
      </c>
      <c r="BB24" s="22">
        <f t="shared" si="2"/>
        <v>-9.1312987482416452E-3</v>
      </c>
      <c r="BC24" s="29">
        <f t="shared" si="3"/>
        <v>8.338061682963944E-5</v>
      </c>
    </row>
    <row r="25" spans="3:55" ht="15" thickBot="1" x14ac:dyDescent="0.35">
      <c r="C25" s="40">
        <v>19</v>
      </c>
      <c r="D25" s="41">
        <v>970</v>
      </c>
      <c r="E25" s="20">
        <v>1550</v>
      </c>
      <c r="F25" s="20">
        <v>1850</v>
      </c>
      <c r="G25" s="20">
        <v>0.31996027508118713</v>
      </c>
      <c r="H25" s="16">
        <f t="shared" ca="1" si="0"/>
        <v>1242</v>
      </c>
      <c r="Q25" s="17">
        <v>10</v>
      </c>
      <c r="R25" s="19" t="s">
        <v>31</v>
      </c>
      <c r="S25" s="39">
        <v>1084</v>
      </c>
      <c r="T25" s="41">
        <v>1777</v>
      </c>
      <c r="U25" s="41">
        <v>622</v>
      </c>
      <c r="V25" s="41">
        <v>1801</v>
      </c>
      <c r="W25" s="41">
        <v>596</v>
      </c>
      <c r="X25" s="41">
        <v>218</v>
      </c>
      <c r="Y25" s="41">
        <v>1482</v>
      </c>
      <c r="Z25" s="41">
        <v>1637</v>
      </c>
      <c r="AA25" s="41">
        <v>1792</v>
      </c>
      <c r="AB25" s="41">
        <v>433</v>
      </c>
      <c r="AC25" s="41">
        <v>2648</v>
      </c>
      <c r="AD25" s="41">
        <v>859</v>
      </c>
      <c r="AE25" s="41">
        <v>1709</v>
      </c>
      <c r="AF25" s="41">
        <v>851</v>
      </c>
      <c r="AG25" s="41">
        <v>280</v>
      </c>
      <c r="AH25" s="41">
        <v>204</v>
      </c>
      <c r="AI25" s="41">
        <v>2492</v>
      </c>
      <c r="AJ25" s="41">
        <v>743</v>
      </c>
      <c r="AK25" s="41">
        <v>970</v>
      </c>
      <c r="AL25" s="41">
        <v>2659</v>
      </c>
      <c r="AM25" s="41">
        <v>1207</v>
      </c>
      <c r="AN25" s="41">
        <v>2642</v>
      </c>
      <c r="AO25" s="41">
        <v>222</v>
      </c>
      <c r="AP25" s="41">
        <v>1210</v>
      </c>
      <c r="AQ25" s="41">
        <v>1886</v>
      </c>
      <c r="AR25" s="41">
        <v>1540</v>
      </c>
      <c r="AS25" s="41">
        <v>2170</v>
      </c>
      <c r="AT25" s="41">
        <v>479</v>
      </c>
      <c r="AU25" s="41">
        <v>1757</v>
      </c>
      <c r="AV25" s="41">
        <v>2396</v>
      </c>
      <c r="BB25" s="22"/>
      <c r="BC25" s="30"/>
    </row>
    <row r="26" spans="3:55" ht="15" thickBot="1" x14ac:dyDescent="0.35">
      <c r="C26" s="40">
        <v>20</v>
      </c>
      <c r="D26" s="41">
        <v>2659</v>
      </c>
      <c r="E26" s="20">
        <v>850</v>
      </c>
      <c r="F26" s="20">
        <v>5050</v>
      </c>
      <c r="G26" s="20">
        <v>0.47952021790440524</v>
      </c>
      <c r="H26" s="16">
        <f t="shared" ca="1" si="0"/>
        <v>233</v>
      </c>
      <c r="R26" s="16" t="s">
        <v>32</v>
      </c>
      <c r="S26" s="51">
        <v>0.32925152947039282</v>
      </c>
      <c r="T26" s="42">
        <v>0.37905647927643543</v>
      </c>
      <c r="U26" s="20">
        <v>0.29066687131277014</v>
      </c>
      <c r="V26" s="20">
        <v>0.3809224253628874</v>
      </c>
      <c r="W26" s="20">
        <v>0.2886746259242553</v>
      </c>
      <c r="X26" s="20">
        <v>0.23954965211640122</v>
      </c>
      <c r="Y26" s="20">
        <v>0.3584657695781488</v>
      </c>
      <c r="Z26" s="20">
        <v>0.36948358937695042</v>
      </c>
      <c r="AA26" s="20">
        <v>0.38053233878814685</v>
      </c>
      <c r="AB26" s="20">
        <v>0.27170860658448831</v>
      </c>
      <c r="AC26" s="20">
        <v>0.47575547849931638</v>
      </c>
      <c r="AD26" s="20">
        <v>0.31097319274526647</v>
      </c>
      <c r="AE26" s="20">
        <v>0.37528130167284385</v>
      </c>
      <c r="AF26" s="20">
        <v>0.31046616744462957</v>
      </c>
      <c r="AG26" s="20">
        <v>0.24997873450298902</v>
      </c>
      <c r="AH26" s="20">
        <v>0.23646693685429848</v>
      </c>
      <c r="AI26" s="20">
        <v>0.44662589121387841</v>
      </c>
      <c r="AJ26" s="20">
        <v>0.30147976600302306</v>
      </c>
      <c r="AK26" s="20">
        <v>0.31996027508118713</v>
      </c>
      <c r="AL26" s="20">
        <v>0.47952021790440524</v>
      </c>
      <c r="AM26" s="20">
        <v>0.33824552083579723</v>
      </c>
      <c r="AN26" s="20">
        <v>0.47430886694591567</v>
      </c>
      <c r="AO26" s="20">
        <v>0.23998729927700488</v>
      </c>
      <c r="AP26" s="20">
        <v>0.33851985467187673</v>
      </c>
      <c r="AQ26" s="20">
        <v>0.38771435487598871</v>
      </c>
      <c r="AR26" s="20">
        <v>0.36305994255577712</v>
      </c>
      <c r="AS26" s="20">
        <v>0.41218015331572566</v>
      </c>
      <c r="AT26" s="20">
        <v>0.27670468505580614</v>
      </c>
      <c r="AU26" s="20">
        <v>0.37790675137878332</v>
      </c>
      <c r="AV26" s="20">
        <v>0.43512619399609231</v>
      </c>
      <c r="AW26" s="21">
        <f>AVERAGE(S26:AV26)</f>
        <v>0.34795244908738276</v>
      </c>
      <c r="BB26" s="22">
        <f t="shared" si="2"/>
        <v>2.8851322830296122E-3</v>
      </c>
      <c r="BC26" s="29">
        <f t="shared" si="3"/>
        <v>8.3239882905796627E-6</v>
      </c>
    </row>
    <row r="27" spans="3:55" ht="15" thickBot="1" x14ac:dyDescent="0.35">
      <c r="C27" s="40">
        <v>21</v>
      </c>
      <c r="D27" s="41">
        <v>1207</v>
      </c>
      <c r="E27" s="20">
        <v>4050</v>
      </c>
      <c r="F27" s="20">
        <v>2250</v>
      </c>
      <c r="G27" s="20">
        <v>0.33824552083579723</v>
      </c>
      <c r="H27" s="16">
        <f t="shared" ca="1" si="0"/>
        <v>1559</v>
      </c>
    </row>
    <row r="28" spans="3:55" ht="15" thickBot="1" x14ac:dyDescent="0.35">
      <c r="C28" s="40">
        <v>22</v>
      </c>
      <c r="D28" s="41">
        <v>2642</v>
      </c>
      <c r="E28" s="20">
        <v>4450</v>
      </c>
      <c r="F28" s="20">
        <v>4950</v>
      </c>
      <c r="G28" s="20">
        <v>0.47430886694591567</v>
      </c>
      <c r="H28" s="16">
        <f t="shared" ca="1" si="0"/>
        <v>1989</v>
      </c>
    </row>
    <row r="29" spans="3:55" ht="15" thickBot="1" x14ac:dyDescent="0.35">
      <c r="C29" s="40">
        <v>23</v>
      </c>
      <c r="D29" s="41">
        <v>222</v>
      </c>
      <c r="E29" s="20">
        <v>950</v>
      </c>
      <c r="F29" s="20">
        <v>450</v>
      </c>
      <c r="G29" s="20">
        <v>0.23998729927700488</v>
      </c>
      <c r="H29" s="16">
        <f t="shared" ca="1" si="0"/>
        <v>1263</v>
      </c>
    </row>
    <row r="30" spans="3:55" ht="15" thickBot="1" x14ac:dyDescent="0.35">
      <c r="C30" s="40">
        <v>24</v>
      </c>
      <c r="D30" s="41">
        <v>1210</v>
      </c>
      <c r="E30" s="44">
        <v>4350</v>
      </c>
      <c r="F30" s="44">
        <v>2250</v>
      </c>
      <c r="G30" s="20">
        <v>0.33851985467187673</v>
      </c>
      <c r="H30" s="16">
        <f t="shared" ca="1" si="0"/>
        <v>1662</v>
      </c>
    </row>
    <row r="31" spans="3:55" ht="15" thickBot="1" x14ac:dyDescent="0.35">
      <c r="C31" s="40">
        <v>25</v>
      </c>
      <c r="D31" s="41">
        <v>1886</v>
      </c>
      <c r="E31" s="48">
        <v>3050</v>
      </c>
      <c r="F31" s="48">
        <v>3550</v>
      </c>
      <c r="G31" s="20">
        <v>0.38771435487598871</v>
      </c>
      <c r="H31" s="16">
        <f t="shared" ca="1" si="0"/>
        <v>1738</v>
      </c>
    </row>
    <row r="32" spans="3:55" ht="15" thickBot="1" x14ac:dyDescent="0.35">
      <c r="C32" s="40">
        <v>26</v>
      </c>
      <c r="D32" s="41">
        <v>1540</v>
      </c>
      <c r="E32" s="20">
        <v>250</v>
      </c>
      <c r="F32" s="20">
        <v>2950</v>
      </c>
      <c r="G32" s="20">
        <v>0.36305994255577712</v>
      </c>
      <c r="H32" s="16">
        <f t="shared" ca="1" si="0"/>
        <v>1757</v>
      </c>
    </row>
    <row r="33" spans="3:8" ht="15" thickBot="1" x14ac:dyDescent="0.35">
      <c r="C33" s="40">
        <v>27</v>
      </c>
      <c r="D33" s="41">
        <v>2170</v>
      </c>
      <c r="E33" s="20">
        <v>4950</v>
      </c>
      <c r="F33" s="20">
        <v>4050</v>
      </c>
      <c r="G33" s="20">
        <v>0.41218015331572566</v>
      </c>
      <c r="H33" s="16">
        <f t="shared" ca="1" si="0"/>
        <v>292</v>
      </c>
    </row>
    <row r="34" spans="3:8" ht="15" thickBot="1" x14ac:dyDescent="0.35">
      <c r="C34" s="40">
        <v>28</v>
      </c>
      <c r="D34" s="41">
        <v>479</v>
      </c>
      <c r="E34" s="20">
        <v>150</v>
      </c>
      <c r="F34" s="20">
        <v>950</v>
      </c>
      <c r="G34" s="20">
        <v>0.27670468505580614</v>
      </c>
      <c r="H34" s="16">
        <f t="shared" ca="1" si="0"/>
        <v>629</v>
      </c>
    </row>
    <row r="35" spans="3:8" ht="15" thickBot="1" x14ac:dyDescent="0.35">
      <c r="C35" s="40">
        <v>29</v>
      </c>
      <c r="D35" s="41">
        <v>1757</v>
      </c>
      <c r="E35" s="20">
        <v>750</v>
      </c>
      <c r="F35" s="20">
        <v>3350</v>
      </c>
      <c r="G35" s="20">
        <v>0.37790675137878332</v>
      </c>
      <c r="H35" s="16">
        <f t="shared" ca="1" si="0"/>
        <v>1050</v>
      </c>
    </row>
    <row r="36" spans="3:8" ht="15" thickBot="1" x14ac:dyDescent="0.35">
      <c r="C36" s="46">
        <v>30</v>
      </c>
      <c r="D36" s="41">
        <v>2396</v>
      </c>
      <c r="E36" s="20">
        <v>1050</v>
      </c>
      <c r="F36" s="20">
        <v>4550</v>
      </c>
      <c r="G36" s="20">
        <v>0.43512619399609231</v>
      </c>
      <c r="H36" s="16">
        <f t="shared" ca="1" si="0"/>
        <v>236</v>
      </c>
    </row>
    <row r="37" spans="3:8" ht="15" thickBot="1" x14ac:dyDescent="0.35">
      <c r="D37" s="20">
        <v>1531</v>
      </c>
      <c r="E37" s="20">
        <v>4650</v>
      </c>
      <c r="F37" s="20">
        <v>2850</v>
      </c>
      <c r="G37" s="20">
        <v>0.36188243110341328</v>
      </c>
      <c r="H37" s="16">
        <f t="shared" ca="1" si="0"/>
        <v>1776</v>
      </c>
    </row>
    <row r="38" spans="3:8" ht="15" thickBot="1" x14ac:dyDescent="0.35">
      <c r="D38" s="20">
        <v>1424</v>
      </c>
      <c r="E38" s="20">
        <v>4550</v>
      </c>
      <c r="F38" s="20">
        <v>2650</v>
      </c>
      <c r="G38" s="20">
        <v>0.35451397404186913</v>
      </c>
      <c r="H38" s="16">
        <f t="shared" ca="1" si="0"/>
        <v>164</v>
      </c>
    </row>
    <row r="39" spans="3:8" ht="15" thickBot="1" x14ac:dyDescent="0.35">
      <c r="D39" s="20">
        <v>1419</v>
      </c>
      <c r="E39" s="20">
        <v>4050</v>
      </c>
      <c r="F39" s="20">
        <v>2650</v>
      </c>
      <c r="G39" s="20">
        <v>0.35433898242454764</v>
      </c>
      <c r="H39" s="16">
        <f t="shared" ca="1" si="0"/>
        <v>1805</v>
      </c>
    </row>
    <row r="40" spans="3:8" ht="15" thickBot="1" x14ac:dyDescent="0.35">
      <c r="D40" s="20">
        <v>1584</v>
      </c>
      <c r="E40" s="20">
        <v>4650</v>
      </c>
      <c r="F40" s="20">
        <v>2950</v>
      </c>
      <c r="G40" s="20">
        <v>0.36594669822227888</v>
      </c>
      <c r="H40" s="16">
        <f t="shared" ca="1" si="0"/>
        <v>2690</v>
      </c>
    </row>
    <row r="41" spans="3:8" ht="15" thickBot="1" x14ac:dyDescent="0.35">
      <c r="D41" s="20">
        <v>979</v>
      </c>
      <c r="E41" s="20">
        <v>2450</v>
      </c>
      <c r="F41" s="20">
        <v>1850</v>
      </c>
      <c r="G41" s="20">
        <v>0.32057129661131689</v>
      </c>
      <c r="H41" s="16">
        <f t="shared" ca="1" si="0"/>
        <v>1672</v>
      </c>
    </row>
    <row r="42" spans="3:8" ht="15" thickBot="1" x14ac:dyDescent="0.35">
      <c r="D42" s="20">
        <v>2593</v>
      </c>
      <c r="E42" s="20">
        <v>4850</v>
      </c>
      <c r="F42" s="20">
        <v>4850</v>
      </c>
      <c r="G42" s="20">
        <v>0.46463044924578589</v>
      </c>
      <c r="H42" s="16">
        <f t="shared" ca="1" si="0"/>
        <v>2426</v>
      </c>
    </row>
    <row r="43" spans="3:8" ht="15" thickBot="1" x14ac:dyDescent="0.35">
      <c r="D43" s="20">
        <v>448</v>
      </c>
      <c r="E43" s="20">
        <v>2350</v>
      </c>
      <c r="F43" s="20">
        <v>850</v>
      </c>
      <c r="G43" s="20">
        <v>0.27323415223429387</v>
      </c>
      <c r="H43" s="16">
        <f t="shared" ca="1" si="0"/>
        <v>76</v>
      </c>
    </row>
    <row r="44" spans="3:8" ht="15" thickBot="1" x14ac:dyDescent="0.35">
      <c r="D44" s="20">
        <v>935</v>
      </c>
      <c r="E44" s="20">
        <v>3350</v>
      </c>
      <c r="F44" s="20">
        <v>1750</v>
      </c>
      <c r="G44" s="20">
        <v>0.31733639385052437</v>
      </c>
      <c r="H44" s="16">
        <f t="shared" ca="1" si="0"/>
        <v>1402</v>
      </c>
    </row>
    <row r="45" spans="3:8" ht="15" thickBot="1" x14ac:dyDescent="0.35">
      <c r="D45" s="20">
        <v>29</v>
      </c>
      <c r="E45" s="20">
        <v>2850</v>
      </c>
      <c r="F45" s="20">
        <v>50</v>
      </c>
      <c r="G45" s="20">
        <v>0.1742594673937467</v>
      </c>
      <c r="H45" s="16">
        <f t="shared" ca="1" si="0"/>
        <v>2510</v>
      </c>
    </row>
    <row r="46" spans="3:8" ht="15" thickBot="1" x14ac:dyDescent="0.35">
      <c r="D46" s="20">
        <v>1028</v>
      </c>
      <c r="E46" s="20">
        <v>2050</v>
      </c>
      <c r="F46" s="20">
        <v>1950</v>
      </c>
      <c r="G46" s="20">
        <v>0.3241456836178212</v>
      </c>
      <c r="H46" s="16">
        <f t="shared" ca="1" si="0"/>
        <v>962</v>
      </c>
    </row>
    <row r="47" spans="3:8" ht="15" thickBot="1" x14ac:dyDescent="0.35">
      <c r="D47" s="20">
        <v>1955</v>
      </c>
      <c r="E47" s="20">
        <v>4650</v>
      </c>
      <c r="F47" s="20">
        <v>3650</v>
      </c>
      <c r="G47" s="20">
        <v>0.39223075697909959</v>
      </c>
      <c r="H47" s="16">
        <f t="shared" ca="1" si="0"/>
        <v>2543</v>
      </c>
    </row>
    <row r="48" spans="3:8" ht="15" thickBot="1" x14ac:dyDescent="0.35">
      <c r="D48" s="20">
        <v>1715</v>
      </c>
      <c r="E48" s="44">
        <v>1850</v>
      </c>
      <c r="F48" s="44">
        <v>3250</v>
      </c>
      <c r="G48" s="20">
        <v>0.37553580113095342</v>
      </c>
      <c r="H48" s="16">
        <f t="shared" ca="1" si="0"/>
        <v>2076</v>
      </c>
    </row>
    <row r="49" spans="4:8" ht="15" thickBot="1" x14ac:dyDescent="0.35">
      <c r="D49" s="20">
        <v>2543</v>
      </c>
      <c r="E49" s="20">
        <v>5150</v>
      </c>
      <c r="F49" s="20">
        <v>4750</v>
      </c>
      <c r="G49" s="20">
        <v>0.45423332786535731</v>
      </c>
      <c r="H49" s="16">
        <f t="shared" ca="1" si="0"/>
        <v>2019</v>
      </c>
    </row>
    <row r="50" spans="4:8" ht="15" thickBot="1" x14ac:dyDescent="0.35">
      <c r="D50" s="20">
        <v>2625</v>
      </c>
      <c r="E50" s="20">
        <v>2750</v>
      </c>
      <c r="F50" s="20">
        <v>4950</v>
      </c>
      <c r="G50" s="20">
        <v>0.47098835486157425</v>
      </c>
      <c r="H50" s="16">
        <f t="shared" ca="1" si="0"/>
        <v>2096</v>
      </c>
    </row>
    <row r="51" spans="4:8" ht="15" thickBot="1" x14ac:dyDescent="0.35">
      <c r="D51" s="20">
        <v>758</v>
      </c>
      <c r="E51" s="20">
        <v>1550</v>
      </c>
      <c r="F51" s="20">
        <v>1450</v>
      </c>
      <c r="G51" s="20">
        <v>0.30264162057595689</v>
      </c>
      <c r="H51" s="16">
        <f t="shared" ca="1" si="0"/>
        <v>1528</v>
      </c>
    </row>
    <row r="52" spans="4:8" ht="15" thickBot="1" x14ac:dyDescent="0.35">
      <c r="D52" s="20">
        <v>2747</v>
      </c>
      <c r="E52" s="20">
        <v>4350</v>
      </c>
      <c r="F52" s="20">
        <v>5150</v>
      </c>
      <c r="G52" s="20">
        <v>0.5160753564872379</v>
      </c>
      <c r="H52" s="16">
        <f t="shared" ca="1" si="0"/>
        <v>2207</v>
      </c>
    </row>
    <row r="53" spans="4:8" ht="15" thickBot="1" x14ac:dyDescent="0.35">
      <c r="D53" s="20">
        <v>1968</v>
      </c>
      <c r="E53" s="20">
        <v>650</v>
      </c>
      <c r="F53" s="20">
        <v>3750</v>
      </c>
      <c r="G53" s="20">
        <v>0.39361178264206292</v>
      </c>
      <c r="H53" s="16">
        <f t="shared" ca="1" si="0"/>
        <v>1106</v>
      </c>
    </row>
    <row r="54" spans="4:8" ht="15" thickBot="1" x14ac:dyDescent="0.35">
      <c r="D54" s="20">
        <v>2104</v>
      </c>
      <c r="E54" s="47">
        <v>3650</v>
      </c>
      <c r="F54" s="47">
        <v>3950</v>
      </c>
      <c r="G54" s="20">
        <v>0.40633954524244797</v>
      </c>
      <c r="H54" s="16">
        <f t="shared" ca="1" si="0"/>
        <v>1909</v>
      </c>
    </row>
    <row r="55" spans="4:8" ht="15" thickBot="1" x14ac:dyDescent="0.35">
      <c r="D55" s="20">
        <v>1126</v>
      </c>
      <c r="E55" s="20">
        <v>1250</v>
      </c>
      <c r="F55" s="20">
        <v>2150</v>
      </c>
      <c r="G55" s="20">
        <v>0.3323534786612049</v>
      </c>
      <c r="H55" s="16">
        <f t="shared" ca="1" si="0"/>
        <v>2309</v>
      </c>
    </row>
    <row r="56" spans="4:8" ht="15" thickBot="1" x14ac:dyDescent="0.35">
      <c r="D56" s="20">
        <v>319</v>
      </c>
      <c r="E56" s="20">
        <v>50</v>
      </c>
      <c r="F56" s="20">
        <v>650</v>
      </c>
      <c r="G56" s="20">
        <v>0.25675827928168943</v>
      </c>
      <c r="H56" s="16">
        <f t="shared" ca="1" si="0"/>
        <v>1939</v>
      </c>
    </row>
    <row r="57" spans="4:8" ht="15" thickBot="1" x14ac:dyDescent="0.35">
      <c r="D57" s="20">
        <v>2336</v>
      </c>
      <c r="E57" s="20">
        <v>350</v>
      </c>
      <c r="F57" s="20">
        <v>4450</v>
      </c>
      <c r="G57" s="20">
        <v>0.42893229616817269</v>
      </c>
      <c r="H57" s="16">
        <f t="shared" ca="1" si="0"/>
        <v>63</v>
      </c>
    </row>
    <row r="58" spans="4:8" ht="15" thickBot="1" x14ac:dyDescent="0.35">
      <c r="D58" s="20">
        <v>1405</v>
      </c>
      <c r="E58" s="20">
        <v>2650</v>
      </c>
      <c r="F58" s="20">
        <v>2650</v>
      </c>
      <c r="G58" s="20">
        <v>0.3530594961293948</v>
      </c>
      <c r="H58" s="16">
        <f t="shared" ca="1" si="0"/>
        <v>2428</v>
      </c>
    </row>
    <row r="59" spans="4:8" ht="15" thickBot="1" x14ac:dyDescent="0.35">
      <c r="D59" s="20">
        <v>380</v>
      </c>
      <c r="E59" s="45">
        <v>850</v>
      </c>
      <c r="F59" s="45">
        <v>750</v>
      </c>
      <c r="G59" s="20">
        <v>0.26495949493503002</v>
      </c>
      <c r="H59" s="16">
        <f t="shared" ca="1" si="0"/>
        <v>2466</v>
      </c>
    </row>
    <row r="60" spans="4:8" ht="15" thickBot="1" x14ac:dyDescent="0.35">
      <c r="D60" s="20">
        <v>1397</v>
      </c>
      <c r="E60" s="20">
        <v>1850</v>
      </c>
      <c r="F60" s="20">
        <v>2650</v>
      </c>
      <c r="G60" s="20">
        <v>0.35209633261683515</v>
      </c>
      <c r="H60" s="16">
        <f t="shared" ca="1" si="0"/>
        <v>2211</v>
      </c>
    </row>
    <row r="61" spans="4:8" ht="15" thickBot="1" x14ac:dyDescent="0.35">
      <c r="D61" s="20">
        <v>716</v>
      </c>
      <c r="E61" s="45">
        <v>2650</v>
      </c>
      <c r="F61" s="45">
        <v>1350</v>
      </c>
      <c r="G61" s="20">
        <v>0.29948743038640629</v>
      </c>
      <c r="H61" s="16">
        <f t="shared" ca="1" si="0"/>
        <v>350</v>
      </c>
    </row>
    <row r="62" spans="4:8" ht="15" thickBot="1" x14ac:dyDescent="0.35">
      <c r="D62" s="20">
        <v>1185</v>
      </c>
      <c r="E62" s="20">
        <v>1850</v>
      </c>
      <c r="F62" s="20">
        <v>2250</v>
      </c>
      <c r="G62" s="20">
        <v>0.33698116796897776</v>
      </c>
      <c r="H62" s="16">
        <f t="shared" ca="1" si="0"/>
        <v>1552</v>
      </c>
    </row>
    <row r="63" spans="4:8" ht="15" thickBot="1" x14ac:dyDescent="0.35">
      <c r="D63" s="20">
        <v>1782</v>
      </c>
      <c r="E63" s="20">
        <v>3250</v>
      </c>
      <c r="F63" s="20">
        <v>3350</v>
      </c>
      <c r="G63" s="20">
        <v>0.3794518496676233</v>
      </c>
      <c r="H63" s="16">
        <f t="shared" ca="1" si="0"/>
        <v>1860</v>
      </c>
    </row>
    <row r="64" spans="4:8" ht="15" thickBot="1" x14ac:dyDescent="0.35">
      <c r="D64" s="20">
        <v>1262</v>
      </c>
      <c r="E64" s="20">
        <v>4250</v>
      </c>
      <c r="F64" s="20">
        <v>2350</v>
      </c>
      <c r="G64" s="20">
        <v>0.34242077148938638</v>
      </c>
      <c r="H64" s="16">
        <f t="shared" ca="1" si="0"/>
        <v>433</v>
      </c>
    </row>
    <row r="65" spans="4:8" ht="15" thickBot="1" x14ac:dyDescent="0.35">
      <c r="D65" s="20">
        <v>2510</v>
      </c>
      <c r="E65" s="20">
        <v>1850</v>
      </c>
      <c r="F65" s="20">
        <v>4750</v>
      </c>
      <c r="G65" s="20">
        <v>0.44877188227745468</v>
      </c>
      <c r="H65" s="16">
        <f t="shared" ca="1" si="0"/>
        <v>1313</v>
      </c>
    </row>
    <row r="66" spans="4:8" ht="15" thickBot="1" x14ac:dyDescent="0.35">
      <c r="D66" s="20">
        <v>719</v>
      </c>
      <c r="E66" s="20">
        <v>2950</v>
      </c>
      <c r="F66" s="20">
        <v>1350</v>
      </c>
      <c r="G66" s="20">
        <v>0.29955273203355992</v>
      </c>
      <c r="H66" s="16">
        <f t="shared" ca="1" si="0"/>
        <v>1371</v>
      </c>
    </row>
    <row r="67" spans="4:8" ht="15" thickBot="1" x14ac:dyDescent="0.35">
      <c r="D67" s="20">
        <v>2144</v>
      </c>
      <c r="E67" s="20">
        <v>2350</v>
      </c>
      <c r="F67" s="20">
        <v>4050</v>
      </c>
      <c r="G67" s="20">
        <v>0.40975125225111675</v>
      </c>
      <c r="H67" s="16">
        <f t="shared" ca="1" si="0"/>
        <v>1806</v>
      </c>
    </row>
    <row r="68" spans="4:8" ht="15" thickBot="1" x14ac:dyDescent="0.35">
      <c r="D68" s="20">
        <v>233</v>
      </c>
      <c r="E68" s="20">
        <v>2050</v>
      </c>
      <c r="F68" s="20">
        <v>450</v>
      </c>
      <c r="G68" s="20">
        <v>0.24260046093624532</v>
      </c>
      <c r="H68" s="16">
        <f t="shared" ca="1" si="0"/>
        <v>236</v>
      </c>
    </row>
    <row r="69" spans="4:8" ht="15" thickBot="1" x14ac:dyDescent="0.35">
      <c r="D69" s="20">
        <v>950</v>
      </c>
      <c r="E69" s="20">
        <v>4850</v>
      </c>
      <c r="F69" s="20">
        <v>1750</v>
      </c>
      <c r="G69" s="20">
        <v>0.3183466220170838</v>
      </c>
      <c r="H69" s="16">
        <f t="shared" ca="1" si="0"/>
        <v>2495</v>
      </c>
    </row>
    <row r="70" spans="4:8" ht="15" thickBot="1" x14ac:dyDescent="0.35">
      <c r="D70" s="20">
        <v>2571</v>
      </c>
      <c r="E70" s="20">
        <v>2650</v>
      </c>
      <c r="F70" s="20">
        <v>4850</v>
      </c>
      <c r="G70" s="20">
        <v>0.46036316322249038</v>
      </c>
      <c r="H70" s="16">
        <f t="shared" ca="1" si="0"/>
        <v>2506</v>
      </c>
    </row>
    <row r="71" spans="4:8" ht="15" thickBot="1" x14ac:dyDescent="0.35">
      <c r="D71" s="20">
        <v>1345</v>
      </c>
      <c r="E71" s="20">
        <v>1950</v>
      </c>
      <c r="F71" s="20">
        <v>2550</v>
      </c>
      <c r="G71" s="20">
        <v>0.34882415102923897</v>
      </c>
      <c r="H71" s="16">
        <f t="shared" ref="H71:H134" ca="1" si="4">RANDBETWEEN(1,2788)</f>
        <v>1807</v>
      </c>
    </row>
    <row r="72" spans="4:8" ht="15" thickBot="1" x14ac:dyDescent="0.35">
      <c r="D72" s="20">
        <v>191</v>
      </c>
      <c r="E72" s="20">
        <v>3150</v>
      </c>
      <c r="F72" s="20">
        <v>350</v>
      </c>
      <c r="G72" s="20">
        <v>0.23291612059816547</v>
      </c>
      <c r="H72" s="16">
        <f t="shared" ca="1" si="4"/>
        <v>1854</v>
      </c>
    </row>
    <row r="73" spans="4:8" ht="15" thickBot="1" x14ac:dyDescent="0.35">
      <c r="D73" s="20">
        <v>2606</v>
      </c>
      <c r="E73" s="20">
        <v>850</v>
      </c>
      <c r="F73" s="20">
        <v>4950</v>
      </c>
      <c r="G73" s="20">
        <v>0.46666298858555044</v>
      </c>
      <c r="H73" s="16">
        <f t="shared" ca="1" si="4"/>
        <v>2470</v>
      </c>
    </row>
    <row r="74" spans="4:8" ht="15" thickBot="1" x14ac:dyDescent="0.35">
      <c r="D74" s="20">
        <v>1953</v>
      </c>
      <c r="E74" s="20">
        <v>4450</v>
      </c>
      <c r="F74" s="20">
        <v>3650</v>
      </c>
      <c r="G74" s="20">
        <v>0.39201514717448616</v>
      </c>
      <c r="H74" s="16">
        <f t="shared" ca="1" si="4"/>
        <v>1063</v>
      </c>
    </row>
    <row r="75" spans="4:8" ht="15" thickBot="1" x14ac:dyDescent="0.35">
      <c r="D75" s="20">
        <v>1518</v>
      </c>
      <c r="E75" s="20">
        <v>3350</v>
      </c>
      <c r="F75" s="20">
        <v>2850</v>
      </c>
      <c r="G75" s="20">
        <v>0.36116920788999074</v>
      </c>
      <c r="H75" s="16">
        <f t="shared" ca="1" si="4"/>
        <v>133</v>
      </c>
    </row>
    <row r="76" spans="4:8" ht="15" thickBot="1" x14ac:dyDescent="0.35">
      <c r="D76" s="20">
        <v>900</v>
      </c>
      <c r="E76" s="20">
        <v>5150</v>
      </c>
      <c r="F76" s="20">
        <v>1650</v>
      </c>
      <c r="G76" s="20">
        <v>0.31405107811991029</v>
      </c>
      <c r="H76" s="16">
        <f t="shared" ca="1" si="4"/>
        <v>1985</v>
      </c>
    </row>
    <row r="77" spans="4:8" ht="15" thickBot="1" x14ac:dyDescent="0.35">
      <c r="D77" s="20">
        <v>1450</v>
      </c>
      <c r="E77" s="20">
        <v>1850</v>
      </c>
      <c r="F77" s="20">
        <v>2750</v>
      </c>
      <c r="G77" s="20">
        <v>0.35589000182561004</v>
      </c>
      <c r="H77" s="16">
        <f t="shared" ca="1" si="4"/>
        <v>736</v>
      </c>
    </row>
    <row r="78" spans="4:8" ht="15" thickBot="1" x14ac:dyDescent="0.35">
      <c r="D78" s="20">
        <v>199</v>
      </c>
      <c r="E78" s="20">
        <v>3950</v>
      </c>
      <c r="F78" s="20">
        <v>350</v>
      </c>
      <c r="G78" s="20">
        <v>0.23491678901842028</v>
      </c>
      <c r="H78" s="16">
        <f t="shared" ca="1" si="4"/>
        <v>1255</v>
      </c>
    </row>
    <row r="79" spans="4:8" ht="15" thickBot="1" x14ac:dyDescent="0.35">
      <c r="D79" s="20">
        <v>2504</v>
      </c>
      <c r="E79" s="20">
        <v>1250</v>
      </c>
      <c r="F79" s="20">
        <v>4750</v>
      </c>
      <c r="G79" s="20">
        <v>0.44815677292400702</v>
      </c>
      <c r="H79" s="16">
        <f t="shared" ca="1" si="4"/>
        <v>2713</v>
      </c>
    </row>
    <row r="80" spans="4:8" ht="15" thickBot="1" x14ac:dyDescent="0.35">
      <c r="D80" s="20">
        <v>286</v>
      </c>
      <c r="E80" s="20">
        <v>2050</v>
      </c>
      <c r="F80" s="20">
        <v>550</v>
      </c>
      <c r="G80" s="20">
        <v>0.25116593501088652</v>
      </c>
      <c r="H80" s="16">
        <f t="shared" ca="1" si="4"/>
        <v>1856</v>
      </c>
    </row>
    <row r="81" spans="4:8" ht="15" thickBot="1" x14ac:dyDescent="0.35">
      <c r="D81" s="20">
        <v>1552</v>
      </c>
      <c r="E81" s="20">
        <v>1450</v>
      </c>
      <c r="F81" s="20">
        <v>2950</v>
      </c>
      <c r="G81" s="20">
        <v>0.36366723178723331</v>
      </c>
      <c r="H81" s="16">
        <f t="shared" ca="1" si="4"/>
        <v>2171</v>
      </c>
    </row>
    <row r="82" spans="4:8" ht="15" thickBot="1" x14ac:dyDescent="0.35">
      <c r="D82" s="20">
        <v>2316</v>
      </c>
      <c r="E82" s="20">
        <v>3650</v>
      </c>
      <c r="F82" s="20">
        <v>4350</v>
      </c>
      <c r="G82" s="20">
        <v>0.42617207174413557</v>
      </c>
      <c r="H82" s="16">
        <f t="shared" ca="1" si="4"/>
        <v>434</v>
      </c>
    </row>
    <row r="83" spans="4:8" ht="15" thickBot="1" x14ac:dyDescent="0.35">
      <c r="D83" s="20">
        <v>219</v>
      </c>
      <c r="E83" s="20">
        <v>650</v>
      </c>
      <c r="F83" s="20">
        <v>450</v>
      </c>
      <c r="G83" s="20">
        <v>0.23977645408003004</v>
      </c>
      <c r="H83" s="16">
        <f t="shared" ca="1" si="4"/>
        <v>888</v>
      </c>
    </row>
    <row r="84" spans="4:8" ht="15" thickBot="1" x14ac:dyDescent="0.35">
      <c r="D84" s="20">
        <v>1010</v>
      </c>
      <c r="E84" s="20">
        <v>250</v>
      </c>
      <c r="F84" s="20">
        <v>1950</v>
      </c>
      <c r="G84" s="20">
        <v>0.3229159466799103</v>
      </c>
      <c r="H84" s="16">
        <f t="shared" ca="1" si="4"/>
        <v>394</v>
      </c>
    </row>
    <row r="85" spans="4:8" ht="15" thickBot="1" x14ac:dyDescent="0.35">
      <c r="D85" s="20">
        <v>2421</v>
      </c>
      <c r="E85" s="20">
        <v>3550</v>
      </c>
      <c r="F85" s="20">
        <v>4550</v>
      </c>
      <c r="G85" s="20">
        <v>0.43773989204391001</v>
      </c>
      <c r="H85" s="16">
        <f t="shared" ca="1" si="4"/>
        <v>1079</v>
      </c>
    </row>
    <row r="86" spans="4:8" ht="15" thickBot="1" x14ac:dyDescent="0.35">
      <c r="D86" s="20">
        <v>1810</v>
      </c>
      <c r="E86" s="20">
        <v>750</v>
      </c>
      <c r="F86" s="20">
        <v>3450</v>
      </c>
      <c r="G86" s="20">
        <v>0.38141478776764931</v>
      </c>
      <c r="H86" s="16">
        <f t="shared" ca="1" si="4"/>
        <v>1841</v>
      </c>
    </row>
    <row r="87" spans="4:8" ht="15" thickBot="1" x14ac:dyDescent="0.35">
      <c r="D87" s="20">
        <v>2713</v>
      </c>
      <c r="E87" s="20">
        <v>950</v>
      </c>
      <c r="F87" s="20">
        <v>5150</v>
      </c>
      <c r="G87" s="20">
        <v>0.49985833294085463</v>
      </c>
      <c r="H87" s="16">
        <f t="shared" ca="1" si="4"/>
        <v>1576</v>
      </c>
    </row>
    <row r="88" spans="4:8" ht="15" thickBot="1" x14ac:dyDescent="0.35">
      <c r="D88" s="20">
        <v>658</v>
      </c>
      <c r="E88" s="20">
        <v>2150</v>
      </c>
      <c r="F88" s="20">
        <v>1250</v>
      </c>
      <c r="G88" s="20">
        <v>0.29493535304038615</v>
      </c>
      <c r="H88" s="16">
        <f t="shared" ca="1" si="4"/>
        <v>2734</v>
      </c>
    </row>
    <row r="89" spans="4:8" ht="15" thickBot="1" x14ac:dyDescent="0.35">
      <c r="D89" s="20">
        <v>620</v>
      </c>
      <c r="E89" s="20">
        <v>3650</v>
      </c>
      <c r="F89" s="20">
        <v>1150</v>
      </c>
      <c r="G89" s="20">
        <v>0.290387367717172</v>
      </c>
      <c r="H89" s="16">
        <f t="shared" ca="1" si="4"/>
        <v>565</v>
      </c>
    </row>
    <row r="90" spans="4:8" ht="15" thickBot="1" x14ac:dyDescent="0.35">
      <c r="D90" s="20">
        <v>45</v>
      </c>
      <c r="E90" s="20">
        <v>4450</v>
      </c>
      <c r="F90" s="20">
        <v>50</v>
      </c>
      <c r="G90" s="20">
        <v>0.18086754954819187</v>
      </c>
      <c r="H90" s="16">
        <f t="shared" ca="1" si="4"/>
        <v>713</v>
      </c>
    </row>
    <row r="91" spans="4:8" ht="15" thickBot="1" x14ac:dyDescent="0.35">
      <c r="D91" s="20">
        <v>688</v>
      </c>
      <c r="E91" s="43">
        <v>5150</v>
      </c>
      <c r="F91" s="43">
        <v>1250</v>
      </c>
      <c r="G91" s="20">
        <v>0.29716551405927549</v>
      </c>
      <c r="H91" s="16">
        <f t="shared" ca="1" si="4"/>
        <v>598</v>
      </c>
    </row>
    <row r="92" spans="4:8" ht="15" thickBot="1" x14ac:dyDescent="0.35">
      <c r="D92" s="20">
        <v>1616</v>
      </c>
      <c r="E92" s="20">
        <v>2550</v>
      </c>
      <c r="F92" s="20">
        <v>3050</v>
      </c>
      <c r="G92" s="20">
        <v>0.36819203112692622</v>
      </c>
      <c r="H92" s="16">
        <f t="shared" ca="1" si="4"/>
        <v>1988</v>
      </c>
    </row>
    <row r="93" spans="4:8" ht="15" thickBot="1" x14ac:dyDescent="0.35">
      <c r="D93" s="20">
        <v>1848</v>
      </c>
      <c r="E93" s="20">
        <v>4550</v>
      </c>
      <c r="F93" s="20">
        <v>3450</v>
      </c>
      <c r="G93" s="20">
        <v>0.38457135527514641</v>
      </c>
      <c r="H93" s="16">
        <f t="shared" ca="1" si="4"/>
        <v>1533</v>
      </c>
    </row>
    <row r="94" spans="4:8" ht="15" thickBot="1" x14ac:dyDescent="0.35">
      <c r="D94" s="20">
        <v>77</v>
      </c>
      <c r="E94" s="20">
        <v>2350</v>
      </c>
      <c r="F94" s="20">
        <v>150</v>
      </c>
      <c r="G94" s="20">
        <v>0.20096122447198003</v>
      </c>
      <c r="H94" s="16">
        <f t="shared" ca="1" si="4"/>
        <v>1419</v>
      </c>
    </row>
    <row r="95" spans="4:8" ht="15" thickBot="1" x14ac:dyDescent="0.35">
      <c r="D95" s="20">
        <v>1357</v>
      </c>
      <c r="E95" s="20">
        <v>3150</v>
      </c>
      <c r="F95" s="20">
        <v>2550</v>
      </c>
      <c r="G95" s="20">
        <v>0.34923761209404419</v>
      </c>
      <c r="H95" s="16">
        <f t="shared" ca="1" si="4"/>
        <v>1462</v>
      </c>
    </row>
    <row r="96" spans="4:8" ht="15" thickBot="1" x14ac:dyDescent="0.35">
      <c r="D96" s="20">
        <v>265</v>
      </c>
      <c r="E96" s="20">
        <v>5250</v>
      </c>
      <c r="F96" s="20">
        <v>450</v>
      </c>
      <c r="G96" s="20">
        <v>0.24794478490189892</v>
      </c>
      <c r="H96" s="16">
        <f t="shared" ca="1" si="4"/>
        <v>2761</v>
      </c>
    </row>
    <row r="97" spans="4:8" ht="15" thickBot="1" x14ac:dyDescent="0.35">
      <c r="D97" s="20">
        <v>2701</v>
      </c>
      <c r="E97" s="20">
        <v>5050</v>
      </c>
      <c r="F97" s="20">
        <v>5050</v>
      </c>
      <c r="G97" s="20">
        <v>0.49493862210691075</v>
      </c>
      <c r="H97" s="16">
        <f t="shared" ca="1" si="4"/>
        <v>2342</v>
      </c>
    </row>
    <row r="98" spans="4:8" ht="15" thickBot="1" x14ac:dyDescent="0.35">
      <c r="D98" s="20">
        <v>725</v>
      </c>
      <c r="E98" s="20">
        <v>3550</v>
      </c>
      <c r="F98" s="20">
        <v>1350</v>
      </c>
      <c r="G98" s="20">
        <v>0.29990949817280638</v>
      </c>
      <c r="H98" s="16">
        <f t="shared" ca="1" si="4"/>
        <v>1317</v>
      </c>
    </row>
    <row r="99" spans="4:8" ht="15" thickBot="1" x14ac:dyDescent="0.35">
      <c r="D99" s="20">
        <v>796</v>
      </c>
      <c r="E99" s="20">
        <v>50</v>
      </c>
      <c r="F99" s="20">
        <v>1550</v>
      </c>
      <c r="G99" s="20">
        <v>0.30627211737736071</v>
      </c>
      <c r="H99" s="16">
        <f t="shared" ca="1" si="4"/>
        <v>2423</v>
      </c>
    </row>
    <row r="100" spans="4:8" ht="15" thickBot="1" x14ac:dyDescent="0.35">
      <c r="D100" s="20">
        <v>1735</v>
      </c>
      <c r="E100" s="20">
        <v>3850</v>
      </c>
      <c r="F100" s="20">
        <v>3250</v>
      </c>
      <c r="G100" s="20">
        <v>0.37682019451507381</v>
      </c>
      <c r="H100" s="16">
        <f t="shared" ca="1" si="4"/>
        <v>1484</v>
      </c>
    </row>
    <row r="101" spans="4:8" ht="15" thickBot="1" x14ac:dyDescent="0.35">
      <c r="D101" s="20">
        <v>1093</v>
      </c>
      <c r="E101" s="20">
        <v>3250</v>
      </c>
      <c r="F101" s="20">
        <v>2050</v>
      </c>
      <c r="G101" s="20">
        <v>0.33004280622094939</v>
      </c>
      <c r="H101" s="16">
        <f t="shared" ca="1" si="4"/>
        <v>1779</v>
      </c>
    </row>
    <row r="102" spans="4:8" ht="15" thickBot="1" x14ac:dyDescent="0.35">
      <c r="D102" s="20">
        <v>1481</v>
      </c>
      <c r="E102" s="20">
        <v>4950</v>
      </c>
      <c r="F102" s="20">
        <v>2750</v>
      </c>
      <c r="G102" s="20">
        <v>0.35843318772500787</v>
      </c>
      <c r="H102" s="16">
        <f t="shared" ca="1" si="4"/>
        <v>449</v>
      </c>
    </row>
    <row r="103" spans="4:8" ht="15" thickBot="1" x14ac:dyDescent="0.35">
      <c r="D103" s="20">
        <v>2679</v>
      </c>
      <c r="E103" s="20">
        <v>2850</v>
      </c>
      <c r="F103" s="20">
        <v>5050</v>
      </c>
      <c r="G103" s="20">
        <v>0.48588588331457139</v>
      </c>
      <c r="H103" s="16">
        <f t="shared" ca="1" si="4"/>
        <v>599</v>
      </c>
    </row>
    <row r="104" spans="4:8" ht="15" thickBot="1" x14ac:dyDescent="0.35">
      <c r="D104" s="20">
        <v>1021</v>
      </c>
      <c r="E104" s="20">
        <v>1350</v>
      </c>
      <c r="F104" s="20">
        <v>1950</v>
      </c>
      <c r="G104" s="20">
        <v>0.32385174412625906</v>
      </c>
      <c r="H104" s="16">
        <f t="shared" ca="1" si="4"/>
        <v>2443</v>
      </c>
    </row>
    <row r="105" spans="4:8" ht="15" thickBot="1" x14ac:dyDescent="0.35">
      <c r="D105" s="20">
        <v>2190</v>
      </c>
      <c r="E105" s="20">
        <v>1650</v>
      </c>
      <c r="F105" s="20">
        <v>4150</v>
      </c>
      <c r="G105" s="20">
        <v>0.41381568847549827</v>
      </c>
      <c r="H105" s="16">
        <f t="shared" ca="1" si="4"/>
        <v>1138</v>
      </c>
    </row>
    <row r="106" spans="4:8" ht="15" thickBot="1" x14ac:dyDescent="0.35">
      <c r="D106" s="20">
        <v>2667</v>
      </c>
      <c r="E106" s="20">
        <v>1650</v>
      </c>
      <c r="F106" s="20">
        <v>5050</v>
      </c>
      <c r="G106" s="20">
        <v>0.48361070445209331</v>
      </c>
      <c r="H106" s="16">
        <f t="shared" ca="1" si="4"/>
        <v>675</v>
      </c>
    </row>
    <row r="107" spans="4:8" ht="15" thickBot="1" x14ac:dyDescent="0.35">
      <c r="D107" s="20">
        <v>768</v>
      </c>
      <c r="E107" s="20">
        <v>2550</v>
      </c>
      <c r="F107" s="20">
        <v>1450</v>
      </c>
      <c r="G107" s="20">
        <v>0.30356754379152645</v>
      </c>
      <c r="H107" s="16">
        <f t="shared" ca="1" si="4"/>
        <v>1460</v>
      </c>
    </row>
    <row r="108" spans="4:8" ht="15" thickBot="1" x14ac:dyDescent="0.35">
      <c r="D108" s="20">
        <v>1490</v>
      </c>
      <c r="E108" s="20">
        <v>550</v>
      </c>
      <c r="F108" s="20">
        <v>2850</v>
      </c>
      <c r="G108" s="20">
        <v>0.35889660390057782</v>
      </c>
      <c r="H108" s="16">
        <f t="shared" ca="1" si="4"/>
        <v>2277</v>
      </c>
    </row>
    <row r="109" spans="4:8" ht="15" thickBot="1" x14ac:dyDescent="0.35">
      <c r="D109" s="20">
        <v>504</v>
      </c>
      <c r="E109" s="20">
        <v>2650</v>
      </c>
      <c r="F109" s="20">
        <v>950</v>
      </c>
      <c r="G109" s="20">
        <v>0.2788714807055695</v>
      </c>
      <c r="H109" s="16">
        <f t="shared" ca="1" si="4"/>
        <v>2222</v>
      </c>
    </row>
    <row r="110" spans="4:8" ht="15" thickBot="1" x14ac:dyDescent="0.35">
      <c r="D110" s="20">
        <v>432</v>
      </c>
      <c r="E110" s="47">
        <v>750</v>
      </c>
      <c r="F110" s="47">
        <v>850</v>
      </c>
      <c r="G110" s="20">
        <v>0.27139308306254351</v>
      </c>
      <c r="H110" s="16">
        <f t="shared" ca="1" si="4"/>
        <v>1922</v>
      </c>
    </row>
    <row r="111" spans="4:8" ht="15" thickBot="1" x14ac:dyDescent="0.35">
      <c r="D111" s="20">
        <v>1116</v>
      </c>
      <c r="E111" s="48">
        <v>250</v>
      </c>
      <c r="F111" s="48">
        <v>2150</v>
      </c>
      <c r="G111" s="20">
        <v>0.33136380966990409</v>
      </c>
      <c r="H111" s="16">
        <f t="shared" ca="1" si="4"/>
        <v>1049</v>
      </c>
    </row>
    <row r="112" spans="4:8" ht="15" thickBot="1" x14ac:dyDescent="0.35">
      <c r="D112" s="20">
        <v>1697</v>
      </c>
      <c r="E112" s="20">
        <v>50</v>
      </c>
      <c r="F112" s="20">
        <v>3250</v>
      </c>
      <c r="G112" s="20">
        <v>0.37388035201929104</v>
      </c>
      <c r="H112" s="16">
        <f t="shared" ca="1" si="4"/>
        <v>125</v>
      </c>
    </row>
    <row r="113" spans="4:8" ht="15" thickBot="1" x14ac:dyDescent="0.35">
      <c r="D113" s="20">
        <v>37</v>
      </c>
      <c r="E113" s="20">
        <v>3650</v>
      </c>
      <c r="F113" s="20">
        <v>50</v>
      </c>
      <c r="G113" s="20">
        <v>0.17818650128762428</v>
      </c>
      <c r="H113" s="16">
        <f t="shared" ca="1" si="4"/>
        <v>1370</v>
      </c>
    </row>
    <row r="114" spans="4:8" ht="15" thickBot="1" x14ac:dyDescent="0.35">
      <c r="D114" s="20">
        <v>26</v>
      </c>
      <c r="E114" s="20">
        <v>2550</v>
      </c>
      <c r="F114" s="20">
        <v>50</v>
      </c>
      <c r="G114" s="20">
        <v>0.16867317196988255</v>
      </c>
      <c r="H114" s="16">
        <f t="shared" ca="1" si="4"/>
        <v>459</v>
      </c>
    </row>
    <row r="115" spans="4:8" ht="15" thickBot="1" x14ac:dyDescent="0.35">
      <c r="D115" s="20">
        <v>2302</v>
      </c>
      <c r="E115" s="20">
        <v>2250</v>
      </c>
      <c r="F115" s="20">
        <v>4350</v>
      </c>
      <c r="G115" s="20">
        <v>0.42535948525169553</v>
      </c>
      <c r="H115" s="16">
        <f t="shared" ca="1" si="4"/>
        <v>1540</v>
      </c>
    </row>
    <row r="116" spans="4:8" ht="15" thickBot="1" x14ac:dyDescent="0.35">
      <c r="D116" s="20">
        <v>600</v>
      </c>
      <c r="E116" s="20">
        <v>1650</v>
      </c>
      <c r="F116" s="20">
        <v>1150</v>
      </c>
      <c r="G116" s="20">
        <v>0.28903635141679823</v>
      </c>
      <c r="H116" s="16">
        <f t="shared" ca="1" si="4"/>
        <v>1569</v>
      </c>
    </row>
    <row r="117" spans="4:8" ht="15" thickBot="1" x14ac:dyDescent="0.35">
      <c r="D117" s="20">
        <v>440</v>
      </c>
      <c r="E117" s="44">
        <v>1550</v>
      </c>
      <c r="F117" s="44">
        <v>850</v>
      </c>
      <c r="G117" s="20">
        <v>0.27234866471681057</v>
      </c>
      <c r="H117" s="16">
        <f t="shared" ca="1" si="4"/>
        <v>11</v>
      </c>
    </row>
    <row r="118" spans="4:8" ht="15" thickBot="1" x14ac:dyDescent="0.35">
      <c r="D118" s="20">
        <v>1302</v>
      </c>
      <c r="E118" s="20">
        <v>2950</v>
      </c>
      <c r="F118" s="20">
        <v>2450</v>
      </c>
      <c r="G118" s="20">
        <v>0.34580211771751768</v>
      </c>
      <c r="H118" s="16">
        <f t="shared" ca="1" si="4"/>
        <v>2413</v>
      </c>
    </row>
    <row r="119" spans="4:8" ht="15" thickBot="1" x14ac:dyDescent="0.35">
      <c r="D119" s="20">
        <v>1428</v>
      </c>
      <c r="E119" s="20">
        <v>4950</v>
      </c>
      <c r="F119" s="20">
        <v>2650</v>
      </c>
      <c r="G119" s="20">
        <v>0.35502646518359215</v>
      </c>
      <c r="H119" s="16">
        <f t="shared" ca="1" si="4"/>
        <v>225</v>
      </c>
    </row>
    <row r="120" spans="4:8" ht="15" thickBot="1" x14ac:dyDescent="0.35">
      <c r="D120" s="20">
        <v>2079</v>
      </c>
      <c r="E120" s="45">
        <v>1150</v>
      </c>
      <c r="F120" s="45">
        <v>3950</v>
      </c>
      <c r="G120" s="20">
        <v>0.40350442400528569</v>
      </c>
      <c r="H120" s="16">
        <f t="shared" ca="1" si="4"/>
        <v>1406</v>
      </c>
    </row>
    <row r="121" spans="4:8" ht="15" thickBot="1" x14ac:dyDescent="0.35">
      <c r="D121" s="20">
        <v>1089</v>
      </c>
      <c r="E121" s="20">
        <v>2850</v>
      </c>
      <c r="F121" s="20">
        <v>2050</v>
      </c>
      <c r="G121" s="20">
        <v>0.32968388004681121</v>
      </c>
      <c r="H121" s="16">
        <f t="shared" ca="1" si="4"/>
        <v>654</v>
      </c>
    </row>
    <row r="122" spans="4:8" ht="15" thickBot="1" x14ac:dyDescent="0.35">
      <c r="D122" s="20">
        <v>571</v>
      </c>
      <c r="E122" s="20">
        <v>4050</v>
      </c>
      <c r="F122" s="20">
        <v>1050</v>
      </c>
      <c r="G122" s="20">
        <v>0.28610799074183146</v>
      </c>
      <c r="H122" s="16">
        <f t="shared" ca="1" si="4"/>
        <v>215</v>
      </c>
    </row>
    <row r="123" spans="4:8" ht="15" thickBot="1" x14ac:dyDescent="0.35">
      <c r="D123" s="20">
        <v>1760</v>
      </c>
      <c r="E123" s="20">
        <v>1050</v>
      </c>
      <c r="F123" s="20">
        <v>3350</v>
      </c>
      <c r="G123" s="20">
        <v>0.37831166376463699</v>
      </c>
      <c r="H123" s="16">
        <f t="shared" ca="1" si="4"/>
        <v>529</v>
      </c>
    </row>
    <row r="124" spans="4:8" ht="15" thickBot="1" x14ac:dyDescent="0.35">
      <c r="D124" s="20">
        <v>896</v>
      </c>
      <c r="E124" s="20">
        <v>4750</v>
      </c>
      <c r="F124" s="20">
        <v>1650</v>
      </c>
      <c r="G124" s="20">
        <v>0.31389486595407651</v>
      </c>
      <c r="H124" s="16">
        <f t="shared" ca="1" si="4"/>
        <v>2273</v>
      </c>
    </row>
    <row r="125" spans="4:8" ht="15" thickBot="1" x14ac:dyDescent="0.35">
      <c r="D125" s="20">
        <v>2386</v>
      </c>
      <c r="E125" s="20">
        <v>50</v>
      </c>
      <c r="F125" s="20">
        <v>4550</v>
      </c>
      <c r="G125" s="20">
        <v>0.43332578637499569</v>
      </c>
      <c r="H125" s="16">
        <f t="shared" ca="1" si="4"/>
        <v>1971</v>
      </c>
    </row>
    <row r="126" spans="4:8" ht="15" thickBot="1" x14ac:dyDescent="0.35">
      <c r="D126" s="20">
        <v>263</v>
      </c>
      <c r="E126" s="20">
        <v>5050</v>
      </c>
      <c r="F126" s="20">
        <v>450</v>
      </c>
      <c r="G126" s="20">
        <v>0.24759559431412248</v>
      </c>
      <c r="H126" s="16">
        <f t="shared" ca="1" si="4"/>
        <v>1727</v>
      </c>
    </row>
    <row r="127" spans="4:8" ht="15" thickBot="1" x14ac:dyDescent="0.35">
      <c r="D127" s="20">
        <v>1923</v>
      </c>
      <c r="E127" s="20">
        <v>1450</v>
      </c>
      <c r="F127" s="20">
        <v>3650</v>
      </c>
      <c r="G127" s="20">
        <v>0.38958223642178313</v>
      </c>
      <c r="H127" s="16">
        <f t="shared" ca="1" si="4"/>
        <v>739</v>
      </c>
    </row>
    <row r="128" spans="4:8" ht="15" thickBot="1" x14ac:dyDescent="0.35">
      <c r="D128" s="20">
        <v>1495</v>
      </c>
      <c r="E128" s="20">
        <v>1050</v>
      </c>
      <c r="F128" s="20">
        <v>2850</v>
      </c>
      <c r="G128" s="20">
        <v>0.35945774472316472</v>
      </c>
      <c r="H128" s="16">
        <f t="shared" ca="1" si="4"/>
        <v>2727</v>
      </c>
    </row>
    <row r="129" spans="4:8" ht="15" thickBot="1" x14ac:dyDescent="0.35">
      <c r="D129" s="20">
        <v>2295</v>
      </c>
      <c r="E129" s="20">
        <v>1550</v>
      </c>
      <c r="F129" s="20">
        <v>4350</v>
      </c>
      <c r="G129" s="20">
        <v>0.42502017965835087</v>
      </c>
      <c r="H129" s="16">
        <f t="shared" ca="1" si="4"/>
        <v>36</v>
      </c>
    </row>
    <row r="130" spans="4:8" ht="15" thickBot="1" x14ac:dyDescent="0.35">
      <c r="D130" s="20">
        <v>2736</v>
      </c>
      <c r="E130" s="20">
        <v>3250</v>
      </c>
      <c r="F130" s="20">
        <v>5150</v>
      </c>
      <c r="G130" s="20">
        <v>0.51121573754903549</v>
      </c>
      <c r="H130" s="16">
        <f t="shared" ca="1" si="4"/>
        <v>1036</v>
      </c>
    </row>
    <row r="131" spans="4:8" ht="15" thickBot="1" x14ac:dyDescent="0.35">
      <c r="D131" s="20">
        <v>2729</v>
      </c>
      <c r="E131" s="20">
        <v>2550</v>
      </c>
      <c r="F131" s="20">
        <v>5150</v>
      </c>
      <c r="G131" s="20">
        <v>0.50602352831342656</v>
      </c>
      <c r="H131" s="16">
        <f t="shared" ca="1" si="4"/>
        <v>2092</v>
      </c>
    </row>
    <row r="132" spans="4:8" ht="15" thickBot="1" x14ac:dyDescent="0.35">
      <c r="D132" s="20">
        <v>1931</v>
      </c>
      <c r="E132" s="20">
        <v>2250</v>
      </c>
      <c r="F132" s="20">
        <v>3650</v>
      </c>
      <c r="G132" s="20">
        <v>0.3899986501417424</v>
      </c>
      <c r="H132" s="16">
        <f t="shared" ca="1" si="4"/>
        <v>1236</v>
      </c>
    </row>
    <row r="133" spans="4:8" ht="15" thickBot="1" x14ac:dyDescent="0.35">
      <c r="D133" s="20">
        <v>2468</v>
      </c>
      <c r="E133" s="20">
        <v>2950</v>
      </c>
      <c r="F133" s="20">
        <v>4650</v>
      </c>
      <c r="G133" s="20">
        <v>0.44289420371165811</v>
      </c>
      <c r="H133" s="16">
        <f t="shared" ca="1" si="4"/>
        <v>2758</v>
      </c>
    </row>
    <row r="134" spans="4:8" ht="15" thickBot="1" x14ac:dyDescent="0.35">
      <c r="D134" s="20">
        <v>123</v>
      </c>
      <c r="E134" s="20">
        <v>1650</v>
      </c>
      <c r="F134" s="20">
        <v>250</v>
      </c>
      <c r="G134" s="20">
        <v>0.21712415341961364</v>
      </c>
      <c r="H134" s="16">
        <f t="shared" ca="1" si="4"/>
        <v>956</v>
      </c>
    </row>
    <row r="135" spans="4:8" ht="15" thickBot="1" x14ac:dyDescent="0.35">
      <c r="D135" s="20">
        <v>1220</v>
      </c>
      <c r="E135" s="20">
        <v>50</v>
      </c>
      <c r="F135" s="20">
        <v>2350</v>
      </c>
      <c r="G135" s="20">
        <v>0.33932082415063897</v>
      </c>
      <c r="H135" s="16">
        <f t="shared" ref="H135:H198" ca="1" si="5">RANDBETWEEN(1,2788)</f>
        <v>574</v>
      </c>
    </row>
    <row r="136" spans="4:8" ht="15" thickBot="1" x14ac:dyDescent="0.35">
      <c r="D136" s="20">
        <v>854</v>
      </c>
      <c r="E136" s="20">
        <v>550</v>
      </c>
      <c r="F136" s="20">
        <v>1650</v>
      </c>
      <c r="G136" s="20">
        <v>0.3106334406561988</v>
      </c>
      <c r="H136" s="16">
        <f t="shared" ca="1" si="5"/>
        <v>247</v>
      </c>
    </row>
    <row r="137" spans="4:8" ht="15" thickBot="1" x14ac:dyDescent="0.35">
      <c r="D137" s="20">
        <v>166</v>
      </c>
      <c r="E137" s="20">
        <v>650</v>
      </c>
      <c r="F137" s="20">
        <v>350</v>
      </c>
      <c r="G137" s="20">
        <v>0.22538283478700805</v>
      </c>
      <c r="H137" s="16">
        <f t="shared" ca="1" si="5"/>
        <v>1855</v>
      </c>
    </row>
    <row r="138" spans="4:8" ht="15" thickBot="1" x14ac:dyDescent="0.35">
      <c r="D138" s="20">
        <v>438</v>
      </c>
      <c r="E138" s="20">
        <v>1350</v>
      </c>
      <c r="F138" s="20">
        <v>850</v>
      </c>
      <c r="G138" s="20">
        <v>0.27201901565795461</v>
      </c>
      <c r="H138" s="16">
        <f t="shared" ca="1" si="5"/>
        <v>2712</v>
      </c>
    </row>
    <row r="139" spans="4:8" ht="15" thickBot="1" x14ac:dyDescent="0.35">
      <c r="D139" s="20">
        <v>1568</v>
      </c>
      <c r="E139" s="20">
        <v>3050</v>
      </c>
      <c r="F139" s="20">
        <v>2950</v>
      </c>
      <c r="G139" s="20">
        <v>0.36455807421194641</v>
      </c>
      <c r="H139" s="16">
        <f t="shared" ca="1" si="5"/>
        <v>69</v>
      </c>
    </row>
    <row r="140" spans="4:8" ht="15" thickBot="1" x14ac:dyDescent="0.35">
      <c r="D140" s="20">
        <v>8</v>
      </c>
      <c r="E140" s="20">
        <v>750</v>
      </c>
      <c r="F140" s="20">
        <v>50</v>
      </c>
      <c r="G140" s="20">
        <v>0.13730314892849749</v>
      </c>
      <c r="H140" s="16">
        <f t="shared" ca="1" si="5"/>
        <v>810</v>
      </c>
    </row>
    <row r="141" spans="4:8" ht="15" thickBot="1" x14ac:dyDescent="0.35">
      <c r="D141" s="20">
        <v>1324</v>
      </c>
      <c r="E141" s="20">
        <v>5150</v>
      </c>
      <c r="F141" s="20">
        <v>2450</v>
      </c>
      <c r="G141" s="20">
        <v>0.34746123663616457</v>
      </c>
      <c r="H141" s="16">
        <f t="shared" ca="1" si="5"/>
        <v>1123</v>
      </c>
    </row>
    <row r="142" spans="4:8" ht="15" thickBot="1" x14ac:dyDescent="0.35">
      <c r="D142" s="20">
        <v>969</v>
      </c>
      <c r="E142" s="20">
        <v>1450</v>
      </c>
      <c r="F142" s="20">
        <v>1850</v>
      </c>
      <c r="G142" s="20">
        <v>0.31993338097178931</v>
      </c>
      <c r="H142" s="16">
        <f t="shared" ca="1" si="5"/>
        <v>2693</v>
      </c>
    </row>
    <row r="143" spans="4:8" ht="15" thickBot="1" x14ac:dyDescent="0.35">
      <c r="D143" s="20">
        <v>582</v>
      </c>
      <c r="E143" s="20">
        <v>5150</v>
      </c>
      <c r="F143" s="20">
        <v>1050</v>
      </c>
      <c r="G143" s="20">
        <v>0.28721033745666247</v>
      </c>
      <c r="H143" s="16">
        <f t="shared" ca="1" si="5"/>
        <v>913</v>
      </c>
    </row>
    <row r="144" spans="4:8" ht="15" thickBot="1" x14ac:dyDescent="0.35">
      <c r="D144" s="20">
        <v>2616</v>
      </c>
      <c r="E144" s="20">
        <v>1850</v>
      </c>
      <c r="F144" s="20">
        <v>4950</v>
      </c>
      <c r="G144" s="20">
        <v>0.46843876301503284</v>
      </c>
      <c r="H144" s="16">
        <f t="shared" ca="1" si="5"/>
        <v>93</v>
      </c>
    </row>
    <row r="145" spans="4:8" ht="15" thickBot="1" x14ac:dyDescent="0.35">
      <c r="D145" s="20">
        <v>2787</v>
      </c>
      <c r="E145" s="20">
        <v>3050</v>
      </c>
      <c r="F145" s="20">
        <v>5250</v>
      </c>
      <c r="G145" s="20">
        <v>0.59127257731404892</v>
      </c>
      <c r="H145" s="16">
        <f t="shared" ca="1" si="5"/>
        <v>2681</v>
      </c>
    </row>
    <row r="146" spans="4:8" ht="15" thickBot="1" x14ac:dyDescent="0.35">
      <c r="D146" s="20">
        <v>1190</v>
      </c>
      <c r="E146" s="20">
        <v>2350</v>
      </c>
      <c r="F146" s="20">
        <v>2250</v>
      </c>
      <c r="G146" s="20">
        <v>0.33717135469902049</v>
      </c>
      <c r="H146" s="16">
        <f t="shared" ca="1" si="5"/>
        <v>894</v>
      </c>
    </row>
    <row r="147" spans="4:8" ht="15" thickBot="1" x14ac:dyDescent="0.35">
      <c r="D147" s="20">
        <v>185</v>
      </c>
      <c r="E147" s="20">
        <v>2550</v>
      </c>
      <c r="F147" s="20">
        <v>350</v>
      </c>
      <c r="G147" s="20">
        <v>0.23037805061277694</v>
      </c>
      <c r="H147" s="16">
        <f t="shared" ca="1" si="5"/>
        <v>1755</v>
      </c>
    </row>
    <row r="148" spans="4:8" ht="15" thickBot="1" x14ac:dyDescent="0.35">
      <c r="D148" s="20">
        <v>666</v>
      </c>
      <c r="E148" s="20">
        <v>2950</v>
      </c>
      <c r="F148" s="20">
        <v>1250</v>
      </c>
      <c r="G148" s="20">
        <v>0.29579758058638966</v>
      </c>
      <c r="H148" s="16">
        <f t="shared" ca="1" si="5"/>
        <v>1852</v>
      </c>
    </row>
    <row r="149" spans="4:8" ht="15" thickBot="1" x14ac:dyDescent="0.35">
      <c r="D149" s="20">
        <v>1529</v>
      </c>
      <c r="E149" s="20">
        <v>4450</v>
      </c>
      <c r="F149" s="20">
        <v>2850</v>
      </c>
      <c r="G149" s="20">
        <v>0.361784307995827</v>
      </c>
      <c r="H149" s="16">
        <f t="shared" ca="1" si="5"/>
        <v>2784</v>
      </c>
    </row>
    <row r="150" spans="4:8" ht="15" thickBot="1" x14ac:dyDescent="0.35">
      <c r="D150" s="20">
        <v>1153</v>
      </c>
      <c r="E150" s="20">
        <v>3950</v>
      </c>
      <c r="F150" s="20">
        <v>2150</v>
      </c>
      <c r="G150" s="20">
        <v>0.33423057548308416</v>
      </c>
      <c r="H150" s="16">
        <f t="shared" ca="1" si="5"/>
        <v>1387</v>
      </c>
    </row>
    <row r="151" spans="4:8" ht="15" thickBot="1" x14ac:dyDescent="0.35">
      <c r="D151" s="20">
        <v>2267</v>
      </c>
      <c r="E151" s="20">
        <v>4050</v>
      </c>
      <c r="F151" s="20">
        <v>4250</v>
      </c>
      <c r="G151" s="20">
        <v>0.42184643647493258</v>
      </c>
      <c r="H151" s="16">
        <f t="shared" ca="1" si="5"/>
        <v>1223</v>
      </c>
    </row>
    <row r="152" spans="4:8" ht="15" thickBot="1" x14ac:dyDescent="0.35">
      <c r="D152" s="20">
        <v>1311</v>
      </c>
      <c r="E152" s="20">
        <v>3850</v>
      </c>
      <c r="F152" s="20">
        <v>2450</v>
      </c>
      <c r="G152" s="20">
        <v>0.34653474754635216</v>
      </c>
      <c r="H152" s="16">
        <f t="shared" ca="1" si="5"/>
        <v>2229</v>
      </c>
    </row>
    <row r="153" spans="4:8" ht="15" thickBot="1" x14ac:dyDescent="0.35">
      <c r="D153" s="20">
        <v>722</v>
      </c>
      <c r="E153" s="20">
        <v>3250</v>
      </c>
      <c r="F153" s="20">
        <v>1350</v>
      </c>
      <c r="G153" s="20">
        <v>0.29976823651848328</v>
      </c>
      <c r="H153" s="16">
        <f t="shared" ca="1" si="5"/>
        <v>2681</v>
      </c>
    </row>
    <row r="154" spans="4:8" ht="15" thickBot="1" x14ac:dyDescent="0.35">
      <c r="D154" s="20">
        <v>2354</v>
      </c>
      <c r="E154" s="20">
        <v>2150</v>
      </c>
      <c r="F154" s="20">
        <v>4450</v>
      </c>
      <c r="G154" s="20">
        <v>0.43045882289968201</v>
      </c>
      <c r="H154" s="16">
        <f t="shared" ca="1" si="5"/>
        <v>697</v>
      </c>
    </row>
    <row r="155" spans="4:8" ht="15" thickBot="1" x14ac:dyDescent="0.35">
      <c r="D155" s="20">
        <v>2042</v>
      </c>
      <c r="E155" s="20">
        <v>2750</v>
      </c>
      <c r="F155" s="20">
        <v>3850</v>
      </c>
      <c r="G155" s="20">
        <v>0.39871621061653745</v>
      </c>
      <c r="H155" s="16">
        <f t="shared" ca="1" si="5"/>
        <v>429</v>
      </c>
    </row>
    <row r="156" spans="4:8" ht="15" thickBot="1" x14ac:dyDescent="0.35">
      <c r="D156" s="20">
        <v>2060</v>
      </c>
      <c r="E156" s="20">
        <v>4550</v>
      </c>
      <c r="F156" s="20">
        <v>3850</v>
      </c>
      <c r="G156" s="20">
        <v>0.40176327952467594</v>
      </c>
      <c r="H156" s="16">
        <f t="shared" ca="1" si="5"/>
        <v>2524</v>
      </c>
    </row>
    <row r="157" spans="4:8" ht="15" thickBot="1" x14ac:dyDescent="0.35">
      <c r="D157" s="20">
        <v>1023</v>
      </c>
      <c r="E157" s="20">
        <v>1550</v>
      </c>
      <c r="F157" s="20">
        <v>1950</v>
      </c>
      <c r="G157" s="20">
        <v>0.32392123083126501</v>
      </c>
      <c r="H157" s="16">
        <f t="shared" ca="1" si="5"/>
        <v>1863</v>
      </c>
    </row>
    <row r="158" spans="4:8" ht="15" thickBot="1" x14ac:dyDescent="0.35">
      <c r="D158" s="20">
        <v>2349</v>
      </c>
      <c r="E158" s="20">
        <v>1650</v>
      </c>
      <c r="F158" s="20">
        <v>4450</v>
      </c>
      <c r="G158" s="20">
        <v>0.43018153208567234</v>
      </c>
      <c r="H158" s="16">
        <f t="shared" ca="1" si="5"/>
        <v>2712</v>
      </c>
    </row>
    <row r="159" spans="4:8" ht="15" thickBot="1" x14ac:dyDescent="0.35">
      <c r="D159" s="20">
        <v>1542</v>
      </c>
      <c r="E159" s="20">
        <v>450</v>
      </c>
      <c r="F159" s="20">
        <v>2950</v>
      </c>
      <c r="G159" s="20">
        <v>0.36321211610956272</v>
      </c>
      <c r="H159" s="16">
        <f t="shared" ca="1" si="5"/>
        <v>780</v>
      </c>
    </row>
    <row r="160" spans="4:8" ht="15" thickBot="1" x14ac:dyDescent="0.35">
      <c r="D160" s="20">
        <v>1017</v>
      </c>
      <c r="E160" s="20">
        <v>950</v>
      </c>
      <c r="F160" s="20">
        <v>1950</v>
      </c>
      <c r="G160" s="20">
        <v>0.32335146269582599</v>
      </c>
      <c r="H160" s="16">
        <f t="shared" ca="1" si="5"/>
        <v>1324</v>
      </c>
    </row>
    <row r="161" spans="4:8" ht="15" thickBot="1" x14ac:dyDescent="0.35">
      <c r="D161" s="20">
        <v>359</v>
      </c>
      <c r="E161" s="20">
        <v>4050</v>
      </c>
      <c r="F161" s="20">
        <v>650</v>
      </c>
      <c r="G161" s="20">
        <v>0.26203330112229206</v>
      </c>
      <c r="H161" s="16">
        <f t="shared" ca="1" si="5"/>
        <v>55</v>
      </c>
    </row>
    <row r="162" spans="4:8" ht="15" thickBot="1" x14ac:dyDescent="0.35">
      <c r="D162" s="20">
        <v>2343</v>
      </c>
      <c r="E162" s="20">
        <v>1050</v>
      </c>
      <c r="F162" s="20">
        <v>4450</v>
      </c>
      <c r="G162" s="20">
        <v>0.42940511456528924</v>
      </c>
      <c r="H162" s="16">
        <f t="shared" ca="1" si="5"/>
        <v>426</v>
      </c>
    </row>
    <row r="163" spans="4:8" ht="15" thickBot="1" x14ac:dyDescent="0.35">
      <c r="D163" s="20">
        <v>1154</v>
      </c>
      <c r="E163" s="20">
        <v>4050</v>
      </c>
      <c r="F163" s="20">
        <v>2150</v>
      </c>
      <c r="G163" s="20">
        <v>0.33423501948161954</v>
      </c>
      <c r="H163" s="16">
        <f t="shared" ca="1" si="5"/>
        <v>608</v>
      </c>
    </row>
    <row r="164" spans="4:8" ht="15" thickBot="1" x14ac:dyDescent="0.35">
      <c r="D164" s="20">
        <v>1448</v>
      </c>
      <c r="E164" s="20">
        <v>1650</v>
      </c>
      <c r="F164" s="20">
        <v>2750</v>
      </c>
      <c r="G164" s="20">
        <v>0.35571030806208076</v>
      </c>
      <c r="H164" s="16">
        <f t="shared" ca="1" si="5"/>
        <v>1287</v>
      </c>
    </row>
    <row r="165" spans="4:8" ht="15" thickBot="1" x14ac:dyDescent="0.35">
      <c r="D165" s="20">
        <v>792</v>
      </c>
      <c r="E165" s="20">
        <v>4950</v>
      </c>
      <c r="F165" s="20">
        <v>1450</v>
      </c>
      <c r="G165" s="20">
        <v>0.30596119666275012</v>
      </c>
      <c r="H165" s="16">
        <f t="shared" ca="1" si="5"/>
        <v>1792</v>
      </c>
    </row>
    <row r="166" spans="4:8" ht="15" thickBot="1" x14ac:dyDescent="0.35">
      <c r="D166" s="20">
        <v>2306</v>
      </c>
      <c r="E166" s="20">
        <v>2650</v>
      </c>
      <c r="F166" s="20">
        <v>4350</v>
      </c>
      <c r="G166" s="20">
        <v>0.42576958789237435</v>
      </c>
      <c r="H166" s="16">
        <f t="shared" ca="1" si="5"/>
        <v>2724</v>
      </c>
    </row>
    <row r="167" spans="4:8" ht="15" thickBot="1" x14ac:dyDescent="0.35">
      <c r="D167" s="20">
        <v>1199</v>
      </c>
      <c r="E167" s="20">
        <v>3250</v>
      </c>
      <c r="F167" s="20">
        <v>2250</v>
      </c>
      <c r="G167" s="20">
        <v>0.33773392527075191</v>
      </c>
      <c r="H167" s="16">
        <f t="shared" ca="1" si="5"/>
        <v>1919</v>
      </c>
    </row>
    <row r="168" spans="4:8" ht="15" thickBot="1" x14ac:dyDescent="0.35">
      <c r="D168" s="20">
        <v>1509</v>
      </c>
      <c r="E168" s="20">
        <v>2450</v>
      </c>
      <c r="F168" s="20">
        <v>2850</v>
      </c>
      <c r="G168" s="20">
        <v>0.3607436094244888</v>
      </c>
      <c r="H168" s="16">
        <f t="shared" ca="1" si="5"/>
        <v>2385</v>
      </c>
    </row>
    <row r="169" spans="4:8" ht="15" thickBot="1" x14ac:dyDescent="0.35">
      <c r="D169" s="20">
        <v>2632</v>
      </c>
      <c r="E169" s="44">
        <v>3450</v>
      </c>
      <c r="F169" s="44">
        <v>4950</v>
      </c>
      <c r="G169" s="20">
        <v>0.47247636971059642</v>
      </c>
      <c r="H169" s="16">
        <f t="shared" ca="1" si="5"/>
        <v>75</v>
      </c>
    </row>
    <row r="170" spans="4:8" ht="15" thickBot="1" x14ac:dyDescent="0.35">
      <c r="D170" s="20">
        <v>2414</v>
      </c>
      <c r="E170" s="20">
        <v>2850</v>
      </c>
      <c r="F170" s="20">
        <v>4550</v>
      </c>
      <c r="G170" s="20">
        <v>0.43669114023180539</v>
      </c>
      <c r="H170" s="16">
        <f t="shared" ca="1" si="5"/>
        <v>1591</v>
      </c>
    </row>
    <row r="171" spans="4:8" ht="15" thickBot="1" x14ac:dyDescent="0.35">
      <c r="D171" s="20">
        <v>1158</v>
      </c>
      <c r="E171" s="20">
        <v>4450</v>
      </c>
      <c r="F171" s="20">
        <v>2150</v>
      </c>
      <c r="G171" s="20">
        <v>0.33482619202061542</v>
      </c>
      <c r="H171" s="16">
        <f t="shared" ca="1" si="5"/>
        <v>27</v>
      </c>
    </row>
    <row r="172" spans="4:8" ht="15" thickBot="1" x14ac:dyDescent="0.35">
      <c r="D172" s="20">
        <v>936</v>
      </c>
      <c r="E172" s="20">
        <v>3450</v>
      </c>
      <c r="F172" s="20">
        <v>1750</v>
      </c>
      <c r="G172" s="20">
        <v>0.31736866541574976</v>
      </c>
      <c r="H172" s="16">
        <f t="shared" ca="1" si="5"/>
        <v>1835</v>
      </c>
    </row>
    <row r="173" spans="4:8" ht="15" thickBot="1" x14ac:dyDescent="0.35">
      <c r="D173" s="20">
        <v>1350</v>
      </c>
      <c r="E173" s="20">
        <v>2450</v>
      </c>
      <c r="F173" s="20">
        <v>2550</v>
      </c>
      <c r="G173" s="20">
        <v>0.34907999329216566</v>
      </c>
      <c r="H173" s="16">
        <f t="shared" ca="1" si="5"/>
        <v>2431</v>
      </c>
    </row>
    <row r="174" spans="4:8" ht="15" thickBot="1" x14ac:dyDescent="0.35">
      <c r="D174" s="20">
        <v>2304</v>
      </c>
      <c r="E174" s="20">
        <v>2450</v>
      </c>
      <c r="F174" s="20">
        <v>4350</v>
      </c>
      <c r="G174" s="20">
        <v>0.4253824883385528</v>
      </c>
      <c r="H174" s="16">
        <f t="shared" ca="1" si="5"/>
        <v>793</v>
      </c>
    </row>
    <row r="175" spans="4:8" ht="15" thickBot="1" x14ac:dyDescent="0.35">
      <c r="D175" s="20">
        <v>197</v>
      </c>
      <c r="E175" s="20">
        <v>3750</v>
      </c>
      <c r="F175" s="20">
        <v>350</v>
      </c>
      <c r="G175" s="20">
        <v>0.23459846730239664</v>
      </c>
      <c r="H175" s="16">
        <f t="shared" ca="1" si="5"/>
        <v>2268</v>
      </c>
    </row>
    <row r="176" spans="4:8" ht="15" thickBot="1" x14ac:dyDescent="0.35">
      <c r="D176" s="20">
        <v>1157</v>
      </c>
      <c r="E176" s="20">
        <v>4350</v>
      </c>
      <c r="F176" s="20">
        <v>2150</v>
      </c>
      <c r="G176" s="20">
        <v>0.33460688279835454</v>
      </c>
      <c r="H176" s="16">
        <f t="shared" ca="1" si="5"/>
        <v>510</v>
      </c>
    </row>
    <row r="177" spans="4:8" ht="15" thickBot="1" x14ac:dyDescent="0.35">
      <c r="D177" s="20">
        <v>1666</v>
      </c>
      <c r="E177" s="20">
        <v>2250</v>
      </c>
      <c r="F177" s="20">
        <v>3150</v>
      </c>
      <c r="G177" s="20">
        <v>0.37133108295102102</v>
      </c>
      <c r="H177" s="16">
        <f t="shared" ca="1" si="5"/>
        <v>255</v>
      </c>
    </row>
    <row r="178" spans="4:8" ht="15" thickBot="1" x14ac:dyDescent="0.35">
      <c r="D178" s="20">
        <v>2680</v>
      </c>
      <c r="E178" s="20">
        <v>2950</v>
      </c>
      <c r="F178" s="20">
        <v>5050</v>
      </c>
      <c r="G178" s="20">
        <v>0.48628909494641326</v>
      </c>
      <c r="H178" s="16">
        <f t="shared" ca="1" si="5"/>
        <v>2644</v>
      </c>
    </row>
    <row r="179" spans="4:8" ht="15" thickBot="1" x14ac:dyDescent="0.35">
      <c r="D179" s="20">
        <v>348</v>
      </c>
      <c r="E179" s="20">
        <v>2950</v>
      </c>
      <c r="F179" s="20">
        <v>650</v>
      </c>
      <c r="G179" s="20">
        <v>0.26077800550873265</v>
      </c>
      <c r="H179" s="16">
        <f t="shared" ca="1" si="5"/>
        <v>1058</v>
      </c>
    </row>
    <row r="180" spans="4:8" ht="15" thickBot="1" x14ac:dyDescent="0.35">
      <c r="D180" s="20">
        <v>1201</v>
      </c>
      <c r="E180" s="20">
        <v>3450</v>
      </c>
      <c r="F180" s="20">
        <v>2250</v>
      </c>
      <c r="G180" s="20">
        <v>0.3378194769059073</v>
      </c>
      <c r="H180" s="16">
        <f t="shared" ca="1" si="5"/>
        <v>2642</v>
      </c>
    </row>
    <row r="181" spans="4:8" ht="15" thickBot="1" x14ac:dyDescent="0.35">
      <c r="D181" s="20">
        <v>1374</v>
      </c>
      <c r="E181" s="20">
        <v>4850</v>
      </c>
      <c r="F181" s="20">
        <v>2550</v>
      </c>
      <c r="G181" s="20">
        <v>0.35000595615847846</v>
      </c>
      <c r="H181" s="16">
        <f t="shared" ca="1" si="5"/>
        <v>2228</v>
      </c>
    </row>
    <row r="182" spans="4:8" ht="15" thickBot="1" x14ac:dyDescent="0.35">
      <c r="D182" s="20">
        <v>288</v>
      </c>
      <c r="E182" s="20">
        <v>2250</v>
      </c>
      <c r="F182" s="20">
        <v>550</v>
      </c>
      <c r="G182" s="20">
        <v>0.25144345961041065</v>
      </c>
      <c r="H182" s="16">
        <f t="shared" ca="1" si="5"/>
        <v>435</v>
      </c>
    </row>
    <row r="183" spans="4:8" ht="15" thickBot="1" x14ac:dyDescent="0.35">
      <c r="D183" s="20">
        <v>1586</v>
      </c>
      <c r="E183" s="20">
        <v>4850</v>
      </c>
      <c r="F183" s="20">
        <v>2950</v>
      </c>
      <c r="G183" s="20">
        <v>0.36618590197261625</v>
      </c>
      <c r="H183" s="16">
        <f t="shared" ca="1" si="5"/>
        <v>770</v>
      </c>
    </row>
    <row r="184" spans="4:8" ht="15" thickBot="1" x14ac:dyDescent="0.35">
      <c r="D184" s="20">
        <v>1613</v>
      </c>
      <c r="E184" s="20">
        <v>2250</v>
      </c>
      <c r="F184" s="20">
        <v>3050</v>
      </c>
      <c r="G184" s="20">
        <v>0.36789381182868797</v>
      </c>
      <c r="H184" s="16">
        <f t="shared" ca="1" si="5"/>
        <v>190</v>
      </c>
    </row>
    <row r="185" spans="4:8" ht="15" thickBot="1" x14ac:dyDescent="0.35">
      <c r="D185" s="20">
        <v>1717</v>
      </c>
      <c r="E185" s="20">
        <v>2050</v>
      </c>
      <c r="F185" s="20">
        <v>3250</v>
      </c>
      <c r="G185" s="20">
        <v>0.37560244439201279</v>
      </c>
      <c r="H185" s="16">
        <f t="shared" ca="1" si="5"/>
        <v>2111</v>
      </c>
    </row>
    <row r="186" spans="4:8" ht="15" thickBot="1" x14ac:dyDescent="0.35">
      <c r="D186" s="20">
        <v>1823</v>
      </c>
      <c r="E186" s="20">
        <v>2050</v>
      </c>
      <c r="F186" s="20">
        <v>3450</v>
      </c>
      <c r="G186" s="20">
        <v>0.38228564177832769</v>
      </c>
      <c r="H186" s="16">
        <f t="shared" ca="1" si="5"/>
        <v>1671</v>
      </c>
    </row>
    <row r="187" spans="4:8" ht="15" thickBot="1" x14ac:dyDescent="0.35">
      <c r="D187" s="20">
        <v>118</v>
      </c>
      <c r="E187" s="20">
        <v>1150</v>
      </c>
      <c r="F187" s="20">
        <v>250</v>
      </c>
      <c r="G187" s="20">
        <v>0.21527756321633743</v>
      </c>
      <c r="H187" s="16">
        <f t="shared" ca="1" si="5"/>
        <v>2012</v>
      </c>
    </row>
    <row r="188" spans="4:8" ht="15" thickBot="1" x14ac:dyDescent="0.35">
      <c r="D188" s="20">
        <v>1752</v>
      </c>
      <c r="E188" s="20">
        <v>250</v>
      </c>
      <c r="F188" s="20">
        <v>3350</v>
      </c>
      <c r="G188" s="20">
        <v>0.37781066614416586</v>
      </c>
      <c r="H188" s="16">
        <f t="shared" ca="1" si="5"/>
        <v>2178</v>
      </c>
    </row>
    <row r="189" spans="4:8" ht="15" thickBot="1" x14ac:dyDescent="0.35">
      <c r="D189" s="20">
        <v>480</v>
      </c>
      <c r="E189" s="43">
        <v>250</v>
      </c>
      <c r="F189" s="43">
        <v>950</v>
      </c>
      <c r="G189" s="20">
        <v>0.27671253520736849</v>
      </c>
      <c r="H189" s="16">
        <f t="shared" ca="1" si="5"/>
        <v>166</v>
      </c>
    </row>
    <row r="190" spans="4:8" ht="15" thickBot="1" x14ac:dyDescent="0.35">
      <c r="D190" s="20">
        <v>1879</v>
      </c>
      <c r="E190" s="20">
        <v>2350</v>
      </c>
      <c r="F190" s="20">
        <v>3550</v>
      </c>
      <c r="G190" s="20">
        <v>0.3868188807930516</v>
      </c>
      <c r="H190" s="16">
        <f t="shared" ca="1" si="5"/>
        <v>1224</v>
      </c>
    </row>
    <row r="191" spans="4:8" ht="15" thickBot="1" x14ac:dyDescent="0.35">
      <c r="D191" s="20">
        <v>1204</v>
      </c>
      <c r="E191" s="20">
        <v>3750</v>
      </c>
      <c r="F191" s="20">
        <v>2250</v>
      </c>
      <c r="G191" s="20">
        <v>0.33788711495677187</v>
      </c>
      <c r="H191" s="16">
        <f t="shared" ca="1" si="5"/>
        <v>2484</v>
      </c>
    </row>
    <row r="192" spans="4:8" ht="15" thickBot="1" x14ac:dyDescent="0.35">
      <c r="D192" s="20">
        <v>2004</v>
      </c>
      <c r="E192" s="43">
        <v>4250</v>
      </c>
      <c r="F192" s="43">
        <v>3750</v>
      </c>
      <c r="G192" s="20">
        <v>0.39640511243763027</v>
      </c>
      <c r="H192" s="16">
        <f t="shared" ca="1" si="5"/>
        <v>277</v>
      </c>
    </row>
    <row r="193" spans="4:8" ht="15" thickBot="1" x14ac:dyDescent="0.35">
      <c r="D193" s="20">
        <v>1922</v>
      </c>
      <c r="E193" s="20">
        <v>1350</v>
      </c>
      <c r="F193" s="20">
        <v>3650</v>
      </c>
      <c r="G193" s="20">
        <v>0.3895614683315054</v>
      </c>
      <c r="H193" s="16">
        <f t="shared" ca="1" si="5"/>
        <v>437</v>
      </c>
    </row>
    <row r="194" spans="4:8" ht="15" thickBot="1" x14ac:dyDescent="0.35">
      <c r="D194" s="20">
        <v>2351</v>
      </c>
      <c r="E194" s="20">
        <v>1850</v>
      </c>
      <c r="F194" s="20">
        <v>4450</v>
      </c>
      <c r="G194" s="20">
        <v>0.43031032626861543</v>
      </c>
      <c r="H194" s="16">
        <f t="shared" ca="1" si="5"/>
        <v>163</v>
      </c>
    </row>
    <row r="195" spans="4:8" ht="15" thickBot="1" x14ac:dyDescent="0.35">
      <c r="D195" s="20">
        <v>755</v>
      </c>
      <c r="E195" s="20">
        <v>1250</v>
      </c>
      <c r="F195" s="20">
        <v>1450</v>
      </c>
      <c r="G195" s="20">
        <v>0.30245743539950676</v>
      </c>
      <c r="H195" s="16">
        <f t="shared" ca="1" si="5"/>
        <v>1519</v>
      </c>
    </row>
    <row r="196" spans="4:8" ht="15" thickBot="1" x14ac:dyDescent="0.35">
      <c r="D196" s="20">
        <v>2767</v>
      </c>
      <c r="E196" s="20">
        <v>1050</v>
      </c>
      <c r="F196" s="20">
        <v>5250</v>
      </c>
      <c r="G196" s="20">
        <v>0.53096189122729609</v>
      </c>
      <c r="H196" s="16">
        <f t="shared" ca="1" si="5"/>
        <v>1857</v>
      </c>
    </row>
    <row r="197" spans="4:8" ht="15" thickBot="1" x14ac:dyDescent="0.35">
      <c r="D197" s="20">
        <v>1781</v>
      </c>
      <c r="E197" s="20">
        <v>3150</v>
      </c>
      <c r="F197" s="20">
        <v>3350</v>
      </c>
      <c r="G197" s="20">
        <v>0.37941244693702431</v>
      </c>
      <c r="H197" s="16">
        <f t="shared" ca="1" si="5"/>
        <v>154</v>
      </c>
    </row>
    <row r="198" spans="4:8" ht="15" thickBot="1" x14ac:dyDescent="0.35">
      <c r="D198" s="20">
        <v>49</v>
      </c>
      <c r="E198" s="20">
        <v>4850</v>
      </c>
      <c r="F198" s="20">
        <v>50</v>
      </c>
      <c r="G198" s="20">
        <v>0.18210857152649976</v>
      </c>
      <c r="H198" s="16">
        <f t="shared" ca="1" si="5"/>
        <v>2311</v>
      </c>
    </row>
    <row r="199" spans="4:8" ht="15" thickBot="1" x14ac:dyDescent="0.35">
      <c r="D199" s="20">
        <v>229</v>
      </c>
      <c r="E199" s="47">
        <v>1650</v>
      </c>
      <c r="F199" s="47">
        <v>450</v>
      </c>
      <c r="G199" s="20">
        <v>0.24186177087050464</v>
      </c>
      <c r="H199" s="16">
        <f t="shared" ref="H199:H262" ca="1" si="6">RANDBETWEEN(1,2788)</f>
        <v>1764</v>
      </c>
    </row>
    <row r="200" spans="4:8" ht="15" thickBot="1" x14ac:dyDescent="0.35">
      <c r="D200" s="20">
        <v>2371</v>
      </c>
      <c r="E200" s="20">
        <v>3850</v>
      </c>
      <c r="F200" s="20">
        <v>4450</v>
      </c>
      <c r="G200" s="20">
        <v>0.43148493973024216</v>
      </c>
      <c r="H200" s="16">
        <f t="shared" ca="1" si="6"/>
        <v>1544</v>
      </c>
    </row>
    <row r="201" spans="4:8" ht="15" thickBot="1" x14ac:dyDescent="0.35">
      <c r="D201" s="20">
        <v>2146</v>
      </c>
      <c r="E201" s="20">
        <v>2550</v>
      </c>
      <c r="F201" s="20">
        <v>4050</v>
      </c>
      <c r="G201" s="20">
        <v>0.41018172316940688</v>
      </c>
      <c r="H201" s="16">
        <f t="shared" ca="1" si="6"/>
        <v>1814</v>
      </c>
    </row>
    <row r="202" spans="4:8" ht="15" thickBot="1" x14ac:dyDescent="0.35">
      <c r="D202" s="20">
        <v>99</v>
      </c>
      <c r="E202" s="20">
        <v>4550</v>
      </c>
      <c r="F202" s="20">
        <v>150</v>
      </c>
      <c r="G202" s="20">
        <v>0.21032122220289337</v>
      </c>
      <c r="H202" s="16">
        <f t="shared" ca="1" si="6"/>
        <v>1571</v>
      </c>
    </row>
    <row r="203" spans="4:8" ht="15" thickBot="1" x14ac:dyDescent="0.35">
      <c r="D203" s="20">
        <v>880</v>
      </c>
      <c r="E203" s="20">
        <v>3150</v>
      </c>
      <c r="F203" s="20">
        <v>1650</v>
      </c>
      <c r="G203" s="20">
        <v>0.31287262346368261</v>
      </c>
      <c r="H203" s="16">
        <f t="shared" ca="1" si="6"/>
        <v>2587</v>
      </c>
    </row>
    <row r="204" spans="4:8" ht="15" thickBot="1" x14ac:dyDescent="0.35">
      <c r="D204" s="20">
        <v>1687</v>
      </c>
      <c r="E204" s="20">
        <v>4350</v>
      </c>
      <c r="F204" s="20">
        <v>3150</v>
      </c>
      <c r="G204" s="20">
        <v>0.37316757070057355</v>
      </c>
      <c r="H204" s="16">
        <f t="shared" ca="1" si="6"/>
        <v>197</v>
      </c>
    </row>
    <row r="205" spans="4:8" ht="15" thickBot="1" x14ac:dyDescent="0.35">
      <c r="D205" s="20">
        <v>2568</v>
      </c>
      <c r="E205" s="20">
        <v>2350</v>
      </c>
      <c r="F205" s="20">
        <v>4850</v>
      </c>
      <c r="G205" s="20">
        <v>0.45914298272525189</v>
      </c>
      <c r="H205" s="16">
        <f t="shared" ca="1" si="6"/>
        <v>2148</v>
      </c>
    </row>
    <row r="206" spans="4:8" ht="15" thickBot="1" x14ac:dyDescent="0.35">
      <c r="D206" s="20">
        <v>1439</v>
      </c>
      <c r="E206" s="20">
        <v>750</v>
      </c>
      <c r="F206" s="20">
        <v>2750</v>
      </c>
      <c r="G206" s="20">
        <v>0.35527739806964481</v>
      </c>
      <c r="H206" s="16">
        <f t="shared" ca="1" si="6"/>
        <v>2635</v>
      </c>
    </row>
    <row r="207" spans="4:8" ht="15" thickBot="1" x14ac:dyDescent="0.35">
      <c r="D207" s="20">
        <v>393</v>
      </c>
      <c r="E207" s="48">
        <v>2150</v>
      </c>
      <c r="F207" s="48">
        <v>750</v>
      </c>
      <c r="G207" s="20">
        <v>0.26648949067717914</v>
      </c>
      <c r="H207" s="16">
        <f t="shared" ca="1" si="6"/>
        <v>1189</v>
      </c>
    </row>
    <row r="208" spans="4:8" ht="15" thickBot="1" x14ac:dyDescent="0.35">
      <c r="D208" s="20">
        <v>789</v>
      </c>
      <c r="E208" s="20">
        <v>4650</v>
      </c>
      <c r="F208" s="20">
        <v>1450</v>
      </c>
      <c r="G208" s="20">
        <v>0.30572794199446235</v>
      </c>
      <c r="H208" s="16">
        <f t="shared" ca="1" si="6"/>
        <v>942</v>
      </c>
    </row>
    <row r="209" spans="4:8" ht="15" thickBot="1" x14ac:dyDescent="0.35">
      <c r="D209" s="20">
        <v>1162</v>
      </c>
      <c r="E209" s="20">
        <v>4850</v>
      </c>
      <c r="F209" s="20">
        <v>2150</v>
      </c>
      <c r="G209" s="20">
        <v>0.3350099076407369</v>
      </c>
      <c r="H209" s="16">
        <f t="shared" ca="1" si="6"/>
        <v>993</v>
      </c>
    </row>
    <row r="210" spans="4:8" ht="15" thickBot="1" x14ac:dyDescent="0.35">
      <c r="D210" s="20">
        <v>917</v>
      </c>
      <c r="E210" s="20">
        <v>1550</v>
      </c>
      <c r="F210" s="20">
        <v>1750</v>
      </c>
      <c r="G210" s="20">
        <v>0.31536965349626223</v>
      </c>
      <c r="H210" s="16">
        <f t="shared" ca="1" si="6"/>
        <v>2371</v>
      </c>
    </row>
    <row r="211" spans="4:8" ht="15" thickBot="1" x14ac:dyDescent="0.35">
      <c r="D211" s="20">
        <v>663</v>
      </c>
      <c r="E211" s="48">
        <v>2650</v>
      </c>
      <c r="F211" s="48">
        <v>1250</v>
      </c>
      <c r="G211" s="20">
        <v>0.29552071980718697</v>
      </c>
      <c r="H211" s="16">
        <f t="shared" ca="1" si="6"/>
        <v>376</v>
      </c>
    </row>
    <row r="212" spans="4:8" ht="15" thickBot="1" x14ac:dyDescent="0.35">
      <c r="D212" s="20">
        <v>1233</v>
      </c>
      <c r="E212" s="20">
        <v>1350</v>
      </c>
      <c r="F212" s="20">
        <v>2350</v>
      </c>
      <c r="G212" s="20">
        <v>0.34037931140671557</v>
      </c>
      <c r="H212" s="16">
        <f t="shared" ca="1" si="6"/>
        <v>1791</v>
      </c>
    </row>
    <row r="213" spans="4:8" ht="15" thickBot="1" x14ac:dyDescent="0.35">
      <c r="D213" s="20">
        <v>750</v>
      </c>
      <c r="E213" s="20">
        <v>750</v>
      </c>
      <c r="F213" s="20">
        <v>1450</v>
      </c>
      <c r="G213" s="20">
        <v>0.30204515344000327</v>
      </c>
      <c r="H213" s="16">
        <f t="shared" ca="1" si="6"/>
        <v>673</v>
      </c>
    </row>
    <row r="214" spans="4:8" ht="15" thickBot="1" x14ac:dyDescent="0.35">
      <c r="D214" s="20">
        <v>1638</v>
      </c>
      <c r="E214" s="20">
        <v>4750</v>
      </c>
      <c r="F214" s="20">
        <v>3050</v>
      </c>
      <c r="G214" s="20">
        <v>0.36950780699512809</v>
      </c>
      <c r="H214" s="16">
        <f t="shared" ca="1" si="6"/>
        <v>1400</v>
      </c>
    </row>
    <row r="215" spans="4:8" ht="15" thickBot="1" x14ac:dyDescent="0.35">
      <c r="D215" s="20">
        <v>1970</v>
      </c>
      <c r="E215" s="20">
        <v>850</v>
      </c>
      <c r="F215" s="20">
        <v>3750</v>
      </c>
      <c r="G215" s="20">
        <v>0.39363379580074576</v>
      </c>
      <c r="H215" s="16">
        <f t="shared" ca="1" si="6"/>
        <v>2349</v>
      </c>
    </row>
    <row r="216" spans="4:8" ht="15" thickBot="1" x14ac:dyDescent="0.35">
      <c r="D216" s="20">
        <v>1080</v>
      </c>
      <c r="E216" s="20">
        <v>1950</v>
      </c>
      <c r="F216" s="20">
        <v>2050</v>
      </c>
      <c r="G216" s="20">
        <v>0.32886549502194751</v>
      </c>
      <c r="H216" s="16">
        <f t="shared" ca="1" si="6"/>
        <v>349</v>
      </c>
    </row>
    <row r="217" spans="4:8" ht="15" thickBot="1" x14ac:dyDescent="0.35">
      <c r="D217" s="20">
        <v>705</v>
      </c>
      <c r="E217" s="20">
        <v>1550</v>
      </c>
      <c r="F217" s="20">
        <v>1350</v>
      </c>
      <c r="G217" s="20">
        <v>0.29882021090128202</v>
      </c>
      <c r="H217" s="16">
        <f t="shared" ca="1" si="6"/>
        <v>1684</v>
      </c>
    </row>
    <row r="218" spans="4:8" ht="15" thickBot="1" x14ac:dyDescent="0.35">
      <c r="D218" s="20">
        <v>836</v>
      </c>
      <c r="E218" s="20">
        <v>4050</v>
      </c>
      <c r="F218" s="20">
        <v>1550</v>
      </c>
      <c r="G218" s="20">
        <v>0.30915236620514408</v>
      </c>
      <c r="H218" s="16">
        <f t="shared" ca="1" si="6"/>
        <v>172</v>
      </c>
    </row>
    <row r="219" spans="4:8" ht="15" thickBot="1" x14ac:dyDescent="0.35">
      <c r="D219" s="20">
        <v>2299</v>
      </c>
      <c r="E219" s="20">
        <v>1950</v>
      </c>
      <c r="F219" s="20">
        <v>4350</v>
      </c>
      <c r="G219" s="20">
        <v>0.4252185243710796</v>
      </c>
      <c r="H219" s="16">
        <f t="shared" ca="1" si="6"/>
        <v>2695</v>
      </c>
    </row>
    <row r="220" spans="4:8" ht="15" thickBot="1" x14ac:dyDescent="0.35">
      <c r="D220" s="20">
        <v>853</v>
      </c>
      <c r="E220" s="20">
        <v>450</v>
      </c>
      <c r="F220" s="20">
        <v>1650</v>
      </c>
      <c r="G220" s="20">
        <v>0.31053258096048764</v>
      </c>
      <c r="H220" s="16">
        <f t="shared" ca="1" si="6"/>
        <v>670</v>
      </c>
    </row>
    <row r="221" spans="4:8" ht="15" thickBot="1" x14ac:dyDescent="0.35">
      <c r="D221" s="20">
        <v>1878</v>
      </c>
      <c r="E221" s="20">
        <v>2250</v>
      </c>
      <c r="F221" s="20">
        <v>3550</v>
      </c>
      <c r="G221" s="20">
        <v>0.38667819310814638</v>
      </c>
      <c r="H221" s="16">
        <f t="shared" ca="1" si="6"/>
        <v>1190</v>
      </c>
    </row>
    <row r="222" spans="4:8" ht="15" thickBot="1" x14ac:dyDescent="0.35">
      <c r="D222" s="20">
        <v>1588</v>
      </c>
      <c r="E222" s="20">
        <v>5050</v>
      </c>
      <c r="F222" s="20">
        <v>2950</v>
      </c>
      <c r="G222" s="20">
        <v>0.3662746436836235</v>
      </c>
      <c r="H222" s="16">
        <f t="shared" ca="1" si="6"/>
        <v>1566</v>
      </c>
    </row>
    <row r="223" spans="4:8" ht="15" thickBot="1" x14ac:dyDescent="0.35">
      <c r="D223" s="20">
        <v>1387</v>
      </c>
      <c r="E223" s="20">
        <v>850</v>
      </c>
      <c r="F223" s="20">
        <v>2650</v>
      </c>
      <c r="G223" s="20">
        <v>0.35091810287481523</v>
      </c>
      <c r="H223" s="16">
        <f t="shared" ca="1" si="6"/>
        <v>1838</v>
      </c>
    </row>
    <row r="224" spans="4:8" ht="15" thickBot="1" x14ac:dyDescent="0.35">
      <c r="D224" s="20">
        <v>1691</v>
      </c>
      <c r="E224" s="20">
        <v>4750</v>
      </c>
      <c r="F224" s="20">
        <v>3150</v>
      </c>
      <c r="G224" s="20">
        <v>0.37357046659903781</v>
      </c>
      <c r="H224" s="16">
        <f t="shared" ca="1" si="6"/>
        <v>484</v>
      </c>
    </row>
    <row r="225" spans="4:8" ht="15" thickBot="1" x14ac:dyDescent="0.35">
      <c r="D225" s="20">
        <v>1285</v>
      </c>
      <c r="E225" s="20">
        <v>1250</v>
      </c>
      <c r="F225" s="20">
        <v>2450</v>
      </c>
      <c r="G225" s="20">
        <v>0.34469993809680899</v>
      </c>
      <c r="H225" s="16">
        <f t="shared" ca="1" si="6"/>
        <v>859</v>
      </c>
    </row>
    <row r="226" spans="4:8" ht="15" thickBot="1" x14ac:dyDescent="0.35">
      <c r="D226" s="20">
        <v>1208</v>
      </c>
      <c r="E226" s="20">
        <v>4150</v>
      </c>
      <c r="F226" s="20">
        <v>2250</v>
      </c>
      <c r="G226" s="20">
        <v>0.33834000358537347</v>
      </c>
      <c r="H226" s="16">
        <f t="shared" ca="1" si="6"/>
        <v>2274</v>
      </c>
    </row>
    <row r="227" spans="4:8" ht="15" thickBot="1" x14ac:dyDescent="0.35">
      <c r="D227" s="20">
        <v>2507</v>
      </c>
      <c r="E227" s="20">
        <v>1550</v>
      </c>
      <c r="F227" s="20">
        <v>4750</v>
      </c>
      <c r="G227" s="20">
        <v>0.44872778321558349</v>
      </c>
      <c r="H227" s="16">
        <f t="shared" ca="1" si="6"/>
        <v>1529</v>
      </c>
    </row>
    <row r="228" spans="4:8" ht="15" thickBot="1" x14ac:dyDescent="0.35">
      <c r="D228" s="20">
        <v>2490</v>
      </c>
      <c r="E228" s="20">
        <v>5150</v>
      </c>
      <c r="F228" s="20">
        <v>4650</v>
      </c>
      <c r="G228" s="20">
        <v>0.44646079704486313</v>
      </c>
      <c r="H228" s="16">
        <f t="shared" ca="1" si="6"/>
        <v>527</v>
      </c>
    </row>
    <row r="229" spans="4:8" ht="15" thickBot="1" x14ac:dyDescent="0.35">
      <c r="D229" s="20">
        <v>1729</v>
      </c>
      <c r="E229" s="20">
        <v>3250</v>
      </c>
      <c r="F229" s="20">
        <v>3250</v>
      </c>
      <c r="G229" s="20">
        <v>0.37629828550305205</v>
      </c>
      <c r="H229" s="16">
        <f t="shared" ca="1" si="6"/>
        <v>845</v>
      </c>
    </row>
    <row r="230" spans="4:8" ht="15" thickBot="1" x14ac:dyDescent="0.35">
      <c r="D230" s="20">
        <v>2564</v>
      </c>
      <c r="E230" s="20">
        <v>1950</v>
      </c>
      <c r="F230" s="20">
        <v>4850</v>
      </c>
      <c r="G230" s="20">
        <v>0.45837578047646921</v>
      </c>
      <c r="H230" s="16">
        <f t="shared" ca="1" si="6"/>
        <v>1009</v>
      </c>
    </row>
    <row r="231" spans="4:8" ht="15" thickBot="1" x14ac:dyDescent="0.35">
      <c r="D231" s="20">
        <v>2583</v>
      </c>
      <c r="E231" s="20">
        <v>3850</v>
      </c>
      <c r="F231" s="20">
        <v>4850</v>
      </c>
      <c r="G231" s="20">
        <v>0.46319582003555781</v>
      </c>
      <c r="H231" s="16">
        <f t="shared" ca="1" si="6"/>
        <v>1497</v>
      </c>
    </row>
    <row r="232" spans="4:8" ht="15" thickBot="1" x14ac:dyDescent="0.35">
      <c r="D232" s="20">
        <v>1252</v>
      </c>
      <c r="E232" s="20">
        <v>3250</v>
      </c>
      <c r="F232" s="20">
        <v>2350</v>
      </c>
      <c r="G232" s="20">
        <v>0.34167886092529987</v>
      </c>
      <c r="H232" s="16">
        <f t="shared" ca="1" si="6"/>
        <v>871</v>
      </c>
    </row>
    <row r="233" spans="4:8" ht="15" thickBot="1" x14ac:dyDescent="0.35">
      <c r="D233" s="20">
        <v>2748</v>
      </c>
      <c r="E233" s="20">
        <v>4450</v>
      </c>
      <c r="F233" s="20">
        <v>5150</v>
      </c>
      <c r="G233" s="20">
        <v>0.51726560006265376</v>
      </c>
      <c r="H233" s="16">
        <f t="shared" ca="1" si="6"/>
        <v>2438</v>
      </c>
    </row>
    <row r="234" spans="4:8" ht="15" thickBot="1" x14ac:dyDescent="0.35">
      <c r="D234" s="20">
        <v>132</v>
      </c>
      <c r="E234" s="20">
        <v>2550</v>
      </c>
      <c r="F234" s="20">
        <v>250</v>
      </c>
      <c r="G234" s="20">
        <v>0.218675897797177</v>
      </c>
      <c r="H234" s="16">
        <f t="shared" ca="1" si="6"/>
        <v>2523</v>
      </c>
    </row>
    <row r="235" spans="4:8" ht="15" thickBot="1" x14ac:dyDescent="0.35">
      <c r="D235" s="20">
        <v>1381</v>
      </c>
      <c r="E235" s="20">
        <v>250</v>
      </c>
      <c r="F235" s="20">
        <v>2650</v>
      </c>
      <c r="G235" s="20">
        <v>0.3505328022455656</v>
      </c>
      <c r="H235" s="16">
        <f t="shared" ca="1" si="6"/>
        <v>918</v>
      </c>
    </row>
    <row r="236" spans="4:8" ht="15" thickBot="1" x14ac:dyDescent="0.35">
      <c r="D236" s="20">
        <v>1335</v>
      </c>
      <c r="E236" s="20">
        <v>950</v>
      </c>
      <c r="F236" s="20">
        <v>2550</v>
      </c>
      <c r="G236" s="20">
        <v>0.34827819320869779</v>
      </c>
      <c r="H236" s="16">
        <f t="shared" ca="1" si="6"/>
        <v>653</v>
      </c>
    </row>
    <row r="237" spans="4:8" ht="15" thickBot="1" x14ac:dyDescent="0.35">
      <c r="D237" s="20">
        <v>1846</v>
      </c>
      <c r="E237" s="20">
        <v>4350</v>
      </c>
      <c r="F237" s="20">
        <v>3450</v>
      </c>
      <c r="G237" s="20">
        <v>0.38440778495054728</v>
      </c>
      <c r="H237" s="16">
        <f t="shared" ca="1" si="6"/>
        <v>1330</v>
      </c>
    </row>
    <row r="238" spans="4:8" ht="15" thickBot="1" x14ac:dyDescent="0.35">
      <c r="D238" s="20">
        <v>129</v>
      </c>
      <c r="E238" s="20">
        <v>2250</v>
      </c>
      <c r="F238" s="20">
        <v>250</v>
      </c>
      <c r="G238" s="20">
        <v>0.21841714541473173</v>
      </c>
      <c r="H238" s="16">
        <f t="shared" ca="1" si="6"/>
        <v>2538</v>
      </c>
    </row>
    <row r="239" spans="4:8" ht="15" thickBot="1" x14ac:dyDescent="0.35">
      <c r="D239" s="20">
        <v>1550</v>
      </c>
      <c r="E239" s="20">
        <v>1250</v>
      </c>
      <c r="F239" s="20">
        <v>2950</v>
      </c>
      <c r="G239" s="20">
        <v>0.36359732922419974</v>
      </c>
      <c r="H239" s="16">
        <f t="shared" ca="1" si="6"/>
        <v>1762</v>
      </c>
    </row>
    <row r="240" spans="4:8" ht="15" thickBot="1" x14ac:dyDescent="0.35">
      <c r="D240" s="20">
        <v>237</v>
      </c>
      <c r="E240" s="20">
        <v>2450</v>
      </c>
      <c r="F240" s="20">
        <v>450</v>
      </c>
      <c r="G240" s="20">
        <v>0.24322917808631767</v>
      </c>
      <c r="H240" s="16">
        <f t="shared" ca="1" si="6"/>
        <v>446</v>
      </c>
    </row>
    <row r="241" spans="4:8" ht="15" thickBot="1" x14ac:dyDescent="0.35">
      <c r="D241" s="20">
        <v>2018</v>
      </c>
      <c r="E241" s="43">
        <v>350</v>
      </c>
      <c r="F241" s="43">
        <v>3850</v>
      </c>
      <c r="G241" s="20">
        <v>0.39704652029130799</v>
      </c>
      <c r="H241" s="16">
        <f t="shared" ca="1" si="6"/>
        <v>690</v>
      </c>
    </row>
    <row r="242" spans="4:8" ht="15" thickBot="1" x14ac:dyDescent="0.35">
      <c r="D242" s="20">
        <v>1664</v>
      </c>
      <c r="E242" s="48">
        <v>2050</v>
      </c>
      <c r="F242" s="48">
        <v>3150</v>
      </c>
      <c r="G242" s="20">
        <v>0.3713221078896643</v>
      </c>
      <c r="H242" s="16">
        <f t="shared" ca="1" si="6"/>
        <v>2677</v>
      </c>
    </row>
    <row r="243" spans="4:8" ht="15" thickBot="1" x14ac:dyDescent="0.35">
      <c r="D243" s="20">
        <v>2329</v>
      </c>
      <c r="E243" s="20">
        <v>4950</v>
      </c>
      <c r="F243" s="20">
        <v>4350</v>
      </c>
      <c r="G243" s="20">
        <v>0.42781300534286959</v>
      </c>
      <c r="H243" s="16">
        <f t="shared" ca="1" si="6"/>
        <v>2144</v>
      </c>
    </row>
    <row r="244" spans="4:8" ht="15" thickBot="1" x14ac:dyDescent="0.35">
      <c r="D244" s="20">
        <v>2544</v>
      </c>
      <c r="E244" s="20">
        <v>5250</v>
      </c>
      <c r="F244" s="20">
        <v>4750</v>
      </c>
      <c r="G244" s="20">
        <v>0.45458587288025892</v>
      </c>
      <c r="H244" s="16">
        <f t="shared" ca="1" si="6"/>
        <v>315</v>
      </c>
    </row>
    <row r="245" spans="4:8" ht="15" thickBot="1" x14ac:dyDescent="0.35">
      <c r="D245" s="20">
        <v>2283</v>
      </c>
      <c r="E245" s="20">
        <v>350</v>
      </c>
      <c r="F245" s="20">
        <v>4350</v>
      </c>
      <c r="G245" s="20">
        <v>0.42400363937798952</v>
      </c>
      <c r="H245" s="16">
        <f t="shared" ca="1" si="6"/>
        <v>7</v>
      </c>
    </row>
    <row r="246" spans="4:8" ht="15" thickBot="1" x14ac:dyDescent="0.35">
      <c r="D246" s="20">
        <v>827</v>
      </c>
      <c r="E246" s="20">
        <v>3150</v>
      </c>
      <c r="F246" s="20">
        <v>1550</v>
      </c>
      <c r="G246" s="20">
        <v>0.30852924454327407</v>
      </c>
      <c r="H246" s="16">
        <f t="shared" ca="1" si="6"/>
        <v>2109</v>
      </c>
    </row>
    <row r="247" spans="4:8" ht="15" thickBot="1" x14ac:dyDescent="0.35">
      <c r="D247" s="20">
        <v>2115</v>
      </c>
      <c r="E247" s="20">
        <v>4750</v>
      </c>
      <c r="F247" s="20">
        <v>3950</v>
      </c>
      <c r="G247" s="20">
        <v>0.40776259516744345</v>
      </c>
      <c r="H247" s="16">
        <f t="shared" ca="1" si="6"/>
        <v>1155</v>
      </c>
    </row>
    <row r="248" spans="4:8" ht="15" thickBot="1" x14ac:dyDescent="0.35">
      <c r="D248" s="20">
        <v>355</v>
      </c>
      <c r="E248" s="20">
        <v>3650</v>
      </c>
      <c r="F248" s="20">
        <v>650</v>
      </c>
      <c r="G248" s="20">
        <v>0.26166216843343348</v>
      </c>
      <c r="H248" s="16">
        <f t="shared" ca="1" si="6"/>
        <v>1079</v>
      </c>
    </row>
    <row r="249" spans="4:8" ht="15" thickBot="1" x14ac:dyDescent="0.35">
      <c r="D249" s="20">
        <v>372</v>
      </c>
      <c r="E249" s="20">
        <v>50</v>
      </c>
      <c r="F249" s="20">
        <v>750</v>
      </c>
      <c r="G249" s="20">
        <v>0.26427194134407683</v>
      </c>
      <c r="H249" s="16">
        <f t="shared" ca="1" si="6"/>
        <v>1379</v>
      </c>
    </row>
    <row r="250" spans="4:8" ht="15" thickBot="1" x14ac:dyDescent="0.35">
      <c r="D250" s="20">
        <v>592</v>
      </c>
      <c r="E250" s="20">
        <v>850</v>
      </c>
      <c r="F250" s="20">
        <v>1150</v>
      </c>
      <c r="G250" s="20">
        <v>0.28803570610658302</v>
      </c>
      <c r="H250" s="16">
        <f t="shared" ca="1" si="6"/>
        <v>1255</v>
      </c>
    </row>
    <row r="251" spans="4:8" ht="15" thickBot="1" x14ac:dyDescent="0.35">
      <c r="D251" s="20">
        <v>2035</v>
      </c>
      <c r="E251" s="20">
        <v>2050</v>
      </c>
      <c r="F251" s="20">
        <v>3850</v>
      </c>
      <c r="G251" s="20">
        <v>0.39805415689047474</v>
      </c>
      <c r="H251" s="16">
        <f t="shared" ca="1" si="6"/>
        <v>627</v>
      </c>
    </row>
    <row r="252" spans="4:8" ht="15" thickBot="1" x14ac:dyDescent="0.35">
      <c r="D252" s="20">
        <v>704</v>
      </c>
      <c r="E252" s="20">
        <v>1450</v>
      </c>
      <c r="F252" s="20">
        <v>1350</v>
      </c>
      <c r="G252" s="20">
        <v>0.29877391633884709</v>
      </c>
      <c r="H252" s="16">
        <f t="shared" ca="1" si="6"/>
        <v>1845</v>
      </c>
    </row>
    <row r="253" spans="4:8" ht="15" thickBot="1" x14ac:dyDescent="0.35">
      <c r="D253" s="20">
        <v>2628</v>
      </c>
      <c r="E253" s="20">
        <v>3050</v>
      </c>
      <c r="F253" s="20">
        <v>4950</v>
      </c>
      <c r="G253" s="20">
        <v>0.47142585411237625</v>
      </c>
      <c r="H253" s="16">
        <f t="shared" ca="1" si="6"/>
        <v>372</v>
      </c>
    </row>
    <row r="254" spans="4:8" ht="15" thickBot="1" x14ac:dyDescent="0.35">
      <c r="D254" s="20">
        <v>1151</v>
      </c>
      <c r="E254" s="20">
        <v>3750</v>
      </c>
      <c r="F254" s="20">
        <v>2150</v>
      </c>
      <c r="G254" s="20">
        <v>0.33418640928539989</v>
      </c>
      <c r="H254" s="16">
        <f t="shared" ca="1" si="6"/>
        <v>2593</v>
      </c>
    </row>
    <row r="255" spans="4:8" ht="15" thickBot="1" x14ac:dyDescent="0.35">
      <c r="D255" s="20">
        <v>689</v>
      </c>
      <c r="E255" s="20">
        <v>5250</v>
      </c>
      <c r="F255" s="20">
        <v>1250</v>
      </c>
      <c r="G255" s="20">
        <v>0.29724290554894295</v>
      </c>
      <c r="H255" s="16">
        <f t="shared" ca="1" si="6"/>
        <v>535</v>
      </c>
    </row>
    <row r="256" spans="4:8" ht="15" thickBot="1" x14ac:dyDescent="0.35">
      <c r="D256" s="20">
        <v>872</v>
      </c>
      <c r="E256" s="45">
        <v>2350</v>
      </c>
      <c r="F256" s="45">
        <v>1650</v>
      </c>
      <c r="G256" s="20">
        <v>0.31227295751469086</v>
      </c>
      <c r="H256" s="16">
        <f t="shared" ca="1" si="6"/>
        <v>1518</v>
      </c>
    </row>
    <row r="257" spans="4:8" ht="15" thickBot="1" x14ac:dyDescent="0.35">
      <c r="D257" s="20">
        <v>2586</v>
      </c>
      <c r="E257" s="43">
        <v>4150</v>
      </c>
      <c r="F257" s="43">
        <v>4850</v>
      </c>
      <c r="G257" s="20">
        <v>0.46398616663249487</v>
      </c>
      <c r="H257" s="16">
        <f t="shared" ca="1" si="6"/>
        <v>1772</v>
      </c>
    </row>
    <row r="258" spans="4:8" ht="15" thickBot="1" x14ac:dyDescent="0.35">
      <c r="D258" s="20">
        <v>1349</v>
      </c>
      <c r="E258" s="20">
        <v>2350</v>
      </c>
      <c r="F258" s="20">
        <v>2550</v>
      </c>
      <c r="G258" s="20">
        <v>0.34903868013918754</v>
      </c>
      <c r="H258" s="16">
        <f t="shared" ca="1" si="6"/>
        <v>1764</v>
      </c>
    </row>
    <row r="259" spans="4:8" ht="15" thickBot="1" x14ac:dyDescent="0.35">
      <c r="D259" s="20">
        <v>676</v>
      </c>
      <c r="E259" s="20">
        <v>3950</v>
      </c>
      <c r="F259" s="20">
        <v>1250</v>
      </c>
      <c r="G259" s="20">
        <v>0.29614714398826331</v>
      </c>
      <c r="H259" s="16">
        <f t="shared" ca="1" si="6"/>
        <v>1896</v>
      </c>
    </row>
    <row r="260" spans="4:8" ht="15" thickBot="1" x14ac:dyDescent="0.35">
      <c r="D260" s="20">
        <v>2212</v>
      </c>
      <c r="E260" s="20">
        <v>3850</v>
      </c>
      <c r="F260" s="20">
        <v>4150</v>
      </c>
      <c r="G260" s="20">
        <v>0.41605033614348752</v>
      </c>
      <c r="H260" s="16">
        <f t="shared" ca="1" si="6"/>
        <v>2195</v>
      </c>
    </row>
    <row r="261" spans="4:8" ht="15" thickBot="1" x14ac:dyDescent="0.35">
      <c r="D261" s="20">
        <v>256</v>
      </c>
      <c r="E261" s="20">
        <v>4350</v>
      </c>
      <c r="F261" s="20">
        <v>450</v>
      </c>
      <c r="G261" s="20">
        <v>0.24572629357543377</v>
      </c>
      <c r="H261" s="16">
        <f t="shared" ca="1" si="6"/>
        <v>1713</v>
      </c>
    </row>
    <row r="262" spans="4:8" ht="15" thickBot="1" x14ac:dyDescent="0.35">
      <c r="D262" s="20">
        <v>934</v>
      </c>
      <c r="E262" s="20">
        <v>3250</v>
      </c>
      <c r="F262" s="20">
        <v>1750</v>
      </c>
      <c r="G262" s="20">
        <v>0.31712429915290918</v>
      </c>
      <c r="H262" s="16">
        <f t="shared" ca="1" si="6"/>
        <v>939</v>
      </c>
    </row>
    <row r="263" spans="4:8" ht="15" thickBot="1" x14ac:dyDescent="0.35">
      <c r="D263" s="20">
        <v>1651</v>
      </c>
      <c r="E263" s="20">
        <v>750</v>
      </c>
      <c r="F263" s="20">
        <v>3150</v>
      </c>
      <c r="G263" s="20">
        <v>0.3702483034330229</v>
      </c>
      <c r="H263" s="16">
        <f t="shared" ref="H263:H326" ca="1" si="7">RANDBETWEEN(1,2788)</f>
        <v>373</v>
      </c>
    </row>
    <row r="264" spans="4:8" ht="15" thickBot="1" x14ac:dyDescent="0.35">
      <c r="D264" s="20">
        <v>668</v>
      </c>
      <c r="E264" s="20">
        <v>3150</v>
      </c>
      <c r="F264" s="20">
        <v>1250</v>
      </c>
      <c r="G264" s="20">
        <v>0.29583349923161384</v>
      </c>
      <c r="H264" s="16">
        <f t="shared" ca="1" si="7"/>
        <v>101</v>
      </c>
    </row>
    <row r="265" spans="4:8" ht="15" thickBot="1" x14ac:dyDescent="0.35">
      <c r="D265" s="20">
        <v>451</v>
      </c>
      <c r="E265" s="20">
        <v>2650</v>
      </c>
      <c r="F265" s="20">
        <v>850</v>
      </c>
      <c r="G265" s="20">
        <v>0.27368041302993468</v>
      </c>
      <c r="H265" s="16">
        <f t="shared" ca="1" si="7"/>
        <v>2015</v>
      </c>
    </row>
    <row r="266" spans="4:8" ht="15" thickBot="1" x14ac:dyDescent="0.35">
      <c r="D266" s="20">
        <v>274</v>
      </c>
      <c r="E266" s="20">
        <v>850</v>
      </c>
      <c r="F266" s="20">
        <v>550</v>
      </c>
      <c r="G266" s="20">
        <v>0.24947919565994919</v>
      </c>
      <c r="H266" s="16">
        <f t="shared" ca="1" si="7"/>
        <v>2507</v>
      </c>
    </row>
    <row r="267" spans="4:8" ht="15" thickBot="1" x14ac:dyDescent="0.35">
      <c r="D267" s="20">
        <v>1574</v>
      </c>
      <c r="E267" s="20">
        <v>3650</v>
      </c>
      <c r="F267" s="20">
        <v>2950</v>
      </c>
      <c r="G267" s="20">
        <v>0.36506155788140865</v>
      </c>
      <c r="H267" s="16">
        <f t="shared" ca="1" si="7"/>
        <v>2122</v>
      </c>
    </row>
    <row r="268" spans="4:8" ht="15" thickBot="1" x14ac:dyDescent="0.35">
      <c r="D268" s="20">
        <v>303</v>
      </c>
      <c r="E268" s="20">
        <v>3750</v>
      </c>
      <c r="F268" s="20">
        <v>550</v>
      </c>
      <c r="G268" s="20">
        <v>0.25361016206210207</v>
      </c>
      <c r="H268" s="16">
        <f t="shared" ca="1" si="7"/>
        <v>514</v>
      </c>
    </row>
    <row r="269" spans="4:8" ht="15" thickBot="1" x14ac:dyDescent="0.35">
      <c r="D269" s="20">
        <v>629</v>
      </c>
      <c r="E269" s="20">
        <v>4550</v>
      </c>
      <c r="F269" s="20">
        <v>1150</v>
      </c>
      <c r="G269" s="20">
        <v>0.29144358974538093</v>
      </c>
      <c r="H269" s="16">
        <f t="shared" ca="1" si="7"/>
        <v>1489</v>
      </c>
    </row>
    <row r="270" spans="4:8" ht="15" thickBot="1" x14ac:dyDescent="0.35">
      <c r="D270" s="20">
        <v>1269</v>
      </c>
      <c r="E270" s="20">
        <v>4950</v>
      </c>
      <c r="F270" s="20">
        <v>2350</v>
      </c>
      <c r="G270" s="20">
        <v>0.3433740136887089</v>
      </c>
      <c r="H270" s="16">
        <f t="shared" ca="1" si="7"/>
        <v>124</v>
      </c>
    </row>
    <row r="271" spans="4:8" ht="15" thickBot="1" x14ac:dyDescent="0.35">
      <c r="D271" s="20">
        <v>310</v>
      </c>
      <c r="E271" s="20">
        <v>4450</v>
      </c>
      <c r="F271" s="20">
        <v>550</v>
      </c>
      <c r="G271" s="20">
        <v>0.25467159093105163</v>
      </c>
      <c r="H271" s="16">
        <f t="shared" ca="1" si="7"/>
        <v>2523</v>
      </c>
    </row>
    <row r="272" spans="4:8" ht="15" thickBot="1" x14ac:dyDescent="0.35">
      <c r="D272" s="20">
        <v>1966</v>
      </c>
      <c r="E272" s="20">
        <v>450</v>
      </c>
      <c r="F272" s="20">
        <v>3750</v>
      </c>
      <c r="G272" s="20">
        <v>0.39355525077294751</v>
      </c>
      <c r="H272" s="16">
        <f t="shared" ca="1" si="7"/>
        <v>2494</v>
      </c>
    </row>
    <row r="273" spans="4:8" ht="15" thickBot="1" x14ac:dyDescent="0.35">
      <c r="D273" s="20">
        <v>182</v>
      </c>
      <c r="E273" s="20">
        <v>2250</v>
      </c>
      <c r="F273" s="20">
        <v>350</v>
      </c>
      <c r="G273" s="20">
        <v>0.22951655833768919</v>
      </c>
      <c r="H273" s="16">
        <f t="shared" ca="1" si="7"/>
        <v>382</v>
      </c>
    </row>
    <row r="274" spans="4:8" ht="15" thickBot="1" x14ac:dyDescent="0.35">
      <c r="D274" s="20">
        <v>1164</v>
      </c>
      <c r="E274" s="20">
        <v>5050</v>
      </c>
      <c r="F274" s="20">
        <v>2150</v>
      </c>
      <c r="G274" s="20">
        <v>0.33506696772531536</v>
      </c>
      <c r="H274" s="16">
        <f t="shared" ca="1" si="7"/>
        <v>1914</v>
      </c>
    </row>
    <row r="275" spans="4:8" ht="15" thickBot="1" x14ac:dyDescent="0.35">
      <c r="D275" s="20">
        <v>2556</v>
      </c>
      <c r="E275" s="20">
        <v>1150</v>
      </c>
      <c r="F275" s="20">
        <v>4850</v>
      </c>
      <c r="G275" s="20">
        <v>0.45658550077008647</v>
      </c>
      <c r="H275" s="16">
        <f t="shared" ca="1" si="7"/>
        <v>1680</v>
      </c>
    </row>
    <row r="276" spans="4:8" ht="15" thickBot="1" x14ac:dyDescent="0.35">
      <c r="D276" s="20">
        <v>450</v>
      </c>
      <c r="E276" s="20">
        <v>2550</v>
      </c>
      <c r="F276" s="20">
        <v>850</v>
      </c>
      <c r="G276" s="20">
        <v>0.27360810018907683</v>
      </c>
      <c r="H276" s="16">
        <f t="shared" ca="1" si="7"/>
        <v>2072</v>
      </c>
    </row>
    <row r="277" spans="4:8" ht="15" thickBot="1" x14ac:dyDescent="0.35">
      <c r="D277" s="20">
        <v>840</v>
      </c>
      <c r="E277" s="20">
        <v>4450</v>
      </c>
      <c r="F277" s="20">
        <v>1550</v>
      </c>
      <c r="G277" s="20">
        <v>0.30952060908636148</v>
      </c>
      <c r="H277" s="16">
        <f t="shared" ca="1" si="7"/>
        <v>1364</v>
      </c>
    </row>
    <row r="278" spans="4:8" ht="15" thickBot="1" x14ac:dyDescent="0.35">
      <c r="D278" s="20">
        <v>1593</v>
      </c>
      <c r="E278" s="20">
        <v>250</v>
      </c>
      <c r="F278" s="20">
        <v>3050</v>
      </c>
      <c r="G278" s="20">
        <v>0.36641068808265848</v>
      </c>
      <c r="H278" s="16">
        <f t="shared" ca="1" si="7"/>
        <v>17</v>
      </c>
    </row>
    <row r="279" spans="4:8" ht="15" thickBot="1" x14ac:dyDescent="0.35">
      <c r="D279" s="20">
        <v>2454</v>
      </c>
      <c r="E279" s="20">
        <v>1550</v>
      </c>
      <c r="F279" s="20">
        <v>4650</v>
      </c>
      <c r="G279" s="20">
        <v>0.44114867268254682</v>
      </c>
      <c r="H279" s="16">
        <f t="shared" ca="1" si="7"/>
        <v>250</v>
      </c>
    </row>
    <row r="280" spans="4:8" ht="15" thickBot="1" x14ac:dyDescent="0.35">
      <c r="D280" s="20">
        <v>2233</v>
      </c>
      <c r="E280" s="20">
        <v>650</v>
      </c>
      <c r="F280" s="20">
        <v>4250</v>
      </c>
      <c r="G280" s="20">
        <v>0.41887175816708749</v>
      </c>
      <c r="H280" s="16">
        <f t="shared" ca="1" si="7"/>
        <v>1192</v>
      </c>
    </row>
    <row r="281" spans="4:8" ht="15" thickBot="1" x14ac:dyDescent="0.35">
      <c r="D281" s="20">
        <v>2084</v>
      </c>
      <c r="E281" s="20">
        <v>1650</v>
      </c>
      <c r="F281" s="20">
        <v>3950</v>
      </c>
      <c r="G281" s="20">
        <v>0.40389576171067954</v>
      </c>
      <c r="H281" s="16">
        <f t="shared" ca="1" si="7"/>
        <v>1915</v>
      </c>
    </row>
    <row r="282" spans="4:8" ht="15" thickBot="1" x14ac:dyDescent="0.35">
      <c r="D282" s="20">
        <v>1388</v>
      </c>
      <c r="E282" s="20">
        <v>950</v>
      </c>
      <c r="F282" s="20">
        <v>2650</v>
      </c>
      <c r="G282" s="20">
        <v>0.35100825029294608</v>
      </c>
      <c r="H282" s="16">
        <f t="shared" ca="1" si="7"/>
        <v>732</v>
      </c>
    </row>
    <row r="283" spans="4:8" ht="15" thickBot="1" x14ac:dyDescent="0.35">
      <c r="D283" s="20">
        <v>1261</v>
      </c>
      <c r="E283" s="20">
        <v>4150</v>
      </c>
      <c r="F283" s="20">
        <v>2350</v>
      </c>
      <c r="G283" s="20">
        <v>0.34241967519541783</v>
      </c>
      <c r="H283" s="16">
        <f t="shared" ca="1" si="7"/>
        <v>1750</v>
      </c>
    </row>
    <row r="284" spans="4:8" ht="15" thickBot="1" x14ac:dyDescent="0.35">
      <c r="D284" s="20">
        <v>1527</v>
      </c>
      <c r="E284" s="20">
        <v>4250</v>
      </c>
      <c r="F284" s="20">
        <v>2850</v>
      </c>
      <c r="G284" s="20">
        <v>0.36165395561631519</v>
      </c>
      <c r="H284" s="16">
        <f t="shared" ca="1" si="7"/>
        <v>2551</v>
      </c>
    </row>
    <row r="285" spans="4:8" ht="15" thickBot="1" x14ac:dyDescent="0.35">
      <c r="D285" s="20">
        <v>523</v>
      </c>
      <c r="E285" s="20">
        <v>4550</v>
      </c>
      <c r="F285" s="20">
        <v>950</v>
      </c>
      <c r="G285" s="20">
        <v>0.28109360972345843</v>
      </c>
      <c r="H285" s="16">
        <f t="shared" ca="1" si="7"/>
        <v>147</v>
      </c>
    </row>
    <row r="286" spans="4:8" ht="15" thickBot="1" x14ac:dyDescent="0.35">
      <c r="D286" s="20">
        <v>661</v>
      </c>
      <c r="E286" s="45">
        <v>2450</v>
      </c>
      <c r="F286" s="45">
        <v>1250</v>
      </c>
      <c r="G286" s="20">
        <v>0.295382274987669</v>
      </c>
      <c r="H286" s="16">
        <f t="shared" ca="1" si="7"/>
        <v>1557</v>
      </c>
    </row>
    <row r="287" spans="4:8" ht="15" thickBot="1" x14ac:dyDescent="0.35">
      <c r="D287" s="20">
        <v>462</v>
      </c>
      <c r="E287" s="20">
        <v>3750</v>
      </c>
      <c r="F287" s="20">
        <v>850</v>
      </c>
      <c r="G287" s="20">
        <v>0.27516878148011514</v>
      </c>
      <c r="H287" s="16">
        <f t="shared" ca="1" si="7"/>
        <v>1199</v>
      </c>
    </row>
    <row r="288" spans="4:8" ht="15" thickBot="1" x14ac:dyDescent="0.35">
      <c r="D288" s="20">
        <v>2584</v>
      </c>
      <c r="E288" s="20">
        <v>3950</v>
      </c>
      <c r="F288" s="20">
        <v>4850</v>
      </c>
      <c r="G288" s="20">
        <v>0.463220288234028</v>
      </c>
      <c r="H288" s="16">
        <f t="shared" ca="1" si="7"/>
        <v>2353</v>
      </c>
    </row>
    <row r="289" spans="4:8" ht="15" thickBot="1" x14ac:dyDescent="0.35">
      <c r="D289" s="20">
        <v>1227</v>
      </c>
      <c r="E289" s="20">
        <v>750</v>
      </c>
      <c r="F289" s="20">
        <v>2350</v>
      </c>
      <c r="G289" s="20">
        <v>0.33985375217707919</v>
      </c>
      <c r="H289" s="16">
        <f t="shared" ca="1" si="7"/>
        <v>575</v>
      </c>
    </row>
    <row r="290" spans="4:8" ht="15" thickBot="1" x14ac:dyDescent="0.35">
      <c r="D290" s="20">
        <v>1816</v>
      </c>
      <c r="E290" s="20">
        <v>1350</v>
      </c>
      <c r="F290" s="20">
        <v>3450</v>
      </c>
      <c r="G290" s="20">
        <v>0.3818681680295522</v>
      </c>
      <c r="H290" s="16">
        <f t="shared" ca="1" si="7"/>
        <v>2113</v>
      </c>
    </row>
    <row r="291" spans="4:8" ht="15" thickBot="1" x14ac:dyDescent="0.35">
      <c r="D291" s="20">
        <v>634</v>
      </c>
      <c r="E291" s="20">
        <v>5050</v>
      </c>
      <c r="F291" s="20">
        <v>1150</v>
      </c>
      <c r="G291" s="20">
        <v>0.29175387276617548</v>
      </c>
      <c r="H291" s="16">
        <f t="shared" ca="1" si="7"/>
        <v>2359</v>
      </c>
    </row>
    <row r="292" spans="4:8" ht="15" thickBot="1" x14ac:dyDescent="0.35">
      <c r="D292" s="20">
        <v>2478</v>
      </c>
      <c r="E292" s="20">
        <v>3950</v>
      </c>
      <c r="F292" s="20">
        <v>4650</v>
      </c>
      <c r="G292" s="20">
        <v>0.44454549514522057</v>
      </c>
      <c r="H292" s="16">
        <f t="shared" ca="1" si="7"/>
        <v>1189</v>
      </c>
    </row>
    <row r="293" spans="4:8" ht="15" thickBot="1" x14ac:dyDescent="0.35">
      <c r="D293" s="20">
        <v>1336</v>
      </c>
      <c r="E293" s="20">
        <v>1050</v>
      </c>
      <c r="F293" s="20">
        <v>2550</v>
      </c>
      <c r="G293" s="20">
        <v>0.34835864593446642</v>
      </c>
      <c r="H293" s="16">
        <f t="shared" ca="1" si="7"/>
        <v>1160</v>
      </c>
    </row>
    <row r="294" spans="4:8" ht="15" thickBot="1" x14ac:dyDescent="0.35">
      <c r="D294" s="20">
        <v>444</v>
      </c>
      <c r="E294" s="20">
        <v>1950</v>
      </c>
      <c r="F294" s="20">
        <v>850</v>
      </c>
      <c r="G294" s="20">
        <v>0.27279038033700959</v>
      </c>
      <c r="H294" s="16">
        <f t="shared" ca="1" si="7"/>
        <v>2129</v>
      </c>
    </row>
    <row r="295" spans="4:8" ht="15" thickBot="1" x14ac:dyDescent="0.35">
      <c r="D295" s="20">
        <v>632</v>
      </c>
      <c r="E295" s="20">
        <v>4850</v>
      </c>
      <c r="F295" s="20">
        <v>1150</v>
      </c>
      <c r="G295" s="20">
        <v>0.2916445721242743</v>
      </c>
      <c r="H295" s="16">
        <f t="shared" ca="1" si="7"/>
        <v>1116</v>
      </c>
    </row>
    <row r="296" spans="4:8" ht="15" thickBot="1" x14ac:dyDescent="0.35">
      <c r="D296" s="20">
        <v>1658</v>
      </c>
      <c r="E296" s="20">
        <v>1450</v>
      </c>
      <c r="F296" s="20">
        <v>3150</v>
      </c>
      <c r="G296" s="20">
        <v>0.37069524265546944</v>
      </c>
      <c r="H296" s="16">
        <f t="shared" ca="1" si="7"/>
        <v>621</v>
      </c>
    </row>
    <row r="297" spans="4:8" ht="15" thickBot="1" x14ac:dyDescent="0.35">
      <c r="D297" s="20">
        <v>2309</v>
      </c>
      <c r="E297" s="20">
        <v>2950</v>
      </c>
      <c r="F297" s="20">
        <v>4350</v>
      </c>
      <c r="G297" s="20">
        <v>0.42583161964462146</v>
      </c>
      <c r="H297" s="16">
        <f t="shared" ca="1" si="7"/>
        <v>2138</v>
      </c>
    </row>
    <row r="298" spans="4:8" ht="15" thickBot="1" x14ac:dyDescent="0.35">
      <c r="D298" s="20">
        <v>1589</v>
      </c>
      <c r="E298" s="20">
        <v>5150</v>
      </c>
      <c r="F298" s="20">
        <v>2950</v>
      </c>
      <c r="G298" s="20">
        <v>0.36628351824891842</v>
      </c>
      <c r="H298" s="16">
        <f t="shared" ca="1" si="7"/>
        <v>2602</v>
      </c>
    </row>
    <row r="299" spans="4:8" ht="15" thickBot="1" x14ac:dyDescent="0.35">
      <c r="D299" s="20">
        <v>1993</v>
      </c>
      <c r="E299" s="20">
        <v>3150</v>
      </c>
      <c r="F299" s="20">
        <v>3750</v>
      </c>
      <c r="G299" s="20">
        <v>0.39502963530063628</v>
      </c>
      <c r="H299" s="16">
        <f t="shared" ca="1" si="7"/>
        <v>1915</v>
      </c>
    </row>
    <row r="300" spans="4:8" ht="15" thickBot="1" x14ac:dyDescent="0.35">
      <c r="D300" s="20">
        <v>20</v>
      </c>
      <c r="E300" s="20">
        <v>1950</v>
      </c>
      <c r="F300" s="20">
        <v>50</v>
      </c>
      <c r="G300" s="20">
        <v>0.15741331690782934</v>
      </c>
      <c r="H300" s="16">
        <f t="shared" ca="1" si="7"/>
        <v>2603</v>
      </c>
    </row>
    <row r="301" spans="4:8" ht="15" thickBot="1" x14ac:dyDescent="0.35">
      <c r="D301" s="20">
        <v>1415</v>
      </c>
      <c r="E301" s="20">
        <v>3650</v>
      </c>
      <c r="F301" s="20">
        <v>2650</v>
      </c>
      <c r="G301" s="20">
        <v>0.35381854863312573</v>
      </c>
      <c r="H301" s="16">
        <f t="shared" ca="1" si="7"/>
        <v>2399</v>
      </c>
    </row>
    <row r="302" spans="4:8" ht="15" thickBot="1" x14ac:dyDescent="0.35">
      <c r="D302" s="20">
        <v>497</v>
      </c>
      <c r="E302" s="20">
        <v>1950</v>
      </c>
      <c r="F302" s="20">
        <v>950</v>
      </c>
      <c r="G302" s="20">
        <v>0.27817545643518032</v>
      </c>
      <c r="H302" s="16">
        <f t="shared" ca="1" si="7"/>
        <v>122</v>
      </c>
    </row>
    <row r="303" spans="4:8" ht="15" thickBot="1" x14ac:dyDescent="0.35">
      <c r="D303" s="20">
        <v>2366</v>
      </c>
      <c r="E303" s="20">
        <v>3350</v>
      </c>
      <c r="F303" s="20">
        <v>4450</v>
      </c>
      <c r="G303" s="20">
        <v>0.43115024484806241</v>
      </c>
      <c r="H303" s="16">
        <f t="shared" ca="1" si="7"/>
        <v>726</v>
      </c>
    </row>
    <row r="304" spans="4:8" ht="15" thickBot="1" x14ac:dyDescent="0.35">
      <c r="D304" s="20">
        <v>621</v>
      </c>
      <c r="E304" s="20">
        <v>3750</v>
      </c>
      <c r="F304" s="20">
        <v>1150</v>
      </c>
      <c r="G304" s="20">
        <v>0.29056396794196881</v>
      </c>
      <c r="H304" s="16">
        <f t="shared" ca="1" si="7"/>
        <v>1229</v>
      </c>
    </row>
    <row r="305" spans="4:8" ht="15" thickBot="1" x14ac:dyDescent="0.35">
      <c r="D305" s="20">
        <v>1307</v>
      </c>
      <c r="E305" s="43">
        <v>3450</v>
      </c>
      <c r="F305" s="43">
        <v>2450</v>
      </c>
      <c r="G305" s="20">
        <v>0.34604961687826463</v>
      </c>
      <c r="H305" s="16">
        <f t="shared" ca="1" si="7"/>
        <v>1122</v>
      </c>
    </row>
    <row r="306" spans="4:8" ht="15" thickBot="1" x14ac:dyDescent="0.35">
      <c r="D306" s="20">
        <v>342</v>
      </c>
      <c r="E306" s="20">
        <v>2350</v>
      </c>
      <c r="F306" s="20">
        <v>650</v>
      </c>
      <c r="G306" s="20">
        <v>0.2601044473376628</v>
      </c>
      <c r="H306" s="16">
        <f t="shared" ca="1" si="7"/>
        <v>1511</v>
      </c>
    </row>
    <row r="307" spans="4:8" ht="15" thickBot="1" x14ac:dyDescent="0.35">
      <c r="D307" s="20">
        <v>2757</v>
      </c>
      <c r="E307" s="20">
        <v>50</v>
      </c>
      <c r="F307" s="20">
        <v>5250</v>
      </c>
      <c r="G307" s="20">
        <v>0.52561492867583171</v>
      </c>
      <c r="H307" s="16">
        <f t="shared" ca="1" si="7"/>
        <v>2241</v>
      </c>
    </row>
    <row r="308" spans="4:8" ht="15" thickBot="1" x14ac:dyDescent="0.35">
      <c r="D308" s="20">
        <v>566</v>
      </c>
      <c r="E308" s="20">
        <v>3550</v>
      </c>
      <c r="F308" s="20">
        <v>1050</v>
      </c>
      <c r="G308" s="20">
        <v>0.28560835896395864</v>
      </c>
      <c r="H308" s="16">
        <f t="shared" ca="1" si="7"/>
        <v>793</v>
      </c>
    </row>
    <row r="309" spans="4:8" ht="15" thickBot="1" x14ac:dyDescent="0.35">
      <c r="D309" s="20">
        <v>2230</v>
      </c>
      <c r="E309" s="20">
        <v>350</v>
      </c>
      <c r="F309" s="20">
        <v>4250</v>
      </c>
      <c r="G309" s="20">
        <v>0.41844904168030894</v>
      </c>
      <c r="H309" s="16">
        <f t="shared" ca="1" si="7"/>
        <v>2146</v>
      </c>
    </row>
    <row r="310" spans="4:8" ht="15" thickBot="1" x14ac:dyDescent="0.35">
      <c r="D310" s="20">
        <v>1063</v>
      </c>
      <c r="E310" s="20">
        <v>250</v>
      </c>
      <c r="F310" s="20">
        <v>2050</v>
      </c>
      <c r="G310" s="20">
        <v>0.32745312904214485</v>
      </c>
      <c r="H310" s="16">
        <f t="shared" ca="1" si="7"/>
        <v>483</v>
      </c>
    </row>
    <row r="311" spans="4:8" ht="15" thickBot="1" x14ac:dyDescent="0.35">
      <c r="D311" s="20">
        <v>647</v>
      </c>
      <c r="E311" s="20">
        <v>1050</v>
      </c>
      <c r="F311" s="20">
        <v>1250</v>
      </c>
      <c r="G311" s="20">
        <v>0.29323172505733242</v>
      </c>
      <c r="H311" s="16">
        <f t="shared" ca="1" si="7"/>
        <v>1699</v>
      </c>
    </row>
    <row r="312" spans="4:8" ht="15" thickBot="1" x14ac:dyDescent="0.35">
      <c r="D312" s="20">
        <v>2111</v>
      </c>
      <c r="E312" s="20">
        <v>4350</v>
      </c>
      <c r="F312" s="20">
        <v>3950</v>
      </c>
      <c r="G312" s="20">
        <v>0.40723289019501319</v>
      </c>
      <c r="H312" s="16">
        <f t="shared" ca="1" si="7"/>
        <v>2659</v>
      </c>
    </row>
    <row r="313" spans="4:8" ht="15" thickBot="1" x14ac:dyDescent="0.35">
      <c r="D313" s="20">
        <v>2294</v>
      </c>
      <c r="E313" s="20">
        <v>1450</v>
      </c>
      <c r="F313" s="20">
        <v>4350</v>
      </c>
      <c r="G313" s="20">
        <v>0.42500290951623654</v>
      </c>
      <c r="H313" s="16">
        <f t="shared" ca="1" si="7"/>
        <v>1324</v>
      </c>
    </row>
    <row r="314" spans="4:8" ht="15" thickBot="1" x14ac:dyDescent="0.35">
      <c r="D314" s="20">
        <v>60</v>
      </c>
      <c r="E314" s="45">
        <v>650</v>
      </c>
      <c r="F314" s="45">
        <v>150</v>
      </c>
      <c r="G314" s="20">
        <v>0.19382533920557535</v>
      </c>
      <c r="H314" s="16">
        <f t="shared" ca="1" si="7"/>
        <v>1696</v>
      </c>
    </row>
    <row r="315" spans="4:8" ht="15" thickBot="1" x14ac:dyDescent="0.35">
      <c r="D315" s="20">
        <v>1135</v>
      </c>
      <c r="E315" s="20">
        <v>2150</v>
      </c>
      <c r="F315" s="20">
        <v>2150</v>
      </c>
      <c r="G315" s="20">
        <v>0.33311811356887855</v>
      </c>
      <c r="H315" s="16">
        <f t="shared" ca="1" si="7"/>
        <v>1337</v>
      </c>
    </row>
    <row r="316" spans="4:8" ht="15" thickBot="1" x14ac:dyDescent="0.35">
      <c r="D316" s="20">
        <v>456</v>
      </c>
      <c r="E316" s="20">
        <v>3150</v>
      </c>
      <c r="F316" s="20">
        <v>850</v>
      </c>
      <c r="G316" s="20">
        <v>0.27429201346843068</v>
      </c>
      <c r="H316" s="16">
        <f t="shared" ca="1" si="7"/>
        <v>2753</v>
      </c>
    </row>
    <row r="317" spans="4:8" ht="15" thickBot="1" x14ac:dyDescent="0.35">
      <c r="D317" s="20">
        <v>2559</v>
      </c>
      <c r="E317" s="20">
        <v>1450</v>
      </c>
      <c r="F317" s="20">
        <v>4850</v>
      </c>
      <c r="G317" s="20">
        <v>0.45712642566727546</v>
      </c>
      <c r="H317" s="16">
        <f t="shared" ca="1" si="7"/>
        <v>486</v>
      </c>
    </row>
    <row r="318" spans="4:8" ht="15" thickBot="1" x14ac:dyDescent="0.35">
      <c r="D318" s="20">
        <v>2023</v>
      </c>
      <c r="E318" s="44">
        <v>850</v>
      </c>
      <c r="F318" s="44">
        <v>3850</v>
      </c>
      <c r="G318" s="20">
        <v>0.39739980481942294</v>
      </c>
      <c r="H318" s="16">
        <f t="shared" ca="1" si="7"/>
        <v>393</v>
      </c>
    </row>
    <row r="319" spans="4:8" ht="15" thickBot="1" x14ac:dyDescent="0.35">
      <c r="D319" s="20">
        <v>1804</v>
      </c>
      <c r="E319" s="20">
        <v>150</v>
      </c>
      <c r="F319" s="20">
        <v>3450</v>
      </c>
      <c r="G319" s="20">
        <v>0.38118869465752281</v>
      </c>
      <c r="H319" s="16">
        <f t="shared" ca="1" si="7"/>
        <v>2185</v>
      </c>
    </row>
    <row r="320" spans="4:8" ht="15" thickBot="1" x14ac:dyDescent="0.35">
      <c r="D320" s="20">
        <v>1218</v>
      </c>
      <c r="E320" s="20">
        <v>5150</v>
      </c>
      <c r="F320" s="20">
        <v>2250</v>
      </c>
      <c r="G320" s="20">
        <v>0.3392087108107667</v>
      </c>
      <c r="H320" s="16">
        <f t="shared" ca="1" si="7"/>
        <v>758</v>
      </c>
    </row>
    <row r="321" spans="4:8" ht="15" thickBot="1" x14ac:dyDescent="0.35">
      <c r="D321" s="20">
        <v>2266</v>
      </c>
      <c r="E321" s="20">
        <v>3950</v>
      </c>
      <c r="F321" s="20">
        <v>4250</v>
      </c>
      <c r="G321" s="20">
        <v>0.42178104793653159</v>
      </c>
      <c r="H321" s="16">
        <f t="shared" ca="1" si="7"/>
        <v>857</v>
      </c>
    </row>
    <row r="322" spans="4:8" ht="15" thickBot="1" x14ac:dyDescent="0.35">
      <c r="D322" s="20">
        <v>139</v>
      </c>
      <c r="E322" s="20">
        <v>3250</v>
      </c>
      <c r="F322" s="20">
        <v>250</v>
      </c>
      <c r="G322" s="20">
        <v>0.22015303419781482</v>
      </c>
      <c r="H322" s="16">
        <f t="shared" ca="1" si="7"/>
        <v>97</v>
      </c>
    </row>
    <row r="323" spans="4:8" ht="15" thickBot="1" x14ac:dyDescent="0.35">
      <c r="D323" s="20">
        <v>1343</v>
      </c>
      <c r="E323" s="20">
        <v>1750</v>
      </c>
      <c r="F323" s="20">
        <v>2550</v>
      </c>
      <c r="G323" s="20">
        <v>0.34877238938174843</v>
      </c>
      <c r="H323" s="16">
        <f t="shared" ca="1" si="7"/>
        <v>2094</v>
      </c>
    </row>
    <row r="324" spans="4:8" ht="15" thickBot="1" x14ac:dyDescent="0.35">
      <c r="D324" s="20">
        <v>802</v>
      </c>
      <c r="E324" s="20">
        <v>650</v>
      </c>
      <c r="F324" s="20">
        <v>1550</v>
      </c>
      <c r="G324" s="20">
        <v>0.30683257610840697</v>
      </c>
      <c r="H324" s="16">
        <f t="shared" ca="1" si="7"/>
        <v>2327</v>
      </c>
    </row>
    <row r="325" spans="4:8" ht="15" thickBot="1" x14ac:dyDescent="0.35">
      <c r="D325" s="20">
        <v>2276</v>
      </c>
      <c r="E325" s="20">
        <v>4950</v>
      </c>
      <c r="F325" s="20">
        <v>4250</v>
      </c>
      <c r="G325" s="20">
        <v>0.42313206437134787</v>
      </c>
      <c r="H325" s="16">
        <f t="shared" ca="1" si="7"/>
        <v>746</v>
      </c>
    </row>
    <row r="326" spans="4:8" ht="15" thickBot="1" x14ac:dyDescent="0.35">
      <c r="D326" s="20">
        <v>1052</v>
      </c>
      <c r="E326" s="20">
        <v>4450</v>
      </c>
      <c r="F326" s="20">
        <v>1950</v>
      </c>
      <c r="G326" s="20">
        <v>0.32674562110666167</v>
      </c>
      <c r="H326" s="16">
        <f t="shared" ca="1" si="7"/>
        <v>2099</v>
      </c>
    </row>
    <row r="327" spans="4:8" ht="15" thickBot="1" x14ac:dyDescent="0.35">
      <c r="D327" s="20">
        <v>225</v>
      </c>
      <c r="E327" s="20">
        <v>1250</v>
      </c>
      <c r="F327" s="20">
        <v>450</v>
      </c>
      <c r="G327" s="20">
        <v>0.24105210409034539</v>
      </c>
      <c r="H327" s="16">
        <f t="shared" ref="H327:H390" ca="1" si="8">RANDBETWEEN(1,2788)</f>
        <v>1731</v>
      </c>
    </row>
    <row r="328" spans="4:8" ht="15" thickBot="1" x14ac:dyDescent="0.35">
      <c r="D328" s="20">
        <v>1041</v>
      </c>
      <c r="E328" s="20">
        <v>3350</v>
      </c>
      <c r="F328" s="20">
        <v>1950</v>
      </c>
      <c r="G328" s="20">
        <v>0.3252759540659943</v>
      </c>
      <c r="H328" s="16">
        <f t="shared" ca="1" si="8"/>
        <v>2318</v>
      </c>
    </row>
    <row r="329" spans="4:8" ht="15" thickBot="1" x14ac:dyDescent="0.35">
      <c r="D329" s="20">
        <v>200</v>
      </c>
      <c r="E329" s="20">
        <v>4050</v>
      </c>
      <c r="F329" s="20">
        <v>350</v>
      </c>
      <c r="G329" s="20">
        <v>0.2350337770223942</v>
      </c>
      <c r="H329" s="16">
        <f t="shared" ca="1" si="8"/>
        <v>190</v>
      </c>
    </row>
    <row r="330" spans="4:8" ht="15" thickBot="1" x14ac:dyDescent="0.35">
      <c r="D330" s="20">
        <v>903</v>
      </c>
      <c r="E330" s="20">
        <v>150</v>
      </c>
      <c r="F330" s="20">
        <v>1750</v>
      </c>
      <c r="G330" s="20">
        <v>0.31460125295083541</v>
      </c>
      <c r="H330" s="16">
        <f t="shared" ca="1" si="8"/>
        <v>2213</v>
      </c>
    </row>
    <row r="331" spans="4:8" ht="15" thickBot="1" x14ac:dyDescent="0.35">
      <c r="D331" s="20">
        <v>1130</v>
      </c>
      <c r="E331" s="20">
        <v>1650</v>
      </c>
      <c r="F331" s="20">
        <v>2150</v>
      </c>
      <c r="G331" s="20">
        <v>0.33268055219174697</v>
      </c>
      <c r="H331" s="16">
        <f t="shared" ca="1" si="8"/>
        <v>47</v>
      </c>
    </row>
    <row r="332" spans="4:8" ht="15" thickBot="1" x14ac:dyDescent="0.35">
      <c r="D332" s="20">
        <v>1288</v>
      </c>
      <c r="E332" s="20">
        <v>1550</v>
      </c>
      <c r="F332" s="20">
        <v>2450</v>
      </c>
      <c r="G332" s="20">
        <v>0.34510692641818169</v>
      </c>
      <c r="H332" s="16">
        <f t="shared" ca="1" si="8"/>
        <v>775</v>
      </c>
    </row>
    <row r="333" spans="4:8" ht="15" thickBot="1" x14ac:dyDescent="0.35">
      <c r="D333" s="20">
        <v>2352</v>
      </c>
      <c r="E333" s="20">
        <v>1950</v>
      </c>
      <c r="F333" s="20">
        <v>4450</v>
      </c>
      <c r="G333" s="20">
        <v>0.43038716372972491</v>
      </c>
      <c r="H333" s="16">
        <f t="shared" ca="1" si="8"/>
        <v>27</v>
      </c>
    </row>
    <row r="334" spans="4:8" ht="15" thickBot="1" x14ac:dyDescent="0.35">
      <c r="D334" s="20">
        <v>127</v>
      </c>
      <c r="E334" s="20">
        <v>2050</v>
      </c>
      <c r="F334" s="20">
        <v>250</v>
      </c>
      <c r="G334" s="20">
        <v>0.21812886478401025</v>
      </c>
      <c r="H334" s="16">
        <f t="shared" ca="1" si="8"/>
        <v>2662</v>
      </c>
    </row>
    <row r="335" spans="4:8" ht="15" thickBot="1" x14ac:dyDescent="0.35">
      <c r="D335" s="20">
        <v>1787</v>
      </c>
      <c r="E335" s="20">
        <v>3750</v>
      </c>
      <c r="F335" s="20">
        <v>3350</v>
      </c>
      <c r="G335" s="20">
        <v>0.3800467298813564</v>
      </c>
      <c r="H335" s="16">
        <f t="shared" ca="1" si="8"/>
        <v>2181</v>
      </c>
    </row>
    <row r="336" spans="4:8" ht="15" thickBot="1" x14ac:dyDescent="0.35">
      <c r="D336" s="20">
        <v>410</v>
      </c>
      <c r="E336" s="43">
        <v>3850</v>
      </c>
      <c r="F336" s="43">
        <v>750</v>
      </c>
      <c r="G336" s="20">
        <v>0.26881577374906729</v>
      </c>
      <c r="H336" s="16">
        <f t="shared" ca="1" si="8"/>
        <v>354</v>
      </c>
    </row>
    <row r="337" spans="4:8" ht="15" thickBot="1" x14ac:dyDescent="0.35">
      <c r="D337" s="20">
        <v>1178</v>
      </c>
      <c r="E337" s="20">
        <v>1150</v>
      </c>
      <c r="F337" s="20">
        <v>2250</v>
      </c>
      <c r="G337" s="20">
        <v>0.33643047023490763</v>
      </c>
      <c r="H337" s="16">
        <f t="shared" ca="1" si="8"/>
        <v>909</v>
      </c>
    </row>
    <row r="338" spans="4:8" ht="15" thickBot="1" x14ac:dyDescent="0.35">
      <c r="D338" s="20">
        <v>2242</v>
      </c>
      <c r="E338" s="20">
        <v>1550</v>
      </c>
      <c r="F338" s="20">
        <v>4250</v>
      </c>
      <c r="G338" s="20">
        <v>0.41950215250636524</v>
      </c>
      <c r="H338" s="16">
        <f t="shared" ca="1" si="8"/>
        <v>349</v>
      </c>
    </row>
    <row r="339" spans="4:8" ht="15" thickBot="1" x14ac:dyDescent="0.35">
      <c r="D339" s="20">
        <v>1906</v>
      </c>
      <c r="E339" s="20">
        <v>5050</v>
      </c>
      <c r="F339" s="20">
        <v>3550</v>
      </c>
      <c r="G339" s="20">
        <v>0.38863881640501652</v>
      </c>
      <c r="H339" s="16">
        <f t="shared" ca="1" si="8"/>
        <v>1083</v>
      </c>
    </row>
    <row r="340" spans="4:8" ht="15" thickBot="1" x14ac:dyDescent="0.35">
      <c r="D340" s="20">
        <v>1633</v>
      </c>
      <c r="E340" s="20">
        <v>4250</v>
      </c>
      <c r="F340" s="20">
        <v>3050</v>
      </c>
      <c r="G340" s="20">
        <v>0.36907504054071849</v>
      </c>
      <c r="H340" s="16">
        <f t="shared" ca="1" si="8"/>
        <v>812</v>
      </c>
    </row>
    <row r="341" spans="4:8" ht="15" thickBot="1" x14ac:dyDescent="0.35">
      <c r="D341" s="20">
        <v>2530</v>
      </c>
      <c r="E341" s="20">
        <v>3850</v>
      </c>
      <c r="F341" s="20">
        <v>4750</v>
      </c>
      <c r="G341" s="20">
        <v>0.45147008286341361</v>
      </c>
      <c r="H341" s="16">
        <f t="shared" ca="1" si="8"/>
        <v>1470</v>
      </c>
    </row>
    <row r="342" spans="4:8" ht="15" thickBot="1" x14ac:dyDescent="0.35">
      <c r="D342" s="20">
        <v>1608</v>
      </c>
      <c r="E342" s="20">
        <v>1750</v>
      </c>
      <c r="F342" s="20">
        <v>3050</v>
      </c>
      <c r="G342" s="20">
        <v>0.36751452640726401</v>
      </c>
      <c r="H342" s="16">
        <f t="shared" ca="1" si="8"/>
        <v>814</v>
      </c>
    </row>
    <row r="343" spans="4:8" ht="15" thickBot="1" x14ac:dyDescent="0.35">
      <c r="D343" s="20">
        <v>1960</v>
      </c>
      <c r="E343" s="20">
        <v>5150</v>
      </c>
      <c r="F343" s="20">
        <v>3650</v>
      </c>
      <c r="G343" s="20">
        <v>0.39276745059031248</v>
      </c>
      <c r="H343" s="16">
        <f t="shared" ca="1" si="8"/>
        <v>1854</v>
      </c>
    </row>
    <row r="344" spans="4:8" ht="15" thickBot="1" x14ac:dyDescent="0.35">
      <c r="D344" s="20">
        <v>1364</v>
      </c>
      <c r="E344" s="20">
        <v>3850</v>
      </c>
      <c r="F344" s="20">
        <v>2550</v>
      </c>
      <c r="G344" s="20">
        <v>0.34959427287501477</v>
      </c>
      <c r="H344" s="16">
        <f t="shared" ca="1" si="8"/>
        <v>2470</v>
      </c>
    </row>
    <row r="345" spans="4:8" ht="15" thickBot="1" x14ac:dyDescent="0.35">
      <c r="D345" s="20">
        <v>473</v>
      </c>
      <c r="E345" s="20">
        <v>4850</v>
      </c>
      <c r="F345" s="20">
        <v>850</v>
      </c>
      <c r="G345" s="20">
        <v>0.27615100465385334</v>
      </c>
      <c r="H345" s="16">
        <f t="shared" ca="1" si="8"/>
        <v>2751</v>
      </c>
    </row>
    <row r="346" spans="4:8" ht="15" thickBot="1" x14ac:dyDescent="0.35">
      <c r="D346" s="20">
        <v>1237</v>
      </c>
      <c r="E346" s="20">
        <v>1750</v>
      </c>
      <c r="F346" s="20">
        <v>2350</v>
      </c>
      <c r="G346" s="20">
        <v>0.34050066164351195</v>
      </c>
      <c r="H346" s="16">
        <f t="shared" ca="1" si="8"/>
        <v>2101</v>
      </c>
    </row>
    <row r="347" spans="4:8" ht="15" thickBot="1" x14ac:dyDescent="0.35">
      <c r="D347" s="20">
        <v>230</v>
      </c>
      <c r="E347" s="20">
        <v>1750</v>
      </c>
      <c r="F347" s="20">
        <v>450</v>
      </c>
      <c r="G347" s="20">
        <v>0.24189021964987734</v>
      </c>
      <c r="H347" s="16">
        <f t="shared" ca="1" si="8"/>
        <v>266</v>
      </c>
    </row>
    <row r="348" spans="4:8" ht="15" thickBot="1" x14ac:dyDescent="0.35">
      <c r="D348" s="20">
        <v>685</v>
      </c>
      <c r="E348" s="20">
        <v>4850</v>
      </c>
      <c r="F348" s="20">
        <v>1250</v>
      </c>
      <c r="G348" s="20">
        <v>0.29671314738607235</v>
      </c>
      <c r="H348" s="16">
        <f t="shared" ca="1" si="8"/>
        <v>263</v>
      </c>
    </row>
    <row r="349" spans="4:8" ht="15" thickBot="1" x14ac:dyDescent="0.35">
      <c r="D349" s="20">
        <v>61</v>
      </c>
      <c r="E349" s="20">
        <v>750</v>
      </c>
      <c r="F349" s="20">
        <v>150</v>
      </c>
      <c r="G349" s="20">
        <v>0.19385470315364614</v>
      </c>
      <c r="H349" s="16">
        <f t="shared" ca="1" si="8"/>
        <v>993</v>
      </c>
    </row>
    <row r="350" spans="4:8" ht="15" thickBot="1" x14ac:dyDescent="0.35">
      <c r="D350" s="20">
        <v>1779</v>
      </c>
      <c r="E350" s="20">
        <v>2950</v>
      </c>
      <c r="F350" s="20">
        <v>3350</v>
      </c>
      <c r="G350" s="20">
        <v>0.37937486029736084</v>
      </c>
      <c r="H350" s="16">
        <f t="shared" ca="1" si="8"/>
        <v>1870</v>
      </c>
    </row>
    <row r="351" spans="4:8" ht="15" thickBot="1" x14ac:dyDescent="0.35">
      <c r="D351" s="20">
        <v>888</v>
      </c>
      <c r="E351" s="20">
        <v>3950</v>
      </c>
      <c r="F351" s="20">
        <v>1650</v>
      </c>
      <c r="G351" s="20">
        <v>0.31332214913728607</v>
      </c>
      <c r="H351" s="16">
        <f t="shared" ca="1" si="8"/>
        <v>211</v>
      </c>
    </row>
    <row r="352" spans="4:8" ht="15" thickBot="1" x14ac:dyDescent="0.35">
      <c r="D352" s="20">
        <v>1514</v>
      </c>
      <c r="E352" s="20">
        <v>2950</v>
      </c>
      <c r="F352" s="20">
        <v>2850</v>
      </c>
      <c r="G352" s="20">
        <v>0.3609554986189355</v>
      </c>
      <c r="H352" s="16">
        <f t="shared" ca="1" si="8"/>
        <v>1052</v>
      </c>
    </row>
    <row r="353" spans="4:8" ht="15" thickBot="1" x14ac:dyDescent="0.35">
      <c r="D353" s="20">
        <v>1000</v>
      </c>
      <c r="E353" s="20">
        <v>4550</v>
      </c>
      <c r="F353" s="20">
        <v>1850</v>
      </c>
      <c r="G353" s="20">
        <v>0.3221653417470553</v>
      </c>
      <c r="H353" s="16">
        <f t="shared" ca="1" si="8"/>
        <v>2780</v>
      </c>
    </row>
    <row r="354" spans="4:8" ht="15" thickBot="1" x14ac:dyDescent="0.35">
      <c r="D354" s="20">
        <v>698</v>
      </c>
      <c r="E354" s="20">
        <v>850</v>
      </c>
      <c r="F354" s="20">
        <v>1350</v>
      </c>
      <c r="G354" s="20">
        <v>0.29836328191855283</v>
      </c>
      <c r="H354" s="16">
        <f t="shared" ca="1" si="8"/>
        <v>230</v>
      </c>
    </row>
    <row r="355" spans="4:8" ht="15" thickBot="1" x14ac:dyDescent="0.35">
      <c r="D355" s="20">
        <v>1465</v>
      </c>
      <c r="E355" s="20">
        <v>3350</v>
      </c>
      <c r="F355" s="20">
        <v>2750</v>
      </c>
      <c r="G355" s="20">
        <v>0.35685503392448897</v>
      </c>
      <c r="H355" s="16">
        <f t="shared" ca="1" si="8"/>
        <v>1609</v>
      </c>
    </row>
    <row r="356" spans="4:8" ht="15" thickBot="1" x14ac:dyDescent="0.35">
      <c r="D356" s="20">
        <v>1628</v>
      </c>
      <c r="E356" s="20">
        <v>3750</v>
      </c>
      <c r="F356" s="20">
        <v>3050</v>
      </c>
      <c r="G356" s="20">
        <v>0.36871838693111425</v>
      </c>
      <c r="H356" s="16">
        <f t="shared" ca="1" si="8"/>
        <v>56</v>
      </c>
    </row>
    <row r="357" spans="4:8" ht="15" thickBot="1" x14ac:dyDescent="0.35">
      <c r="D357" s="20">
        <v>2649</v>
      </c>
      <c r="E357" s="20">
        <v>5150</v>
      </c>
      <c r="F357" s="20">
        <v>4950</v>
      </c>
      <c r="G357" s="20">
        <v>0.47594571038004618</v>
      </c>
      <c r="H357" s="16">
        <f t="shared" ca="1" si="8"/>
        <v>743</v>
      </c>
    </row>
    <row r="358" spans="4:8" ht="15" thickBot="1" x14ac:dyDescent="0.35">
      <c r="D358" s="20">
        <v>2597</v>
      </c>
      <c r="E358" s="20">
        <v>5250</v>
      </c>
      <c r="F358" s="20">
        <v>4850</v>
      </c>
      <c r="G358" s="20">
        <v>0.46512583903898286</v>
      </c>
      <c r="H358" s="16">
        <f t="shared" ca="1" si="8"/>
        <v>1030</v>
      </c>
    </row>
    <row r="359" spans="4:8" ht="15" thickBot="1" x14ac:dyDescent="0.35">
      <c r="D359" s="20">
        <v>2692</v>
      </c>
      <c r="E359" s="20">
        <v>4150</v>
      </c>
      <c r="F359" s="20">
        <v>5050</v>
      </c>
      <c r="G359" s="20">
        <v>0.49082559717100671</v>
      </c>
      <c r="H359" s="16">
        <f t="shared" ca="1" si="8"/>
        <v>192</v>
      </c>
    </row>
    <row r="360" spans="4:8" ht="15" thickBot="1" x14ac:dyDescent="0.35">
      <c r="D360" s="20">
        <v>961</v>
      </c>
      <c r="E360" s="20">
        <v>650</v>
      </c>
      <c r="F360" s="20">
        <v>1850</v>
      </c>
      <c r="G360" s="20">
        <v>0.31935192464933254</v>
      </c>
      <c r="H360" s="16">
        <f t="shared" ca="1" si="8"/>
        <v>2061</v>
      </c>
    </row>
    <row r="361" spans="4:8" ht="15" thickBot="1" x14ac:dyDescent="0.35">
      <c r="D361" s="20">
        <v>910</v>
      </c>
      <c r="E361" s="20">
        <v>850</v>
      </c>
      <c r="F361" s="20">
        <v>1750</v>
      </c>
      <c r="G361" s="20">
        <v>0.31512208045200674</v>
      </c>
      <c r="H361" s="16">
        <f t="shared" ca="1" si="8"/>
        <v>1451</v>
      </c>
    </row>
    <row r="362" spans="4:8" ht="15" thickBot="1" x14ac:dyDescent="0.35">
      <c r="D362" s="20">
        <v>136</v>
      </c>
      <c r="E362" s="48">
        <v>2950</v>
      </c>
      <c r="F362" s="48">
        <v>250</v>
      </c>
      <c r="G362" s="20">
        <v>0.21943320334871383</v>
      </c>
      <c r="H362" s="16">
        <f t="shared" ca="1" si="8"/>
        <v>245</v>
      </c>
    </row>
    <row r="363" spans="4:8" ht="15" thickBot="1" x14ac:dyDescent="0.35">
      <c r="D363" s="20">
        <v>2379</v>
      </c>
      <c r="E363" s="20">
        <v>4650</v>
      </c>
      <c r="F363" s="20">
        <v>4450</v>
      </c>
      <c r="G363" s="20">
        <v>0.43259457187417605</v>
      </c>
      <c r="H363" s="16">
        <f t="shared" ca="1" si="8"/>
        <v>957</v>
      </c>
    </row>
    <row r="364" spans="4:8" ht="15" thickBot="1" x14ac:dyDescent="0.35">
      <c r="D364" s="20">
        <v>779</v>
      </c>
      <c r="E364" s="43">
        <v>3650</v>
      </c>
      <c r="F364" s="43">
        <v>1450</v>
      </c>
      <c r="G364" s="20">
        <v>0.30478267196674552</v>
      </c>
      <c r="H364" s="16">
        <f t="shared" ca="1" si="8"/>
        <v>1405</v>
      </c>
    </row>
    <row r="365" spans="4:8" ht="15" thickBot="1" x14ac:dyDescent="0.35">
      <c r="D365" s="20">
        <v>2380</v>
      </c>
      <c r="E365" s="20">
        <v>4750</v>
      </c>
      <c r="F365" s="20">
        <v>4450</v>
      </c>
      <c r="G365" s="20">
        <v>0.43264880332095501</v>
      </c>
      <c r="H365" s="16">
        <f t="shared" ca="1" si="8"/>
        <v>1323</v>
      </c>
    </row>
    <row r="366" spans="4:8" ht="15" thickBot="1" x14ac:dyDescent="0.35">
      <c r="D366" s="20">
        <v>821</v>
      </c>
      <c r="E366" s="20">
        <v>2550</v>
      </c>
      <c r="F366" s="20">
        <v>1550</v>
      </c>
      <c r="G366" s="20">
        <v>0.30823174844433576</v>
      </c>
      <c r="H366" s="16">
        <f t="shared" ca="1" si="8"/>
        <v>402</v>
      </c>
    </row>
    <row r="367" spans="4:8" ht="15" thickBot="1" x14ac:dyDescent="0.35">
      <c r="D367" s="20">
        <v>2039</v>
      </c>
      <c r="E367" s="20">
        <v>2450</v>
      </c>
      <c r="F367" s="20">
        <v>3850</v>
      </c>
      <c r="G367" s="20">
        <v>0.39841623482547134</v>
      </c>
      <c r="H367" s="16">
        <f t="shared" ca="1" si="8"/>
        <v>1771</v>
      </c>
    </row>
    <row r="368" spans="4:8" ht="15" thickBot="1" x14ac:dyDescent="0.35">
      <c r="D368" s="20">
        <v>457</v>
      </c>
      <c r="E368" s="20">
        <v>3250</v>
      </c>
      <c r="F368" s="20">
        <v>850</v>
      </c>
      <c r="G368" s="20">
        <v>0.27431558653572946</v>
      </c>
      <c r="H368" s="16">
        <f t="shared" ca="1" si="8"/>
        <v>218</v>
      </c>
    </row>
    <row r="369" spans="4:8" ht="15" thickBot="1" x14ac:dyDescent="0.35">
      <c r="D369" s="20">
        <v>1530</v>
      </c>
      <c r="E369" s="20">
        <v>4550</v>
      </c>
      <c r="F369" s="20">
        <v>2850</v>
      </c>
      <c r="G369" s="20">
        <v>0.36180616376930558</v>
      </c>
      <c r="H369" s="16">
        <f t="shared" ca="1" si="8"/>
        <v>1021</v>
      </c>
    </row>
    <row r="370" spans="4:8" ht="15" thickBot="1" x14ac:dyDescent="0.35">
      <c r="D370" s="20">
        <v>1958</v>
      </c>
      <c r="E370" s="20">
        <v>4950</v>
      </c>
      <c r="F370" s="20">
        <v>3650</v>
      </c>
      <c r="G370" s="20">
        <v>0.39240009179568952</v>
      </c>
      <c r="H370" s="16">
        <f t="shared" ca="1" si="8"/>
        <v>2526</v>
      </c>
    </row>
    <row r="371" spans="4:8" ht="15" thickBot="1" x14ac:dyDescent="0.35">
      <c r="D371" s="20">
        <v>1957</v>
      </c>
      <c r="E371" s="20">
        <v>4850</v>
      </c>
      <c r="F371" s="20">
        <v>3650</v>
      </c>
      <c r="G371" s="20">
        <v>0.39232873431108367</v>
      </c>
      <c r="H371" s="16">
        <f t="shared" ca="1" si="8"/>
        <v>2738</v>
      </c>
    </row>
    <row r="372" spans="4:8" ht="15" thickBot="1" x14ac:dyDescent="0.35">
      <c r="D372" s="20">
        <v>441</v>
      </c>
      <c r="E372" s="43">
        <v>1650</v>
      </c>
      <c r="F372" s="43">
        <v>850</v>
      </c>
      <c r="G372" s="20">
        <v>0.2723525847119882</v>
      </c>
      <c r="H372" s="16">
        <f t="shared" ca="1" si="8"/>
        <v>284</v>
      </c>
    </row>
    <row r="373" spans="4:8" ht="15" thickBot="1" x14ac:dyDescent="0.35">
      <c r="D373" s="20">
        <v>2487</v>
      </c>
      <c r="E373" s="20">
        <v>4850</v>
      </c>
      <c r="F373" s="20">
        <v>4650</v>
      </c>
      <c r="G373" s="20">
        <v>0.44592689921633266</v>
      </c>
      <c r="H373" s="16">
        <f t="shared" ca="1" si="8"/>
        <v>2400</v>
      </c>
    </row>
    <row r="374" spans="4:8" ht="15" thickBot="1" x14ac:dyDescent="0.35">
      <c r="D374" s="20">
        <v>1491</v>
      </c>
      <c r="E374" s="20">
        <v>650</v>
      </c>
      <c r="F374" s="20">
        <v>2850</v>
      </c>
      <c r="G374" s="20">
        <v>0.35893594109715832</v>
      </c>
      <c r="H374" s="16">
        <f t="shared" ca="1" si="8"/>
        <v>1730</v>
      </c>
    </row>
    <row r="375" spans="4:8" ht="15" thickBot="1" x14ac:dyDescent="0.35">
      <c r="D375" s="20">
        <v>2085</v>
      </c>
      <c r="E375" s="20">
        <v>1750</v>
      </c>
      <c r="F375" s="20">
        <v>3950</v>
      </c>
      <c r="G375" s="20">
        <v>0.40415281606804698</v>
      </c>
      <c r="H375" s="16">
        <f t="shared" ca="1" si="8"/>
        <v>2479</v>
      </c>
    </row>
    <row r="376" spans="4:8" ht="15" thickBot="1" x14ac:dyDescent="0.35">
      <c r="D376" s="20">
        <v>2479</v>
      </c>
      <c r="E376" s="20">
        <v>4050</v>
      </c>
      <c r="F376" s="20">
        <v>4650</v>
      </c>
      <c r="G376" s="20">
        <v>0.44495864272332702</v>
      </c>
      <c r="H376" s="16">
        <f t="shared" ca="1" si="8"/>
        <v>2285</v>
      </c>
    </row>
    <row r="377" spans="4:8" ht="15" thickBot="1" x14ac:dyDescent="0.35">
      <c r="D377" s="20">
        <v>97</v>
      </c>
      <c r="E377" s="20">
        <v>4350</v>
      </c>
      <c r="F377" s="20">
        <v>150</v>
      </c>
      <c r="G377" s="20">
        <v>0.20964405200083069</v>
      </c>
      <c r="H377" s="16">
        <f t="shared" ca="1" si="8"/>
        <v>1058</v>
      </c>
    </row>
    <row r="378" spans="4:8" ht="15" thickBot="1" x14ac:dyDescent="0.35">
      <c r="D378" s="20">
        <v>73</v>
      </c>
      <c r="E378" s="20">
        <v>1950</v>
      </c>
      <c r="F378" s="20">
        <v>150</v>
      </c>
      <c r="G378" s="20">
        <v>0.19930426014935185</v>
      </c>
      <c r="H378" s="16">
        <f t="shared" ca="1" si="8"/>
        <v>2751</v>
      </c>
    </row>
    <row r="379" spans="4:8" ht="15" thickBot="1" x14ac:dyDescent="0.35">
      <c r="D379" s="20">
        <v>1907</v>
      </c>
      <c r="E379" s="20">
        <v>5150</v>
      </c>
      <c r="F379" s="20">
        <v>3550</v>
      </c>
      <c r="G379" s="20">
        <v>0.3887293514070615</v>
      </c>
      <c r="H379" s="16">
        <f t="shared" ca="1" si="8"/>
        <v>1022</v>
      </c>
    </row>
    <row r="380" spans="4:8" ht="15" thickBot="1" x14ac:dyDescent="0.35">
      <c r="D380" s="20">
        <v>212</v>
      </c>
      <c r="E380" s="20">
        <v>5250</v>
      </c>
      <c r="F380" s="20">
        <v>350</v>
      </c>
      <c r="G380" s="20">
        <v>0.23881795685395329</v>
      </c>
      <c r="H380" s="16">
        <f t="shared" ca="1" si="8"/>
        <v>1532</v>
      </c>
    </row>
    <row r="381" spans="4:8" ht="15" thickBot="1" x14ac:dyDescent="0.35">
      <c r="D381" s="20">
        <v>1344</v>
      </c>
      <c r="E381" s="20">
        <v>1850</v>
      </c>
      <c r="F381" s="20">
        <v>2550</v>
      </c>
      <c r="G381" s="20">
        <v>0.34879440343874929</v>
      </c>
      <c r="H381" s="16">
        <f t="shared" ca="1" si="8"/>
        <v>2595</v>
      </c>
    </row>
    <row r="382" spans="4:8" ht="15" thickBot="1" x14ac:dyDescent="0.35">
      <c r="D382" s="20">
        <v>1463</v>
      </c>
      <c r="E382" s="20">
        <v>3150</v>
      </c>
      <c r="F382" s="20">
        <v>2750</v>
      </c>
      <c r="G382" s="20">
        <v>0.35681989949504783</v>
      </c>
      <c r="H382" s="16">
        <f t="shared" ca="1" si="8"/>
        <v>1118</v>
      </c>
    </row>
    <row r="383" spans="4:8" ht="15" thickBot="1" x14ac:dyDescent="0.35">
      <c r="D383" s="20">
        <v>1</v>
      </c>
      <c r="E383" s="20">
        <v>50</v>
      </c>
      <c r="F383" s="20">
        <v>50</v>
      </c>
      <c r="G383" s="20">
        <v>9.7767965972124671E-2</v>
      </c>
      <c r="H383" s="16">
        <f t="shared" ca="1" si="8"/>
        <v>2057</v>
      </c>
    </row>
    <row r="384" spans="4:8" ht="15" thickBot="1" x14ac:dyDescent="0.35">
      <c r="D384" s="20">
        <v>1438</v>
      </c>
      <c r="E384" s="20">
        <v>650</v>
      </c>
      <c r="F384" s="20">
        <v>2750</v>
      </c>
      <c r="G384" s="20">
        <v>0.35526515653812468</v>
      </c>
      <c r="H384" s="16">
        <f t="shared" ca="1" si="8"/>
        <v>1860</v>
      </c>
    </row>
    <row r="385" spans="4:8" ht="15" thickBot="1" x14ac:dyDescent="0.35">
      <c r="D385" s="20">
        <v>1480</v>
      </c>
      <c r="E385" s="20">
        <v>4850</v>
      </c>
      <c r="F385" s="20">
        <v>2750</v>
      </c>
      <c r="G385" s="20">
        <v>0.35841879075482336</v>
      </c>
      <c r="H385" s="16">
        <f t="shared" ca="1" si="8"/>
        <v>2770</v>
      </c>
    </row>
    <row r="386" spans="4:8" ht="15" thickBot="1" x14ac:dyDescent="0.35">
      <c r="D386" s="20">
        <v>245</v>
      </c>
      <c r="E386" s="20">
        <v>3250</v>
      </c>
      <c r="F386" s="20">
        <v>450</v>
      </c>
      <c r="G386" s="20">
        <v>0.24432830489389229</v>
      </c>
      <c r="H386" s="16">
        <f t="shared" ca="1" si="8"/>
        <v>2613</v>
      </c>
    </row>
    <row r="387" spans="4:8" ht="15" thickBot="1" x14ac:dyDescent="0.35">
      <c r="D387" s="20">
        <v>532</v>
      </c>
      <c r="E387" s="20">
        <v>150</v>
      </c>
      <c r="F387" s="20">
        <v>1050</v>
      </c>
      <c r="G387" s="20">
        <v>0.28176999126824492</v>
      </c>
      <c r="H387" s="16">
        <f t="shared" ca="1" si="8"/>
        <v>2389</v>
      </c>
    </row>
    <row r="388" spans="4:8" ht="15" thickBot="1" x14ac:dyDescent="0.35">
      <c r="D388" s="20">
        <v>1242</v>
      </c>
      <c r="E388" s="43">
        <v>2250</v>
      </c>
      <c r="F388" s="43">
        <v>2350</v>
      </c>
      <c r="G388" s="20">
        <v>0.34119836897789535</v>
      </c>
      <c r="H388" s="16">
        <f t="shared" ca="1" si="8"/>
        <v>727</v>
      </c>
    </row>
    <row r="389" spans="4:8" ht="15" thickBot="1" x14ac:dyDescent="0.35">
      <c r="D389" s="20">
        <v>1372</v>
      </c>
      <c r="E389" s="20">
        <v>4650</v>
      </c>
      <c r="F389" s="20">
        <v>2550</v>
      </c>
      <c r="G389" s="20">
        <v>0.3498738607590936</v>
      </c>
      <c r="H389" s="16">
        <f t="shared" ca="1" si="8"/>
        <v>1472</v>
      </c>
    </row>
    <row r="390" spans="4:8" ht="15" thickBot="1" x14ac:dyDescent="0.35">
      <c r="D390" s="20">
        <v>531</v>
      </c>
      <c r="E390" s="20">
        <v>50</v>
      </c>
      <c r="F390" s="20">
        <v>1050</v>
      </c>
      <c r="G390" s="20">
        <v>0.28173398220593737</v>
      </c>
      <c r="H390" s="16">
        <f t="shared" ca="1" si="8"/>
        <v>822</v>
      </c>
    </row>
    <row r="391" spans="4:8" ht="15" thickBot="1" x14ac:dyDescent="0.35">
      <c r="D391" s="20">
        <v>2088</v>
      </c>
      <c r="E391" s="20">
        <v>2050</v>
      </c>
      <c r="F391" s="20">
        <v>3950</v>
      </c>
      <c r="G391" s="20">
        <v>0.40421290065911031</v>
      </c>
      <c r="H391" s="16">
        <f t="shared" ref="H391:H454" ca="1" si="9">RANDBETWEEN(1,2788)</f>
        <v>2685</v>
      </c>
    </row>
    <row r="392" spans="4:8" ht="15" thickBot="1" x14ac:dyDescent="0.35">
      <c r="D392" s="20">
        <v>203</v>
      </c>
      <c r="E392" s="20">
        <v>4350</v>
      </c>
      <c r="F392" s="20">
        <v>350</v>
      </c>
      <c r="G392" s="20">
        <v>0.23567989755012614</v>
      </c>
      <c r="H392" s="16">
        <f t="shared" ca="1" si="9"/>
        <v>25</v>
      </c>
    </row>
    <row r="393" spans="4:8" ht="15" thickBot="1" x14ac:dyDescent="0.35">
      <c r="D393" s="20">
        <v>2005</v>
      </c>
      <c r="E393" s="20">
        <v>4350</v>
      </c>
      <c r="F393" s="20">
        <v>3750</v>
      </c>
      <c r="G393" s="20">
        <v>0.39645271709196223</v>
      </c>
      <c r="H393" s="16">
        <f t="shared" ca="1" si="9"/>
        <v>2087</v>
      </c>
    </row>
    <row r="394" spans="4:8" ht="15" thickBot="1" x14ac:dyDescent="0.35">
      <c r="D394" s="20">
        <v>2054</v>
      </c>
      <c r="E394" s="20">
        <v>3950</v>
      </c>
      <c r="F394" s="20">
        <v>3850</v>
      </c>
      <c r="G394" s="20">
        <v>0.4002092194114828</v>
      </c>
      <c r="H394" s="16">
        <f t="shared" ca="1" si="9"/>
        <v>1133</v>
      </c>
    </row>
    <row r="395" spans="4:8" ht="15" thickBot="1" x14ac:dyDescent="0.35">
      <c r="D395" s="20">
        <v>406</v>
      </c>
      <c r="E395" s="20">
        <v>3450</v>
      </c>
      <c r="F395" s="20">
        <v>750</v>
      </c>
      <c r="G395" s="20">
        <v>0.26810330040515001</v>
      </c>
      <c r="H395" s="16">
        <f t="shared" ca="1" si="9"/>
        <v>1921</v>
      </c>
    </row>
    <row r="396" spans="4:8" ht="15" thickBot="1" x14ac:dyDescent="0.35">
      <c r="D396" s="20">
        <v>833</v>
      </c>
      <c r="E396" s="48">
        <v>3750</v>
      </c>
      <c r="F396" s="48">
        <v>1550</v>
      </c>
      <c r="G396" s="20">
        <v>0.30907814872181283</v>
      </c>
      <c r="H396" s="16">
        <f t="shared" ca="1" si="9"/>
        <v>841</v>
      </c>
    </row>
    <row r="397" spans="4:8" ht="15" thickBot="1" x14ac:dyDescent="0.35">
      <c r="D397" s="20">
        <v>1956</v>
      </c>
      <c r="E397" s="20">
        <v>4750</v>
      </c>
      <c r="F397" s="20">
        <v>3650</v>
      </c>
      <c r="G397" s="20">
        <v>0.39226486027137836</v>
      </c>
      <c r="H397" s="16">
        <f t="shared" ca="1" si="9"/>
        <v>507</v>
      </c>
    </row>
    <row r="398" spans="4:8" ht="15" thickBot="1" x14ac:dyDescent="0.35">
      <c r="D398" s="20">
        <v>2750</v>
      </c>
      <c r="E398" s="20">
        <v>4650</v>
      </c>
      <c r="F398" s="20">
        <v>5150</v>
      </c>
      <c r="G398" s="20">
        <v>0.51916249410327664</v>
      </c>
      <c r="H398" s="16">
        <f t="shared" ca="1" si="9"/>
        <v>575</v>
      </c>
    </row>
    <row r="399" spans="4:8" ht="15" thickBot="1" x14ac:dyDescent="0.35">
      <c r="D399" s="20">
        <v>1342</v>
      </c>
      <c r="E399" s="20">
        <v>1650</v>
      </c>
      <c r="F399" s="20">
        <v>2550</v>
      </c>
      <c r="G399" s="20">
        <v>0.3487466800985346</v>
      </c>
      <c r="H399" s="16">
        <f t="shared" ca="1" si="9"/>
        <v>2689</v>
      </c>
    </row>
    <row r="400" spans="4:8" ht="15" thickBot="1" x14ac:dyDescent="0.35">
      <c r="D400" s="20">
        <v>1409</v>
      </c>
      <c r="E400" s="20">
        <v>3050</v>
      </c>
      <c r="F400" s="20">
        <v>2650</v>
      </c>
      <c r="G400" s="20">
        <v>0.35334079975916399</v>
      </c>
      <c r="H400" s="16">
        <f t="shared" ca="1" si="9"/>
        <v>645</v>
      </c>
    </row>
    <row r="401" spans="4:8" ht="15" thickBot="1" x14ac:dyDescent="0.35">
      <c r="D401" s="20">
        <v>2775</v>
      </c>
      <c r="E401" s="20">
        <v>1850</v>
      </c>
      <c r="F401" s="20">
        <v>5250</v>
      </c>
      <c r="G401" s="20">
        <v>0.54267924634435949</v>
      </c>
      <c r="H401" s="16">
        <f t="shared" ca="1" si="9"/>
        <v>2044</v>
      </c>
    </row>
    <row r="402" spans="4:8" ht="15" thickBot="1" x14ac:dyDescent="0.35">
      <c r="D402" s="20">
        <v>2149</v>
      </c>
      <c r="E402" s="20">
        <v>2850</v>
      </c>
      <c r="F402" s="20">
        <v>4050</v>
      </c>
      <c r="G402" s="20">
        <v>0.41034605817919945</v>
      </c>
      <c r="H402" s="16">
        <f t="shared" ca="1" si="9"/>
        <v>405</v>
      </c>
    </row>
    <row r="403" spans="4:8" ht="15" thickBot="1" x14ac:dyDescent="0.35">
      <c r="D403" s="20">
        <v>416</v>
      </c>
      <c r="E403" s="20">
        <v>4450</v>
      </c>
      <c r="F403" s="20">
        <v>750</v>
      </c>
      <c r="G403" s="20">
        <v>0.26978850483596811</v>
      </c>
      <c r="H403" s="16">
        <f t="shared" ca="1" si="9"/>
        <v>2756</v>
      </c>
    </row>
    <row r="404" spans="4:8" ht="15" thickBot="1" x14ac:dyDescent="0.35">
      <c r="D404" s="20">
        <v>1434</v>
      </c>
      <c r="E404" s="20">
        <v>250</v>
      </c>
      <c r="F404" s="20">
        <v>2750</v>
      </c>
      <c r="G404" s="20">
        <v>0.35519403760040097</v>
      </c>
      <c r="H404" s="16">
        <f t="shared" ca="1" si="9"/>
        <v>301</v>
      </c>
    </row>
    <row r="405" spans="4:8" ht="15" thickBot="1" x14ac:dyDescent="0.35">
      <c r="D405" s="20">
        <v>605</v>
      </c>
      <c r="E405" s="20">
        <v>2150</v>
      </c>
      <c r="F405" s="20">
        <v>1150</v>
      </c>
      <c r="G405" s="20">
        <v>0.28924486701010677</v>
      </c>
      <c r="H405" s="16">
        <f t="shared" ca="1" si="9"/>
        <v>607</v>
      </c>
    </row>
    <row r="406" spans="4:8" ht="15" thickBot="1" x14ac:dyDescent="0.35">
      <c r="D406" s="20">
        <v>2430</v>
      </c>
      <c r="E406" s="20">
        <v>4450</v>
      </c>
      <c r="F406" s="20">
        <v>4550</v>
      </c>
      <c r="G406" s="20">
        <v>0.43834273289044307</v>
      </c>
      <c r="H406" s="16">
        <f t="shared" ca="1" si="9"/>
        <v>165</v>
      </c>
    </row>
    <row r="407" spans="4:8" ht="15" thickBot="1" x14ac:dyDescent="0.35">
      <c r="D407" s="20">
        <v>2070</v>
      </c>
      <c r="E407" s="44">
        <v>250</v>
      </c>
      <c r="F407" s="44">
        <v>3950</v>
      </c>
      <c r="G407" s="20">
        <v>0.40281958883981595</v>
      </c>
      <c r="H407" s="16">
        <f t="shared" ca="1" si="9"/>
        <v>2347</v>
      </c>
    </row>
    <row r="408" spans="4:8" ht="15" thickBot="1" x14ac:dyDescent="0.35">
      <c r="D408" s="20">
        <v>2067</v>
      </c>
      <c r="E408" s="44">
        <v>5250</v>
      </c>
      <c r="F408" s="44">
        <v>3850</v>
      </c>
      <c r="G408" s="20">
        <v>0.40252950005107918</v>
      </c>
      <c r="H408" s="16">
        <f t="shared" ca="1" si="9"/>
        <v>1821</v>
      </c>
    </row>
    <row r="409" spans="4:8" ht="15" thickBot="1" x14ac:dyDescent="0.35">
      <c r="D409" s="20">
        <v>1747</v>
      </c>
      <c r="E409" s="44">
        <v>5050</v>
      </c>
      <c r="F409" s="44">
        <v>3250</v>
      </c>
      <c r="G409" s="20">
        <v>0.37760475038718649</v>
      </c>
      <c r="H409" s="16">
        <f t="shared" ca="1" si="9"/>
        <v>1607</v>
      </c>
    </row>
    <row r="410" spans="4:8" ht="15" thickBot="1" x14ac:dyDescent="0.35">
      <c r="D410" s="20">
        <v>24</v>
      </c>
      <c r="E410" s="20">
        <v>2350</v>
      </c>
      <c r="F410" s="20">
        <v>50</v>
      </c>
      <c r="G410" s="20">
        <v>0.16705315988024144</v>
      </c>
      <c r="H410" s="16">
        <f t="shared" ca="1" si="9"/>
        <v>708</v>
      </c>
    </row>
    <row r="411" spans="4:8" ht="15" thickBot="1" x14ac:dyDescent="0.35">
      <c r="D411" s="20">
        <v>124</v>
      </c>
      <c r="E411" s="20">
        <v>1750</v>
      </c>
      <c r="F411" s="20">
        <v>250</v>
      </c>
      <c r="G411" s="20">
        <v>0.21784199611061322</v>
      </c>
      <c r="H411" s="16">
        <f t="shared" ca="1" si="9"/>
        <v>2637</v>
      </c>
    </row>
    <row r="412" spans="4:8" ht="15" thickBot="1" x14ac:dyDescent="0.35">
      <c r="D412" s="20">
        <v>490</v>
      </c>
      <c r="E412" s="20">
        <v>1250</v>
      </c>
      <c r="F412" s="20">
        <v>950</v>
      </c>
      <c r="G412" s="20">
        <v>0.27759988910271527</v>
      </c>
      <c r="H412" s="16">
        <f t="shared" ca="1" si="9"/>
        <v>1005</v>
      </c>
    </row>
    <row r="413" spans="4:8" ht="15" thickBot="1" x14ac:dyDescent="0.35">
      <c r="D413" s="20">
        <v>405</v>
      </c>
      <c r="E413" s="20">
        <v>3350</v>
      </c>
      <c r="F413" s="20">
        <v>750</v>
      </c>
      <c r="G413" s="20">
        <v>0.26780406613549057</v>
      </c>
      <c r="H413" s="16">
        <f t="shared" ca="1" si="9"/>
        <v>2750</v>
      </c>
    </row>
    <row r="414" spans="4:8" ht="15" thickBot="1" x14ac:dyDescent="0.35">
      <c r="D414" s="20">
        <v>1300</v>
      </c>
      <c r="E414" s="20">
        <v>2750</v>
      </c>
      <c r="F414" s="20">
        <v>2450</v>
      </c>
      <c r="G414" s="20">
        <v>0.34570172874653876</v>
      </c>
      <c r="H414" s="16">
        <f t="shared" ca="1" si="9"/>
        <v>1062</v>
      </c>
    </row>
    <row r="415" spans="4:8" ht="15" thickBot="1" x14ac:dyDescent="0.35">
      <c r="D415" s="20">
        <v>2204</v>
      </c>
      <c r="E415" s="20">
        <v>3050</v>
      </c>
      <c r="F415" s="20">
        <v>4150</v>
      </c>
      <c r="G415" s="20">
        <v>0.4152648200874608</v>
      </c>
      <c r="H415" s="16">
        <f t="shared" ca="1" si="9"/>
        <v>2445</v>
      </c>
    </row>
    <row r="416" spans="4:8" ht="15" thickBot="1" x14ac:dyDescent="0.35">
      <c r="D416" s="20">
        <v>156</v>
      </c>
      <c r="E416" s="20">
        <v>4950</v>
      </c>
      <c r="F416" s="20">
        <v>250</v>
      </c>
      <c r="G416" s="20">
        <v>0.22353088496396786</v>
      </c>
      <c r="H416" s="16">
        <f t="shared" ca="1" si="9"/>
        <v>43</v>
      </c>
    </row>
    <row r="417" spans="4:8" ht="15" thickBot="1" x14ac:dyDescent="0.35">
      <c r="D417" s="20">
        <v>1720</v>
      </c>
      <c r="E417" s="20">
        <v>2350</v>
      </c>
      <c r="F417" s="20">
        <v>3250</v>
      </c>
      <c r="G417" s="20">
        <v>0.37569424493344866</v>
      </c>
      <c r="H417" s="16">
        <f t="shared" ca="1" si="9"/>
        <v>2384</v>
      </c>
    </row>
    <row r="418" spans="4:8" ht="15" thickBot="1" x14ac:dyDescent="0.35">
      <c r="D418" s="20">
        <v>1447</v>
      </c>
      <c r="E418" s="20">
        <v>1550</v>
      </c>
      <c r="F418" s="20">
        <v>2750</v>
      </c>
      <c r="G418" s="20">
        <v>0.35567816730084667</v>
      </c>
      <c r="H418" s="16">
        <f t="shared" ca="1" si="9"/>
        <v>1891</v>
      </c>
    </row>
    <row r="419" spans="4:8" ht="15" thickBot="1" x14ac:dyDescent="0.35">
      <c r="D419" s="20">
        <v>1721</v>
      </c>
      <c r="E419" s="20">
        <v>2450</v>
      </c>
      <c r="F419" s="20">
        <v>3250</v>
      </c>
      <c r="G419" s="20">
        <v>0.37578713110608314</v>
      </c>
      <c r="H419" s="16">
        <f t="shared" ca="1" si="9"/>
        <v>873</v>
      </c>
    </row>
    <row r="420" spans="4:8" ht="15" thickBot="1" x14ac:dyDescent="0.35">
      <c r="D420" s="20">
        <v>2373</v>
      </c>
      <c r="E420" s="20">
        <v>4050</v>
      </c>
      <c r="F420" s="20">
        <v>4450</v>
      </c>
      <c r="G420" s="20">
        <v>0.43176785884557867</v>
      </c>
      <c r="H420" s="16">
        <f t="shared" ca="1" si="9"/>
        <v>2266</v>
      </c>
    </row>
    <row r="421" spans="4:8" ht="15" thickBot="1" x14ac:dyDescent="0.35">
      <c r="D421" s="20">
        <v>2694</v>
      </c>
      <c r="E421" s="20">
        <v>4350</v>
      </c>
      <c r="F421" s="20">
        <v>5050</v>
      </c>
      <c r="G421" s="20">
        <v>0.49166048336713641</v>
      </c>
      <c r="H421" s="16">
        <f t="shared" ca="1" si="9"/>
        <v>2403</v>
      </c>
    </row>
    <row r="422" spans="4:8" ht="15" thickBot="1" x14ac:dyDescent="0.35">
      <c r="D422" s="20">
        <v>1322</v>
      </c>
      <c r="E422" s="20">
        <v>4950</v>
      </c>
      <c r="F422" s="20">
        <v>2450</v>
      </c>
      <c r="G422" s="20">
        <v>0.34737509158133434</v>
      </c>
      <c r="H422" s="16">
        <f t="shared" ca="1" si="9"/>
        <v>50</v>
      </c>
    </row>
    <row r="423" spans="4:8" ht="15" thickBot="1" x14ac:dyDescent="0.35">
      <c r="D423" s="20">
        <v>2506</v>
      </c>
      <c r="E423" s="20">
        <v>1450</v>
      </c>
      <c r="F423" s="20">
        <v>4750</v>
      </c>
      <c r="G423" s="20">
        <v>0.4485803708577355</v>
      </c>
      <c r="H423" s="16">
        <f t="shared" ca="1" si="9"/>
        <v>1077</v>
      </c>
    </row>
    <row r="424" spans="4:8" ht="15" thickBot="1" x14ac:dyDescent="0.35">
      <c r="D424" s="20">
        <v>446</v>
      </c>
      <c r="E424" s="20">
        <v>2150</v>
      </c>
      <c r="F424" s="20">
        <v>850</v>
      </c>
      <c r="G424" s="20">
        <v>0.27305502252291514</v>
      </c>
      <c r="H424" s="16">
        <f t="shared" ca="1" si="9"/>
        <v>592</v>
      </c>
    </row>
    <row r="425" spans="4:8" ht="15" thickBot="1" x14ac:dyDescent="0.35">
      <c r="D425" s="20">
        <v>2259</v>
      </c>
      <c r="E425" s="20">
        <v>3250</v>
      </c>
      <c r="F425" s="20">
        <v>4250</v>
      </c>
      <c r="G425" s="20">
        <v>0.42108946669526576</v>
      </c>
      <c r="H425" s="16">
        <f t="shared" ca="1" si="9"/>
        <v>2343</v>
      </c>
    </row>
    <row r="426" spans="4:8" ht="15" thickBot="1" x14ac:dyDescent="0.35">
      <c r="D426" s="20">
        <v>1868</v>
      </c>
      <c r="E426" s="20">
        <v>1250</v>
      </c>
      <c r="F426" s="20">
        <v>3550</v>
      </c>
      <c r="G426" s="20">
        <v>0.38610631687081232</v>
      </c>
      <c r="H426" s="16">
        <f t="shared" ca="1" si="9"/>
        <v>256</v>
      </c>
    </row>
    <row r="427" spans="4:8" ht="15" thickBot="1" x14ac:dyDescent="0.35">
      <c r="D427" s="20">
        <v>2470</v>
      </c>
      <c r="E427" s="20">
        <v>3150</v>
      </c>
      <c r="F427" s="20">
        <v>4650</v>
      </c>
      <c r="G427" s="20">
        <v>0.44308426319072763</v>
      </c>
      <c r="H427" s="16">
        <f t="shared" ca="1" si="9"/>
        <v>1562</v>
      </c>
    </row>
    <row r="428" spans="4:8" ht="15" thickBot="1" x14ac:dyDescent="0.35">
      <c r="D428" s="20">
        <v>2014</v>
      </c>
      <c r="E428" s="20">
        <v>5250</v>
      </c>
      <c r="F428" s="20">
        <v>3750</v>
      </c>
      <c r="G428" s="20">
        <v>0.39686258128189866</v>
      </c>
      <c r="H428" s="16">
        <f t="shared" ca="1" si="9"/>
        <v>629</v>
      </c>
    </row>
    <row r="429" spans="4:8" ht="15" thickBot="1" x14ac:dyDescent="0.35">
      <c r="D429" s="20">
        <v>1222</v>
      </c>
      <c r="E429" s="20">
        <v>250</v>
      </c>
      <c r="F429" s="20">
        <v>2350</v>
      </c>
      <c r="G429" s="20">
        <v>0.33942394413151933</v>
      </c>
      <c r="H429" s="16">
        <f t="shared" ca="1" si="9"/>
        <v>2461</v>
      </c>
    </row>
    <row r="430" spans="4:8" ht="15" thickBot="1" x14ac:dyDescent="0.35">
      <c r="D430" s="20">
        <v>1373</v>
      </c>
      <c r="E430" s="20">
        <v>4750</v>
      </c>
      <c r="F430" s="20">
        <v>2550</v>
      </c>
      <c r="G430" s="20">
        <v>0.34994401044170048</v>
      </c>
      <c r="H430" s="16">
        <f t="shared" ca="1" si="9"/>
        <v>2113</v>
      </c>
    </row>
    <row r="431" spans="4:8" ht="15" thickBot="1" x14ac:dyDescent="0.35">
      <c r="D431" s="20">
        <v>283</v>
      </c>
      <c r="E431" s="20">
        <v>1750</v>
      </c>
      <c r="F431" s="20">
        <v>550</v>
      </c>
      <c r="G431" s="20">
        <v>0.25030760047110923</v>
      </c>
      <c r="H431" s="16">
        <f t="shared" ca="1" si="9"/>
        <v>2427</v>
      </c>
    </row>
    <row r="432" spans="4:8" ht="15" thickBot="1" x14ac:dyDescent="0.35">
      <c r="D432" s="20">
        <v>1386</v>
      </c>
      <c r="E432" s="20">
        <v>750</v>
      </c>
      <c r="F432" s="20">
        <v>2650</v>
      </c>
      <c r="G432" s="20">
        <v>0.3506765381653339</v>
      </c>
      <c r="H432" s="16">
        <f t="shared" ca="1" si="9"/>
        <v>1475</v>
      </c>
    </row>
    <row r="433" spans="4:8" ht="15" thickBot="1" x14ac:dyDescent="0.35">
      <c r="D433" s="20">
        <v>1618</v>
      </c>
      <c r="E433" s="20">
        <v>2750</v>
      </c>
      <c r="F433" s="20">
        <v>3050</v>
      </c>
      <c r="G433" s="20">
        <v>0.36825144691500339</v>
      </c>
      <c r="H433" s="16">
        <f t="shared" ca="1" si="9"/>
        <v>1942</v>
      </c>
    </row>
    <row r="434" spans="4:8" ht="15" thickBot="1" x14ac:dyDescent="0.35">
      <c r="D434" s="20">
        <v>1412</v>
      </c>
      <c r="E434" s="20">
        <v>3350</v>
      </c>
      <c r="F434" s="20">
        <v>2650</v>
      </c>
      <c r="G434" s="20">
        <v>0.35347770320017058</v>
      </c>
      <c r="H434" s="16">
        <f t="shared" ca="1" si="9"/>
        <v>2410</v>
      </c>
    </row>
    <row r="435" spans="4:8" ht="15" thickBot="1" x14ac:dyDescent="0.35">
      <c r="D435" s="20">
        <v>2423</v>
      </c>
      <c r="E435" s="20">
        <v>3750</v>
      </c>
      <c r="F435" s="20">
        <v>4550</v>
      </c>
      <c r="G435" s="20">
        <v>0.43787015670656931</v>
      </c>
      <c r="H435" s="16">
        <f t="shared" ca="1" si="9"/>
        <v>1646</v>
      </c>
    </row>
    <row r="436" spans="4:8" ht="15" thickBot="1" x14ac:dyDescent="0.35">
      <c r="D436" s="20">
        <v>539</v>
      </c>
      <c r="E436" s="20">
        <v>850</v>
      </c>
      <c r="F436" s="20">
        <v>1050</v>
      </c>
      <c r="G436" s="20">
        <v>0.28213271321944067</v>
      </c>
      <c r="H436" s="16">
        <f t="shared" ca="1" si="9"/>
        <v>1070</v>
      </c>
    </row>
    <row r="437" spans="4:8" ht="15" thickBot="1" x14ac:dyDescent="0.35">
      <c r="D437" s="20">
        <v>2562</v>
      </c>
      <c r="E437" s="20">
        <v>1750</v>
      </c>
      <c r="F437" s="20">
        <v>4850</v>
      </c>
      <c r="G437" s="20">
        <v>0.45809759049189214</v>
      </c>
      <c r="H437" s="16">
        <f t="shared" ca="1" si="9"/>
        <v>101</v>
      </c>
    </row>
    <row r="438" spans="4:8" ht="15" thickBot="1" x14ac:dyDescent="0.35">
      <c r="D438" s="20">
        <v>962</v>
      </c>
      <c r="E438" s="20">
        <v>750</v>
      </c>
      <c r="F438" s="20">
        <v>1850</v>
      </c>
      <c r="G438" s="20">
        <v>0.31936249590362364</v>
      </c>
      <c r="H438" s="16">
        <f t="shared" ca="1" si="9"/>
        <v>807</v>
      </c>
    </row>
    <row r="439" spans="4:8" ht="15" thickBot="1" x14ac:dyDescent="0.35">
      <c r="D439" s="20">
        <v>27</v>
      </c>
      <c r="E439" s="20">
        <v>2650</v>
      </c>
      <c r="F439" s="20">
        <v>50</v>
      </c>
      <c r="G439" s="20">
        <v>0.1702942516573813</v>
      </c>
      <c r="H439" s="16">
        <f t="shared" ca="1" si="9"/>
        <v>2304</v>
      </c>
    </row>
    <row r="440" spans="4:8" ht="15" thickBot="1" x14ac:dyDescent="0.35">
      <c r="D440" s="20">
        <v>1724</v>
      </c>
      <c r="E440" s="20">
        <v>2750</v>
      </c>
      <c r="F440" s="20">
        <v>3250</v>
      </c>
      <c r="G440" s="20">
        <v>0.37610738392273801</v>
      </c>
      <c r="H440" s="16">
        <f t="shared" ca="1" si="9"/>
        <v>2580</v>
      </c>
    </row>
    <row r="441" spans="4:8" ht="15" thickBot="1" x14ac:dyDescent="0.35">
      <c r="D441" s="20">
        <v>1254</v>
      </c>
      <c r="E441" s="20">
        <v>3450</v>
      </c>
      <c r="F441" s="20">
        <v>2350</v>
      </c>
      <c r="G441" s="20">
        <v>0.34199143234942603</v>
      </c>
      <c r="H441" s="16">
        <f t="shared" ca="1" si="9"/>
        <v>2372</v>
      </c>
    </row>
    <row r="442" spans="4:8" ht="15" thickBot="1" x14ac:dyDescent="0.35">
      <c r="D442" s="20">
        <v>746</v>
      </c>
      <c r="E442" s="20">
        <v>350</v>
      </c>
      <c r="F442" s="20">
        <v>1450</v>
      </c>
      <c r="G442" s="20">
        <v>0.30170423066469249</v>
      </c>
      <c r="H442" s="16">
        <f t="shared" ca="1" si="9"/>
        <v>2085</v>
      </c>
    </row>
    <row r="443" spans="4:8" ht="15" thickBot="1" x14ac:dyDescent="0.35">
      <c r="D443" s="20">
        <v>1365</v>
      </c>
      <c r="E443" s="20">
        <v>3950</v>
      </c>
      <c r="F443" s="20">
        <v>2550</v>
      </c>
      <c r="G443" s="20">
        <v>0.34962603180903246</v>
      </c>
      <c r="H443" s="16">
        <f t="shared" ca="1" si="9"/>
        <v>2637</v>
      </c>
    </row>
    <row r="444" spans="4:8" ht="15" thickBot="1" x14ac:dyDescent="0.35">
      <c r="D444" s="20">
        <v>2580</v>
      </c>
      <c r="E444" s="20">
        <v>3550</v>
      </c>
      <c r="F444" s="20">
        <v>4850</v>
      </c>
      <c r="G444" s="20">
        <v>0.46270878431628437</v>
      </c>
      <c r="H444" s="16">
        <f t="shared" ca="1" si="9"/>
        <v>1077</v>
      </c>
    </row>
    <row r="445" spans="4:8" ht="15" thickBot="1" x14ac:dyDescent="0.35">
      <c r="D445" s="20">
        <v>2063</v>
      </c>
      <c r="E445" s="47">
        <v>4850</v>
      </c>
      <c r="F445" s="47">
        <v>3850</v>
      </c>
      <c r="G445" s="20">
        <v>0.40203686196747179</v>
      </c>
      <c r="H445" s="16">
        <f t="shared" ca="1" si="9"/>
        <v>1248</v>
      </c>
    </row>
    <row r="446" spans="4:8" ht="15" thickBot="1" x14ac:dyDescent="0.35">
      <c r="D446" s="20">
        <v>330</v>
      </c>
      <c r="E446" s="20">
        <v>1150</v>
      </c>
      <c r="F446" s="20">
        <v>650</v>
      </c>
      <c r="G446" s="20">
        <v>0.2581580971484258</v>
      </c>
      <c r="H446" s="16">
        <f t="shared" ca="1" si="9"/>
        <v>2719</v>
      </c>
    </row>
    <row r="447" spans="4:8" ht="15" thickBot="1" x14ac:dyDescent="0.35">
      <c r="D447" s="20">
        <v>295</v>
      </c>
      <c r="E447" s="43">
        <v>2950</v>
      </c>
      <c r="F447" s="43">
        <v>550</v>
      </c>
      <c r="G447" s="20">
        <v>0.25239643397689421</v>
      </c>
      <c r="H447" s="16">
        <f t="shared" ca="1" si="9"/>
        <v>69</v>
      </c>
    </row>
    <row r="448" spans="4:8" ht="15" thickBot="1" x14ac:dyDescent="0.35">
      <c r="D448" s="20">
        <v>537</v>
      </c>
      <c r="E448" s="20">
        <v>650</v>
      </c>
      <c r="F448" s="20">
        <v>1050</v>
      </c>
      <c r="G448" s="20">
        <v>0.28208800131905554</v>
      </c>
      <c r="H448" s="16">
        <f t="shared" ca="1" si="9"/>
        <v>2342</v>
      </c>
    </row>
    <row r="449" spans="4:8" ht="15" thickBot="1" x14ac:dyDescent="0.35">
      <c r="D449" s="20">
        <v>1840</v>
      </c>
      <c r="E449" s="45">
        <v>3750</v>
      </c>
      <c r="F449" s="45">
        <v>3450</v>
      </c>
      <c r="G449" s="20">
        <v>0.3836242279973443</v>
      </c>
      <c r="H449" s="16">
        <f t="shared" ca="1" si="9"/>
        <v>2687</v>
      </c>
    </row>
    <row r="450" spans="4:8" ht="15" thickBot="1" x14ac:dyDescent="0.35">
      <c r="D450" s="20">
        <v>2032</v>
      </c>
      <c r="E450" s="20">
        <v>1750</v>
      </c>
      <c r="F450" s="20">
        <v>3850</v>
      </c>
      <c r="G450" s="20">
        <v>0.39794768058038393</v>
      </c>
      <c r="H450" s="16">
        <f t="shared" ca="1" si="9"/>
        <v>1004</v>
      </c>
    </row>
    <row r="451" spans="4:8" ht="15" thickBot="1" x14ac:dyDescent="0.35">
      <c r="D451" s="20">
        <v>210</v>
      </c>
      <c r="E451" s="20">
        <v>5050</v>
      </c>
      <c r="F451" s="20">
        <v>350</v>
      </c>
      <c r="G451" s="20">
        <v>0.23827405802156476</v>
      </c>
      <c r="H451" s="16">
        <f t="shared" ca="1" si="9"/>
        <v>1060</v>
      </c>
    </row>
    <row r="452" spans="4:8" ht="15" thickBot="1" x14ac:dyDescent="0.35">
      <c r="D452" s="20">
        <v>2229</v>
      </c>
      <c r="E452" s="48">
        <v>250</v>
      </c>
      <c r="F452" s="48">
        <v>4250</v>
      </c>
      <c r="G452" s="20">
        <v>0.41843646661131306</v>
      </c>
      <c r="H452" s="16">
        <f t="shared" ca="1" si="9"/>
        <v>1157</v>
      </c>
    </row>
    <row r="453" spans="4:8" ht="15" thickBot="1" x14ac:dyDescent="0.35">
      <c r="D453" s="20">
        <v>517</v>
      </c>
      <c r="E453" s="20">
        <v>3950</v>
      </c>
      <c r="F453" s="20">
        <v>950</v>
      </c>
      <c r="G453" s="20">
        <v>0.28043413754630198</v>
      </c>
      <c r="H453" s="16">
        <f t="shared" ca="1" si="9"/>
        <v>2611</v>
      </c>
    </row>
    <row r="454" spans="4:8" ht="15" thickBot="1" x14ac:dyDescent="0.35">
      <c r="D454" s="20">
        <v>847</v>
      </c>
      <c r="E454" s="44">
        <v>5150</v>
      </c>
      <c r="F454" s="44">
        <v>1550</v>
      </c>
      <c r="G454" s="20">
        <v>0.31012129308587388</v>
      </c>
      <c r="H454" s="16">
        <f t="shared" ca="1" si="9"/>
        <v>1351</v>
      </c>
    </row>
    <row r="455" spans="4:8" ht="15" thickBot="1" x14ac:dyDescent="0.35">
      <c r="D455" s="20">
        <v>194</v>
      </c>
      <c r="E455" s="20">
        <v>3450</v>
      </c>
      <c r="F455" s="20">
        <v>350</v>
      </c>
      <c r="G455" s="20">
        <v>0.23392925598382197</v>
      </c>
      <c r="H455" s="16">
        <f t="shared" ref="H455:H518" ca="1" si="10">RANDBETWEEN(1,2788)</f>
        <v>1329</v>
      </c>
    </row>
    <row r="456" spans="4:8" ht="15" thickBot="1" x14ac:dyDescent="0.35">
      <c r="D456" s="20">
        <v>1826</v>
      </c>
      <c r="E456" s="20">
        <v>2350</v>
      </c>
      <c r="F456" s="20">
        <v>3450</v>
      </c>
      <c r="G456" s="20">
        <v>0.38251445861482491</v>
      </c>
      <c r="H456" s="16">
        <f t="shared" ca="1" si="10"/>
        <v>1731</v>
      </c>
    </row>
    <row r="457" spans="4:8" ht="15" thickBot="1" x14ac:dyDescent="0.35">
      <c r="D457" s="20">
        <v>1565</v>
      </c>
      <c r="E457" s="20">
        <v>2750</v>
      </c>
      <c r="F457" s="20">
        <v>2950</v>
      </c>
      <c r="G457" s="20">
        <v>0.36440423207280775</v>
      </c>
      <c r="H457" s="16">
        <f t="shared" ca="1" si="10"/>
        <v>873</v>
      </c>
    </row>
    <row r="458" spans="4:8" ht="15" thickBot="1" x14ac:dyDescent="0.35">
      <c r="D458" s="20">
        <v>430</v>
      </c>
      <c r="E458" s="20">
        <v>550</v>
      </c>
      <c r="F458" s="20">
        <v>850</v>
      </c>
      <c r="G458" s="20">
        <v>0.27121197548361831</v>
      </c>
      <c r="H458" s="16">
        <f t="shared" ca="1" si="10"/>
        <v>768</v>
      </c>
    </row>
    <row r="459" spans="4:8" ht="15" thickBot="1" x14ac:dyDescent="0.35">
      <c r="D459" s="20">
        <v>19</v>
      </c>
      <c r="E459" s="20">
        <v>1850</v>
      </c>
      <c r="F459" s="20">
        <v>50</v>
      </c>
      <c r="G459" s="20">
        <v>0.15600186198547178</v>
      </c>
      <c r="H459" s="16">
        <f t="shared" ca="1" si="10"/>
        <v>1540</v>
      </c>
    </row>
    <row r="460" spans="4:8" ht="15" thickBot="1" x14ac:dyDescent="0.35">
      <c r="D460" s="20">
        <v>83</v>
      </c>
      <c r="E460" s="20">
        <v>2950</v>
      </c>
      <c r="F460" s="20">
        <v>150</v>
      </c>
      <c r="G460" s="20">
        <v>0.20379350692366741</v>
      </c>
      <c r="H460" s="16">
        <f t="shared" ca="1" si="10"/>
        <v>1969</v>
      </c>
    </row>
    <row r="461" spans="4:8" ht="15" thickBot="1" x14ac:dyDescent="0.35">
      <c r="D461" s="20">
        <v>2766</v>
      </c>
      <c r="E461" s="20">
        <v>950</v>
      </c>
      <c r="F461" s="20">
        <v>5250</v>
      </c>
      <c r="G461" s="20">
        <v>0.53078704711394642</v>
      </c>
      <c r="H461" s="16">
        <f t="shared" ca="1" si="10"/>
        <v>2527</v>
      </c>
    </row>
    <row r="462" spans="4:8" ht="15" thickBot="1" x14ac:dyDescent="0.35">
      <c r="D462" s="20">
        <v>975</v>
      </c>
      <c r="E462" s="20">
        <v>2050</v>
      </c>
      <c r="F462" s="20">
        <v>1850</v>
      </c>
      <c r="G462" s="20">
        <v>0.32026803247509911</v>
      </c>
      <c r="H462" s="16">
        <f t="shared" ca="1" si="10"/>
        <v>1722</v>
      </c>
    </row>
    <row r="463" spans="4:8" ht="15" thickBot="1" x14ac:dyDescent="0.35">
      <c r="D463" s="20">
        <v>1764</v>
      </c>
      <c r="E463" s="20">
        <v>1450</v>
      </c>
      <c r="F463" s="20">
        <v>3350</v>
      </c>
      <c r="G463" s="20">
        <v>0.37849394906323131</v>
      </c>
      <c r="H463" s="16">
        <f t="shared" ca="1" si="10"/>
        <v>742</v>
      </c>
    </row>
    <row r="464" spans="4:8" ht="15" thickBot="1" x14ac:dyDescent="0.35">
      <c r="D464" s="20">
        <v>1198</v>
      </c>
      <c r="E464" s="45">
        <v>3150</v>
      </c>
      <c r="F464" s="45">
        <v>2250</v>
      </c>
      <c r="G464" s="20">
        <v>0.33771823908361182</v>
      </c>
      <c r="H464" s="16">
        <f t="shared" ca="1" si="10"/>
        <v>1735</v>
      </c>
    </row>
    <row r="465" spans="4:8" ht="15" thickBot="1" x14ac:dyDescent="0.35">
      <c r="D465" s="20">
        <v>174</v>
      </c>
      <c r="E465" s="45">
        <v>1450</v>
      </c>
      <c r="F465" s="45">
        <v>350</v>
      </c>
      <c r="G465" s="20">
        <v>0.22694420792598691</v>
      </c>
      <c r="H465" s="16">
        <f t="shared" ca="1" si="10"/>
        <v>1222</v>
      </c>
    </row>
    <row r="466" spans="4:8" ht="15" thickBot="1" x14ac:dyDescent="0.35">
      <c r="D466" s="20">
        <v>1510</v>
      </c>
      <c r="E466" s="20">
        <v>2550</v>
      </c>
      <c r="F466" s="20">
        <v>2850</v>
      </c>
      <c r="G466" s="20">
        <v>0.36075674901197841</v>
      </c>
      <c r="H466" s="16">
        <f t="shared" ca="1" si="10"/>
        <v>1401</v>
      </c>
    </row>
    <row r="467" spans="4:8" ht="15" thickBot="1" x14ac:dyDescent="0.35">
      <c r="D467" s="20">
        <v>388</v>
      </c>
      <c r="E467" s="20">
        <v>1650</v>
      </c>
      <c r="F467" s="20">
        <v>750</v>
      </c>
      <c r="G467" s="20">
        <v>0.26607801051944613</v>
      </c>
      <c r="H467" s="16">
        <f t="shared" ca="1" si="10"/>
        <v>8</v>
      </c>
    </row>
    <row r="468" spans="4:8" ht="15" thickBot="1" x14ac:dyDescent="0.35">
      <c r="D468" s="20">
        <v>1060</v>
      </c>
      <c r="E468" s="20">
        <v>5250</v>
      </c>
      <c r="F468" s="20">
        <v>1950</v>
      </c>
      <c r="G468" s="20">
        <v>0.32712792364198034</v>
      </c>
      <c r="H468" s="16">
        <f t="shared" ca="1" si="10"/>
        <v>2703</v>
      </c>
    </row>
    <row r="469" spans="4:8" ht="15" thickBot="1" x14ac:dyDescent="0.35">
      <c r="D469" s="20">
        <v>1466</v>
      </c>
      <c r="E469" s="43">
        <v>3450</v>
      </c>
      <c r="F469" s="43">
        <v>2750</v>
      </c>
      <c r="G469" s="20">
        <v>0.35708924751714111</v>
      </c>
      <c r="H469" s="16">
        <f t="shared" ca="1" si="10"/>
        <v>628</v>
      </c>
    </row>
    <row r="470" spans="4:8" ht="15" thickBot="1" x14ac:dyDescent="0.35">
      <c r="D470" s="20">
        <v>1248</v>
      </c>
      <c r="E470" s="43">
        <v>2850</v>
      </c>
      <c r="F470" s="43">
        <v>2350</v>
      </c>
      <c r="G470" s="20">
        <v>0.34145240340387112</v>
      </c>
      <c r="H470" s="16">
        <f t="shared" ca="1" si="10"/>
        <v>1119</v>
      </c>
    </row>
    <row r="471" spans="4:8" ht="15" thickBot="1" x14ac:dyDescent="0.35">
      <c r="D471" s="20">
        <v>1163</v>
      </c>
      <c r="E471" s="20">
        <v>4950</v>
      </c>
      <c r="F471" s="20">
        <v>2150</v>
      </c>
      <c r="G471" s="20">
        <v>0.3350193225373938</v>
      </c>
      <c r="H471" s="16">
        <f t="shared" ca="1" si="10"/>
        <v>241</v>
      </c>
    </row>
    <row r="472" spans="4:8" ht="15" thickBot="1" x14ac:dyDescent="0.35">
      <c r="D472" s="20">
        <v>558</v>
      </c>
      <c r="E472" s="20">
        <v>2750</v>
      </c>
      <c r="F472" s="20">
        <v>1050</v>
      </c>
      <c r="G472" s="20">
        <v>0.28451848763144738</v>
      </c>
      <c r="H472" s="16">
        <f t="shared" ca="1" si="10"/>
        <v>134</v>
      </c>
    </row>
    <row r="473" spans="4:8" ht="15" thickBot="1" x14ac:dyDescent="0.35">
      <c r="D473" s="20">
        <v>2135</v>
      </c>
      <c r="E473" s="20">
        <v>1450</v>
      </c>
      <c r="F473" s="20">
        <v>4050</v>
      </c>
      <c r="G473" s="20">
        <v>0.40898927791698858</v>
      </c>
      <c r="H473" s="16">
        <f t="shared" ca="1" si="10"/>
        <v>1394</v>
      </c>
    </row>
    <row r="474" spans="4:8" ht="15" thickBot="1" x14ac:dyDescent="0.35">
      <c r="D474" s="20">
        <v>2769</v>
      </c>
      <c r="E474" s="20">
        <v>1250</v>
      </c>
      <c r="F474" s="20">
        <v>5250</v>
      </c>
      <c r="G474" s="20">
        <v>0.53494553568159786</v>
      </c>
      <c r="H474" s="16">
        <f t="shared" ca="1" si="10"/>
        <v>365</v>
      </c>
    </row>
    <row r="475" spans="4:8" ht="15" thickBot="1" x14ac:dyDescent="0.35">
      <c r="D475" s="20">
        <v>1377</v>
      </c>
      <c r="E475" s="44">
        <v>5150</v>
      </c>
      <c r="F475" s="44">
        <v>2550</v>
      </c>
      <c r="G475" s="20">
        <v>0.35010623237387872</v>
      </c>
      <c r="H475" s="16">
        <f t="shared" ca="1" si="10"/>
        <v>1545</v>
      </c>
    </row>
    <row r="476" spans="4:8" ht="15" thickBot="1" x14ac:dyDescent="0.35">
      <c r="D476" s="20">
        <v>249</v>
      </c>
      <c r="E476" s="20">
        <v>3650</v>
      </c>
      <c r="F476" s="20">
        <v>450</v>
      </c>
      <c r="G476" s="20">
        <v>0.2447998685156236</v>
      </c>
      <c r="H476" s="16">
        <f t="shared" ca="1" si="10"/>
        <v>113</v>
      </c>
    </row>
    <row r="477" spans="4:8" ht="15" thickBot="1" x14ac:dyDescent="0.35">
      <c r="D477" s="20">
        <v>2361</v>
      </c>
      <c r="E477" s="20">
        <v>2850</v>
      </c>
      <c r="F477" s="20">
        <v>4450</v>
      </c>
      <c r="G477" s="20">
        <v>0.4309697966481737</v>
      </c>
      <c r="H477" s="16">
        <f t="shared" ca="1" si="10"/>
        <v>2131</v>
      </c>
    </row>
    <row r="478" spans="4:8" ht="15" thickBot="1" x14ac:dyDescent="0.35">
      <c r="D478" s="20">
        <v>630</v>
      </c>
      <c r="E478" s="20">
        <v>4650</v>
      </c>
      <c r="F478" s="20">
        <v>1150</v>
      </c>
      <c r="G478" s="20">
        <v>0.29146088153076438</v>
      </c>
      <c r="H478" s="16">
        <f t="shared" ca="1" si="10"/>
        <v>538</v>
      </c>
    </row>
    <row r="479" spans="4:8" ht="15" thickBot="1" x14ac:dyDescent="0.35">
      <c r="D479" s="20">
        <v>2057</v>
      </c>
      <c r="E479" s="20">
        <v>4250</v>
      </c>
      <c r="F479" s="20">
        <v>3850</v>
      </c>
      <c r="G479" s="20">
        <v>0.40060708659995131</v>
      </c>
      <c r="H479" s="16">
        <f t="shared" ca="1" si="10"/>
        <v>214</v>
      </c>
    </row>
    <row r="480" spans="4:8" ht="15" thickBot="1" x14ac:dyDescent="0.35">
      <c r="D480" s="20">
        <v>616</v>
      </c>
      <c r="E480" s="20">
        <v>3250</v>
      </c>
      <c r="F480" s="20">
        <v>1150</v>
      </c>
      <c r="G480" s="20">
        <v>0.2900993785603298</v>
      </c>
      <c r="H480" s="16">
        <f t="shared" ca="1" si="10"/>
        <v>2356</v>
      </c>
    </row>
    <row r="481" spans="4:8" ht="15" thickBot="1" x14ac:dyDescent="0.35">
      <c r="D481" s="20">
        <v>106</v>
      </c>
      <c r="E481" s="20">
        <v>5250</v>
      </c>
      <c r="F481" s="20">
        <v>150</v>
      </c>
      <c r="G481" s="20">
        <v>0.21246075631588354</v>
      </c>
      <c r="H481" s="16">
        <f t="shared" ca="1" si="10"/>
        <v>959</v>
      </c>
    </row>
    <row r="482" spans="4:8" ht="15" thickBot="1" x14ac:dyDescent="0.35">
      <c r="D482" s="20">
        <v>2006</v>
      </c>
      <c r="E482" s="20">
        <v>4450</v>
      </c>
      <c r="F482" s="20">
        <v>3750</v>
      </c>
      <c r="G482" s="20">
        <v>0.39649252077254488</v>
      </c>
      <c r="H482" s="16">
        <f t="shared" ca="1" si="10"/>
        <v>115</v>
      </c>
    </row>
    <row r="483" spans="4:8" ht="15" thickBot="1" x14ac:dyDescent="0.35">
      <c r="D483" s="20">
        <v>62</v>
      </c>
      <c r="E483" s="20">
        <v>850</v>
      </c>
      <c r="F483" s="20">
        <v>150</v>
      </c>
      <c r="G483" s="20">
        <v>0.19390702891167802</v>
      </c>
      <c r="H483" s="16">
        <f t="shared" ca="1" si="10"/>
        <v>2252</v>
      </c>
    </row>
    <row r="484" spans="4:8" ht="15" thickBot="1" x14ac:dyDescent="0.35">
      <c r="D484" s="20">
        <v>2534</v>
      </c>
      <c r="E484" s="20">
        <v>4250</v>
      </c>
      <c r="F484" s="20">
        <v>4750</v>
      </c>
      <c r="G484" s="20">
        <v>0.45229403400970603</v>
      </c>
      <c r="H484" s="16">
        <f t="shared" ca="1" si="10"/>
        <v>353</v>
      </c>
    </row>
    <row r="485" spans="4:8" ht="15" thickBot="1" x14ac:dyDescent="0.35">
      <c r="D485" s="20">
        <v>52</v>
      </c>
      <c r="E485" s="20">
        <v>5150</v>
      </c>
      <c r="F485" s="20">
        <v>50</v>
      </c>
      <c r="G485" s="20">
        <v>0.18851836827122903</v>
      </c>
      <c r="H485" s="16">
        <f t="shared" ca="1" si="10"/>
        <v>2007</v>
      </c>
    </row>
    <row r="486" spans="4:8" ht="15" thickBot="1" x14ac:dyDescent="0.35">
      <c r="D486" s="20">
        <v>92</v>
      </c>
      <c r="E486" s="20">
        <v>3850</v>
      </c>
      <c r="F486" s="20">
        <v>150</v>
      </c>
      <c r="G486" s="20">
        <v>0.20881247577524484</v>
      </c>
      <c r="H486" s="16">
        <f t="shared" ca="1" si="10"/>
        <v>1674</v>
      </c>
    </row>
    <row r="487" spans="4:8" ht="15" thickBot="1" x14ac:dyDescent="0.35">
      <c r="D487" s="20">
        <v>519</v>
      </c>
      <c r="E487" s="20">
        <v>4150</v>
      </c>
      <c r="F487" s="20">
        <v>950</v>
      </c>
      <c r="G487" s="20">
        <v>0.2804872651438397</v>
      </c>
      <c r="H487" s="16">
        <f t="shared" ca="1" si="10"/>
        <v>2063</v>
      </c>
    </row>
    <row r="488" spans="4:8" ht="15" thickBot="1" x14ac:dyDescent="0.35">
      <c r="D488" s="20">
        <v>541</v>
      </c>
      <c r="E488" s="20">
        <v>1050</v>
      </c>
      <c r="F488" s="20">
        <v>1050</v>
      </c>
      <c r="G488" s="20">
        <v>0.28226816323777981</v>
      </c>
      <c r="H488" s="16">
        <f t="shared" ca="1" si="10"/>
        <v>1033</v>
      </c>
    </row>
    <row r="489" spans="4:8" ht="15" thickBot="1" x14ac:dyDescent="0.35">
      <c r="D489" s="20">
        <v>2403</v>
      </c>
      <c r="E489" s="20">
        <v>1750</v>
      </c>
      <c r="F489" s="20">
        <v>4550</v>
      </c>
      <c r="G489" s="20">
        <v>0.43541797884239519</v>
      </c>
      <c r="H489" s="16">
        <f t="shared" ca="1" si="10"/>
        <v>689</v>
      </c>
    </row>
    <row r="490" spans="4:8" ht="15" thickBot="1" x14ac:dyDescent="0.35">
      <c r="D490" s="20">
        <v>2644</v>
      </c>
      <c r="E490" s="20">
        <v>4650</v>
      </c>
      <c r="F490" s="20">
        <v>4950</v>
      </c>
      <c r="G490" s="20">
        <v>0.47498192291688707</v>
      </c>
      <c r="H490" s="16">
        <f t="shared" ca="1" si="10"/>
        <v>170</v>
      </c>
    </row>
    <row r="491" spans="4:8" ht="15" thickBot="1" x14ac:dyDescent="0.35">
      <c r="D491" s="20">
        <v>1819</v>
      </c>
      <c r="E491" s="20">
        <v>1650</v>
      </c>
      <c r="F491" s="20">
        <v>3450</v>
      </c>
      <c r="G491" s="20">
        <v>0.38191676058389074</v>
      </c>
      <c r="H491" s="16">
        <f t="shared" ca="1" si="10"/>
        <v>2650</v>
      </c>
    </row>
    <row r="492" spans="4:8" ht="15" thickBot="1" x14ac:dyDescent="0.35">
      <c r="D492" s="20">
        <v>955</v>
      </c>
      <c r="E492" s="20">
        <v>50</v>
      </c>
      <c r="F492" s="20">
        <v>1850</v>
      </c>
      <c r="G492" s="20">
        <v>0.31847559094549827</v>
      </c>
      <c r="H492" s="16">
        <f t="shared" ca="1" si="10"/>
        <v>397</v>
      </c>
    </row>
    <row r="493" spans="4:8" ht="15" thickBot="1" x14ac:dyDescent="0.35">
      <c r="D493" s="20">
        <v>712</v>
      </c>
      <c r="E493" s="20">
        <v>2250</v>
      </c>
      <c r="F493" s="20">
        <v>1350</v>
      </c>
      <c r="G493" s="20">
        <v>0.29917441615142204</v>
      </c>
      <c r="H493" s="16">
        <f t="shared" ca="1" si="10"/>
        <v>2070</v>
      </c>
    </row>
    <row r="494" spans="4:8" ht="15" thickBot="1" x14ac:dyDescent="0.35">
      <c r="D494" s="20">
        <v>2173</v>
      </c>
      <c r="E494" s="45">
        <v>5250</v>
      </c>
      <c r="F494" s="45">
        <v>4050</v>
      </c>
      <c r="G494" s="20">
        <v>0.4122960699608384</v>
      </c>
      <c r="H494" s="16">
        <f t="shared" ca="1" si="10"/>
        <v>1728</v>
      </c>
    </row>
    <row r="495" spans="4:8" ht="15" thickBot="1" x14ac:dyDescent="0.35">
      <c r="D495" s="20">
        <v>2086</v>
      </c>
      <c r="E495" s="20">
        <v>1850</v>
      </c>
      <c r="F495" s="20">
        <v>3950</v>
      </c>
      <c r="G495" s="20">
        <v>0.40415308526551502</v>
      </c>
      <c r="H495" s="16">
        <f t="shared" ca="1" si="10"/>
        <v>612</v>
      </c>
    </row>
    <row r="496" spans="4:8" ht="15" thickBot="1" x14ac:dyDescent="0.35">
      <c r="D496" s="20">
        <v>2436</v>
      </c>
      <c r="E496" s="20">
        <v>5050</v>
      </c>
      <c r="F496" s="20">
        <v>4550</v>
      </c>
      <c r="G496" s="20">
        <v>0.43856819774475064</v>
      </c>
      <c r="H496" s="16">
        <f t="shared" ca="1" si="10"/>
        <v>438</v>
      </c>
    </row>
    <row r="497" spans="4:8" ht="15" thickBot="1" x14ac:dyDescent="0.35">
      <c r="D497" s="20">
        <v>2428</v>
      </c>
      <c r="E497" s="20">
        <v>4250</v>
      </c>
      <c r="F497" s="20">
        <v>4550</v>
      </c>
      <c r="G497" s="20">
        <v>0.43831630809279659</v>
      </c>
      <c r="H497" s="16">
        <f t="shared" ca="1" si="10"/>
        <v>2384</v>
      </c>
    </row>
    <row r="498" spans="4:8" ht="15" thickBot="1" x14ac:dyDescent="0.35">
      <c r="D498" s="20">
        <v>287</v>
      </c>
      <c r="E498" s="20">
        <v>2150</v>
      </c>
      <c r="F498" s="20">
        <v>550</v>
      </c>
      <c r="G498" s="20">
        <v>0.25118184538111737</v>
      </c>
      <c r="H498" s="16">
        <f t="shared" ca="1" si="10"/>
        <v>2437</v>
      </c>
    </row>
    <row r="499" spans="4:8" ht="15" thickBot="1" x14ac:dyDescent="0.35">
      <c r="D499" s="20">
        <v>1636</v>
      </c>
      <c r="E499" s="20">
        <v>4550</v>
      </c>
      <c r="F499" s="20">
        <v>3050</v>
      </c>
      <c r="G499" s="20">
        <v>0.36944148470907862</v>
      </c>
      <c r="H499" s="16">
        <f t="shared" ca="1" si="10"/>
        <v>654</v>
      </c>
    </row>
    <row r="500" spans="4:8" ht="15" thickBot="1" x14ac:dyDescent="0.35">
      <c r="D500" s="20">
        <v>2517</v>
      </c>
      <c r="E500" s="20">
        <v>2550</v>
      </c>
      <c r="F500" s="20">
        <v>4750</v>
      </c>
      <c r="G500" s="20">
        <v>0.44957607700623869</v>
      </c>
      <c r="H500" s="16">
        <f t="shared" ca="1" si="10"/>
        <v>641</v>
      </c>
    </row>
    <row r="501" spans="4:8" ht="15" thickBot="1" x14ac:dyDescent="0.35">
      <c r="D501" s="20">
        <v>1443</v>
      </c>
      <c r="E501" s="20">
        <v>1150</v>
      </c>
      <c r="F501" s="20">
        <v>2750</v>
      </c>
      <c r="G501" s="20">
        <v>0.35558742666269494</v>
      </c>
      <c r="H501" s="16">
        <f t="shared" ca="1" si="10"/>
        <v>1814</v>
      </c>
    </row>
    <row r="502" spans="4:8" ht="15" thickBot="1" x14ac:dyDescent="0.35">
      <c r="D502" s="20">
        <v>327</v>
      </c>
      <c r="E502" s="20">
        <v>850</v>
      </c>
      <c r="F502" s="20">
        <v>650</v>
      </c>
      <c r="G502" s="20">
        <v>0.25780217829523433</v>
      </c>
      <c r="H502" s="16">
        <f t="shared" ca="1" si="10"/>
        <v>523</v>
      </c>
    </row>
    <row r="503" spans="4:8" ht="15" thickBot="1" x14ac:dyDescent="0.35">
      <c r="D503" s="20">
        <v>2581</v>
      </c>
      <c r="E503" s="20">
        <v>3650</v>
      </c>
      <c r="F503" s="20">
        <v>4850</v>
      </c>
      <c r="G503" s="20">
        <v>0.46307558642183405</v>
      </c>
      <c r="H503" s="16">
        <f t="shared" ca="1" si="10"/>
        <v>2679</v>
      </c>
    </row>
    <row r="504" spans="4:8" ht="15" thickBot="1" x14ac:dyDescent="0.35">
      <c r="D504" s="20">
        <v>1058</v>
      </c>
      <c r="E504" s="20">
        <v>5050</v>
      </c>
      <c r="F504" s="20">
        <v>1950</v>
      </c>
      <c r="G504" s="20">
        <v>0.32707806913663218</v>
      </c>
      <c r="H504" s="16">
        <f t="shared" ca="1" si="10"/>
        <v>740</v>
      </c>
    </row>
    <row r="505" spans="4:8" ht="15" thickBot="1" x14ac:dyDescent="0.35">
      <c r="D505" s="20">
        <v>68</v>
      </c>
      <c r="E505" s="20">
        <v>1450</v>
      </c>
      <c r="F505" s="20">
        <v>150</v>
      </c>
      <c r="G505" s="20">
        <v>0.19660426203995435</v>
      </c>
      <c r="H505" s="16">
        <f t="shared" ca="1" si="10"/>
        <v>2625</v>
      </c>
    </row>
    <row r="506" spans="4:8" ht="15" thickBot="1" x14ac:dyDescent="0.35">
      <c r="D506" s="20">
        <v>1763</v>
      </c>
      <c r="E506" s="20">
        <v>1350</v>
      </c>
      <c r="F506" s="20">
        <v>3350</v>
      </c>
      <c r="G506" s="20">
        <v>0.3784531354393138</v>
      </c>
      <c r="H506" s="16">
        <f t="shared" ca="1" si="10"/>
        <v>1400</v>
      </c>
    </row>
    <row r="507" spans="4:8" ht="15" thickBot="1" x14ac:dyDescent="0.35">
      <c r="D507" s="20">
        <v>2779</v>
      </c>
      <c r="E507" s="20">
        <v>2250</v>
      </c>
      <c r="F507" s="20">
        <v>5250</v>
      </c>
      <c r="G507" s="20">
        <v>0.54802946266496888</v>
      </c>
      <c r="H507" s="16">
        <f t="shared" ca="1" si="10"/>
        <v>605</v>
      </c>
    </row>
    <row r="508" spans="4:8" ht="15" thickBot="1" x14ac:dyDescent="0.35">
      <c r="D508" s="20">
        <v>1893</v>
      </c>
      <c r="E508" s="20">
        <v>3750</v>
      </c>
      <c r="F508" s="20">
        <v>3550</v>
      </c>
      <c r="G508" s="20">
        <v>0.38793630961383485</v>
      </c>
      <c r="H508" s="16">
        <f t="shared" ca="1" si="10"/>
        <v>692</v>
      </c>
    </row>
    <row r="509" spans="4:8" ht="15" thickBot="1" x14ac:dyDescent="0.35">
      <c r="D509" s="20">
        <v>1654</v>
      </c>
      <c r="E509" s="20">
        <v>1050</v>
      </c>
      <c r="F509" s="20">
        <v>3150</v>
      </c>
      <c r="G509" s="20">
        <v>0.37043468218479236</v>
      </c>
      <c r="H509" s="16">
        <f t="shared" ca="1" si="10"/>
        <v>2034</v>
      </c>
    </row>
    <row r="510" spans="4:8" ht="15" thickBot="1" x14ac:dyDescent="0.35">
      <c r="D510" s="20">
        <v>2125</v>
      </c>
      <c r="E510" s="20">
        <v>450</v>
      </c>
      <c r="F510" s="20">
        <v>4050</v>
      </c>
      <c r="G510" s="20">
        <v>0.40841609275294488</v>
      </c>
      <c r="H510" s="16">
        <f t="shared" ca="1" si="10"/>
        <v>1533</v>
      </c>
    </row>
    <row r="511" spans="4:8" ht="15" thickBot="1" x14ac:dyDescent="0.35">
      <c r="D511" s="20">
        <v>538</v>
      </c>
      <c r="E511" s="20">
        <v>750</v>
      </c>
      <c r="F511" s="20">
        <v>1050</v>
      </c>
      <c r="G511" s="20">
        <v>0.28212038919024712</v>
      </c>
      <c r="H511" s="16">
        <f t="shared" ca="1" si="10"/>
        <v>1828</v>
      </c>
    </row>
    <row r="512" spans="4:8" ht="15" thickBot="1" x14ac:dyDescent="0.35">
      <c r="D512" s="20">
        <v>1329</v>
      </c>
      <c r="E512" s="20">
        <v>350</v>
      </c>
      <c r="F512" s="20">
        <v>2550</v>
      </c>
      <c r="G512" s="20">
        <v>0.34757762296979455</v>
      </c>
      <c r="H512" s="16">
        <f t="shared" ca="1" si="10"/>
        <v>2787</v>
      </c>
    </row>
    <row r="513" spans="4:8" ht="15" thickBot="1" x14ac:dyDescent="0.35">
      <c r="D513" s="20">
        <v>247</v>
      </c>
      <c r="E513" s="20">
        <v>3450</v>
      </c>
      <c r="F513" s="20">
        <v>450</v>
      </c>
      <c r="G513" s="20">
        <v>0.24437335391055759</v>
      </c>
      <c r="H513" s="16">
        <f t="shared" ca="1" si="10"/>
        <v>1455</v>
      </c>
    </row>
    <row r="514" spans="4:8" ht="15" thickBot="1" x14ac:dyDescent="0.35">
      <c r="D514" s="20">
        <v>580</v>
      </c>
      <c r="E514" s="20">
        <v>4950</v>
      </c>
      <c r="F514" s="20">
        <v>1050</v>
      </c>
      <c r="G514" s="20">
        <v>0.28667714945175438</v>
      </c>
      <c r="H514" s="16">
        <f t="shared" ca="1" si="10"/>
        <v>2190</v>
      </c>
    </row>
    <row r="515" spans="4:8" ht="15" thickBot="1" x14ac:dyDescent="0.35">
      <c r="D515" s="20">
        <v>2041</v>
      </c>
      <c r="E515" s="20">
        <v>2650</v>
      </c>
      <c r="F515" s="20">
        <v>3850</v>
      </c>
      <c r="G515" s="20">
        <v>0.39863593221749982</v>
      </c>
      <c r="H515" s="16">
        <f t="shared" ca="1" si="10"/>
        <v>2087</v>
      </c>
    </row>
    <row r="516" spans="4:8" ht="15" thickBot="1" x14ac:dyDescent="0.35">
      <c r="D516" s="20">
        <v>2339</v>
      </c>
      <c r="E516" s="20">
        <v>650</v>
      </c>
      <c r="F516" s="20">
        <v>4450</v>
      </c>
      <c r="G516" s="20">
        <v>0.42925388110806639</v>
      </c>
      <c r="H516" s="16">
        <f t="shared" ca="1" si="10"/>
        <v>1010</v>
      </c>
    </row>
    <row r="517" spans="4:8" ht="15" thickBot="1" x14ac:dyDescent="0.35">
      <c r="D517" s="20">
        <v>50</v>
      </c>
      <c r="E517" s="20">
        <v>4950</v>
      </c>
      <c r="F517" s="20">
        <v>50</v>
      </c>
      <c r="G517" s="20">
        <v>0.18445514547564537</v>
      </c>
      <c r="H517" s="16">
        <f t="shared" ca="1" si="10"/>
        <v>1362</v>
      </c>
    </row>
    <row r="518" spans="4:8" ht="15" thickBot="1" x14ac:dyDescent="0.35">
      <c r="D518" s="20">
        <v>848</v>
      </c>
      <c r="E518" s="20">
        <v>5250</v>
      </c>
      <c r="F518" s="20">
        <v>1550</v>
      </c>
      <c r="G518" s="20">
        <v>0.31015212666849135</v>
      </c>
      <c r="H518" s="16">
        <f t="shared" ca="1" si="10"/>
        <v>2008</v>
      </c>
    </row>
    <row r="519" spans="4:8" ht="15" thickBot="1" x14ac:dyDescent="0.35">
      <c r="D519" s="20">
        <v>1538</v>
      </c>
      <c r="E519" s="20">
        <v>50</v>
      </c>
      <c r="F519" s="20">
        <v>2950</v>
      </c>
      <c r="G519" s="20">
        <v>0.36276075353447862</v>
      </c>
      <c r="H519" s="16">
        <f t="shared" ref="H519:H582" ca="1" si="11">RANDBETWEEN(1,2788)</f>
        <v>1032</v>
      </c>
    </row>
    <row r="520" spans="4:8" ht="15" thickBot="1" x14ac:dyDescent="0.35">
      <c r="D520" s="20">
        <v>147</v>
      </c>
      <c r="E520" s="20">
        <v>4050</v>
      </c>
      <c r="F520" s="20">
        <v>250</v>
      </c>
      <c r="G520" s="20">
        <v>0.22197002304840285</v>
      </c>
      <c r="H520" s="16">
        <f t="shared" ca="1" si="11"/>
        <v>1688</v>
      </c>
    </row>
    <row r="521" spans="4:8" ht="15" thickBot="1" x14ac:dyDescent="0.35">
      <c r="D521" s="20">
        <v>419</v>
      </c>
      <c r="E521" s="20">
        <v>4750</v>
      </c>
      <c r="F521" s="20">
        <v>750</v>
      </c>
      <c r="G521" s="20">
        <v>0.26996479411702351</v>
      </c>
      <c r="H521" s="16">
        <f t="shared" ca="1" si="11"/>
        <v>1708</v>
      </c>
    </row>
    <row r="522" spans="4:8" ht="15" thickBot="1" x14ac:dyDescent="0.35">
      <c r="D522" s="20">
        <v>1564</v>
      </c>
      <c r="E522" s="20">
        <v>2650</v>
      </c>
      <c r="F522" s="20">
        <v>2950</v>
      </c>
      <c r="G522" s="20">
        <v>0.36438362730767099</v>
      </c>
      <c r="H522" s="16">
        <f t="shared" ca="1" si="11"/>
        <v>430</v>
      </c>
    </row>
    <row r="523" spans="4:8" ht="15" thickBot="1" x14ac:dyDescent="0.35">
      <c r="D523" s="20">
        <v>702</v>
      </c>
      <c r="E523" s="20">
        <v>1250</v>
      </c>
      <c r="F523" s="20">
        <v>1350</v>
      </c>
      <c r="G523" s="20">
        <v>0.29867304502008851</v>
      </c>
      <c r="H523" s="16">
        <f t="shared" ca="1" si="11"/>
        <v>765</v>
      </c>
    </row>
    <row r="524" spans="4:8" ht="15" thickBot="1" x14ac:dyDescent="0.35">
      <c r="D524" s="20">
        <v>1855</v>
      </c>
      <c r="E524" s="20">
        <v>5250</v>
      </c>
      <c r="F524" s="20">
        <v>3450</v>
      </c>
      <c r="G524" s="20">
        <v>0.38510416897275851</v>
      </c>
      <c r="H524" s="16">
        <f t="shared" ca="1" si="11"/>
        <v>2571</v>
      </c>
    </row>
    <row r="525" spans="4:8" ht="15" thickBot="1" x14ac:dyDescent="0.35">
      <c r="D525" s="20">
        <v>1241</v>
      </c>
      <c r="E525" s="20">
        <v>2150</v>
      </c>
      <c r="F525" s="20">
        <v>2350</v>
      </c>
      <c r="G525" s="20">
        <v>0.34119766299046433</v>
      </c>
      <c r="H525" s="16">
        <f t="shared" ca="1" si="11"/>
        <v>1347</v>
      </c>
    </row>
    <row r="526" spans="4:8" ht="15" thickBot="1" x14ac:dyDescent="0.35">
      <c r="D526" s="20">
        <v>1331</v>
      </c>
      <c r="E526" s="20">
        <v>550</v>
      </c>
      <c r="F526" s="20">
        <v>2550</v>
      </c>
      <c r="G526" s="20">
        <v>0.34779197297243042</v>
      </c>
      <c r="H526" s="16">
        <f t="shared" ca="1" si="11"/>
        <v>2244</v>
      </c>
    </row>
    <row r="527" spans="4:8" ht="15" thickBot="1" x14ac:dyDescent="0.35">
      <c r="D527" s="20">
        <v>1872</v>
      </c>
      <c r="E527" s="20">
        <v>1650</v>
      </c>
      <c r="F527" s="20">
        <v>3550</v>
      </c>
      <c r="G527" s="20">
        <v>0.38635602807951325</v>
      </c>
      <c r="H527" s="16">
        <f t="shared" ca="1" si="11"/>
        <v>166</v>
      </c>
    </row>
    <row r="528" spans="4:8" ht="15" thickBot="1" x14ac:dyDescent="0.35">
      <c r="D528" s="20">
        <v>1446</v>
      </c>
      <c r="E528" s="20">
        <v>1450</v>
      </c>
      <c r="F528" s="20">
        <v>2750</v>
      </c>
      <c r="G528" s="20">
        <v>0.35566730162937327</v>
      </c>
      <c r="H528" s="16">
        <f t="shared" ca="1" si="11"/>
        <v>1367</v>
      </c>
    </row>
    <row r="529" spans="4:8" ht="15" thickBot="1" x14ac:dyDescent="0.35">
      <c r="D529" s="20">
        <v>2629</v>
      </c>
      <c r="E529" s="20">
        <v>3150</v>
      </c>
      <c r="F529" s="20">
        <v>4950</v>
      </c>
      <c r="G529" s="20">
        <v>0.47163957612214791</v>
      </c>
      <c r="H529" s="16">
        <f t="shared" ca="1" si="11"/>
        <v>65</v>
      </c>
    </row>
    <row r="530" spans="4:8" ht="15" thickBot="1" x14ac:dyDescent="0.35">
      <c r="D530" s="20">
        <v>404</v>
      </c>
      <c r="E530" s="48">
        <v>3250</v>
      </c>
      <c r="F530" s="48">
        <v>750</v>
      </c>
      <c r="G530" s="20">
        <v>0.26779877407871977</v>
      </c>
      <c r="H530" s="16">
        <f t="shared" ca="1" si="11"/>
        <v>2559</v>
      </c>
    </row>
    <row r="531" spans="4:8" ht="15" thickBot="1" x14ac:dyDescent="0.35">
      <c r="D531" s="20">
        <v>90</v>
      </c>
      <c r="E531" s="20">
        <v>3650</v>
      </c>
      <c r="F531" s="20">
        <v>150</v>
      </c>
      <c r="G531" s="20">
        <v>0.2078546479875116</v>
      </c>
      <c r="H531" s="16">
        <f t="shared" ca="1" si="11"/>
        <v>1503</v>
      </c>
    </row>
    <row r="532" spans="4:8" ht="15" thickBot="1" x14ac:dyDescent="0.35">
      <c r="D532" s="20">
        <v>1406</v>
      </c>
      <c r="E532" s="20">
        <v>2750</v>
      </c>
      <c r="F532" s="20">
        <v>2650</v>
      </c>
      <c r="G532" s="20">
        <v>0.3531042553322063</v>
      </c>
      <c r="H532" s="16">
        <f t="shared" ca="1" si="11"/>
        <v>815</v>
      </c>
    </row>
    <row r="533" spans="4:8" ht="15" thickBot="1" x14ac:dyDescent="0.35">
      <c r="D533" s="20">
        <v>927</v>
      </c>
      <c r="E533" s="20">
        <v>2550</v>
      </c>
      <c r="F533" s="20">
        <v>1750</v>
      </c>
      <c r="G533" s="20">
        <v>0.31675830481963069</v>
      </c>
      <c r="H533" s="16">
        <f t="shared" ca="1" si="11"/>
        <v>1536</v>
      </c>
    </row>
    <row r="534" spans="4:8" ht="15" thickBot="1" x14ac:dyDescent="0.35">
      <c r="D534" s="20">
        <v>1179</v>
      </c>
      <c r="E534" s="20">
        <v>1250</v>
      </c>
      <c r="F534" s="20">
        <v>2250</v>
      </c>
      <c r="G534" s="20">
        <v>0.3364414648695031</v>
      </c>
      <c r="H534" s="16">
        <f t="shared" ca="1" si="11"/>
        <v>113</v>
      </c>
    </row>
    <row r="535" spans="4:8" ht="15" thickBot="1" x14ac:dyDescent="0.35">
      <c r="D535" s="20">
        <v>72</v>
      </c>
      <c r="E535" s="20">
        <v>1850</v>
      </c>
      <c r="F535" s="20">
        <v>150</v>
      </c>
      <c r="G535" s="20">
        <v>0.19866562927832682</v>
      </c>
      <c r="H535" s="16">
        <f t="shared" ca="1" si="11"/>
        <v>1467</v>
      </c>
    </row>
    <row r="536" spans="4:8" ht="15" thickBot="1" x14ac:dyDescent="0.35">
      <c r="D536" s="20">
        <v>2159</v>
      </c>
      <c r="E536" s="20">
        <v>3850</v>
      </c>
      <c r="F536" s="20">
        <v>4050</v>
      </c>
      <c r="G536" s="20">
        <v>0.4109865233513269</v>
      </c>
      <c r="H536" s="16">
        <f t="shared" ca="1" si="11"/>
        <v>1052</v>
      </c>
    </row>
    <row r="537" spans="4:8" ht="15" thickBot="1" x14ac:dyDescent="0.35">
      <c r="D537" s="20">
        <v>1393</v>
      </c>
      <c r="E537" s="20">
        <v>1450</v>
      </c>
      <c r="F537" s="20">
        <v>2650</v>
      </c>
      <c r="G537" s="20">
        <v>0.35142108205339057</v>
      </c>
      <c r="H537" s="16">
        <f t="shared" ca="1" si="11"/>
        <v>2188</v>
      </c>
    </row>
    <row r="538" spans="4:8" ht="15" thickBot="1" x14ac:dyDescent="0.35">
      <c r="D538" s="20">
        <v>613</v>
      </c>
      <c r="E538" s="20">
        <v>2950</v>
      </c>
      <c r="F538" s="20">
        <v>1150</v>
      </c>
      <c r="G538" s="20">
        <v>0.28974673219606994</v>
      </c>
      <c r="H538" s="16">
        <f t="shared" ca="1" si="11"/>
        <v>2180</v>
      </c>
    </row>
    <row r="539" spans="4:8" ht="15" thickBot="1" x14ac:dyDescent="0.35">
      <c r="D539" s="20">
        <v>1459</v>
      </c>
      <c r="E539" s="20">
        <v>2750</v>
      </c>
      <c r="F539" s="20">
        <v>2750</v>
      </c>
      <c r="G539" s="20">
        <v>0.35654369028158245</v>
      </c>
      <c r="H539" s="16">
        <f t="shared" ca="1" si="11"/>
        <v>1871</v>
      </c>
    </row>
    <row r="540" spans="4:8" ht="15" thickBot="1" x14ac:dyDescent="0.35">
      <c r="D540" s="20">
        <v>1351</v>
      </c>
      <c r="E540" s="20">
        <v>2550</v>
      </c>
      <c r="F540" s="20">
        <v>2550</v>
      </c>
      <c r="G540" s="20">
        <v>0.34910258714576115</v>
      </c>
      <c r="H540" s="16">
        <f t="shared" ca="1" si="11"/>
        <v>1076</v>
      </c>
    </row>
    <row r="541" spans="4:8" ht="15" thickBot="1" x14ac:dyDescent="0.35">
      <c r="D541" s="20">
        <v>1693</v>
      </c>
      <c r="E541" s="20">
        <v>4950</v>
      </c>
      <c r="F541" s="20">
        <v>3150</v>
      </c>
      <c r="G541" s="20">
        <v>0.37371458090517196</v>
      </c>
      <c r="H541" s="16">
        <f t="shared" ca="1" si="11"/>
        <v>2105</v>
      </c>
    </row>
    <row r="542" spans="4:8" ht="15" thickBot="1" x14ac:dyDescent="0.35">
      <c r="D542" s="20">
        <v>1033</v>
      </c>
      <c r="E542" s="20">
        <v>2550</v>
      </c>
      <c r="F542" s="20">
        <v>1950</v>
      </c>
      <c r="G542" s="20">
        <v>0.32453229650429682</v>
      </c>
      <c r="H542" s="16">
        <f t="shared" ca="1" si="11"/>
        <v>1749</v>
      </c>
    </row>
    <row r="543" spans="4:8" ht="15" thickBot="1" x14ac:dyDescent="0.35">
      <c r="D543" s="20">
        <v>862</v>
      </c>
      <c r="E543" s="20">
        <v>1350</v>
      </c>
      <c r="F543" s="20">
        <v>1650</v>
      </c>
      <c r="G543" s="20">
        <v>0.31115074932332015</v>
      </c>
      <c r="H543" s="16">
        <f t="shared" ca="1" si="11"/>
        <v>2640</v>
      </c>
    </row>
    <row r="544" spans="4:8" ht="15" thickBot="1" x14ac:dyDescent="0.35">
      <c r="D544" s="20">
        <v>1961</v>
      </c>
      <c r="E544" s="20">
        <v>5250</v>
      </c>
      <c r="F544" s="20">
        <v>3650</v>
      </c>
      <c r="G544" s="20">
        <v>0.39291157203497784</v>
      </c>
      <c r="H544" s="16">
        <f t="shared" ca="1" si="11"/>
        <v>944</v>
      </c>
    </row>
    <row r="545" spans="4:8" ht="15" thickBot="1" x14ac:dyDescent="0.35">
      <c r="D545" s="20">
        <v>1744</v>
      </c>
      <c r="E545" s="20">
        <v>4750</v>
      </c>
      <c r="F545" s="20">
        <v>3250</v>
      </c>
      <c r="G545" s="20">
        <v>0.37740696903259346</v>
      </c>
      <c r="H545" s="16">
        <f t="shared" ca="1" si="11"/>
        <v>479</v>
      </c>
    </row>
    <row r="546" spans="4:8" ht="15" thickBot="1" x14ac:dyDescent="0.35">
      <c r="D546" s="20">
        <v>584</v>
      </c>
      <c r="E546" s="20">
        <v>50</v>
      </c>
      <c r="F546" s="20">
        <v>1150</v>
      </c>
      <c r="G546" s="20">
        <v>0.28747223654514559</v>
      </c>
      <c r="H546" s="16">
        <f t="shared" ca="1" si="11"/>
        <v>2766</v>
      </c>
    </row>
    <row r="547" spans="4:8" ht="15" thickBot="1" x14ac:dyDescent="0.35">
      <c r="D547" s="20">
        <v>2622</v>
      </c>
      <c r="E547" s="20">
        <v>2450</v>
      </c>
      <c r="F547" s="20">
        <v>4950</v>
      </c>
      <c r="G547" s="20">
        <v>0.46979623678547827</v>
      </c>
      <c r="H547" s="16">
        <f t="shared" ca="1" si="11"/>
        <v>2732</v>
      </c>
    </row>
    <row r="548" spans="4:8" ht="15" thickBot="1" x14ac:dyDescent="0.35">
      <c r="D548" s="20">
        <v>2191</v>
      </c>
      <c r="E548" s="20">
        <v>1750</v>
      </c>
      <c r="F548" s="20">
        <v>4150</v>
      </c>
      <c r="G548" s="20">
        <v>0.41387210281076287</v>
      </c>
      <c r="H548" s="16">
        <f t="shared" ca="1" si="11"/>
        <v>121</v>
      </c>
    </row>
    <row r="549" spans="4:8" ht="15" thickBot="1" x14ac:dyDescent="0.35">
      <c r="D549" s="20">
        <v>2360</v>
      </c>
      <c r="E549" s="20">
        <v>2750</v>
      </c>
      <c r="F549" s="20">
        <v>4450</v>
      </c>
      <c r="G549" s="20">
        <v>0.43076161318039796</v>
      </c>
      <c r="H549" s="16">
        <f t="shared" ca="1" si="11"/>
        <v>693</v>
      </c>
    </row>
    <row r="550" spans="4:8" ht="15" thickBot="1" x14ac:dyDescent="0.35">
      <c r="D550" s="20">
        <v>1407</v>
      </c>
      <c r="E550" s="20">
        <v>2850</v>
      </c>
      <c r="F550" s="20">
        <v>2650</v>
      </c>
      <c r="G550" s="20">
        <v>0.35314317032837111</v>
      </c>
      <c r="H550" s="16">
        <f t="shared" ca="1" si="11"/>
        <v>2532</v>
      </c>
    </row>
    <row r="551" spans="4:8" ht="15" thickBot="1" x14ac:dyDescent="0.35">
      <c r="D551" s="20">
        <v>655</v>
      </c>
      <c r="E551" s="20">
        <v>1850</v>
      </c>
      <c r="F551" s="20">
        <v>1250</v>
      </c>
      <c r="G551" s="20">
        <v>0.29440967823421221</v>
      </c>
      <c r="H551" s="16">
        <f t="shared" ca="1" si="11"/>
        <v>2655</v>
      </c>
    </row>
    <row r="552" spans="4:8" ht="15" thickBot="1" x14ac:dyDescent="0.35">
      <c r="D552" s="20">
        <v>2427</v>
      </c>
      <c r="E552" s="20">
        <v>4150</v>
      </c>
      <c r="F552" s="20">
        <v>4550</v>
      </c>
      <c r="G552" s="20">
        <v>0.43798950783911184</v>
      </c>
      <c r="H552" s="16">
        <f t="shared" ca="1" si="11"/>
        <v>2487</v>
      </c>
    </row>
    <row r="553" spans="4:8" ht="15" thickBot="1" x14ac:dyDescent="0.35">
      <c r="D553" s="20">
        <v>2317</v>
      </c>
      <c r="E553" s="20">
        <v>3750</v>
      </c>
      <c r="F553" s="20">
        <v>4350</v>
      </c>
      <c r="G553" s="20">
        <v>0.42622986478623992</v>
      </c>
      <c r="H553" s="16">
        <f t="shared" ca="1" si="11"/>
        <v>1886</v>
      </c>
    </row>
    <row r="554" spans="4:8" ht="15" thickBot="1" x14ac:dyDescent="0.35">
      <c r="D554" s="20">
        <v>762</v>
      </c>
      <c r="E554" s="20">
        <v>1950</v>
      </c>
      <c r="F554" s="20">
        <v>1450</v>
      </c>
      <c r="G554" s="20">
        <v>0.30296235210407446</v>
      </c>
      <c r="H554" s="16">
        <f t="shared" ca="1" si="11"/>
        <v>414</v>
      </c>
    </row>
    <row r="555" spans="4:8" ht="15" thickBot="1" x14ac:dyDescent="0.35">
      <c r="D555" s="20">
        <v>2599</v>
      </c>
      <c r="E555" s="20">
        <v>150</v>
      </c>
      <c r="F555" s="20">
        <v>4950</v>
      </c>
      <c r="G555" s="20">
        <v>0.46527577287817701</v>
      </c>
      <c r="H555" s="16">
        <f t="shared" ca="1" si="11"/>
        <v>653</v>
      </c>
    </row>
    <row r="556" spans="4:8" ht="15" thickBot="1" x14ac:dyDescent="0.35">
      <c r="D556" s="20">
        <v>2187</v>
      </c>
      <c r="E556" s="20">
        <v>1350</v>
      </c>
      <c r="F556" s="20">
        <v>4150</v>
      </c>
      <c r="G556" s="20">
        <v>0.41370826698675045</v>
      </c>
      <c r="H556" s="16">
        <f t="shared" ca="1" si="11"/>
        <v>1908</v>
      </c>
    </row>
    <row r="557" spans="4:8" ht="15" thickBot="1" x14ac:dyDescent="0.35">
      <c r="D557" s="20">
        <v>431</v>
      </c>
      <c r="E557" s="20">
        <v>650</v>
      </c>
      <c r="F557" s="20">
        <v>850</v>
      </c>
      <c r="G557" s="20">
        <v>0.27121996313968372</v>
      </c>
      <c r="H557" s="16">
        <f t="shared" ca="1" si="11"/>
        <v>175</v>
      </c>
    </row>
    <row r="558" spans="4:8" ht="15" thickBot="1" x14ac:dyDescent="0.35">
      <c r="D558" s="20">
        <v>1913</v>
      </c>
      <c r="E558" s="20">
        <v>450</v>
      </c>
      <c r="F558" s="20">
        <v>3650</v>
      </c>
      <c r="G558" s="20">
        <v>0.38894677250126497</v>
      </c>
      <c r="H558" s="16">
        <f t="shared" ca="1" si="11"/>
        <v>1830</v>
      </c>
    </row>
    <row r="559" spans="4:8" ht="15" thickBot="1" x14ac:dyDescent="0.35">
      <c r="D559" s="20">
        <v>1266</v>
      </c>
      <c r="E559" s="20">
        <v>4650</v>
      </c>
      <c r="F559" s="20">
        <v>2350</v>
      </c>
      <c r="G559" s="20">
        <v>0.34320665023846708</v>
      </c>
      <c r="H559" s="16">
        <f t="shared" ca="1" si="11"/>
        <v>1828</v>
      </c>
    </row>
    <row r="560" spans="4:8" ht="15" thickBot="1" x14ac:dyDescent="0.35">
      <c r="D560" s="20">
        <v>268</v>
      </c>
      <c r="E560" s="20">
        <v>250</v>
      </c>
      <c r="F560" s="20">
        <v>550</v>
      </c>
      <c r="G560" s="20">
        <v>0.24867484726439609</v>
      </c>
      <c r="H560" s="16">
        <f t="shared" ca="1" si="11"/>
        <v>253</v>
      </c>
    </row>
    <row r="561" spans="4:8" ht="15" thickBot="1" x14ac:dyDescent="0.35">
      <c r="D561" s="20">
        <v>2726</v>
      </c>
      <c r="E561" s="20">
        <v>2250</v>
      </c>
      <c r="F561" s="20">
        <v>5150</v>
      </c>
      <c r="G561" s="20">
        <v>0.50427496221919788</v>
      </c>
      <c r="H561" s="16">
        <f t="shared" ca="1" si="11"/>
        <v>2255</v>
      </c>
    </row>
    <row r="562" spans="4:8" ht="15" thickBot="1" x14ac:dyDescent="0.35">
      <c r="D562" s="20">
        <v>912</v>
      </c>
      <c r="E562" s="20">
        <v>1050</v>
      </c>
      <c r="F562" s="20">
        <v>1750</v>
      </c>
      <c r="G562" s="20">
        <v>0.31519051656764691</v>
      </c>
      <c r="H562" s="16">
        <f t="shared" ca="1" si="11"/>
        <v>238</v>
      </c>
    </row>
    <row r="563" spans="4:8" ht="15" thickBot="1" x14ac:dyDescent="0.35">
      <c r="D563" s="20">
        <v>1354</v>
      </c>
      <c r="E563" s="43">
        <v>2850</v>
      </c>
      <c r="F563" s="43">
        <v>2550</v>
      </c>
      <c r="G563" s="20">
        <v>0.34920710300340008</v>
      </c>
      <c r="H563" s="16">
        <f t="shared" ca="1" si="11"/>
        <v>2530</v>
      </c>
    </row>
    <row r="564" spans="4:8" ht="15" thickBot="1" x14ac:dyDescent="0.35">
      <c r="D564" s="20">
        <v>1951</v>
      </c>
      <c r="E564" s="45">
        <v>4250</v>
      </c>
      <c r="F564" s="45">
        <v>3650</v>
      </c>
      <c r="G564" s="20">
        <v>0.39179053769974509</v>
      </c>
      <c r="H564" s="16">
        <f t="shared" ca="1" si="11"/>
        <v>72</v>
      </c>
    </row>
    <row r="565" spans="4:8" ht="15" thickBot="1" x14ac:dyDescent="0.35">
      <c r="D565" s="20">
        <v>562</v>
      </c>
      <c r="E565" s="20">
        <v>3150</v>
      </c>
      <c r="F565" s="20">
        <v>1050</v>
      </c>
      <c r="G565" s="20">
        <v>0.28491629618148895</v>
      </c>
      <c r="H565" s="16">
        <f t="shared" ca="1" si="11"/>
        <v>1132</v>
      </c>
    </row>
    <row r="566" spans="4:8" ht="15" thickBot="1" x14ac:dyDescent="0.35">
      <c r="D566" s="20">
        <v>1286</v>
      </c>
      <c r="E566" s="20">
        <v>1350</v>
      </c>
      <c r="F566" s="20">
        <v>2450</v>
      </c>
      <c r="G566" s="20">
        <v>0.34475659613999504</v>
      </c>
      <c r="H566" s="16">
        <f t="shared" ca="1" si="11"/>
        <v>1807</v>
      </c>
    </row>
    <row r="567" spans="4:8" ht="15" thickBot="1" x14ac:dyDescent="0.35">
      <c r="D567" s="20">
        <v>2357</v>
      </c>
      <c r="E567" s="20">
        <v>2450</v>
      </c>
      <c r="F567" s="20">
        <v>4450</v>
      </c>
      <c r="G567" s="20">
        <v>0.4306010365170565</v>
      </c>
      <c r="H567" s="16">
        <f t="shared" ca="1" si="11"/>
        <v>1796</v>
      </c>
    </row>
    <row r="568" spans="4:8" ht="15" thickBot="1" x14ac:dyDescent="0.35">
      <c r="D568" s="20">
        <v>1668</v>
      </c>
      <c r="E568" s="20">
        <v>2450</v>
      </c>
      <c r="F568" s="20">
        <v>3150</v>
      </c>
      <c r="G568" s="20">
        <v>0.371335040981016</v>
      </c>
      <c r="H568" s="16">
        <f t="shared" ca="1" si="11"/>
        <v>803</v>
      </c>
    </row>
    <row r="569" spans="4:8" ht="15" thickBot="1" x14ac:dyDescent="0.35">
      <c r="D569" s="20">
        <v>1874</v>
      </c>
      <c r="E569" s="20">
        <v>1850</v>
      </c>
      <c r="F569" s="20">
        <v>3550</v>
      </c>
      <c r="G569" s="20">
        <v>0.38650553904815932</v>
      </c>
      <c r="H569" s="16">
        <f t="shared" ca="1" si="11"/>
        <v>356</v>
      </c>
    </row>
    <row r="570" spans="4:8" ht="15" thickBot="1" x14ac:dyDescent="0.35">
      <c r="D570" s="20">
        <v>2089</v>
      </c>
      <c r="E570" s="20">
        <v>2150</v>
      </c>
      <c r="F570" s="20">
        <v>3950</v>
      </c>
      <c r="G570" s="20">
        <v>0.40427587973272378</v>
      </c>
      <c r="H570" s="16">
        <f t="shared" ca="1" si="11"/>
        <v>1733</v>
      </c>
    </row>
    <row r="571" spans="4:8" ht="15" thickBot="1" x14ac:dyDescent="0.35">
      <c r="D571" s="20">
        <v>553</v>
      </c>
      <c r="E571" s="20">
        <v>2250</v>
      </c>
      <c r="F571" s="20">
        <v>1050</v>
      </c>
      <c r="G571" s="20">
        <v>0.28418234276013676</v>
      </c>
      <c r="H571" s="16">
        <f t="shared" ca="1" si="11"/>
        <v>2296</v>
      </c>
    </row>
    <row r="572" spans="4:8" ht="15" thickBot="1" x14ac:dyDescent="0.35">
      <c r="D572" s="20">
        <v>320</v>
      </c>
      <c r="E572" s="20">
        <v>150</v>
      </c>
      <c r="F572" s="20">
        <v>650</v>
      </c>
      <c r="G572" s="20">
        <v>0.25676012367292733</v>
      </c>
      <c r="H572" s="16">
        <f t="shared" ca="1" si="11"/>
        <v>1619</v>
      </c>
    </row>
    <row r="573" spans="4:8" ht="15" thickBot="1" x14ac:dyDescent="0.35">
      <c r="D573" s="20">
        <v>1061</v>
      </c>
      <c r="E573" s="44">
        <v>50</v>
      </c>
      <c r="F573" s="44">
        <v>2050</v>
      </c>
      <c r="G573" s="20">
        <v>0.32722965844330537</v>
      </c>
      <c r="H573" s="16">
        <f t="shared" ca="1" si="11"/>
        <v>868</v>
      </c>
    </row>
    <row r="574" spans="4:8" ht="15" thickBot="1" x14ac:dyDescent="0.35">
      <c r="D574" s="20">
        <v>1670</v>
      </c>
      <c r="E574" s="20">
        <v>2650</v>
      </c>
      <c r="F574" s="20">
        <v>3150</v>
      </c>
      <c r="G574" s="20">
        <v>0.37153713935332422</v>
      </c>
      <c r="H574" s="16">
        <f t="shared" ca="1" si="11"/>
        <v>2590</v>
      </c>
    </row>
    <row r="575" spans="4:8" ht="15" thickBot="1" x14ac:dyDescent="0.35">
      <c r="D575" s="20">
        <v>1733</v>
      </c>
      <c r="E575" s="20">
        <v>3650</v>
      </c>
      <c r="F575" s="20">
        <v>3250</v>
      </c>
      <c r="G575" s="20">
        <v>0.37669388236168688</v>
      </c>
      <c r="H575" s="16">
        <f t="shared" ca="1" si="11"/>
        <v>1880</v>
      </c>
    </row>
    <row r="576" spans="4:8" ht="15" thickBot="1" x14ac:dyDescent="0.35">
      <c r="D576" s="20">
        <v>894</v>
      </c>
      <c r="E576" s="20">
        <v>4550</v>
      </c>
      <c r="F576" s="20">
        <v>1650</v>
      </c>
      <c r="G576" s="20">
        <v>0.31386955202152778</v>
      </c>
      <c r="H576" s="16">
        <f t="shared" ca="1" si="11"/>
        <v>2617</v>
      </c>
    </row>
    <row r="577" spans="4:8" ht="15" thickBot="1" x14ac:dyDescent="0.35">
      <c r="D577" s="20">
        <v>1941</v>
      </c>
      <c r="E577" s="20">
        <v>3250</v>
      </c>
      <c r="F577" s="20">
        <v>3650</v>
      </c>
      <c r="G577" s="20">
        <v>0.39084477264793316</v>
      </c>
      <c r="H577" s="16">
        <f t="shared" ca="1" si="11"/>
        <v>589</v>
      </c>
    </row>
    <row r="578" spans="4:8" ht="15" thickBot="1" x14ac:dyDescent="0.35">
      <c r="D578" s="20">
        <v>1029</v>
      </c>
      <c r="E578" s="43">
        <v>2150</v>
      </c>
      <c r="F578" s="43">
        <v>1950</v>
      </c>
      <c r="G578" s="20">
        <v>0.32417511947566779</v>
      </c>
      <c r="H578" s="16">
        <f t="shared" ca="1" si="11"/>
        <v>92</v>
      </c>
    </row>
    <row r="579" spans="4:8" ht="15" thickBot="1" x14ac:dyDescent="0.35">
      <c r="D579" s="20">
        <v>361</v>
      </c>
      <c r="E579" s="20">
        <v>4250</v>
      </c>
      <c r="F579" s="20">
        <v>650</v>
      </c>
      <c r="G579" s="20">
        <v>0.26207550114446621</v>
      </c>
      <c r="H579" s="16">
        <f t="shared" ca="1" si="11"/>
        <v>1490</v>
      </c>
    </row>
    <row r="580" spans="4:8" ht="15" thickBot="1" x14ac:dyDescent="0.35">
      <c r="D580" s="20">
        <v>1520</v>
      </c>
      <c r="E580" s="43">
        <v>3550</v>
      </c>
      <c r="F580" s="43">
        <v>2850</v>
      </c>
      <c r="G580" s="20">
        <v>0.36126206659982563</v>
      </c>
      <c r="H580" s="16">
        <f t="shared" ca="1" si="11"/>
        <v>1905</v>
      </c>
    </row>
    <row r="581" spans="4:8" ht="15" thickBot="1" x14ac:dyDescent="0.35">
      <c r="D581" s="20">
        <v>1669</v>
      </c>
      <c r="E581" s="20">
        <v>2550</v>
      </c>
      <c r="F581" s="20">
        <v>3150</v>
      </c>
      <c r="G581" s="20">
        <v>0.37142456092268422</v>
      </c>
      <c r="H581" s="16">
        <f t="shared" ca="1" si="11"/>
        <v>2072</v>
      </c>
    </row>
    <row r="582" spans="4:8" ht="15" thickBot="1" x14ac:dyDescent="0.35">
      <c r="D582" s="20">
        <v>1856</v>
      </c>
      <c r="E582" s="20">
        <v>50</v>
      </c>
      <c r="F582" s="20">
        <v>3550</v>
      </c>
      <c r="G582" s="20">
        <v>0.38518049516655312</v>
      </c>
      <c r="H582" s="16">
        <f t="shared" ca="1" si="11"/>
        <v>2391</v>
      </c>
    </row>
    <row r="583" spans="4:8" ht="15" thickBot="1" x14ac:dyDescent="0.35">
      <c r="D583" s="20">
        <v>458</v>
      </c>
      <c r="E583" s="20">
        <v>3350</v>
      </c>
      <c r="F583" s="20">
        <v>850</v>
      </c>
      <c r="G583" s="20">
        <v>0.2745391238506954</v>
      </c>
      <c r="H583" s="16">
        <f t="shared" ref="H583:H646" ca="1" si="12">RANDBETWEEN(1,2788)</f>
        <v>1433</v>
      </c>
    </row>
    <row r="584" spans="4:8" ht="15" thickBot="1" x14ac:dyDescent="0.35">
      <c r="D584" s="20">
        <v>1632</v>
      </c>
      <c r="E584" s="20">
        <v>4150</v>
      </c>
      <c r="F584" s="20">
        <v>3050</v>
      </c>
      <c r="G584" s="20">
        <v>0.36900371871958754</v>
      </c>
      <c r="H584" s="16">
        <f t="shared" ca="1" si="12"/>
        <v>2349</v>
      </c>
    </row>
    <row r="585" spans="4:8" ht="15" thickBot="1" x14ac:dyDescent="0.35">
      <c r="D585" s="20">
        <v>2249</v>
      </c>
      <c r="E585" s="20">
        <v>2250</v>
      </c>
      <c r="F585" s="20">
        <v>4250</v>
      </c>
      <c r="G585" s="20">
        <v>0.42019158586867988</v>
      </c>
      <c r="H585" s="16">
        <f t="shared" ca="1" si="12"/>
        <v>236</v>
      </c>
    </row>
    <row r="586" spans="4:8" ht="15" thickBot="1" x14ac:dyDescent="0.35">
      <c r="D586" s="20">
        <v>105</v>
      </c>
      <c r="E586" s="20">
        <v>5150</v>
      </c>
      <c r="F586" s="20">
        <v>150</v>
      </c>
      <c r="G586" s="20">
        <v>0.21238654691955663</v>
      </c>
      <c r="H586" s="16">
        <f t="shared" ca="1" si="12"/>
        <v>2211</v>
      </c>
    </row>
    <row r="587" spans="4:8" ht="15" thickBot="1" x14ac:dyDescent="0.35">
      <c r="D587" s="20">
        <v>807</v>
      </c>
      <c r="E587" s="20">
        <v>1150</v>
      </c>
      <c r="F587" s="20">
        <v>1550</v>
      </c>
      <c r="G587" s="20">
        <v>0.30716063926182269</v>
      </c>
      <c r="H587" s="16">
        <f t="shared" ca="1" si="12"/>
        <v>485</v>
      </c>
    </row>
    <row r="588" spans="4:8" ht="15" thickBot="1" x14ac:dyDescent="0.35">
      <c r="D588" s="20">
        <v>494</v>
      </c>
      <c r="E588" s="20">
        <v>1650</v>
      </c>
      <c r="F588" s="20">
        <v>950</v>
      </c>
      <c r="G588" s="20">
        <v>0.27805040231210609</v>
      </c>
      <c r="H588" s="16">
        <f t="shared" ca="1" si="12"/>
        <v>2249</v>
      </c>
    </row>
    <row r="589" spans="4:8" ht="15" thickBot="1" x14ac:dyDescent="0.35">
      <c r="D589" s="20">
        <v>56</v>
      </c>
      <c r="E589" s="20">
        <v>250</v>
      </c>
      <c r="F589" s="20">
        <v>150</v>
      </c>
      <c r="G589" s="20">
        <v>0.19087456426407901</v>
      </c>
      <c r="H589" s="16">
        <f t="shared" ca="1" si="12"/>
        <v>465</v>
      </c>
    </row>
    <row r="590" spans="4:8" ht="15" thickBot="1" x14ac:dyDescent="0.35">
      <c r="D590" s="20">
        <v>2196</v>
      </c>
      <c r="E590" s="20">
        <v>2250</v>
      </c>
      <c r="F590" s="20">
        <v>4150</v>
      </c>
      <c r="G590" s="20">
        <v>0.41457224462656028</v>
      </c>
      <c r="H590" s="16">
        <f t="shared" ca="1" si="12"/>
        <v>2064</v>
      </c>
    </row>
    <row r="591" spans="4:8" ht="15" thickBot="1" x14ac:dyDescent="0.35">
      <c r="D591" s="20">
        <v>2112</v>
      </c>
      <c r="E591" s="20">
        <v>4450</v>
      </c>
      <c r="F591" s="20">
        <v>3950</v>
      </c>
      <c r="G591" s="20">
        <v>0.40736466303252583</v>
      </c>
      <c r="H591" s="16">
        <f t="shared" ca="1" si="12"/>
        <v>102</v>
      </c>
    </row>
    <row r="592" spans="4:8" ht="15" thickBot="1" x14ac:dyDescent="0.35">
      <c r="D592" s="20">
        <v>2225</v>
      </c>
      <c r="E592" s="20">
        <v>5150</v>
      </c>
      <c r="F592" s="20">
        <v>4150</v>
      </c>
      <c r="G592" s="20">
        <v>0.41812742559395327</v>
      </c>
      <c r="H592" s="16">
        <f t="shared" ca="1" si="12"/>
        <v>2127</v>
      </c>
    </row>
    <row r="593" spans="4:8" ht="15" thickBot="1" x14ac:dyDescent="0.35">
      <c r="D593" s="20">
        <v>2626</v>
      </c>
      <c r="E593" s="20">
        <v>2850</v>
      </c>
      <c r="F593" s="20">
        <v>4950</v>
      </c>
      <c r="G593" s="20">
        <v>0.47130329957047207</v>
      </c>
      <c r="H593" s="16">
        <f t="shared" ca="1" si="12"/>
        <v>1071</v>
      </c>
    </row>
    <row r="594" spans="4:8" ht="15" thickBot="1" x14ac:dyDescent="0.35">
      <c r="D594" s="20">
        <v>1793</v>
      </c>
      <c r="E594" s="20">
        <v>4350</v>
      </c>
      <c r="F594" s="20">
        <v>3350</v>
      </c>
      <c r="G594" s="20">
        <v>0.38054422140856131</v>
      </c>
      <c r="H594" s="16">
        <f t="shared" ca="1" si="12"/>
        <v>2480</v>
      </c>
    </row>
    <row r="595" spans="4:8" ht="15" thickBot="1" x14ac:dyDescent="0.35">
      <c r="D595" s="20">
        <v>2327</v>
      </c>
      <c r="E595" s="20">
        <v>4750</v>
      </c>
      <c r="F595" s="20">
        <v>4350</v>
      </c>
      <c r="G595" s="20">
        <v>0.42746916324810974</v>
      </c>
      <c r="H595" s="16">
        <f t="shared" ca="1" si="12"/>
        <v>858</v>
      </c>
    </row>
    <row r="596" spans="4:8" ht="15" thickBot="1" x14ac:dyDescent="0.35">
      <c r="D596" s="20">
        <v>2737</v>
      </c>
      <c r="E596" s="47">
        <v>3350</v>
      </c>
      <c r="F596" s="47">
        <v>5150</v>
      </c>
      <c r="G596" s="20">
        <v>0.5117892241395493</v>
      </c>
      <c r="H596" s="16">
        <f t="shared" ca="1" si="12"/>
        <v>1970</v>
      </c>
    </row>
    <row r="597" spans="4:8" ht="15" thickBot="1" x14ac:dyDescent="0.35">
      <c r="D597" s="20">
        <v>551</v>
      </c>
      <c r="E597" s="20">
        <v>2050</v>
      </c>
      <c r="F597" s="20">
        <v>1050</v>
      </c>
      <c r="G597" s="20">
        <v>0.28393389842785477</v>
      </c>
      <c r="H597" s="16">
        <f t="shared" ca="1" si="12"/>
        <v>1343</v>
      </c>
    </row>
    <row r="598" spans="4:8" ht="15" thickBot="1" x14ac:dyDescent="0.35">
      <c r="D598" s="20">
        <v>1990</v>
      </c>
      <c r="E598" s="20">
        <v>2850</v>
      </c>
      <c r="F598" s="20">
        <v>3750</v>
      </c>
      <c r="G598" s="20">
        <v>0.39492577733884815</v>
      </c>
      <c r="H598" s="16">
        <f t="shared" ca="1" si="12"/>
        <v>1548</v>
      </c>
    </row>
    <row r="599" spans="4:8" ht="15" thickBot="1" x14ac:dyDescent="0.35">
      <c r="D599" s="20">
        <v>609</v>
      </c>
      <c r="E599" s="20">
        <v>2550</v>
      </c>
      <c r="F599" s="20">
        <v>1150</v>
      </c>
      <c r="G599" s="20">
        <v>0.28949785331094618</v>
      </c>
      <c r="H599" s="16">
        <f t="shared" ca="1" si="12"/>
        <v>14</v>
      </c>
    </row>
    <row r="600" spans="4:8" ht="15" thickBot="1" x14ac:dyDescent="0.35">
      <c r="D600" s="20">
        <v>736</v>
      </c>
      <c r="E600" s="20">
        <v>4650</v>
      </c>
      <c r="F600" s="20">
        <v>1350</v>
      </c>
      <c r="G600" s="20">
        <v>0.30107327423056374</v>
      </c>
      <c r="H600" s="16">
        <f t="shared" ca="1" si="12"/>
        <v>1062</v>
      </c>
    </row>
    <row r="601" spans="4:8" ht="15" thickBot="1" x14ac:dyDescent="0.35">
      <c r="D601" s="20">
        <v>2705</v>
      </c>
      <c r="E601" s="20">
        <v>150</v>
      </c>
      <c r="F601" s="20">
        <v>5150</v>
      </c>
      <c r="G601" s="20">
        <v>0.49624640508252083</v>
      </c>
      <c r="H601" s="16">
        <f t="shared" ca="1" si="12"/>
        <v>2264</v>
      </c>
    </row>
    <row r="602" spans="4:8" ht="15" thickBot="1" x14ac:dyDescent="0.35">
      <c r="D602" s="20">
        <v>535</v>
      </c>
      <c r="E602" s="20">
        <v>450</v>
      </c>
      <c r="F602" s="20">
        <v>1050</v>
      </c>
      <c r="G602" s="20">
        <v>0.28195381335119812</v>
      </c>
      <c r="H602" s="16">
        <f t="shared" ca="1" si="12"/>
        <v>1065</v>
      </c>
    </row>
    <row r="603" spans="4:8" ht="15" thickBot="1" x14ac:dyDescent="0.35">
      <c r="D603" s="20">
        <v>2738</v>
      </c>
      <c r="E603" s="20">
        <v>3450</v>
      </c>
      <c r="F603" s="20">
        <v>5150</v>
      </c>
      <c r="G603" s="20">
        <v>0.51204775190019247</v>
      </c>
      <c r="H603" s="16">
        <f t="shared" ca="1" si="12"/>
        <v>532</v>
      </c>
    </row>
    <row r="604" spans="4:8" ht="15" thickBot="1" x14ac:dyDescent="0.35">
      <c r="D604" s="20">
        <v>904</v>
      </c>
      <c r="E604" s="20">
        <v>250</v>
      </c>
      <c r="F604" s="20">
        <v>1750</v>
      </c>
      <c r="G604" s="20">
        <v>0.31462262521384055</v>
      </c>
      <c r="H604" s="16">
        <f t="shared" ca="1" si="12"/>
        <v>1689</v>
      </c>
    </row>
    <row r="605" spans="4:8" ht="15" thickBot="1" x14ac:dyDescent="0.35">
      <c r="D605" s="20">
        <v>1188</v>
      </c>
      <c r="E605" s="20">
        <v>2150</v>
      </c>
      <c r="F605" s="20">
        <v>2250</v>
      </c>
      <c r="G605" s="20">
        <v>0.33705602742689356</v>
      </c>
      <c r="H605" s="16">
        <f t="shared" ca="1" si="12"/>
        <v>102</v>
      </c>
    </row>
    <row r="606" spans="4:8" ht="15" thickBot="1" x14ac:dyDescent="0.35">
      <c r="D606" s="20">
        <v>148</v>
      </c>
      <c r="E606" s="20">
        <v>4150</v>
      </c>
      <c r="F606" s="20">
        <v>250</v>
      </c>
      <c r="G606" s="20">
        <v>0.22200505842696572</v>
      </c>
      <c r="H606" s="16">
        <f t="shared" ca="1" si="12"/>
        <v>2283</v>
      </c>
    </row>
    <row r="607" spans="4:8" ht="15" thickBot="1" x14ac:dyDescent="0.35">
      <c r="D607" s="20">
        <v>2374</v>
      </c>
      <c r="E607" s="48">
        <v>4150</v>
      </c>
      <c r="F607" s="48">
        <v>4450</v>
      </c>
      <c r="G607" s="20">
        <v>0.43197102070958221</v>
      </c>
      <c r="H607" s="16">
        <f t="shared" ca="1" si="12"/>
        <v>392</v>
      </c>
    </row>
    <row r="608" spans="4:8" ht="15" thickBot="1" x14ac:dyDescent="0.35">
      <c r="D608" s="20">
        <v>2231</v>
      </c>
      <c r="E608" s="20">
        <v>450</v>
      </c>
      <c r="F608" s="20">
        <v>4250</v>
      </c>
      <c r="G608" s="20">
        <v>0.41846839469875763</v>
      </c>
      <c r="H608" s="16">
        <f t="shared" ca="1" si="12"/>
        <v>372</v>
      </c>
    </row>
    <row r="609" spans="4:8" ht="15" thickBot="1" x14ac:dyDescent="0.35">
      <c r="D609" s="20">
        <v>751</v>
      </c>
      <c r="E609" s="20">
        <v>850</v>
      </c>
      <c r="F609" s="20">
        <v>1450</v>
      </c>
      <c r="G609" s="20">
        <v>0.30211340062273229</v>
      </c>
      <c r="H609" s="16">
        <f t="shared" ca="1" si="12"/>
        <v>2155</v>
      </c>
    </row>
    <row r="610" spans="4:8" ht="15" thickBot="1" x14ac:dyDescent="0.35">
      <c r="D610" s="20">
        <v>2773</v>
      </c>
      <c r="E610" s="20">
        <v>1650</v>
      </c>
      <c r="F610" s="20">
        <v>5250</v>
      </c>
      <c r="G610" s="20">
        <v>0.5401424527511216</v>
      </c>
      <c r="H610" s="16">
        <f t="shared" ca="1" si="12"/>
        <v>2242</v>
      </c>
    </row>
    <row r="611" spans="4:8" ht="15" thickBot="1" x14ac:dyDescent="0.35">
      <c r="D611" s="20">
        <v>365</v>
      </c>
      <c r="E611" s="20">
        <v>4650</v>
      </c>
      <c r="F611" s="20">
        <v>650</v>
      </c>
      <c r="G611" s="20">
        <v>0.26281016553798897</v>
      </c>
      <c r="H611" s="16">
        <f t="shared" ca="1" si="12"/>
        <v>592</v>
      </c>
    </row>
    <row r="612" spans="4:8" ht="15" thickBot="1" x14ac:dyDescent="0.35">
      <c r="D612" s="20">
        <v>2189</v>
      </c>
      <c r="E612" s="47">
        <v>1550</v>
      </c>
      <c r="F612" s="47">
        <v>4150</v>
      </c>
      <c r="G612" s="20">
        <v>0.4137938170041065</v>
      </c>
      <c r="H612" s="16">
        <f t="shared" ca="1" si="12"/>
        <v>1231</v>
      </c>
    </row>
    <row r="613" spans="4:8" ht="15" thickBot="1" x14ac:dyDescent="0.35">
      <c r="D613" s="20">
        <v>1969</v>
      </c>
      <c r="E613" s="20">
        <v>750</v>
      </c>
      <c r="F613" s="20">
        <v>3750</v>
      </c>
      <c r="G613" s="20">
        <v>0.3936147505103138</v>
      </c>
      <c r="H613" s="16">
        <f t="shared" ca="1" si="12"/>
        <v>2091</v>
      </c>
    </row>
    <row r="614" spans="4:8" ht="15" thickBot="1" x14ac:dyDescent="0.35">
      <c r="D614" s="20">
        <v>1555</v>
      </c>
      <c r="E614" s="20">
        <v>1750</v>
      </c>
      <c r="F614" s="20">
        <v>2950</v>
      </c>
      <c r="G614" s="20">
        <v>0.36381655801387891</v>
      </c>
      <c r="H614" s="16">
        <f t="shared" ca="1" si="12"/>
        <v>2750</v>
      </c>
    </row>
    <row r="615" spans="4:8" ht="15" thickBot="1" x14ac:dyDescent="0.35">
      <c r="D615" s="20">
        <v>2152</v>
      </c>
      <c r="E615" s="20">
        <v>3150</v>
      </c>
      <c r="F615" s="20">
        <v>4050</v>
      </c>
      <c r="G615" s="20">
        <v>0.41040458582996503</v>
      </c>
      <c r="H615" s="16">
        <f t="shared" ca="1" si="12"/>
        <v>623</v>
      </c>
    </row>
    <row r="616" spans="4:8" ht="15" thickBot="1" x14ac:dyDescent="0.35">
      <c r="D616" s="20">
        <v>963</v>
      </c>
      <c r="E616" s="20">
        <v>850</v>
      </c>
      <c r="F616" s="20">
        <v>1850</v>
      </c>
      <c r="G616" s="20">
        <v>0.31940010665688018</v>
      </c>
      <c r="H616" s="16">
        <f t="shared" ca="1" si="12"/>
        <v>1987</v>
      </c>
    </row>
    <row r="617" spans="4:8" ht="15" thickBot="1" x14ac:dyDescent="0.35">
      <c r="D617" s="20">
        <v>2402</v>
      </c>
      <c r="E617" s="20">
        <v>1650</v>
      </c>
      <c r="F617" s="20">
        <v>4550</v>
      </c>
      <c r="G617" s="20">
        <v>0.43541616011491602</v>
      </c>
      <c r="H617" s="16">
        <f t="shared" ca="1" si="12"/>
        <v>826</v>
      </c>
    </row>
    <row r="618" spans="4:8" ht="15" thickBot="1" x14ac:dyDescent="0.35">
      <c r="D618" s="20">
        <v>2096</v>
      </c>
      <c r="E618" s="20">
        <v>2850</v>
      </c>
      <c r="F618" s="20">
        <v>3950</v>
      </c>
      <c r="G618" s="20">
        <v>0.40481763990963443</v>
      </c>
      <c r="H618" s="16">
        <f t="shared" ca="1" si="12"/>
        <v>1368</v>
      </c>
    </row>
    <row r="619" spans="4:8" ht="15" thickBot="1" x14ac:dyDescent="0.35">
      <c r="D619" s="20">
        <v>870</v>
      </c>
      <c r="E619" s="44">
        <v>2150</v>
      </c>
      <c r="F619" s="44">
        <v>1650</v>
      </c>
      <c r="G619" s="20">
        <v>0.3118734093397465</v>
      </c>
      <c r="H619" s="16">
        <f t="shared" ca="1" si="12"/>
        <v>812</v>
      </c>
    </row>
    <row r="620" spans="4:8" ht="15" thickBot="1" x14ac:dyDescent="0.35">
      <c r="D620" s="20">
        <v>1299</v>
      </c>
      <c r="E620" s="20">
        <v>2650</v>
      </c>
      <c r="F620" s="20">
        <v>2450</v>
      </c>
      <c r="G620" s="20">
        <v>0.34566408568481694</v>
      </c>
      <c r="H620" s="16">
        <f t="shared" ca="1" si="12"/>
        <v>604</v>
      </c>
    </row>
    <row r="621" spans="4:8" ht="15" thickBot="1" x14ac:dyDescent="0.35">
      <c r="D621" s="20">
        <v>117</v>
      </c>
      <c r="E621" s="20">
        <v>1050</v>
      </c>
      <c r="F621" s="20">
        <v>250</v>
      </c>
      <c r="G621" s="20">
        <v>0.21514197212585648</v>
      </c>
      <c r="H621" s="16">
        <f t="shared" ca="1" si="12"/>
        <v>772</v>
      </c>
    </row>
    <row r="622" spans="4:8" ht="15" thickBot="1" x14ac:dyDescent="0.35">
      <c r="D622" s="20">
        <v>803</v>
      </c>
      <c r="E622" s="20">
        <v>750</v>
      </c>
      <c r="F622" s="20">
        <v>1550</v>
      </c>
      <c r="G622" s="20">
        <v>0.30685750734178535</v>
      </c>
      <c r="H622" s="16">
        <f t="shared" ca="1" si="12"/>
        <v>438</v>
      </c>
    </row>
    <row r="623" spans="4:8" ht="15" thickBot="1" x14ac:dyDescent="0.35">
      <c r="D623" s="20">
        <v>757</v>
      </c>
      <c r="E623" s="20">
        <v>1450</v>
      </c>
      <c r="F623" s="20">
        <v>1450</v>
      </c>
      <c r="G623" s="20">
        <v>0.30257605899076523</v>
      </c>
      <c r="H623" s="16">
        <f t="shared" ca="1" si="12"/>
        <v>2000</v>
      </c>
    </row>
    <row r="624" spans="4:8" ht="15" thickBot="1" x14ac:dyDescent="0.35">
      <c r="D624" s="20">
        <v>2387</v>
      </c>
      <c r="E624" s="20">
        <v>150</v>
      </c>
      <c r="F624" s="20">
        <v>4550</v>
      </c>
      <c r="G624" s="20">
        <v>0.4333924324583483</v>
      </c>
      <c r="H624" s="16">
        <f t="shared" ca="1" si="12"/>
        <v>1367</v>
      </c>
    </row>
    <row r="625" spans="4:8" ht="15" thickBot="1" x14ac:dyDescent="0.35">
      <c r="D625" s="20">
        <v>1333</v>
      </c>
      <c r="E625" s="20">
        <v>750</v>
      </c>
      <c r="F625" s="20">
        <v>2550</v>
      </c>
      <c r="G625" s="20">
        <v>0.34820648370039275</v>
      </c>
      <c r="H625" s="16">
        <f t="shared" ca="1" si="12"/>
        <v>1152</v>
      </c>
    </row>
    <row r="626" spans="4:8" ht="15" thickBot="1" x14ac:dyDescent="0.35">
      <c r="D626" s="20">
        <v>759</v>
      </c>
      <c r="E626" s="20">
        <v>1650</v>
      </c>
      <c r="F626" s="20">
        <v>1450</v>
      </c>
      <c r="G626" s="20">
        <v>0.30266137864111931</v>
      </c>
      <c r="H626" s="16">
        <f t="shared" ca="1" si="12"/>
        <v>2049</v>
      </c>
    </row>
    <row r="627" spans="4:8" ht="15" thickBot="1" x14ac:dyDescent="0.35">
      <c r="D627" s="20">
        <v>400</v>
      </c>
      <c r="E627" s="20">
        <v>2850</v>
      </c>
      <c r="F627" s="20">
        <v>750</v>
      </c>
      <c r="G627" s="20">
        <v>0.26732266945539751</v>
      </c>
      <c r="H627" s="16">
        <f t="shared" ca="1" si="12"/>
        <v>1199</v>
      </c>
    </row>
    <row r="628" spans="4:8" ht="15" thickBot="1" x14ac:dyDescent="0.35">
      <c r="D628" s="20">
        <v>905</v>
      </c>
      <c r="E628" s="20">
        <v>350</v>
      </c>
      <c r="F628" s="20">
        <v>1750</v>
      </c>
      <c r="G628" s="20">
        <v>0.31462505150993147</v>
      </c>
      <c r="H628" s="16">
        <f t="shared" ca="1" si="12"/>
        <v>1520</v>
      </c>
    </row>
    <row r="629" spans="4:8" ht="15" thickBot="1" x14ac:dyDescent="0.35">
      <c r="D629" s="20">
        <v>2522</v>
      </c>
      <c r="E629" s="20">
        <v>3050</v>
      </c>
      <c r="F629" s="20">
        <v>4750</v>
      </c>
      <c r="G629" s="20">
        <v>0.44992556176980447</v>
      </c>
      <c r="H629" s="16">
        <f t="shared" ca="1" si="12"/>
        <v>421</v>
      </c>
    </row>
    <row r="630" spans="4:8" ht="15" thickBot="1" x14ac:dyDescent="0.35">
      <c r="D630" s="20">
        <v>1795</v>
      </c>
      <c r="E630" s="20">
        <v>4550</v>
      </c>
      <c r="F630" s="20">
        <v>3350</v>
      </c>
      <c r="G630" s="20">
        <v>0.3806940245231929</v>
      </c>
      <c r="H630" s="16">
        <f t="shared" ca="1" si="12"/>
        <v>1376</v>
      </c>
    </row>
    <row r="631" spans="4:8" ht="15" thickBot="1" x14ac:dyDescent="0.35">
      <c r="D631" s="20">
        <v>1544</v>
      </c>
      <c r="E631" s="20">
        <v>650</v>
      </c>
      <c r="F631" s="20">
        <v>2950</v>
      </c>
      <c r="G631" s="20">
        <v>0.36323519550608091</v>
      </c>
      <c r="H631" s="16">
        <f t="shared" ca="1" si="12"/>
        <v>1499</v>
      </c>
    </row>
    <row r="632" spans="4:8" ht="15" thickBot="1" x14ac:dyDescent="0.35">
      <c r="D632" s="20">
        <v>1999</v>
      </c>
      <c r="E632" s="20">
        <v>3750</v>
      </c>
      <c r="F632" s="20">
        <v>3750</v>
      </c>
      <c r="G632" s="20">
        <v>0.39542501841724037</v>
      </c>
      <c r="H632" s="16">
        <f t="shared" ca="1" si="12"/>
        <v>992</v>
      </c>
    </row>
    <row r="633" spans="4:8" ht="15" thickBot="1" x14ac:dyDescent="0.35">
      <c r="D633" s="20">
        <v>239</v>
      </c>
      <c r="E633" s="20">
        <v>2650</v>
      </c>
      <c r="F633" s="20">
        <v>450</v>
      </c>
      <c r="G633" s="20">
        <v>0.2437188633420439</v>
      </c>
      <c r="H633" s="16">
        <f t="shared" ca="1" si="12"/>
        <v>537</v>
      </c>
    </row>
    <row r="634" spans="4:8" ht="15" thickBot="1" x14ac:dyDescent="0.35">
      <c r="D634" s="20">
        <v>1843</v>
      </c>
      <c r="E634" s="20">
        <v>4050</v>
      </c>
      <c r="F634" s="20">
        <v>3450</v>
      </c>
      <c r="G634" s="20">
        <v>0.38419309304018218</v>
      </c>
      <c r="H634" s="16">
        <f t="shared" ca="1" si="12"/>
        <v>605</v>
      </c>
    </row>
    <row r="635" spans="4:8" ht="15" thickBot="1" x14ac:dyDescent="0.35">
      <c r="D635" s="20">
        <v>1056</v>
      </c>
      <c r="E635" s="20">
        <v>4850</v>
      </c>
      <c r="F635" s="20">
        <v>1950</v>
      </c>
      <c r="G635" s="20">
        <v>0.32694114595627644</v>
      </c>
      <c r="H635" s="16">
        <f t="shared" ca="1" si="12"/>
        <v>1314</v>
      </c>
    </row>
    <row r="636" spans="4:8" ht="15" thickBot="1" x14ac:dyDescent="0.35">
      <c r="D636" s="20">
        <v>1683</v>
      </c>
      <c r="E636" s="20">
        <v>3950</v>
      </c>
      <c r="F636" s="20">
        <v>3150</v>
      </c>
      <c r="G636" s="20">
        <v>0.37299962878431547</v>
      </c>
      <c r="H636" s="16">
        <f t="shared" ca="1" si="12"/>
        <v>1166</v>
      </c>
    </row>
    <row r="637" spans="4:8" ht="15" thickBot="1" x14ac:dyDescent="0.35">
      <c r="D637" s="20">
        <v>2401</v>
      </c>
      <c r="E637" s="20">
        <v>1550</v>
      </c>
      <c r="F637" s="20">
        <v>4550</v>
      </c>
      <c r="G637" s="20">
        <v>0.43541315737685976</v>
      </c>
      <c r="H637" s="16">
        <f t="shared" ca="1" si="12"/>
        <v>137</v>
      </c>
    </row>
    <row r="638" spans="4:8" ht="15" thickBot="1" x14ac:dyDescent="0.35">
      <c r="D638" s="20">
        <v>1705</v>
      </c>
      <c r="E638" s="20">
        <v>850</v>
      </c>
      <c r="F638" s="20">
        <v>3250</v>
      </c>
      <c r="G638" s="20">
        <v>0.37480498123480183</v>
      </c>
      <c r="H638" s="16">
        <f t="shared" ca="1" si="12"/>
        <v>2719</v>
      </c>
    </row>
    <row r="639" spans="4:8" ht="15" thickBot="1" x14ac:dyDescent="0.35">
      <c r="D639" s="20">
        <v>887</v>
      </c>
      <c r="E639" s="20">
        <v>3850</v>
      </c>
      <c r="F639" s="20">
        <v>1650</v>
      </c>
      <c r="G639" s="20">
        <v>0.31327026582723139</v>
      </c>
      <c r="H639" s="16">
        <f t="shared" ca="1" si="12"/>
        <v>909</v>
      </c>
    </row>
    <row r="640" spans="4:8" ht="15" thickBot="1" x14ac:dyDescent="0.35">
      <c r="D640" s="20">
        <v>2486</v>
      </c>
      <c r="E640" s="45">
        <v>4750</v>
      </c>
      <c r="F640" s="45">
        <v>4650</v>
      </c>
      <c r="G640" s="20">
        <v>0.44580840190219495</v>
      </c>
      <c r="H640" s="16">
        <f t="shared" ca="1" si="12"/>
        <v>2622</v>
      </c>
    </row>
    <row r="641" spans="4:8" ht="15" thickBot="1" x14ac:dyDescent="0.35">
      <c r="D641" s="20">
        <v>625</v>
      </c>
      <c r="E641" s="20">
        <v>4150</v>
      </c>
      <c r="F641" s="20">
        <v>1150</v>
      </c>
      <c r="G641" s="20">
        <v>0.29092343459047337</v>
      </c>
      <c r="H641" s="16">
        <f t="shared" ca="1" si="12"/>
        <v>2011</v>
      </c>
    </row>
    <row r="642" spans="4:8" ht="15" thickBot="1" x14ac:dyDescent="0.35">
      <c r="D642" s="20">
        <v>1592</v>
      </c>
      <c r="E642" s="20">
        <v>150</v>
      </c>
      <c r="F642" s="20">
        <v>3050</v>
      </c>
      <c r="G642" s="20">
        <v>0.36639869443102879</v>
      </c>
      <c r="H642" s="16">
        <f t="shared" ca="1" si="12"/>
        <v>271</v>
      </c>
    </row>
    <row r="643" spans="4:8" ht="15" thickBot="1" x14ac:dyDescent="0.35">
      <c r="D643" s="20">
        <v>1347</v>
      </c>
      <c r="E643" s="20">
        <v>2150</v>
      </c>
      <c r="F643" s="20">
        <v>2550</v>
      </c>
      <c r="G643" s="20">
        <v>0.34886106990213284</v>
      </c>
      <c r="H643" s="16">
        <f t="shared" ca="1" si="12"/>
        <v>620</v>
      </c>
    </row>
    <row r="644" spans="4:8" ht="15" thickBot="1" x14ac:dyDescent="0.35">
      <c r="D644" s="20">
        <v>825</v>
      </c>
      <c r="E644" s="20">
        <v>2950</v>
      </c>
      <c r="F644" s="20">
        <v>1550</v>
      </c>
      <c r="G644" s="20">
        <v>0.30846353066801663</v>
      </c>
      <c r="H644" s="16">
        <f t="shared" ca="1" si="12"/>
        <v>725</v>
      </c>
    </row>
    <row r="645" spans="4:8" ht="15" thickBot="1" x14ac:dyDescent="0.35">
      <c r="D645" s="20">
        <v>2335</v>
      </c>
      <c r="E645" s="20">
        <v>250</v>
      </c>
      <c r="F645" s="20">
        <v>4450</v>
      </c>
      <c r="G645" s="20">
        <v>0.42870661925052012</v>
      </c>
      <c r="H645" s="16">
        <f t="shared" ca="1" si="12"/>
        <v>612</v>
      </c>
    </row>
    <row r="646" spans="4:8" ht="15" thickBot="1" x14ac:dyDescent="0.35">
      <c r="D646" s="20">
        <v>466</v>
      </c>
      <c r="E646" s="20">
        <v>4150</v>
      </c>
      <c r="F646" s="20">
        <v>850</v>
      </c>
      <c r="G646" s="20">
        <v>0.27534100896218083</v>
      </c>
      <c r="H646" s="16">
        <f t="shared" ca="1" si="12"/>
        <v>2747</v>
      </c>
    </row>
    <row r="647" spans="4:8" ht="15" thickBot="1" x14ac:dyDescent="0.35">
      <c r="D647" s="20">
        <v>2388</v>
      </c>
      <c r="E647" s="20">
        <v>250</v>
      </c>
      <c r="F647" s="20">
        <v>4550</v>
      </c>
      <c r="G647" s="20">
        <v>0.43392351387352068</v>
      </c>
      <c r="H647" s="16">
        <f t="shared" ref="H647:H710" ca="1" si="13">RANDBETWEEN(1,2788)</f>
        <v>1259</v>
      </c>
    </row>
    <row r="648" spans="4:8" ht="15" thickBot="1" x14ac:dyDescent="0.35">
      <c r="D648" s="20">
        <v>1167</v>
      </c>
      <c r="E648" s="20">
        <v>50</v>
      </c>
      <c r="F648" s="20">
        <v>2250</v>
      </c>
      <c r="G648" s="20">
        <v>0.33554403380549541</v>
      </c>
      <c r="H648" s="16">
        <f t="shared" ca="1" si="13"/>
        <v>2757</v>
      </c>
    </row>
    <row r="649" spans="4:8" ht="15" thickBot="1" x14ac:dyDescent="0.35">
      <c r="D649" s="20">
        <v>2765</v>
      </c>
      <c r="E649" s="20">
        <v>850</v>
      </c>
      <c r="F649" s="20">
        <v>5250</v>
      </c>
      <c r="G649" s="20">
        <v>0.52861419352705508</v>
      </c>
      <c r="H649" s="16">
        <f t="shared" ca="1" si="13"/>
        <v>1246</v>
      </c>
    </row>
    <row r="650" spans="4:8" ht="15" thickBot="1" x14ac:dyDescent="0.35">
      <c r="D650" s="20">
        <v>1950</v>
      </c>
      <c r="E650" s="20">
        <v>4150</v>
      </c>
      <c r="F650" s="20">
        <v>3650</v>
      </c>
      <c r="G650" s="20">
        <v>0.39177840860850188</v>
      </c>
      <c r="H650" s="16">
        <f t="shared" ca="1" si="13"/>
        <v>1338</v>
      </c>
    </row>
    <row r="651" spans="4:8" ht="15" thickBot="1" x14ac:dyDescent="0.35">
      <c r="D651" s="20">
        <v>251</v>
      </c>
      <c r="E651" s="20">
        <v>3850</v>
      </c>
      <c r="F651" s="20">
        <v>450</v>
      </c>
      <c r="G651" s="20">
        <v>0.24531810197458159</v>
      </c>
      <c r="H651" s="16">
        <f t="shared" ca="1" si="13"/>
        <v>592</v>
      </c>
    </row>
    <row r="652" spans="4:8" ht="15" thickBot="1" x14ac:dyDescent="0.35">
      <c r="D652" s="20">
        <v>134</v>
      </c>
      <c r="E652" s="20">
        <v>2750</v>
      </c>
      <c r="F652" s="20">
        <v>250</v>
      </c>
      <c r="G652" s="20">
        <v>0.21927581687574757</v>
      </c>
      <c r="H652" s="16">
        <f t="shared" ca="1" si="13"/>
        <v>936</v>
      </c>
    </row>
    <row r="653" spans="4:8" ht="15" thickBot="1" x14ac:dyDescent="0.35">
      <c r="D653" s="20">
        <v>782</v>
      </c>
      <c r="E653" s="20">
        <v>3950</v>
      </c>
      <c r="F653" s="20">
        <v>1450</v>
      </c>
      <c r="G653" s="20">
        <v>0.30519701659003556</v>
      </c>
      <c r="H653" s="16">
        <f t="shared" ca="1" si="13"/>
        <v>146</v>
      </c>
    </row>
    <row r="654" spans="4:8" ht="15" thickBot="1" x14ac:dyDescent="0.35">
      <c r="D654" s="20">
        <v>2081</v>
      </c>
      <c r="E654" s="20">
        <v>1350</v>
      </c>
      <c r="F654" s="20">
        <v>3950</v>
      </c>
      <c r="G654" s="20">
        <v>0.40362613295005267</v>
      </c>
      <c r="H654" s="16">
        <f t="shared" ca="1" si="13"/>
        <v>132</v>
      </c>
    </row>
    <row r="655" spans="4:8" ht="15" thickBot="1" x14ac:dyDescent="0.35">
      <c r="D655" s="20">
        <v>1577</v>
      </c>
      <c r="E655" s="45">
        <v>3950</v>
      </c>
      <c r="F655" s="45">
        <v>2950</v>
      </c>
      <c r="G655" s="20">
        <v>0.36523803341892747</v>
      </c>
      <c r="H655" s="16">
        <f t="shared" ca="1" si="13"/>
        <v>1499</v>
      </c>
    </row>
    <row r="656" spans="4:8" ht="15" thickBot="1" x14ac:dyDescent="0.35">
      <c r="D656" s="20">
        <v>931</v>
      </c>
      <c r="E656" s="20">
        <v>2950</v>
      </c>
      <c r="F656" s="20">
        <v>1750</v>
      </c>
      <c r="G656" s="20">
        <v>0.3170107297603284</v>
      </c>
      <c r="H656" s="16">
        <f t="shared" ca="1" si="13"/>
        <v>1804</v>
      </c>
    </row>
    <row r="657" spans="4:8" ht="15" thickBot="1" x14ac:dyDescent="0.35">
      <c r="D657" s="20">
        <v>133</v>
      </c>
      <c r="E657" s="20">
        <v>2650</v>
      </c>
      <c r="F657" s="20">
        <v>250</v>
      </c>
      <c r="G657" s="20">
        <v>0.21869521236763481</v>
      </c>
      <c r="H657" s="16">
        <f t="shared" ca="1" si="13"/>
        <v>2</v>
      </c>
    </row>
    <row r="658" spans="4:8" ht="15" thickBot="1" x14ac:dyDescent="0.35">
      <c r="D658" s="20">
        <v>883</v>
      </c>
      <c r="E658" s="20">
        <v>3450</v>
      </c>
      <c r="F658" s="20">
        <v>1650</v>
      </c>
      <c r="G658" s="20">
        <v>0.31294521622504706</v>
      </c>
      <c r="H658" s="16">
        <f t="shared" ca="1" si="13"/>
        <v>1019</v>
      </c>
    </row>
    <row r="659" spans="4:8" ht="15" thickBot="1" x14ac:dyDescent="0.35">
      <c r="D659" s="20">
        <v>2305</v>
      </c>
      <c r="E659" s="20">
        <v>2550</v>
      </c>
      <c r="F659" s="20">
        <v>4350</v>
      </c>
      <c r="G659" s="20">
        <v>0.42561137368117974</v>
      </c>
      <c r="H659" s="16">
        <f t="shared" ca="1" si="13"/>
        <v>43</v>
      </c>
    </row>
    <row r="660" spans="4:8" ht="15" thickBot="1" x14ac:dyDescent="0.35">
      <c r="D660" s="20">
        <v>1384</v>
      </c>
      <c r="E660" s="20">
        <v>550</v>
      </c>
      <c r="F660" s="20">
        <v>2650</v>
      </c>
      <c r="G660" s="20">
        <v>0.35060252228433475</v>
      </c>
      <c r="H660" s="16">
        <f t="shared" ca="1" si="13"/>
        <v>67</v>
      </c>
    </row>
    <row r="661" spans="4:8" ht="15" thickBot="1" x14ac:dyDescent="0.35">
      <c r="D661" s="20">
        <v>1849</v>
      </c>
      <c r="E661" s="20">
        <v>4650</v>
      </c>
      <c r="F661" s="20">
        <v>3450</v>
      </c>
      <c r="G661" s="20">
        <v>0.3845828699802879</v>
      </c>
      <c r="H661" s="16">
        <f t="shared" ca="1" si="13"/>
        <v>2123</v>
      </c>
    </row>
    <row r="662" spans="4:8" ht="15" thickBot="1" x14ac:dyDescent="0.35">
      <c r="D662" s="20">
        <v>1290</v>
      </c>
      <c r="E662" s="20">
        <v>1750</v>
      </c>
      <c r="F662" s="20">
        <v>2450</v>
      </c>
      <c r="G662" s="20">
        <v>0.34515877336601591</v>
      </c>
      <c r="H662" s="16">
        <f t="shared" ca="1" si="13"/>
        <v>1242</v>
      </c>
    </row>
    <row r="663" spans="4:8" ht="15" thickBot="1" x14ac:dyDescent="0.35">
      <c r="D663" s="20">
        <v>3</v>
      </c>
      <c r="E663" s="20">
        <v>250</v>
      </c>
      <c r="F663" s="20">
        <v>50</v>
      </c>
      <c r="G663" s="20">
        <v>0.12527051012292464</v>
      </c>
      <c r="H663" s="16">
        <f t="shared" ca="1" si="13"/>
        <v>2154</v>
      </c>
    </row>
    <row r="664" spans="4:8" ht="15" thickBot="1" x14ac:dyDescent="0.35">
      <c r="D664" s="20">
        <v>51</v>
      </c>
      <c r="E664" s="20">
        <v>5050</v>
      </c>
      <c r="F664" s="20">
        <v>50</v>
      </c>
      <c r="G664" s="20">
        <v>0.18453067847117308</v>
      </c>
      <c r="H664" s="16">
        <f t="shared" ca="1" si="13"/>
        <v>1012</v>
      </c>
    </row>
    <row r="665" spans="4:8" ht="15" thickBot="1" x14ac:dyDescent="0.35">
      <c r="D665" s="20">
        <v>2206</v>
      </c>
      <c r="E665" s="20">
        <v>3250</v>
      </c>
      <c r="F665" s="20">
        <v>4150</v>
      </c>
      <c r="G665" s="20">
        <v>0.4153480317442334</v>
      </c>
      <c r="H665" s="16">
        <f t="shared" ca="1" si="13"/>
        <v>165</v>
      </c>
    </row>
    <row r="666" spans="4:8" ht="15" thickBot="1" x14ac:dyDescent="0.35">
      <c r="D666" s="20">
        <v>619</v>
      </c>
      <c r="E666" s="20">
        <v>3550</v>
      </c>
      <c r="F666" s="20">
        <v>1150</v>
      </c>
      <c r="G666" s="20">
        <v>0.29031210740897634</v>
      </c>
      <c r="H666" s="16">
        <f t="shared" ca="1" si="13"/>
        <v>561</v>
      </c>
    </row>
    <row r="667" spans="4:8" ht="15" thickBot="1" x14ac:dyDescent="0.35">
      <c r="D667" s="20">
        <v>369</v>
      </c>
      <c r="E667" s="20">
        <v>5050</v>
      </c>
      <c r="F667" s="20">
        <v>650</v>
      </c>
      <c r="G667" s="20">
        <v>0.26372351220035972</v>
      </c>
      <c r="H667" s="16">
        <f t="shared" ca="1" si="13"/>
        <v>1513</v>
      </c>
    </row>
    <row r="668" spans="4:8" ht="15" thickBot="1" x14ac:dyDescent="0.35">
      <c r="D668" s="20">
        <v>1677</v>
      </c>
      <c r="E668" s="20">
        <v>3350</v>
      </c>
      <c r="F668" s="20">
        <v>3150</v>
      </c>
      <c r="G668" s="20">
        <v>0.37224745143526122</v>
      </c>
      <c r="H668" s="16">
        <f t="shared" ca="1" si="13"/>
        <v>167</v>
      </c>
    </row>
    <row r="669" spans="4:8" ht="15" thickBot="1" x14ac:dyDescent="0.35">
      <c r="D669" s="20">
        <v>1903</v>
      </c>
      <c r="E669" s="20">
        <v>4750</v>
      </c>
      <c r="F669" s="20">
        <v>3550</v>
      </c>
      <c r="G669" s="20">
        <v>0.38847662218291512</v>
      </c>
      <c r="H669" s="16">
        <f t="shared" ca="1" si="13"/>
        <v>906</v>
      </c>
    </row>
    <row r="670" spans="4:8" ht="15" thickBot="1" x14ac:dyDescent="0.35">
      <c r="D670" s="20">
        <v>1501</v>
      </c>
      <c r="E670" s="20">
        <v>1650</v>
      </c>
      <c r="F670" s="20">
        <v>2850</v>
      </c>
      <c r="G670" s="20">
        <v>0.36016439904847619</v>
      </c>
      <c r="H670" s="16">
        <f t="shared" ca="1" si="13"/>
        <v>877</v>
      </c>
    </row>
    <row r="671" spans="4:8" ht="15" thickBot="1" x14ac:dyDescent="0.35">
      <c r="D671" s="20">
        <v>735</v>
      </c>
      <c r="E671" s="20">
        <v>4550</v>
      </c>
      <c r="F671" s="20">
        <v>1350</v>
      </c>
      <c r="G671" s="20">
        <v>0.30089451235363801</v>
      </c>
      <c r="H671" s="16">
        <f t="shared" ca="1" si="13"/>
        <v>2070</v>
      </c>
    </row>
    <row r="672" spans="4:8" ht="15" thickBot="1" x14ac:dyDescent="0.35">
      <c r="D672" s="20">
        <v>1474</v>
      </c>
      <c r="E672" s="20">
        <v>4250</v>
      </c>
      <c r="F672" s="20">
        <v>2750</v>
      </c>
      <c r="G672" s="20">
        <v>0.35804000189661445</v>
      </c>
      <c r="H672" s="16">
        <f t="shared" ca="1" si="13"/>
        <v>632</v>
      </c>
    </row>
    <row r="673" spans="4:8" ht="15" thickBot="1" x14ac:dyDescent="0.35">
      <c r="D673" s="20">
        <v>2708</v>
      </c>
      <c r="E673" s="20">
        <v>450</v>
      </c>
      <c r="F673" s="20">
        <v>5150</v>
      </c>
      <c r="G673" s="20">
        <v>0.49662577779353301</v>
      </c>
      <c r="H673" s="16">
        <f t="shared" ca="1" si="13"/>
        <v>697</v>
      </c>
    </row>
    <row r="674" spans="4:8" ht="15" thickBot="1" x14ac:dyDescent="0.35">
      <c r="D674" s="20">
        <v>1360</v>
      </c>
      <c r="E674" s="20">
        <v>3450</v>
      </c>
      <c r="F674" s="20">
        <v>2550</v>
      </c>
      <c r="G674" s="20">
        <v>0.34932678303973957</v>
      </c>
      <c r="H674" s="16">
        <f t="shared" ca="1" si="13"/>
        <v>2010</v>
      </c>
    </row>
    <row r="675" spans="4:8" ht="15" thickBot="1" x14ac:dyDescent="0.35">
      <c r="D675" s="20">
        <v>2780</v>
      </c>
      <c r="E675" s="20">
        <v>2350</v>
      </c>
      <c r="F675" s="20">
        <v>5250</v>
      </c>
      <c r="G675" s="20">
        <v>0.54890210788292426</v>
      </c>
      <c r="H675" s="16">
        <f t="shared" ca="1" si="13"/>
        <v>7</v>
      </c>
    </row>
    <row r="676" spans="4:8" ht="15" thickBot="1" x14ac:dyDescent="0.35">
      <c r="D676" s="20">
        <v>784</v>
      </c>
      <c r="E676" s="20">
        <v>4150</v>
      </c>
      <c r="F676" s="20">
        <v>1450</v>
      </c>
      <c r="G676" s="20">
        <v>0.30545239682292508</v>
      </c>
      <c r="H676" s="16">
        <f t="shared" ca="1" si="13"/>
        <v>533</v>
      </c>
    </row>
    <row r="677" spans="4:8" ht="15" thickBot="1" x14ac:dyDescent="0.35">
      <c r="D677" s="20">
        <v>2331</v>
      </c>
      <c r="E677" s="20">
        <v>5150</v>
      </c>
      <c r="F677" s="20">
        <v>4350</v>
      </c>
      <c r="G677" s="20">
        <v>0.42835242383319033</v>
      </c>
      <c r="H677" s="16">
        <f t="shared" ca="1" si="13"/>
        <v>1735</v>
      </c>
    </row>
    <row r="678" spans="4:8" ht="15" thickBot="1" x14ac:dyDescent="0.35">
      <c r="D678" s="20">
        <v>1731</v>
      </c>
      <c r="E678" s="20">
        <v>3450</v>
      </c>
      <c r="F678" s="20">
        <v>3250</v>
      </c>
      <c r="G678" s="20">
        <v>0.3766158592402703</v>
      </c>
      <c r="H678" s="16">
        <f t="shared" ca="1" si="13"/>
        <v>2059</v>
      </c>
    </row>
    <row r="679" spans="4:8" ht="15" thickBot="1" x14ac:dyDescent="0.35">
      <c r="D679" s="20">
        <v>1775</v>
      </c>
      <c r="E679" s="20">
        <v>2550</v>
      </c>
      <c r="F679" s="20">
        <v>3350</v>
      </c>
      <c r="G679" s="20">
        <v>0.3789159288278014</v>
      </c>
      <c r="H679" s="16">
        <f t="shared" ca="1" si="13"/>
        <v>20</v>
      </c>
    </row>
    <row r="680" spans="4:8" ht="15" thickBot="1" x14ac:dyDescent="0.35">
      <c r="D680" s="20">
        <v>221</v>
      </c>
      <c r="E680" s="20">
        <v>850</v>
      </c>
      <c r="F680" s="20">
        <v>450</v>
      </c>
      <c r="G680" s="20">
        <v>0.23979954126781755</v>
      </c>
      <c r="H680" s="16">
        <f t="shared" ca="1" si="13"/>
        <v>129</v>
      </c>
    </row>
    <row r="681" spans="4:8" ht="15" thickBot="1" x14ac:dyDescent="0.35">
      <c r="D681" s="20">
        <v>1125</v>
      </c>
      <c r="E681" s="20">
        <v>1150</v>
      </c>
      <c r="F681" s="20">
        <v>2150</v>
      </c>
      <c r="G681" s="20">
        <v>0.33224848064608847</v>
      </c>
      <c r="H681" s="16">
        <f t="shared" ca="1" si="13"/>
        <v>1154</v>
      </c>
    </row>
    <row r="682" spans="4:8" ht="15" thickBot="1" x14ac:dyDescent="0.35">
      <c r="D682" s="20">
        <v>18</v>
      </c>
      <c r="E682" s="20">
        <v>1750</v>
      </c>
      <c r="F682" s="20">
        <v>50</v>
      </c>
      <c r="G682" s="20">
        <v>0.15474206973187565</v>
      </c>
      <c r="H682" s="16">
        <f t="shared" ca="1" si="13"/>
        <v>605</v>
      </c>
    </row>
    <row r="683" spans="4:8" ht="15" thickBot="1" x14ac:dyDescent="0.35">
      <c r="D683" s="20">
        <v>282</v>
      </c>
      <c r="E683" s="20">
        <v>1650</v>
      </c>
      <c r="F683" s="20">
        <v>550</v>
      </c>
      <c r="G683" s="20">
        <v>0.25030189188309837</v>
      </c>
      <c r="H683" s="16">
        <f t="shared" ca="1" si="13"/>
        <v>2657</v>
      </c>
    </row>
    <row r="684" spans="4:8" ht="15" thickBot="1" x14ac:dyDescent="0.35">
      <c r="D684" s="20">
        <v>964</v>
      </c>
      <c r="E684" s="20">
        <v>950</v>
      </c>
      <c r="F684" s="20">
        <v>1850</v>
      </c>
      <c r="G684" s="20">
        <v>0.31943214980683055</v>
      </c>
      <c r="H684" s="16">
        <f t="shared" ca="1" si="13"/>
        <v>1380</v>
      </c>
    </row>
    <row r="685" spans="4:8" ht="15" thickBot="1" x14ac:dyDescent="0.35">
      <c r="D685" s="20">
        <v>1504</v>
      </c>
      <c r="E685" s="20">
        <v>1950</v>
      </c>
      <c r="F685" s="20">
        <v>2850</v>
      </c>
      <c r="G685" s="20">
        <v>0.36036338907232746</v>
      </c>
      <c r="H685" s="16">
        <f t="shared" ca="1" si="13"/>
        <v>2352</v>
      </c>
    </row>
    <row r="686" spans="4:8" ht="15" thickBot="1" x14ac:dyDescent="0.35">
      <c r="D686" s="20">
        <v>2273</v>
      </c>
      <c r="E686" s="20">
        <v>4650</v>
      </c>
      <c r="F686" s="20">
        <v>4250</v>
      </c>
      <c r="G686" s="20">
        <v>0.42254186169634855</v>
      </c>
      <c r="H686" s="16">
        <f t="shared" ca="1" si="13"/>
        <v>2202</v>
      </c>
    </row>
    <row r="687" spans="4:8" ht="15" thickBot="1" x14ac:dyDescent="0.35">
      <c r="D687" s="20">
        <v>281</v>
      </c>
      <c r="E687" s="20">
        <v>1550</v>
      </c>
      <c r="F687" s="20">
        <v>550</v>
      </c>
      <c r="G687" s="20">
        <v>0.24999517872173344</v>
      </c>
      <c r="H687" s="16">
        <f t="shared" ca="1" si="13"/>
        <v>2103</v>
      </c>
    </row>
    <row r="688" spans="4:8" ht="15" thickBot="1" x14ac:dyDescent="0.35">
      <c r="D688" s="20">
        <v>2762</v>
      </c>
      <c r="E688" s="20">
        <v>550</v>
      </c>
      <c r="F688" s="20">
        <v>5250</v>
      </c>
      <c r="G688" s="20">
        <v>0.52656313051800685</v>
      </c>
      <c r="H688" s="16">
        <f t="shared" ca="1" si="13"/>
        <v>1046</v>
      </c>
    </row>
    <row r="689" spans="4:8" ht="15" thickBot="1" x14ac:dyDescent="0.35">
      <c r="D689" s="20">
        <v>2178</v>
      </c>
      <c r="E689" s="20">
        <v>450</v>
      </c>
      <c r="F689" s="20">
        <v>4150</v>
      </c>
      <c r="G689" s="20">
        <v>0.41259588401714054</v>
      </c>
      <c r="H689" s="16">
        <f t="shared" ca="1" si="13"/>
        <v>2134</v>
      </c>
    </row>
    <row r="690" spans="4:8" ht="15" thickBot="1" x14ac:dyDescent="0.35">
      <c r="D690" s="20">
        <v>1453</v>
      </c>
      <c r="E690" s="20">
        <v>2150</v>
      </c>
      <c r="F690" s="20">
        <v>2750</v>
      </c>
      <c r="G690" s="20">
        <v>0.3560092879598557</v>
      </c>
      <c r="H690" s="16">
        <f t="shared" ca="1" si="13"/>
        <v>2303</v>
      </c>
    </row>
    <row r="691" spans="4:8" ht="15" thickBot="1" x14ac:dyDescent="0.35">
      <c r="D691" s="20">
        <v>143</v>
      </c>
      <c r="E691" s="20">
        <v>3650</v>
      </c>
      <c r="F691" s="20">
        <v>250</v>
      </c>
      <c r="G691" s="20">
        <v>0.2209128179971479</v>
      </c>
      <c r="H691" s="16">
        <f t="shared" ca="1" si="13"/>
        <v>624</v>
      </c>
    </row>
    <row r="692" spans="4:8" ht="15" thickBot="1" x14ac:dyDescent="0.35">
      <c r="D692" s="20">
        <v>1738</v>
      </c>
      <c r="E692" s="20">
        <v>4150</v>
      </c>
      <c r="F692" s="20">
        <v>3250</v>
      </c>
      <c r="G692" s="20">
        <v>0.37695060276967995</v>
      </c>
      <c r="H692" s="16">
        <f t="shared" ca="1" si="13"/>
        <v>115</v>
      </c>
    </row>
    <row r="693" spans="4:8" ht="15" thickBot="1" x14ac:dyDescent="0.35">
      <c r="D693" s="20">
        <v>2087</v>
      </c>
      <c r="E693" s="20">
        <v>1950</v>
      </c>
      <c r="F693" s="20">
        <v>3950</v>
      </c>
      <c r="G693" s="20">
        <v>0.40420328191459753</v>
      </c>
      <c r="H693" s="16">
        <f t="shared" ca="1" si="13"/>
        <v>1611</v>
      </c>
    </row>
    <row r="694" spans="4:8" ht="15" thickBot="1" x14ac:dyDescent="0.35">
      <c r="D694" s="20">
        <v>1818</v>
      </c>
      <c r="E694" s="43">
        <v>1550</v>
      </c>
      <c r="F694" s="43">
        <v>3450</v>
      </c>
      <c r="G694" s="20">
        <v>0.38190986379751757</v>
      </c>
      <c r="H694" s="16">
        <f t="shared" ca="1" si="13"/>
        <v>2306</v>
      </c>
    </row>
    <row r="695" spans="4:8" ht="15" thickBot="1" x14ac:dyDescent="0.35">
      <c r="D695" s="20">
        <v>1055</v>
      </c>
      <c r="E695" s="20">
        <v>4750</v>
      </c>
      <c r="F695" s="20">
        <v>1950</v>
      </c>
      <c r="G695" s="20">
        <v>0.32690729196173068</v>
      </c>
      <c r="H695" s="16">
        <f t="shared" ca="1" si="13"/>
        <v>1332</v>
      </c>
    </row>
    <row r="696" spans="4:8" ht="15" thickBot="1" x14ac:dyDescent="0.35">
      <c r="D696" s="20">
        <v>1445</v>
      </c>
      <c r="E696" s="20">
        <v>1350</v>
      </c>
      <c r="F696" s="20">
        <v>2750</v>
      </c>
      <c r="G696" s="20">
        <v>0.35563179758402769</v>
      </c>
      <c r="H696" s="16">
        <f t="shared" ca="1" si="13"/>
        <v>689</v>
      </c>
    </row>
    <row r="697" spans="4:8" ht="15" thickBot="1" x14ac:dyDescent="0.35">
      <c r="D697" s="20">
        <v>2740</v>
      </c>
      <c r="E697" s="20">
        <v>3650</v>
      </c>
      <c r="F697" s="20">
        <v>5150</v>
      </c>
      <c r="G697" s="20">
        <v>0.51258703282941265</v>
      </c>
      <c r="H697" s="16">
        <f t="shared" ca="1" si="13"/>
        <v>626</v>
      </c>
    </row>
    <row r="698" spans="4:8" ht="15" thickBot="1" x14ac:dyDescent="0.35">
      <c r="D698" s="20">
        <v>1184</v>
      </c>
      <c r="E698" s="20">
        <v>1750</v>
      </c>
      <c r="F698" s="20">
        <v>2250</v>
      </c>
      <c r="G698" s="20">
        <v>0.33695819451102238</v>
      </c>
      <c r="H698" s="16">
        <f t="shared" ca="1" si="13"/>
        <v>535</v>
      </c>
    </row>
    <row r="699" spans="4:8" ht="15" thickBot="1" x14ac:dyDescent="0.35">
      <c r="D699" s="20">
        <v>1611</v>
      </c>
      <c r="E699" s="20">
        <v>2050</v>
      </c>
      <c r="F699" s="20">
        <v>3050</v>
      </c>
      <c r="G699" s="20">
        <v>0.36783033422423866</v>
      </c>
      <c r="H699" s="16">
        <f t="shared" ca="1" si="13"/>
        <v>1268</v>
      </c>
    </row>
    <row r="700" spans="4:8" ht="15" thickBot="1" x14ac:dyDescent="0.35">
      <c r="D700" s="20">
        <v>40</v>
      </c>
      <c r="E700" s="20">
        <v>3950</v>
      </c>
      <c r="F700" s="20">
        <v>50</v>
      </c>
      <c r="G700" s="20">
        <v>0.17887654739847436</v>
      </c>
      <c r="H700" s="16">
        <f t="shared" ca="1" si="13"/>
        <v>2348</v>
      </c>
    </row>
    <row r="701" spans="4:8" ht="15" thickBot="1" x14ac:dyDescent="0.35">
      <c r="D701" s="20">
        <v>1004</v>
      </c>
      <c r="E701" s="20">
        <v>4950</v>
      </c>
      <c r="F701" s="20">
        <v>1850</v>
      </c>
      <c r="G701" s="20">
        <v>0.3227097902489327</v>
      </c>
      <c r="H701" s="16">
        <f t="shared" ca="1" si="13"/>
        <v>1859</v>
      </c>
    </row>
    <row r="702" spans="4:8" ht="15" thickBot="1" x14ac:dyDescent="0.35">
      <c r="D702" s="20">
        <v>1037</v>
      </c>
      <c r="E702" s="20">
        <v>2950</v>
      </c>
      <c r="F702" s="20">
        <v>1950</v>
      </c>
      <c r="G702" s="20">
        <v>0.32484778696477212</v>
      </c>
      <c r="H702" s="16">
        <f t="shared" ca="1" si="13"/>
        <v>2043</v>
      </c>
    </row>
    <row r="703" spans="4:8" ht="15" thickBot="1" x14ac:dyDescent="0.35">
      <c r="D703" s="20">
        <v>1019</v>
      </c>
      <c r="E703" s="20">
        <v>1150</v>
      </c>
      <c r="F703" s="20">
        <v>1950</v>
      </c>
      <c r="G703" s="20">
        <v>0.32357893104010416</v>
      </c>
      <c r="H703" s="16">
        <f t="shared" ca="1" si="13"/>
        <v>2356</v>
      </c>
    </row>
    <row r="704" spans="4:8" ht="15" thickBot="1" x14ac:dyDescent="0.35">
      <c r="D704" s="20">
        <v>331</v>
      </c>
      <c r="E704" s="43">
        <v>1250</v>
      </c>
      <c r="F704" s="43">
        <v>650</v>
      </c>
      <c r="G704" s="20">
        <v>0.25849391639521169</v>
      </c>
      <c r="H704" s="16">
        <f t="shared" ca="1" si="13"/>
        <v>2142</v>
      </c>
    </row>
    <row r="705" spans="4:8" ht="15" thickBot="1" x14ac:dyDescent="0.35">
      <c r="D705" s="20">
        <v>363</v>
      </c>
      <c r="E705" s="20">
        <v>4450</v>
      </c>
      <c r="F705" s="20">
        <v>650</v>
      </c>
      <c r="G705" s="20">
        <v>0.26239035208340455</v>
      </c>
      <c r="H705" s="16">
        <f t="shared" ca="1" si="13"/>
        <v>1657</v>
      </c>
    </row>
    <row r="706" spans="4:8" ht="15" thickBot="1" x14ac:dyDescent="0.35">
      <c r="D706" s="20">
        <v>2245</v>
      </c>
      <c r="E706" s="20">
        <v>1850</v>
      </c>
      <c r="F706" s="20">
        <v>4250</v>
      </c>
      <c r="G706" s="20">
        <v>0.41991847537570764</v>
      </c>
      <c r="H706" s="16">
        <f t="shared" ca="1" si="13"/>
        <v>908</v>
      </c>
    </row>
    <row r="707" spans="4:8" ht="15" thickBot="1" x14ac:dyDescent="0.35">
      <c r="D707" s="20">
        <v>1449</v>
      </c>
      <c r="E707" s="20">
        <v>1750</v>
      </c>
      <c r="F707" s="20">
        <v>2750</v>
      </c>
      <c r="G707" s="20">
        <v>0.35575373916557601</v>
      </c>
      <c r="H707" s="16">
        <f t="shared" ca="1" si="13"/>
        <v>1138</v>
      </c>
    </row>
    <row r="708" spans="4:8" ht="15" thickBot="1" x14ac:dyDescent="0.35">
      <c r="D708" s="20">
        <v>2547</v>
      </c>
      <c r="E708" s="20">
        <v>250</v>
      </c>
      <c r="F708" s="20">
        <v>4850</v>
      </c>
      <c r="G708" s="20">
        <v>0.45529536499917933</v>
      </c>
      <c r="H708" s="16">
        <f t="shared" ca="1" si="13"/>
        <v>863</v>
      </c>
    </row>
    <row r="709" spans="4:8" ht="15" thickBot="1" x14ac:dyDescent="0.35">
      <c r="D709" s="20">
        <v>1369</v>
      </c>
      <c r="E709" s="20">
        <v>4350</v>
      </c>
      <c r="F709" s="20">
        <v>2550</v>
      </c>
      <c r="G709" s="20">
        <v>0.34982941528850148</v>
      </c>
      <c r="H709" s="16">
        <f t="shared" ca="1" si="13"/>
        <v>2725</v>
      </c>
    </row>
    <row r="710" spans="4:8" ht="15" thickBot="1" x14ac:dyDescent="0.35">
      <c r="D710" s="20">
        <v>2447</v>
      </c>
      <c r="E710" s="20">
        <v>850</v>
      </c>
      <c r="F710" s="20">
        <v>4650</v>
      </c>
      <c r="G710" s="20">
        <v>0.44044963925678637</v>
      </c>
      <c r="H710" s="16">
        <f t="shared" ca="1" si="13"/>
        <v>126</v>
      </c>
    </row>
    <row r="711" spans="4:8" ht="15" thickBot="1" x14ac:dyDescent="0.35">
      <c r="D711" s="20">
        <v>2516</v>
      </c>
      <c r="E711" s="20">
        <v>2450</v>
      </c>
      <c r="F711" s="20">
        <v>4750</v>
      </c>
      <c r="G711" s="20">
        <v>0.44957493240354046</v>
      </c>
      <c r="H711" s="16">
        <f t="shared" ref="H711:H774" ca="1" si="14">RANDBETWEEN(1,2788)</f>
        <v>1235</v>
      </c>
    </row>
    <row r="712" spans="4:8" ht="15" thickBot="1" x14ac:dyDescent="0.35">
      <c r="D712" s="20">
        <v>414</v>
      </c>
      <c r="E712" s="20">
        <v>4250</v>
      </c>
      <c r="F712" s="20">
        <v>750</v>
      </c>
      <c r="G712" s="20">
        <v>0.26963147056187009</v>
      </c>
      <c r="H712" s="16">
        <f t="shared" ca="1" si="14"/>
        <v>603</v>
      </c>
    </row>
    <row r="713" spans="4:8" ht="15" thickBot="1" x14ac:dyDescent="0.35">
      <c r="D713" s="20">
        <v>84</v>
      </c>
      <c r="E713" s="20">
        <v>3050</v>
      </c>
      <c r="F713" s="20">
        <v>150</v>
      </c>
      <c r="G713" s="20">
        <v>0.2041816440249167</v>
      </c>
      <c r="H713" s="16">
        <f t="shared" ca="1" si="14"/>
        <v>1198</v>
      </c>
    </row>
    <row r="714" spans="4:8" ht="15" thickBot="1" x14ac:dyDescent="0.35">
      <c r="D714" s="20">
        <v>481</v>
      </c>
      <c r="E714" s="20">
        <v>350</v>
      </c>
      <c r="F714" s="20">
        <v>950</v>
      </c>
      <c r="G714" s="20">
        <v>0.27683747404722059</v>
      </c>
      <c r="H714" s="16">
        <f t="shared" ca="1" si="14"/>
        <v>847</v>
      </c>
    </row>
    <row r="715" spans="4:8" ht="15" thickBot="1" x14ac:dyDescent="0.35">
      <c r="D715" s="20">
        <v>800</v>
      </c>
      <c r="E715" s="20">
        <v>450</v>
      </c>
      <c r="F715" s="20">
        <v>1550</v>
      </c>
      <c r="G715" s="20">
        <v>0.3065741483431092</v>
      </c>
      <c r="H715" s="16">
        <f t="shared" ca="1" si="14"/>
        <v>2004</v>
      </c>
    </row>
    <row r="716" spans="4:8" ht="15" thickBot="1" x14ac:dyDescent="0.35">
      <c r="D716" s="20">
        <v>2211</v>
      </c>
      <c r="E716" s="20">
        <v>3750</v>
      </c>
      <c r="F716" s="20">
        <v>4150</v>
      </c>
      <c r="G716" s="20">
        <v>0.41595994946484888</v>
      </c>
      <c r="H716" s="16">
        <f t="shared" ca="1" si="14"/>
        <v>2329</v>
      </c>
    </row>
    <row r="717" spans="4:8" ht="15" thickBot="1" x14ac:dyDescent="0.35">
      <c r="D717" s="20">
        <v>1396</v>
      </c>
      <c r="E717" s="20">
        <v>1750</v>
      </c>
      <c r="F717" s="20">
        <v>2650</v>
      </c>
      <c r="G717" s="20">
        <v>0.3518230344350563</v>
      </c>
      <c r="H717" s="16">
        <f t="shared" ca="1" si="14"/>
        <v>1179</v>
      </c>
    </row>
    <row r="718" spans="4:8" ht="15" thickBot="1" x14ac:dyDescent="0.35">
      <c r="D718" s="20">
        <v>2355</v>
      </c>
      <c r="E718" s="20">
        <v>2250</v>
      </c>
      <c r="F718" s="20">
        <v>4450</v>
      </c>
      <c r="G718" s="20">
        <v>0.43055053605817256</v>
      </c>
      <c r="H718" s="16">
        <f t="shared" ca="1" si="14"/>
        <v>2667</v>
      </c>
    </row>
    <row r="719" spans="4:8" ht="15" thickBot="1" x14ac:dyDescent="0.35">
      <c r="D719" s="20">
        <v>2514</v>
      </c>
      <c r="E719" s="20">
        <v>2250</v>
      </c>
      <c r="F719" s="20">
        <v>4750</v>
      </c>
      <c r="G719" s="20">
        <v>0.44916500880861754</v>
      </c>
      <c r="H719" s="16">
        <f t="shared" ca="1" si="14"/>
        <v>2461</v>
      </c>
    </row>
    <row r="720" spans="4:8" ht="15" thickBot="1" x14ac:dyDescent="0.35">
      <c r="D720" s="20">
        <v>2363</v>
      </c>
      <c r="E720" s="20">
        <v>3050</v>
      </c>
      <c r="F720" s="20">
        <v>4450</v>
      </c>
      <c r="G720" s="20">
        <v>0.43108289394819332</v>
      </c>
      <c r="H720" s="16">
        <f t="shared" ca="1" si="14"/>
        <v>2051</v>
      </c>
    </row>
    <row r="721" spans="4:8" ht="15" thickBot="1" x14ac:dyDescent="0.35">
      <c r="D721" s="20">
        <v>1929</v>
      </c>
      <c r="E721" s="20">
        <v>2050</v>
      </c>
      <c r="F721" s="20">
        <v>3650</v>
      </c>
      <c r="G721" s="20">
        <v>0.38993423959706308</v>
      </c>
      <c r="H721" s="16">
        <f t="shared" ca="1" si="14"/>
        <v>2508</v>
      </c>
    </row>
    <row r="722" spans="4:8" ht="15" thickBot="1" x14ac:dyDescent="0.35">
      <c r="D722" s="20">
        <v>2138</v>
      </c>
      <c r="E722" s="20">
        <v>1750</v>
      </c>
      <c r="F722" s="20">
        <v>4050</v>
      </c>
      <c r="G722" s="20">
        <v>0.40931109812644384</v>
      </c>
      <c r="H722" s="16">
        <f t="shared" ca="1" si="14"/>
        <v>1715</v>
      </c>
    </row>
    <row r="723" spans="4:8" ht="15" thickBot="1" x14ac:dyDescent="0.35">
      <c r="D723" s="20">
        <v>709</v>
      </c>
      <c r="E723" s="20">
        <v>1950</v>
      </c>
      <c r="F723" s="20">
        <v>1350</v>
      </c>
      <c r="G723" s="20">
        <v>0.29909055706688731</v>
      </c>
      <c r="H723" s="16">
        <f t="shared" ca="1" si="14"/>
        <v>113</v>
      </c>
    </row>
    <row r="724" spans="4:8" ht="15" thickBot="1" x14ac:dyDescent="0.35">
      <c r="D724" s="20">
        <v>1820</v>
      </c>
      <c r="E724" s="20">
        <v>1750</v>
      </c>
      <c r="F724" s="20">
        <v>3450</v>
      </c>
      <c r="G724" s="20">
        <v>0.38199184677105574</v>
      </c>
      <c r="H724" s="16">
        <f t="shared" ca="1" si="14"/>
        <v>732</v>
      </c>
    </row>
    <row r="725" spans="4:8" ht="15" thickBot="1" x14ac:dyDescent="0.35">
      <c r="D725" s="20">
        <v>1309</v>
      </c>
      <c r="E725" s="20">
        <v>3650</v>
      </c>
      <c r="F725" s="20">
        <v>2450</v>
      </c>
      <c r="G725" s="20">
        <v>0.3462412991418769</v>
      </c>
      <c r="H725" s="16">
        <f t="shared" ca="1" si="14"/>
        <v>2242</v>
      </c>
    </row>
    <row r="726" spans="4:8" ht="15" thickBot="1" x14ac:dyDescent="0.35">
      <c r="D726" s="20">
        <v>463</v>
      </c>
      <c r="E726" s="20">
        <v>3850</v>
      </c>
      <c r="F726" s="20">
        <v>850</v>
      </c>
      <c r="G726" s="20">
        <v>0.27518574073617486</v>
      </c>
      <c r="H726" s="16">
        <f t="shared" ca="1" si="14"/>
        <v>1996</v>
      </c>
    </row>
    <row r="727" spans="4:8" ht="15" thickBot="1" x14ac:dyDescent="0.35">
      <c r="D727" s="20">
        <v>1323</v>
      </c>
      <c r="E727" s="20">
        <v>5050</v>
      </c>
      <c r="F727" s="20">
        <v>2450</v>
      </c>
      <c r="G727" s="20">
        <v>0.34743333339933552</v>
      </c>
      <c r="H727" s="16">
        <f t="shared" ca="1" si="14"/>
        <v>182</v>
      </c>
    </row>
    <row r="728" spans="4:8" ht="15" thickBot="1" x14ac:dyDescent="0.35">
      <c r="D728" s="20">
        <v>2550</v>
      </c>
      <c r="E728" s="20">
        <v>550</v>
      </c>
      <c r="F728" s="20">
        <v>4850</v>
      </c>
      <c r="G728" s="20">
        <v>0.45546941915304406</v>
      </c>
      <c r="H728" s="16">
        <f t="shared" ca="1" si="14"/>
        <v>1783</v>
      </c>
    </row>
    <row r="729" spans="4:8" ht="15" thickBot="1" x14ac:dyDescent="0.35">
      <c r="D729" s="20">
        <v>1659</v>
      </c>
      <c r="E729" s="20">
        <v>1550</v>
      </c>
      <c r="F729" s="20">
        <v>3150</v>
      </c>
      <c r="G729" s="20">
        <v>0.37070819564535407</v>
      </c>
      <c r="H729" s="16">
        <f t="shared" ca="1" si="14"/>
        <v>2725</v>
      </c>
    </row>
    <row r="730" spans="4:8" ht="15" thickBot="1" x14ac:dyDescent="0.35">
      <c r="D730" s="20">
        <v>2485</v>
      </c>
      <c r="E730" s="20">
        <v>4650</v>
      </c>
      <c r="F730" s="20">
        <v>4650</v>
      </c>
      <c r="G730" s="20">
        <v>0.44568156915582297</v>
      </c>
      <c r="H730" s="16">
        <f t="shared" ca="1" si="14"/>
        <v>1978</v>
      </c>
    </row>
    <row r="731" spans="4:8" ht="15" thickBot="1" x14ac:dyDescent="0.35">
      <c r="D731" s="20">
        <v>242</v>
      </c>
      <c r="E731" s="20">
        <v>2950</v>
      </c>
      <c r="F731" s="20">
        <v>450</v>
      </c>
      <c r="G731" s="20">
        <v>0.24423176581835337</v>
      </c>
      <c r="H731" s="16">
        <f t="shared" ca="1" si="14"/>
        <v>2253</v>
      </c>
    </row>
    <row r="732" spans="4:8" ht="15" thickBot="1" x14ac:dyDescent="0.35">
      <c r="D732" s="20">
        <v>1390</v>
      </c>
      <c r="E732" s="20">
        <v>1150</v>
      </c>
      <c r="F732" s="20">
        <v>2650</v>
      </c>
      <c r="G732" s="20">
        <v>0.35114418562993266</v>
      </c>
      <c r="H732" s="16">
        <f t="shared" ca="1" si="14"/>
        <v>2682</v>
      </c>
    </row>
    <row r="733" spans="4:8" ht="15" thickBot="1" x14ac:dyDescent="0.35">
      <c r="D733" s="20">
        <v>1708</v>
      </c>
      <c r="E733" s="20">
        <v>1150</v>
      </c>
      <c r="F733" s="20">
        <v>3250</v>
      </c>
      <c r="G733" s="20">
        <v>0.37526662166592561</v>
      </c>
      <c r="H733" s="16">
        <f t="shared" ca="1" si="14"/>
        <v>1026</v>
      </c>
    </row>
    <row r="734" spans="4:8" ht="15" thickBot="1" x14ac:dyDescent="0.35">
      <c r="D734" s="20">
        <v>2691</v>
      </c>
      <c r="E734" s="20">
        <v>4050</v>
      </c>
      <c r="F734" s="20">
        <v>5050</v>
      </c>
      <c r="G734" s="20">
        <v>0.49029406736050812</v>
      </c>
      <c r="H734" s="16">
        <f t="shared" ca="1" si="14"/>
        <v>1781</v>
      </c>
    </row>
    <row r="735" spans="4:8" ht="15" thickBot="1" x14ac:dyDescent="0.35">
      <c r="D735" s="20">
        <v>1292</v>
      </c>
      <c r="E735" s="20">
        <v>1950</v>
      </c>
      <c r="F735" s="20">
        <v>2450</v>
      </c>
      <c r="G735" s="20">
        <v>0.34526042721310868</v>
      </c>
      <c r="H735" s="16">
        <f t="shared" ca="1" si="14"/>
        <v>358</v>
      </c>
    </row>
    <row r="736" spans="4:8" ht="15" thickBot="1" x14ac:dyDescent="0.35">
      <c r="D736" s="20">
        <v>98</v>
      </c>
      <c r="E736" s="20">
        <v>4450</v>
      </c>
      <c r="F736" s="20">
        <v>150</v>
      </c>
      <c r="G736" s="20">
        <v>0.20967662695270747</v>
      </c>
      <c r="H736" s="16">
        <f t="shared" ca="1" si="14"/>
        <v>315</v>
      </c>
    </row>
    <row r="737" spans="4:8" ht="15" thickBot="1" x14ac:dyDescent="0.35">
      <c r="D737" s="20">
        <v>304</v>
      </c>
      <c r="E737" s="20">
        <v>3850</v>
      </c>
      <c r="F737" s="20">
        <v>550</v>
      </c>
      <c r="G737" s="20">
        <v>0.25382593069985165</v>
      </c>
      <c r="H737" s="16">
        <f t="shared" ca="1" si="14"/>
        <v>845</v>
      </c>
    </row>
    <row r="738" spans="4:8" ht="15" thickBot="1" x14ac:dyDescent="0.35">
      <c r="D738" s="20">
        <v>752</v>
      </c>
      <c r="E738" s="20">
        <v>950</v>
      </c>
      <c r="F738" s="20">
        <v>1450</v>
      </c>
      <c r="G738" s="20">
        <v>0.3021614157216031</v>
      </c>
      <c r="H738" s="16">
        <f t="shared" ca="1" si="14"/>
        <v>1952</v>
      </c>
    </row>
    <row r="739" spans="4:8" ht="15" thickBot="1" x14ac:dyDescent="0.35">
      <c r="D739" s="20">
        <v>162</v>
      </c>
      <c r="E739" s="20">
        <v>250</v>
      </c>
      <c r="F739" s="20">
        <v>350</v>
      </c>
      <c r="G739" s="20">
        <v>0.22461953148021657</v>
      </c>
      <c r="H739" s="16">
        <f t="shared" ca="1" si="14"/>
        <v>1561</v>
      </c>
    </row>
    <row r="740" spans="4:8" ht="15" thickBot="1" x14ac:dyDescent="0.35">
      <c r="D740" s="20">
        <v>1534</v>
      </c>
      <c r="E740" s="20">
        <v>4950</v>
      </c>
      <c r="F740" s="20">
        <v>2850</v>
      </c>
      <c r="G740" s="20">
        <v>0.36240163945698489</v>
      </c>
      <c r="H740" s="16">
        <f t="shared" ca="1" si="14"/>
        <v>710</v>
      </c>
    </row>
    <row r="741" spans="4:8" ht="15" thickBot="1" x14ac:dyDescent="0.35">
      <c r="D741" s="20">
        <v>1571</v>
      </c>
      <c r="E741" s="20">
        <v>3350</v>
      </c>
      <c r="F741" s="20">
        <v>2950</v>
      </c>
      <c r="G741" s="20">
        <v>0.36476561649190831</v>
      </c>
      <c r="H741" s="16">
        <f t="shared" ca="1" si="14"/>
        <v>120</v>
      </c>
    </row>
    <row r="742" spans="4:8" ht="15" thickBot="1" x14ac:dyDescent="0.35">
      <c r="D742" s="20">
        <v>1661</v>
      </c>
      <c r="E742" s="20">
        <v>1750</v>
      </c>
      <c r="F742" s="20">
        <v>3150</v>
      </c>
      <c r="G742" s="20">
        <v>0.37110857843257133</v>
      </c>
      <c r="H742" s="16">
        <f t="shared" ca="1" si="14"/>
        <v>2295</v>
      </c>
    </row>
    <row r="743" spans="4:8" ht="15" thickBot="1" x14ac:dyDescent="0.35">
      <c r="D743" s="20">
        <v>158</v>
      </c>
      <c r="E743" s="20">
        <v>5150</v>
      </c>
      <c r="F743" s="20">
        <v>250</v>
      </c>
      <c r="G743" s="20">
        <v>0.22374187237305282</v>
      </c>
      <c r="H743" s="16">
        <f t="shared" ca="1" si="14"/>
        <v>931</v>
      </c>
    </row>
    <row r="744" spans="4:8" ht="15" thickBot="1" x14ac:dyDescent="0.35">
      <c r="D744" s="20">
        <v>131</v>
      </c>
      <c r="E744" s="20">
        <v>2450</v>
      </c>
      <c r="F744" s="20">
        <v>250</v>
      </c>
      <c r="G744" s="20">
        <v>0.2185983440785346</v>
      </c>
      <c r="H744" s="16">
        <f t="shared" ca="1" si="14"/>
        <v>1845</v>
      </c>
    </row>
    <row r="745" spans="4:8" ht="15" thickBot="1" x14ac:dyDescent="0.35">
      <c r="D745" s="20">
        <v>2620</v>
      </c>
      <c r="E745" s="20">
        <v>2250</v>
      </c>
      <c r="F745" s="20">
        <v>4950</v>
      </c>
      <c r="G745" s="20">
        <v>0.46959060565305988</v>
      </c>
      <c r="H745" s="16">
        <f t="shared" ca="1" si="14"/>
        <v>714</v>
      </c>
    </row>
    <row r="746" spans="4:8" ht="15" thickBot="1" x14ac:dyDescent="0.35">
      <c r="D746" s="20">
        <v>1938</v>
      </c>
      <c r="E746" s="20">
        <v>2950</v>
      </c>
      <c r="F746" s="20">
        <v>3650</v>
      </c>
      <c r="G746" s="20">
        <v>0.39054418746895125</v>
      </c>
      <c r="H746" s="16">
        <f t="shared" ca="1" si="14"/>
        <v>360</v>
      </c>
    </row>
    <row r="747" spans="4:8" ht="15" thickBot="1" x14ac:dyDescent="0.35">
      <c r="D747" s="20">
        <v>80</v>
      </c>
      <c r="E747" s="20">
        <v>2650</v>
      </c>
      <c r="F747" s="20">
        <v>150</v>
      </c>
      <c r="G747" s="20">
        <v>0.20176205424786456</v>
      </c>
      <c r="H747" s="16">
        <f t="shared" ca="1" si="14"/>
        <v>442</v>
      </c>
    </row>
    <row r="748" spans="4:8" ht="15" thickBot="1" x14ac:dyDescent="0.35">
      <c r="D748" s="20">
        <v>937</v>
      </c>
      <c r="E748" s="20">
        <v>3550</v>
      </c>
      <c r="F748" s="20">
        <v>1750</v>
      </c>
      <c r="G748" s="20">
        <v>0.31736956391238408</v>
      </c>
      <c r="H748" s="16">
        <f t="shared" ca="1" si="14"/>
        <v>873</v>
      </c>
    </row>
    <row r="749" spans="4:8" ht="15" thickBot="1" x14ac:dyDescent="0.35">
      <c r="D749" s="20">
        <v>2488</v>
      </c>
      <c r="E749" s="44">
        <v>4950</v>
      </c>
      <c r="F749" s="44">
        <v>4650</v>
      </c>
      <c r="G749" s="20">
        <v>0.44642822396916904</v>
      </c>
      <c r="H749" s="16">
        <f t="shared" ca="1" si="14"/>
        <v>1212</v>
      </c>
    </row>
    <row r="750" spans="4:8" ht="15" thickBot="1" x14ac:dyDescent="0.35">
      <c r="D750" s="20">
        <v>1171</v>
      </c>
      <c r="E750" s="20">
        <v>450</v>
      </c>
      <c r="F750" s="20">
        <v>2250</v>
      </c>
      <c r="G750" s="20">
        <v>0.33577493045982537</v>
      </c>
      <c r="H750" s="16">
        <f t="shared" ca="1" si="14"/>
        <v>1924</v>
      </c>
    </row>
    <row r="751" spans="4:8" ht="15" thickBot="1" x14ac:dyDescent="0.35">
      <c r="D751" s="20">
        <v>437</v>
      </c>
      <c r="E751" s="20">
        <v>1250</v>
      </c>
      <c r="F751" s="20">
        <v>850</v>
      </c>
      <c r="G751" s="20">
        <v>0.27197904640169379</v>
      </c>
      <c r="H751" s="16">
        <f t="shared" ca="1" si="14"/>
        <v>2690</v>
      </c>
    </row>
    <row r="752" spans="4:8" ht="15" thickBot="1" x14ac:dyDescent="0.35">
      <c r="D752" s="20">
        <v>2165</v>
      </c>
      <c r="E752" s="20">
        <v>4450</v>
      </c>
      <c r="F752" s="20">
        <v>4050</v>
      </c>
      <c r="G752" s="20">
        <v>0.4115387068829533</v>
      </c>
      <c r="H752" s="16">
        <f t="shared" ca="1" si="14"/>
        <v>1931</v>
      </c>
    </row>
    <row r="753" spans="4:8" ht="15" thickBot="1" x14ac:dyDescent="0.35">
      <c r="D753" s="20">
        <v>506</v>
      </c>
      <c r="E753" s="20">
        <v>2850</v>
      </c>
      <c r="F753" s="20">
        <v>950</v>
      </c>
      <c r="G753" s="20">
        <v>0.27926768597879525</v>
      </c>
      <c r="H753" s="16">
        <f t="shared" ca="1" si="14"/>
        <v>1767</v>
      </c>
    </row>
    <row r="754" spans="4:8" ht="15" thickBot="1" x14ac:dyDescent="0.35">
      <c r="D754" s="20">
        <v>1834</v>
      </c>
      <c r="E754" s="20">
        <v>3150</v>
      </c>
      <c r="F754" s="20">
        <v>3450</v>
      </c>
      <c r="G754" s="20">
        <v>0.38332492115647687</v>
      </c>
      <c r="H754" s="16">
        <f t="shared" ca="1" si="14"/>
        <v>594</v>
      </c>
    </row>
    <row r="755" spans="4:8" ht="15" thickBot="1" x14ac:dyDescent="0.35">
      <c r="D755" s="20">
        <v>1175</v>
      </c>
      <c r="E755" s="20">
        <v>850</v>
      </c>
      <c r="F755" s="20">
        <v>2250</v>
      </c>
      <c r="G755" s="20">
        <v>0.33616862619749438</v>
      </c>
      <c r="H755" s="16">
        <f t="shared" ca="1" si="14"/>
        <v>221</v>
      </c>
    </row>
    <row r="756" spans="4:8" ht="15" thickBot="1" x14ac:dyDescent="0.35">
      <c r="D756" s="20">
        <v>1734</v>
      </c>
      <c r="E756" s="20">
        <v>3750</v>
      </c>
      <c r="F756" s="20">
        <v>3250</v>
      </c>
      <c r="G756" s="20">
        <v>0.37681029648455233</v>
      </c>
      <c r="H756" s="16">
        <f t="shared" ca="1" si="14"/>
        <v>1629</v>
      </c>
    </row>
    <row r="757" spans="4:8" ht="15" thickBot="1" x14ac:dyDescent="0.35">
      <c r="D757" s="20">
        <v>16</v>
      </c>
      <c r="E757" s="20">
        <v>1550</v>
      </c>
      <c r="F757" s="20">
        <v>50</v>
      </c>
      <c r="G757" s="20">
        <v>0.15349248063739471</v>
      </c>
      <c r="H757" s="16">
        <f t="shared" ca="1" si="14"/>
        <v>764</v>
      </c>
    </row>
    <row r="758" spans="4:8" ht="15" thickBot="1" x14ac:dyDescent="0.35">
      <c r="D758" s="20">
        <v>881</v>
      </c>
      <c r="E758" s="20">
        <v>3250</v>
      </c>
      <c r="F758" s="20">
        <v>1650</v>
      </c>
      <c r="G758" s="20">
        <v>0.31288093234204378</v>
      </c>
      <c r="H758" s="16">
        <f t="shared" ca="1" si="14"/>
        <v>757</v>
      </c>
    </row>
    <row r="759" spans="4:8" ht="15" thickBot="1" x14ac:dyDescent="0.35">
      <c r="D759" s="20">
        <v>2527</v>
      </c>
      <c r="E759" s="20">
        <v>3550</v>
      </c>
      <c r="F759" s="20">
        <v>4750</v>
      </c>
      <c r="G759" s="20">
        <v>0.45038885339446322</v>
      </c>
      <c r="H759" s="16">
        <f t="shared" ca="1" si="14"/>
        <v>1237</v>
      </c>
    </row>
    <row r="760" spans="4:8" ht="15" thickBot="1" x14ac:dyDescent="0.35">
      <c r="D760" s="20">
        <v>902</v>
      </c>
      <c r="E760" s="20">
        <v>50</v>
      </c>
      <c r="F760" s="20">
        <v>1750</v>
      </c>
      <c r="G760" s="20">
        <v>0.31427550473766469</v>
      </c>
      <c r="H760" s="16">
        <f t="shared" ca="1" si="14"/>
        <v>2205</v>
      </c>
    </row>
    <row r="761" spans="4:8" ht="15" thickBot="1" x14ac:dyDescent="0.35">
      <c r="D761" s="20">
        <v>1892</v>
      </c>
      <c r="E761" s="20">
        <v>3650</v>
      </c>
      <c r="F761" s="20">
        <v>3550</v>
      </c>
      <c r="G761" s="20">
        <v>0.38792157113279507</v>
      </c>
      <c r="H761" s="16">
        <f t="shared" ca="1" si="14"/>
        <v>1378</v>
      </c>
    </row>
    <row r="762" spans="4:8" ht="15" thickBot="1" x14ac:dyDescent="0.35">
      <c r="D762" s="20">
        <v>2369</v>
      </c>
      <c r="E762" s="20">
        <v>3650</v>
      </c>
      <c r="F762" s="20">
        <v>4450</v>
      </c>
      <c r="G762" s="20">
        <v>0.43129891548127652</v>
      </c>
      <c r="H762" s="16">
        <f t="shared" ca="1" si="14"/>
        <v>904</v>
      </c>
    </row>
    <row r="763" spans="4:8" ht="15" thickBot="1" x14ac:dyDescent="0.35">
      <c r="D763" s="20">
        <v>952</v>
      </c>
      <c r="E763" s="20">
        <v>5050</v>
      </c>
      <c r="F763" s="20">
        <v>1750</v>
      </c>
      <c r="G763" s="20">
        <v>0.31836851092795398</v>
      </c>
      <c r="H763" s="16">
        <f t="shared" ca="1" si="14"/>
        <v>332</v>
      </c>
    </row>
    <row r="764" spans="4:8" ht="15" thickBot="1" x14ac:dyDescent="0.35">
      <c r="D764" s="20">
        <v>2202</v>
      </c>
      <c r="E764" s="44">
        <v>2850</v>
      </c>
      <c r="F764" s="44">
        <v>4150</v>
      </c>
      <c r="G764" s="20">
        <v>0.41496247116875667</v>
      </c>
      <c r="H764" s="16">
        <f t="shared" ca="1" si="14"/>
        <v>136</v>
      </c>
    </row>
    <row r="765" spans="4:8" ht="15" thickBot="1" x14ac:dyDescent="0.35">
      <c r="D765" s="20">
        <v>454</v>
      </c>
      <c r="E765" s="20">
        <v>2950</v>
      </c>
      <c r="F765" s="20">
        <v>850</v>
      </c>
      <c r="G765" s="20">
        <v>0.27419179732471433</v>
      </c>
      <c r="H765" s="16">
        <f t="shared" ca="1" si="14"/>
        <v>2066</v>
      </c>
    </row>
    <row r="766" spans="4:8" ht="15" thickBot="1" x14ac:dyDescent="0.35">
      <c r="D766" s="20">
        <v>6</v>
      </c>
      <c r="E766" s="20">
        <v>550</v>
      </c>
      <c r="F766" s="20">
        <v>50</v>
      </c>
      <c r="G766" s="20">
        <v>0.13024964269701167</v>
      </c>
      <c r="H766" s="16">
        <f t="shared" ca="1" si="14"/>
        <v>867</v>
      </c>
    </row>
    <row r="767" spans="4:8" ht="15" thickBot="1" x14ac:dyDescent="0.35">
      <c r="D767" s="20">
        <v>1594</v>
      </c>
      <c r="E767" s="20">
        <v>350</v>
      </c>
      <c r="F767" s="20">
        <v>3050</v>
      </c>
      <c r="G767" s="20">
        <v>0.36644025802887165</v>
      </c>
      <c r="H767" s="16">
        <f t="shared" ca="1" si="14"/>
        <v>1376</v>
      </c>
    </row>
    <row r="768" spans="4:8" ht="15" thickBot="1" x14ac:dyDescent="0.35">
      <c r="D768" s="20">
        <v>626</v>
      </c>
      <c r="E768" s="20">
        <v>4250</v>
      </c>
      <c r="F768" s="20">
        <v>1150</v>
      </c>
      <c r="G768" s="20">
        <v>0.29114894158119897</v>
      </c>
      <c r="H768" s="16">
        <f t="shared" ca="1" si="14"/>
        <v>683</v>
      </c>
    </row>
    <row r="769" spans="4:8" ht="15" thickBot="1" x14ac:dyDescent="0.35">
      <c r="D769" s="20">
        <v>1211</v>
      </c>
      <c r="E769" s="20">
        <v>4450</v>
      </c>
      <c r="F769" s="20">
        <v>2250</v>
      </c>
      <c r="G769" s="20">
        <v>0.33856815555868042</v>
      </c>
      <c r="H769" s="16">
        <f t="shared" ca="1" si="14"/>
        <v>2527</v>
      </c>
    </row>
    <row r="770" spans="4:8" ht="15" thickBot="1" x14ac:dyDescent="0.35">
      <c r="D770" s="20">
        <v>834</v>
      </c>
      <c r="E770" s="20">
        <v>3850</v>
      </c>
      <c r="F770" s="20">
        <v>1550</v>
      </c>
      <c r="G770" s="20">
        <v>0.30912260752398424</v>
      </c>
      <c r="H770" s="16">
        <f t="shared" ca="1" si="14"/>
        <v>2746</v>
      </c>
    </row>
    <row r="771" spans="4:8" ht="15" thickBot="1" x14ac:dyDescent="0.35">
      <c r="D771" s="20">
        <v>1334</v>
      </c>
      <c r="E771" s="45">
        <v>850</v>
      </c>
      <c r="F771" s="45">
        <v>2550</v>
      </c>
      <c r="G771" s="20">
        <v>0.34826188534869562</v>
      </c>
      <c r="H771" s="16">
        <f t="shared" ca="1" si="14"/>
        <v>1797</v>
      </c>
    </row>
    <row r="772" spans="4:8" ht="15" thickBot="1" x14ac:dyDescent="0.35">
      <c r="D772" s="20">
        <v>1603</v>
      </c>
      <c r="E772" s="20">
        <v>1250</v>
      </c>
      <c r="F772" s="20">
        <v>3050</v>
      </c>
      <c r="G772" s="20">
        <v>0.36701284107101229</v>
      </c>
      <c r="H772" s="16">
        <f t="shared" ca="1" si="14"/>
        <v>473</v>
      </c>
    </row>
    <row r="773" spans="4:8" ht="15" thickBot="1" x14ac:dyDescent="0.35">
      <c r="D773" s="20">
        <v>364</v>
      </c>
      <c r="E773" s="20">
        <v>4550</v>
      </c>
      <c r="F773" s="20">
        <v>650</v>
      </c>
      <c r="G773" s="20">
        <v>0.262679573644297</v>
      </c>
      <c r="H773" s="16">
        <f t="shared" ca="1" si="14"/>
        <v>1861</v>
      </c>
    </row>
    <row r="774" spans="4:8" ht="15" thickBot="1" x14ac:dyDescent="0.35">
      <c r="D774" s="20">
        <v>2684</v>
      </c>
      <c r="E774" s="20">
        <v>3350</v>
      </c>
      <c r="F774" s="20">
        <v>5050</v>
      </c>
      <c r="G774" s="20">
        <v>0.48705003661748653</v>
      </c>
      <c r="H774" s="16">
        <f t="shared" ca="1" si="14"/>
        <v>1363</v>
      </c>
    </row>
    <row r="775" spans="4:8" ht="15" thickBot="1" x14ac:dyDescent="0.35">
      <c r="D775" s="20">
        <v>602</v>
      </c>
      <c r="E775" s="20">
        <v>1850</v>
      </c>
      <c r="F775" s="20">
        <v>1150</v>
      </c>
      <c r="G775" s="20">
        <v>0.28921763131817196</v>
      </c>
      <c r="H775" s="16">
        <f t="shared" ref="H775:H838" ca="1" si="15">RANDBETWEEN(1,2788)</f>
        <v>2058</v>
      </c>
    </row>
    <row r="776" spans="4:8" ht="15" thickBot="1" x14ac:dyDescent="0.35">
      <c r="D776" s="20">
        <v>2733</v>
      </c>
      <c r="E776" s="47">
        <v>2950</v>
      </c>
      <c r="F776" s="47">
        <v>5150</v>
      </c>
      <c r="G776" s="20">
        <v>0.50944401222888624</v>
      </c>
      <c r="H776" s="16">
        <f t="shared" ca="1" si="15"/>
        <v>2718</v>
      </c>
    </row>
    <row r="777" spans="4:8" ht="15" thickBot="1" x14ac:dyDescent="0.35">
      <c r="D777" s="20">
        <v>1672</v>
      </c>
      <c r="E777" s="20">
        <v>2850</v>
      </c>
      <c r="F777" s="20">
        <v>3150</v>
      </c>
      <c r="G777" s="20">
        <v>0.3717117657673043</v>
      </c>
      <c r="H777" s="16">
        <f t="shared" ca="1" si="15"/>
        <v>2012</v>
      </c>
    </row>
    <row r="778" spans="4:8" ht="15" thickBot="1" x14ac:dyDescent="0.35">
      <c r="D778" s="20">
        <v>122</v>
      </c>
      <c r="E778" s="20">
        <v>1550</v>
      </c>
      <c r="F778" s="20">
        <v>250</v>
      </c>
      <c r="G778" s="20">
        <v>0.21691322396875093</v>
      </c>
      <c r="H778" s="16">
        <f t="shared" ca="1" si="15"/>
        <v>2319</v>
      </c>
    </row>
    <row r="779" spans="4:8" ht="15" thickBot="1" x14ac:dyDescent="0.35">
      <c r="D779" s="20">
        <v>996</v>
      </c>
      <c r="E779" s="20">
        <v>4150</v>
      </c>
      <c r="F779" s="20">
        <v>1850</v>
      </c>
      <c r="G779" s="20">
        <v>0.32193698118268221</v>
      </c>
      <c r="H779" s="16">
        <f t="shared" ca="1" si="15"/>
        <v>1329</v>
      </c>
    </row>
    <row r="780" spans="4:8" ht="15" thickBot="1" x14ac:dyDescent="0.35">
      <c r="D780" s="20">
        <v>1561</v>
      </c>
      <c r="E780" s="20">
        <v>2350</v>
      </c>
      <c r="F780" s="20">
        <v>2950</v>
      </c>
      <c r="G780" s="20">
        <v>0.3642396470759206</v>
      </c>
      <c r="H780" s="16">
        <f t="shared" ca="1" si="15"/>
        <v>81</v>
      </c>
    </row>
    <row r="781" spans="4:8" ht="15" thickBot="1" x14ac:dyDescent="0.35">
      <c r="D781" s="20">
        <v>1740</v>
      </c>
      <c r="E781" s="20">
        <v>4350</v>
      </c>
      <c r="F781" s="20">
        <v>3250</v>
      </c>
      <c r="G781" s="20">
        <v>0.37716209192375255</v>
      </c>
      <c r="H781" s="16">
        <f t="shared" ca="1" si="15"/>
        <v>660</v>
      </c>
    </row>
    <row r="782" spans="4:8" ht="15" thickBot="1" x14ac:dyDescent="0.35">
      <c r="D782" s="20">
        <v>1425</v>
      </c>
      <c r="E782" s="20">
        <v>4650</v>
      </c>
      <c r="F782" s="20">
        <v>2650</v>
      </c>
      <c r="G782" s="20">
        <v>0.35460890030235837</v>
      </c>
      <c r="H782" s="16">
        <f t="shared" ca="1" si="15"/>
        <v>2652</v>
      </c>
    </row>
    <row r="783" spans="4:8" ht="15" thickBot="1" x14ac:dyDescent="0.35">
      <c r="D783" s="20">
        <v>999</v>
      </c>
      <c r="E783" s="20">
        <v>4450</v>
      </c>
      <c r="F783" s="20">
        <v>1850</v>
      </c>
      <c r="G783" s="20">
        <v>0.32213623198526603</v>
      </c>
      <c r="H783" s="16">
        <f t="shared" ca="1" si="15"/>
        <v>2768</v>
      </c>
    </row>
    <row r="784" spans="4:8" ht="15" thickBot="1" x14ac:dyDescent="0.35">
      <c r="D784" s="20">
        <v>1100</v>
      </c>
      <c r="E784" s="20">
        <v>3950</v>
      </c>
      <c r="F784" s="20">
        <v>2050</v>
      </c>
      <c r="G784" s="20">
        <v>0.33026241608191992</v>
      </c>
      <c r="H784" s="16">
        <f t="shared" ca="1" si="15"/>
        <v>1639</v>
      </c>
    </row>
    <row r="785" spans="4:8" ht="15" thickBot="1" x14ac:dyDescent="0.35">
      <c r="D785" s="20">
        <v>1120</v>
      </c>
      <c r="E785" s="20">
        <v>650</v>
      </c>
      <c r="F785" s="20">
        <v>2150</v>
      </c>
      <c r="G785" s="20">
        <v>0.33143967426893101</v>
      </c>
      <c r="H785" s="16">
        <f t="shared" ca="1" si="15"/>
        <v>2155</v>
      </c>
    </row>
    <row r="786" spans="4:8" ht="15" thickBot="1" x14ac:dyDescent="0.35">
      <c r="D786" s="20">
        <v>1223</v>
      </c>
      <c r="E786" s="20">
        <v>350</v>
      </c>
      <c r="F786" s="20">
        <v>2350</v>
      </c>
      <c r="G786" s="20">
        <v>0.33975794308762375</v>
      </c>
      <c r="H786" s="16">
        <f t="shared" ca="1" si="15"/>
        <v>2241</v>
      </c>
    </row>
    <row r="787" spans="4:8" ht="15" thickBot="1" x14ac:dyDescent="0.35">
      <c r="D787" s="20">
        <v>175</v>
      </c>
      <c r="E787" s="48">
        <v>1550</v>
      </c>
      <c r="F787" s="48">
        <v>350</v>
      </c>
      <c r="G787" s="20">
        <v>0.22783691842351561</v>
      </c>
      <c r="H787" s="16">
        <f t="shared" ca="1" si="15"/>
        <v>1761</v>
      </c>
    </row>
    <row r="788" spans="4:8" ht="15" thickBot="1" x14ac:dyDescent="0.35">
      <c r="D788" s="20">
        <v>1293</v>
      </c>
      <c r="E788" s="20">
        <v>2050</v>
      </c>
      <c r="F788" s="20">
        <v>2450</v>
      </c>
      <c r="G788" s="20">
        <v>0.34531239295380245</v>
      </c>
      <c r="H788" s="16">
        <f t="shared" ca="1" si="15"/>
        <v>1873</v>
      </c>
    </row>
    <row r="789" spans="4:8" ht="15" thickBot="1" x14ac:dyDescent="0.35">
      <c r="D789" s="20">
        <v>1964</v>
      </c>
      <c r="E789" s="20">
        <v>250</v>
      </c>
      <c r="F789" s="20">
        <v>3750</v>
      </c>
      <c r="G789" s="20">
        <v>0.39341896254427483</v>
      </c>
      <c r="H789" s="16">
        <f t="shared" ca="1" si="15"/>
        <v>1645</v>
      </c>
    </row>
    <row r="790" spans="4:8" ht="15" thickBot="1" x14ac:dyDescent="0.35">
      <c r="D790" s="20">
        <v>467</v>
      </c>
      <c r="E790" s="20">
        <v>4250</v>
      </c>
      <c r="F790" s="20">
        <v>850</v>
      </c>
      <c r="G790" s="20">
        <v>0.27560956439926787</v>
      </c>
      <c r="H790" s="16">
        <f t="shared" ca="1" si="15"/>
        <v>589</v>
      </c>
    </row>
    <row r="791" spans="4:8" ht="15" thickBot="1" x14ac:dyDescent="0.35">
      <c r="D791" s="20">
        <v>1279</v>
      </c>
      <c r="E791" s="20">
        <v>650</v>
      </c>
      <c r="F791" s="20">
        <v>2450</v>
      </c>
      <c r="G791" s="20">
        <v>0.34408565557039117</v>
      </c>
      <c r="H791" s="16">
        <f t="shared" ca="1" si="15"/>
        <v>2361</v>
      </c>
    </row>
    <row r="792" spans="4:8" ht="15" thickBot="1" x14ac:dyDescent="0.35">
      <c r="D792" s="20">
        <v>958</v>
      </c>
      <c r="E792" s="45">
        <v>350</v>
      </c>
      <c r="F792" s="45">
        <v>1850</v>
      </c>
      <c r="G792" s="20">
        <v>0.31868225285617119</v>
      </c>
      <c r="H792" s="16">
        <f t="shared" ca="1" si="15"/>
        <v>2611</v>
      </c>
    </row>
    <row r="793" spans="4:8" ht="15" thickBot="1" x14ac:dyDescent="0.35">
      <c r="D793" s="20">
        <v>2268</v>
      </c>
      <c r="E793" s="20">
        <v>4150</v>
      </c>
      <c r="F793" s="20">
        <v>4250</v>
      </c>
      <c r="G793" s="20">
        <v>0.4218603623565354</v>
      </c>
      <c r="H793" s="16">
        <f t="shared" ca="1" si="15"/>
        <v>571</v>
      </c>
    </row>
    <row r="794" spans="4:8" ht="15" thickBot="1" x14ac:dyDescent="0.35">
      <c r="D794" s="20">
        <v>670</v>
      </c>
      <c r="E794" s="20">
        <v>3350</v>
      </c>
      <c r="F794" s="20">
        <v>1250</v>
      </c>
      <c r="G794" s="20">
        <v>0.29591677298203278</v>
      </c>
      <c r="H794" s="16">
        <f t="shared" ca="1" si="15"/>
        <v>821</v>
      </c>
    </row>
    <row r="795" spans="4:8" ht="15" thickBot="1" x14ac:dyDescent="0.35">
      <c r="D795" s="20">
        <v>1751</v>
      </c>
      <c r="E795" s="47">
        <v>150</v>
      </c>
      <c r="F795" s="47">
        <v>3350</v>
      </c>
      <c r="G795" s="20">
        <v>0.37779004359154328</v>
      </c>
      <c r="H795" s="16">
        <f t="shared" ca="1" si="15"/>
        <v>921</v>
      </c>
    </row>
    <row r="796" spans="4:8" ht="15" thickBot="1" x14ac:dyDescent="0.35">
      <c r="D796" s="20">
        <v>730</v>
      </c>
      <c r="E796" s="20">
        <v>4050</v>
      </c>
      <c r="F796" s="20">
        <v>1350</v>
      </c>
      <c r="G796" s="20">
        <v>0.30033958107328018</v>
      </c>
      <c r="H796" s="16">
        <f t="shared" ca="1" si="15"/>
        <v>5</v>
      </c>
    </row>
    <row r="797" spans="4:8" ht="15" thickBot="1" x14ac:dyDescent="0.35">
      <c r="D797" s="20">
        <v>1069</v>
      </c>
      <c r="E797" s="20">
        <v>850</v>
      </c>
      <c r="F797" s="20">
        <v>2050</v>
      </c>
      <c r="G797" s="20">
        <v>0.32780130589905643</v>
      </c>
      <c r="H797" s="16">
        <f t="shared" ca="1" si="15"/>
        <v>2564</v>
      </c>
    </row>
    <row r="798" spans="4:8" ht="15" thickBot="1" x14ac:dyDescent="0.35">
      <c r="D798" s="20">
        <v>1493</v>
      </c>
      <c r="E798" s="20">
        <v>850</v>
      </c>
      <c r="F798" s="20">
        <v>2850</v>
      </c>
      <c r="G798" s="20">
        <v>0.35917957487092816</v>
      </c>
      <c r="H798" s="16">
        <f t="shared" ca="1" si="15"/>
        <v>1499</v>
      </c>
    </row>
    <row r="799" spans="4:8" ht="15" thickBot="1" x14ac:dyDescent="0.35">
      <c r="D799" s="20">
        <v>43</v>
      </c>
      <c r="E799" s="20">
        <v>4250</v>
      </c>
      <c r="F799" s="20">
        <v>50</v>
      </c>
      <c r="G799" s="20">
        <v>0.17950109192903402</v>
      </c>
      <c r="H799" s="16">
        <f t="shared" ca="1" si="15"/>
        <v>1368</v>
      </c>
    </row>
    <row r="800" spans="4:8" ht="15" thickBot="1" x14ac:dyDescent="0.35">
      <c r="D800" s="20">
        <v>2433</v>
      </c>
      <c r="E800" s="20">
        <v>4750</v>
      </c>
      <c r="F800" s="20">
        <v>4550</v>
      </c>
      <c r="G800" s="20">
        <v>0.43841253511167894</v>
      </c>
      <c r="H800" s="16">
        <f t="shared" ca="1" si="15"/>
        <v>2259</v>
      </c>
    </row>
    <row r="801" spans="4:8" ht="15" thickBot="1" x14ac:dyDescent="0.35">
      <c r="D801" s="20">
        <v>377</v>
      </c>
      <c r="E801" s="45">
        <v>550</v>
      </c>
      <c r="F801" s="45">
        <v>750</v>
      </c>
      <c r="G801" s="20">
        <v>0.26445256114241472</v>
      </c>
      <c r="H801" s="16">
        <f t="shared" ca="1" si="15"/>
        <v>1541</v>
      </c>
    </row>
    <row r="802" spans="4:8" ht="15" thickBot="1" x14ac:dyDescent="0.35">
      <c r="D802" s="20">
        <v>1418</v>
      </c>
      <c r="E802" s="20">
        <v>3950</v>
      </c>
      <c r="F802" s="20">
        <v>2650</v>
      </c>
      <c r="G802" s="20">
        <v>0.35426155069431442</v>
      </c>
      <c r="H802" s="16">
        <f t="shared" ca="1" si="15"/>
        <v>2786</v>
      </c>
    </row>
    <row r="803" spans="4:8" ht="15" thickBot="1" x14ac:dyDescent="0.35">
      <c r="D803" s="20">
        <v>41</v>
      </c>
      <c r="E803" s="20">
        <v>4050</v>
      </c>
      <c r="F803" s="20">
        <v>50</v>
      </c>
      <c r="G803" s="20">
        <v>0.17901803860587207</v>
      </c>
      <c r="H803" s="16">
        <f t="shared" ca="1" si="15"/>
        <v>1</v>
      </c>
    </row>
    <row r="804" spans="4:8" ht="15" thickBot="1" x14ac:dyDescent="0.35">
      <c r="D804" s="20">
        <v>2064</v>
      </c>
      <c r="E804" s="20">
        <v>4950</v>
      </c>
      <c r="F804" s="20">
        <v>3850</v>
      </c>
      <c r="G804" s="20">
        <v>0.4020565545580958</v>
      </c>
      <c r="H804" s="16">
        <f t="shared" ca="1" si="15"/>
        <v>2090</v>
      </c>
    </row>
    <row r="805" spans="4:8" ht="15" thickBot="1" x14ac:dyDescent="0.35">
      <c r="D805" s="20">
        <v>1410</v>
      </c>
      <c r="E805" s="20">
        <v>3150</v>
      </c>
      <c r="F805" s="20">
        <v>2650</v>
      </c>
      <c r="G805" s="20">
        <v>0.35334200120211912</v>
      </c>
      <c r="H805" s="16">
        <f t="shared" ca="1" si="15"/>
        <v>2402</v>
      </c>
    </row>
    <row r="806" spans="4:8" ht="15" thickBot="1" x14ac:dyDescent="0.35">
      <c r="D806" s="20">
        <v>491</v>
      </c>
      <c r="E806" s="20">
        <v>1350</v>
      </c>
      <c r="F806" s="20">
        <v>950</v>
      </c>
      <c r="G806" s="20">
        <v>0.27784085269862241</v>
      </c>
      <c r="H806" s="16">
        <f t="shared" ca="1" si="15"/>
        <v>526</v>
      </c>
    </row>
    <row r="807" spans="4:8" ht="15" thickBot="1" x14ac:dyDescent="0.35">
      <c r="D807" s="20">
        <v>2681</v>
      </c>
      <c r="E807" s="20">
        <v>3050</v>
      </c>
      <c r="F807" s="20">
        <v>5050</v>
      </c>
      <c r="G807" s="20">
        <v>0.48630362519954495</v>
      </c>
      <c r="H807" s="16">
        <f t="shared" ca="1" si="15"/>
        <v>2094</v>
      </c>
    </row>
    <row r="808" spans="4:8" ht="15" thickBot="1" x14ac:dyDescent="0.35">
      <c r="D808" s="20">
        <v>865</v>
      </c>
      <c r="E808" s="20">
        <v>1650</v>
      </c>
      <c r="F808" s="20">
        <v>1650</v>
      </c>
      <c r="G808" s="20">
        <v>0.31146258908230451</v>
      </c>
      <c r="H808" s="16">
        <f t="shared" ca="1" si="15"/>
        <v>820</v>
      </c>
    </row>
    <row r="809" spans="4:8" ht="15" thickBot="1" x14ac:dyDescent="0.35">
      <c r="D809" s="20">
        <v>717</v>
      </c>
      <c r="E809" s="20">
        <v>2750</v>
      </c>
      <c r="F809" s="20">
        <v>1350</v>
      </c>
      <c r="G809" s="20">
        <v>0.29950641576191372</v>
      </c>
      <c r="H809" s="16">
        <f t="shared" ca="1" si="15"/>
        <v>2632</v>
      </c>
    </row>
    <row r="810" spans="4:8" ht="15" thickBot="1" x14ac:dyDescent="0.35">
      <c r="D810" s="20">
        <v>1883</v>
      </c>
      <c r="E810" s="45">
        <v>2750</v>
      </c>
      <c r="F810" s="45">
        <v>3550</v>
      </c>
      <c r="G810" s="20">
        <v>0.38714205166734533</v>
      </c>
      <c r="H810" s="16">
        <f t="shared" ca="1" si="15"/>
        <v>2074</v>
      </c>
    </row>
    <row r="811" spans="4:8" ht="15" thickBot="1" x14ac:dyDescent="0.35">
      <c r="D811" s="20">
        <v>500</v>
      </c>
      <c r="E811" s="20">
        <v>2250</v>
      </c>
      <c r="F811" s="20">
        <v>950</v>
      </c>
      <c r="G811" s="20">
        <v>0.27834697311996748</v>
      </c>
      <c r="H811" s="16">
        <f t="shared" ca="1" si="15"/>
        <v>1230</v>
      </c>
    </row>
    <row r="812" spans="4:8" ht="15" thickBot="1" x14ac:dyDescent="0.35">
      <c r="D812" s="20">
        <v>1378</v>
      </c>
      <c r="E812" s="20">
        <v>5250</v>
      </c>
      <c r="F812" s="20">
        <v>2550</v>
      </c>
      <c r="G812" s="20">
        <v>0.35011660029307651</v>
      </c>
      <c r="H812" s="16">
        <f t="shared" ca="1" si="15"/>
        <v>401</v>
      </c>
    </row>
    <row r="813" spans="4:8" ht="15" thickBot="1" x14ac:dyDescent="0.35">
      <c r="D813" s="20">
        <v>1238</v>
      </c>
      <c r="E813" s="20">
        <v>1850</v>
      </c>
      <c r="F813" s="20">
        <v>2350</v>
      </c>
      <c r="G813" s="20">
        <v>0.34057649635391024</v>
      </c>
      <c r="H813" s="16">
        <f t="shared" ca="1" si="15"/>
        <v>2367</v>
      </c>
    </row>
    <row r="814" spans="4:8" ht="15" thickBot="1" x14ac:dyDescent="0.35">
      <c r="D814" s="20">
        <v>573</v>
      </c>
      <c r="E814" s="20">
        <v>4250</v>
      </c>
      <c r="F814" s="20">
        <v>1050</v>
      </c>
      <c r="G814" s="20">
        <v>0.28623358899020501</v>
      </c>
      <c r="H814" s="16">
        <f t="shared" ca="1" si="15"/>
        <v>2764</v>
      </c>
    </row>
    <row r="815" spans="4:8" ht="15" thickBot="1" x14ac:dyDescent="0.35">
      <c r="D815" s="20">
        <v>2509</v>
      </c>
      <c r="E815" s="20">
        <v>1750</v>
      </c>
      <c r="F815" s="20">
        <v>4750</v>
      </c>
      <c r="G815" s="20">
        <v>0.44877133101228617</v>
      </c>
      <c r="H815" s="16">
        <f t="shared" ca="1" si="15"/>
        <v>713</v>
      </c>
    </row>
    <row r="816" spans="4:8" ht="15" thickBot="1" x14ac:dyDescent="0.35">
      <c r="D816" s="20">
        <v>681</v>
      </c>
      <c r="E816" s="20">
        <v>4450</v>
      </c>
      <c r="F816" s="20">
        <v>1250</v>
      </c>
      <c r="G816" s="20">
        <v>0.2965688646698888</v>
      </c>
      <c r="H816" s="16">
        <f t="shared" ca="1" si="15"/>
        <v>2007</v>
      </c>
    </row>
    <row r="817" spans="4:8" ht="15" thickBot="1" x14ac:dyDescent="0.35">
      <c r="D817" s="20">
        <v>1935</v>
      </c>
      <c r="E817" s="20">
        <v>2650</v>
      </c>
      <c r="F817" s="20">
        <v>3650</v>
      </c>
      <c r="G817" s="20">
        <v>0.39029748751052357</v>
      </c>
      <c r="H817" s="16">
        <f t="shared" ca="1" si="15"/>
        <v>306</v>
      </c>
    </row>
    <row r="818" spans="4:8" ht="15" thickBot="1" x14ac:dyDescent="0.35">
      <c r="D818" s="20">
        <v>2751</v>
      </c>
      <c r="E818" s="20">
        <v>4750</v>
      </c>
      <c r="F818" s="20">
        <v>5150</v>
      </c>
      <c r="G818" s="20">
        <v>0.51943982836892544</v>
      </c>
      <c r="H818" s="16">
        <f t="shared" ca="1" si="15"/>
        <v>1748</v>
      </c>
    </row>
    <row r="819" spans="4:8" ht="15" thickBot="1" x14ac:dyDescent="0.35">
      <c r="D819" s="20">
        <v>1193</v>
      </c>
      <c r="E819" s="20">
        <v>2650</v>
      </c>
      <c r="F819" s="20">
        <v>2250</v>
      </c>
      <c r="G819" s="20">
        <v>0.33732982384799626</v>
      </c>
      <c r="H819" s="16">
        <f t="shared" ca="1" si="15"/>
        <v>1127</v>
      </c>
    </row>
    <row r="820" spans="4:8" ht="15" thickBot="1" x14ac:dyDescent="0.35">
      <c r="D820" s="20">
        <v>2497</v>
      </c>
      <c r="E820" s="20">
        <v>550</v>
      </c>
      <c r="F820" s="20">
        <v>4750</v>
      </c>
      <c r="G820" s="20">
        <v>0.4472888770716541</v>
      </c>
      <c r="H820" s="16">
        <f t="shared" ca="1" si="15"/>
        <v>1697</v>
      </c>
    </row>
    <row r="821" spans="4:8" ht="15" thickBot="1" x14ac:dyDescent="0.35">
      <c r="D821" s="20">
        <v>1704</v>
      </c>
      <c r="E821" s="20">
        <v>750</v>
      </c>
      <c r="F821" s="20">
        <v>3250</v>
      </c>
      <c r="G821" s="20">
        <v>0.37478334028744464</v>
      </c>
      <c r="H821" s="16">
        <f t="shared" ca="1" si="15"/>
        <v>2688</v>
      </c>
    </row>
    <row r="822" spans="4:8" ht="15" thickBot="1" x14ac:dyDescent="0.35">
      <c r="D822" s="20">
        <v>1930</v>
      </c>
      <c r="E822" s="20">
        <v>2150</v>
      </c>
      <c r="F822" s="20">
        <v>3650</v>
      </c>
      <c r="G822" s="20">
        <v>0.38995730131378326</v>
      </c>
      <c r="H822" s="16">
        <f t="shared" ca="1" si="15"/>
        <v>167</v>
      </c>
    </row>
    <row r="823" spans="4:8" ht="15" thickBot="1" x14ac:dyDescent="0.35">
      <c r="D823" s="20">
        <v>2450</v>
      </c>
      <c r="E823" s="20">
        <v>1150</v>
      </c>
      <c r="F823" s="20">
        <v>4650</v>
      </c>
      <c r="G823" s="20">
        <v>0.4408146595327308</v>
      </c>
      <c r="H823" s="16">
        <f t="shared" ca="1" si="15"/>
        <v>89</v>
      </c>
    </row>
    <row r="824" spans="4:8" ht="15" thickBot="1" x14ac:dyDescent="0.35">
      <c r="D824" s="20">
        <v>1927</v>
      </c>
      <c r="E824" s="20">
        <v>1850</v>
      </c>
      <c r="F824" s="20">
        <v>3650</v>
      </c>
      <c r="G824" s="20">
        <v>0.38968079652754217</v>
      </c>
      <c r="H824" s="16">
        <f t="shared" ca="1" si="15"/>
        <v>841</v>
      </c>
    </row>
    <row r="825" spans="4:8" ht="15" thickBot="1" x14ac:dyDescent="0.35">
      <c r="D825" s="20">
        <v>867</v>
      </c>
      <c r="E825" s="20">
        <v>1850</v>
      </c>
      <c r="F825" s="20">
        <v>1650</v>
      </c>
      <c r="G825" s="20">
        <v>0.31162436810923289</v>
      </c>
      <c r="H825" s="16">
        <f t="shared" ca="1" si="15"/>
        <v>1133</v>
      </c>
    </row>
    <row r="826" spans="4:8" ht="15" thickBot="1" x14ac:dyDescent="0.35">
      <c r="D826" s="20">
        <v>2752</v>
      </c>
      <c r="E826" s="20">
        <v>4850</v>
      </c>
      <c r="F826" s="20">
        <v>5150</v>
      </c>
      <c r="G826" s="20">
        <v>0.52007435696147852</v>
      </c>
      <c r="H826" s="16">
        <f t="shared" ca="1" si="15"/>
        <v>660</v>
      </c>
    </row>
    <row r="827" spans="4:8" ht="15" thickBot="1" x14ac:dyDescent="0.35">
      <c r="D827" s="20">
        <v>806</v>
      </c>
      <c r="E827" s="20">
        <v>1050</v>
      </c>
      <c r="F827" s="20">
        <v>1550</v>
      </c>
      <c r="G827" s="20">
        <v>0.30699326009650463</v>
      </c>
      <c r="H827" s="16">
        <f t="shared" ca="1" si="15"/>
        <v>1109</v>
      </c>
    </row>
    <row r="828" spans="4:8" ht="15" thickBot="1" x14ac:dyDescent="0.35">
      <c r="D828" s="20">
        <v>2719</v>
      </c>
      <c r="E828" s="20">
        <v>1550</v>
      </c>
      <c r="F828" s="20">
        <v>5150</v>
      </c>
      <c r="G828" s="20">
        <v>0.50208047240889342</v>
      </c>
      <c r="H828" s="16">
        <f t="shared" ca="1" si="15"/>
        <v>1312</v>
      </c>
    </row>
    <row r="829" spans="4:8" ht="15" thickBot="1" x14ac:dyDescent="0.35">
      <c r="D829" s="20">
        <v>2348</v>
      </c>
      <c r="E829" s="20">
        <v>1550</v>
      </c>
      <c r="F829" s="20">
        <v>4450</v>
      </c>
      <c r="G829" s="20">
        <v>0.43013043262296369</v>
      </c>
      <c r="H829" s="16">
        <f t="shared" ca="1" si="15"/>
        <v>553</v>
      </c>
    </row>
    <row r="830" spans="4:8" ht="15" thickBot="1" x14ac:dyDescent="0.35">
      <c r="D830" s="20">
        <v>1783</v>
      </c>
      <c r="E830" s="20">
        <v>3350</v>
      </c>
      <c r="F830" s="20">
        <v>3350</v>
      </c>
      <c r="G830" s="20">
        <v>0.37946284988842072</v>
      </c>
      <c r="H830" s="16">
        <f t="shared" ca="1" si="15"/>
        <v>792</v>
      </c>
    </row>
    <row r="831" spans="4:8" ht="15" thickBot="1" x14ac:dyDescent="0.35">
      <c r="D831" s="20">
        <v>548</v>
      </c>
      <c r="E831" s="20">
        <v>1750</v>
      </c>
      <c r="F831" s="20">
        <v>1050</v>
      </c>
      <c r="G831" s="20">
        <v>0.28351796311368116</v>
      </c>
      <c r="H831" s="16">
        <f t="shared" ca="1" si="15"/>
        <v>1208</v>
      </c>
    </row>
    <row r="832" spans="4:8" ht="15" thickBot="1" x14ac:dyDescent="0.35">
      <c r="D832" s="20">
        <v>1545</v>
      </c>
      <c r="E832" s="20">
        <v>750</v>
      </c>
      <c r="F832" s="20">
        <v>2950</v>
      </c>
      <c r="G832" s="20">
        <v>0.36323957086880487</v>
      </c>
      <c r="H832" s="16">
        <f t="shared" ca="1" si="15"/>
        <v>1203</v>
      </c>
    </row>
    <row r="833" spans="4:8" ht="15" thickBot="1" x14ac:dyDescent="0.35">
      <c r="D833" s="20">
        <v>2244</v>
      </c>
      <c r="E833" s="20">
        <v>1750</v>
      </c>
      <c r="F833" s="20">
        <v>4250</v>
      </c>
      <c r="G833" s="20">
        <v>0.41969908578614812</v>
      </c>
      <c r="H833" s="16">
        <f t="shared" ca="1" si="15"/>
        <v>2774</v>
      </c>
    </row>
    <row r="834" spans="4:8" ht="15" thickBot="1" x14ac:dyDescent="0.35">
      <c r="D834" s="20">
        <v>1597</v>
      </c>
      <c r="E834" s="20">
        <v>650</v>
      </c>
      <c r="F834" s="20">
        <v>3050</v>
      </c>
      <c r="G834" s="20">
        <v>0.36669220394501068</v>
      </c>
      <c r="H834" s="16">
        <f t="shared" ca="1" si="15"/>
        <v>2636</v>
      </c>
    </row>
    <row r="835" spans="4:8" ht="15" thickBot="1" x14ac:dyDescent="0.35">
      <c r="D835" s="20">
        <v>1468</v>
      </c>
      <c r="E835" s="20">
        <v>3650</v>
      </c>
      <c r="F835" s="20">
        <v>2750</v>
      </c>
      <c r="G835" s="20">
        <v>0.35715493081492244</v>
      </c>
      <c r="H835" s="16">
        <f t="shared" ca="1" si="15"/>
        <v>1592</v>
      </c>
    </row>
    <row r="836" spans="4:8" ht="15" thickBot="1" x14ac:dyDescent="0.35">
      <c r="D836" s="20">
        <v>1169</v>
      </c>
      <c r="E836" s="20">
        <v>250</v>
      </c>
      <c r="F836" s="20">
        <v>2250</v>
      </c>
      <c r="G836" s="20">
        <v>0.33566877882953561</v>
      </c>
      <c r="H836" s="16">
        <f t="shared" ca="1" si="15"/>
        <v>456</v>
      </c>
    </row>
    <row r="837" spans="4:8" ht="15" thickBot="1" x14ac:dyDescent="0.35">
      <c r="D837" s="20">
        <v>1896</v>
      </c>
      <c r="E837" s="20">
        <v>4050</v>
      </c>
      <c r="F837" s="20">
        <v>3550</v>
      </c>
      <c r="G837" s="20">
        <v>0.3881543558529208</v>
      </c>
      <c r="H837" s="16">
        <f t="shared" ca="1" si="15"/>
        <v>1478</v>
      </c>
    </row>
    <row r="838" spans="4:8" ht="15" thickBot="1" x14ac:dyDescent="0.35">
      <c r="D838" s="20">
        <v>2413</v>
      </c>
      <c r="E838" s="45">
        <v>2750</v>
      </c>
      <c r="F838" s="45">
        <v>4550</v>
      </c>
      <c r="G838" s="20">
        <v>0.43634496597305256</v>
      </c>
      <c r="H838" s="16">
        <f t="shared" ca="1" si="15"/>
        <v>1670</v>
      </c>
    </row>
    <row r="839" spans="4:8" ht="15" thickBot="1" x14ac:dyDescent="0.35">
      <c r="D839" s="20">
        <v>322</v>
      </c>
      <c r="E839" s="20">
        <v>350</v>
      </c>
      <c r="F839" s="20">
        <v>650</v>
      </c>
      <c r="G839" s="20">
        <v>0.25726695163065361</v>
      </c>
      <c r="H839" s="16">
        <f t="shared" ref="H839:H902" ca="1" si="16">RANDBETWEEN(1,2788)</f>
        <v>292</v>
      </c>
    </row>
    <row r="840" spans="4:8" ht="15" thickBot="1" x14ac:dyDescent="0.35">
      <c r="D840" s="20">
        <v>1189</v>
      </c>
      <c r="E840" s="20">
        <v>2250</v>
      </c>
      <c r="F840" s="20">
        <v>2250</v>
      </c>
      <c r="G840" s="20">
        <v>0.33706840283688655</v>
      </c>
      <c r="H840" s="16">
        <f t="shared" ca="1" si="16"/>
        <v>2411</v>
      </c>
    </row>
    <row r="841" spans="4:8" ht="15" thickBot="1" x14ac:dyDescent="0.35">
      <c r="D841" s="20">
        <v>2378</v>
      </c>
      <c r="E841" s="20">
        <v>4550</v>
      </c>
      <c r="F841" s="20">
        <v>4450</v>
      </c>
      <c r="G841" s="20">
        <v>0.43249646709948858</v>
      </c>
      <c r="H841" s="16">
        <f t="shared" ca="1" si="16"/>
        <v>765</v>
      </c>
    </row>
    <row r="842" spans="4:8" ht="15" thickBot="1" x14ac:dyDescent="0.35">
      <c r="D842" s="20">
        <v>2055</v>
      </c>
      <c r="E842" s="20">
        <v>4050</v>
      </c>
      <c r="F842" s="20">
        <v>3850</v>
      </c>
      <c r="G842" s="20">
        <v>0.40022143484528439</v>
      </c>
      <c r="H842" s="16">
        <f t="shared" ca="1" si="16"/>
        <v>2229</v>
      </c>
    </row>
    <row r="843" spans="4:8" ht="15" thickBot="1" x14ac:dyDescent="0.35">
      <c r="D843" s="20">
        <v>2126</v>
      </c>
      <c r="E843" s="20">
        <v>550</v>
      </c>
      <c r="F843" s="20">
        <v>4050</v>
      </c>
      <c r="G843" s="20">
        <v>0.40845227052089605</v>
      </c>
      <c r="H843" s="16">
        <f t="shared" ca="1" si="16"/>
        <v>955</v>
      </c>
    </row>
    <row r="844" spans="4:8" ht="15" thickBot="1" x14ac:dyDescent="0.35">
      <c r="D844" s="20">
        <v>1871</v>
      </c>
      <c r="E844" s="20">
        <v>1550</v>
      </c>
      <c r="F844" s="20">
        <v>3550</v>
      </c>
      <c r="G844" s="20">
        <v>0.38624075716016948</v>
      </c>
      <c r="H844" s="16">
        <f t="shared" ca="1" si="16"/>
        <v>1043</v>
      </c>
    </row>
    <row r="845" spans="4:8" ht="15" thickBot="1" x14ac:dyDescent="0.35">
      <c r="D845" s="20">
        <v>790</v>
      </c>
      <c r="E845" s="20">
        <v>4750</v>
      </c>
      <c r="F845" s="20">
        <v>1450</v>
      </c>
      <c r="G845" s="20">
        <v>0.30592971594837665</v>
      </c>
      <c r="H845" s="16">
        <f t="shared" ca="1" si="16"/>
        <v>1406</v>
      </c>
    </row>
    <row r="846" spans="4:8" ht="15" thickBot="1" x14ac:dyDescent="0.35">
      <c r="D846" s="20">
        <v>228</v>
      </c>
      <c r="E846" s="20">
        <v>1550</v>
      </c>
      <c r="F846" s="20">
        <v>450</v>
      </c>
      <c r="G846" s="20">
        <v>0.24174565274064025</v>
      </c>
      <c r="H846" s="16">
        <f t="shared" ca="1" si="16"/>
        <v>469</v>
      </c>
    </row>
    <row r="847" spans="4:8" ht="15" thickBot="1" x14ac:dyDescent="0.35">
      <c r="D847" s="20">
        <v>489</v>
      </c>
      <c r="E847" s="20">
        <v>1150</v>
      </c>
      <c r="F847" s="20">
        <v>950</v>
      </c>
      <c r="G847" s="20">
        <v>0.27750840279023808</v>
      </c>
      <c r="H847" s="16">
        <f t="shared" ca="1" si="16"/>
        <v>90</v>
      </c>
    </row>
    <row r="848" spans="4:8" ht="15" thickBot="1" x14ac:dyDescent="0.35">
      <c r="D848" s="20">
        <v>470</v>
      </c>
      <c r="E848" s="20">
        <v>4550</v>
      </c>
      <c r="F848" s="20">
        <v>850</v>
      </c>
      <c r="G848" s="20">
        <v>0.2760465427293482</v>
      </c>
      <c r="H848" s="16">
        <f t="shared" ca="1" si="16"/>
        <v>1545</v>
      </c>
    </row>
    <row r="849" spans="4:8" ht="15" thickBot="1" x14ac:dyDescent="0.35">
      <c r="D849" s="20">
        <v>2781</v>
      </c>
      <c r="E849" s="20">
        <v>2450</v>
      </c>
      <c r="F849" s="20">
        <v>5250</v>
      </c>
      <c r="G849" s="20">
        <v>0.55550564870441888</v>
      </c>
      <c r="H849" s="16">
        <f t="shared" ca="1" si="16"/>
        <v>1422</v>
      </c>
    </row>
    <row r="850" spans="4:8" ht="15" thickBot="1" x14ac:dyDescent="0.35">
      <c r="D850" s="20">
        <v>1076</v>
      </c>
      <c r="E850" s="20">
        <v>1550</v>
      </c>
      <c r="F850" s="20">
        <v>2050</v>
      </c>
      <c r="G850" s="20">
        <v>0.3283762125191938</v>
      </c>
      <c r="H850" s="16">
        <f t="shared" ca="1" si="16"/>
        <v>2785</v>
      </c>
    </row>
    <row r="851" spans="4:8" ht="15" thickBot="1" x14ac:dyDescent="0.35">
      <c r="D851" s="20">
        <v>1982</v>
      </c>
      <c r="E851" s="20">
        <v>2050</v>
      </c>
      <c r="F851" s="20">
        <v>3750</v>
      </c>
      <c r="G851" s="20">
        <v>0.39444012859045952</v>
      </c>
      <c r="H851" s="16">
        <f t="shared" ca="1" si="16"/>
        <v>1057</v>
      </c>
    </row>
    <row r="852" spans="4:8" ht="15" thickBot="1" x14ac:dyDescent="0.35">
      <c r="D852" s="20">
        <v>2431</v>
      </c>
      <c r="E852" s="20">
        <v>4550</v>
      </c>
      <c r="F852" s="20">
        <v>4550</v>
      </c>
      <c r="G852" s="20">
        <v>0.4383785229338174</v>
      </c>
      <c r="H852" s="16">
        <f t="shared" ca="1" si="16"/>
        <v>1765</v>
      </c>
    </row>
    <row r="853" spans="4:8" ht="15" thickBot="1" x14ac:dyDescent="0.35">
      <c r="D853" s="20">
        <v>1867</v>
      </c>
      <c r="E853" s="20">
        <v>1150</v>
      </c>
      <c r="F853" s="20">
        <v>3550</v>
      </c>
      <c r="G853" s="20">
        <v>0.38606086473614015</v>
      </c>
      <c r="H853" s="16">
        <f t="shared" ca="1" si="16"/>
        <v>1434</v>
      </c>
    </row>
    <row r="854" spans="4:8" ht="15" thickBot="1" x14ac:dyDescent="0.35">
      <c r="D854" s="20">
        <v>1515</v>
      </c>
      <c r="E854" s="20">
        <v>3050</v>
      </c>
      <c r="F854" s="20">
        <v>2850</v>
      </c>
      <c r="G854" s="20">
        <v>0.36095581024330614</v>
      </c>
      <c r="H854" s="16">
        <f t="shared" ca="1" si="16"/>
        <v>2227</v>
      </c>
    </row>
    <row r="855" spans="4:8" ht="15" thickBot="1" x14ac:dyDescent="0.35">
      <c r="D855" s="20">
        <v>2560</v>
      </c>
      <c r="E855" s="20">
        <v>1550</v>
      </c>
      <c r="F855" s="20">
        <v>4850</v>
      </c>
      <c r="G855" s="20">
        <v>0.45741513074183904</v>
      </c>
      <c r="H855" s="16">
        <f t="shared" ca="1" si="16"/>
        <v>2207</v>
      </c>
    </row>
    <row r="856" spans="4:8" ht="15" thickBot="1" x14ac:dyDescent="0.35">
      <c r="D856" s="20">
        <v>1573</v>
      </c>
      <c r="E856" s="20">
        <v>3550</v>
      </c>
      <c r="F856" s="20">
        <v>2950</v>
      </c>
      <c r="G856" s="20">
        <v>0.3648949054524333</v>
      </c>
      <c r="H856" s="16">
        <f t="shared" ca="1" si="16"/>
        <v>2598</v>
      </c>
    </row>
    <row r="857" spans="4:8" ht="15" thickBot="1" x14ac:dyDescent="0.35">
      <c r="D857" s="20">
        <v>1464</v>
      </c>
      <c r="E857" s="20">
        <v>3250</v>
      </c>
      <c r="F857" s="20">
        <v>2750</v>
      </c>
      <c r="G857" s="20">
        <v>0.3568524288985423</v>
      </c>
      <c r="H857" s="16">
        <f t="shared" ca="1" si="16"/>
        <v>200</v>
      </c>
    </row>
    <row r="858" spans="4:8" ht="15" thickBot="1" x14ac:dyDescent="0.35">
      <c r="D858" s="20">
        <v>2741</v>
      </c>
      <c r="E858" s="20">
        <v>3750</v>
      </c>
      <c r="F858" s="20">
        <v>5150</v>
      </c>
      <c r="G858" s="20">
        <v>0.51288190951513002</v>
      </c>
      <c r="H858" s="16">
        <f t="shared" ca="1" si="16"/>
        <v>2231</v>
      </c>
    </row>
    <row r="859" spans="4:8" ht="15" thickBot="1" x14ac:dyDescent="0.35">
      <c r="D859" s="20">
        <v>1442</v>
      </c>
      <c r="E859" s="20">
        <v>1050</v>
      </c>
      <c r="F859" s="20">
        <v>2750</v>
      </c>
      <c r="G859" s="20">
        <v>0.35554861859783027</v>
      </c>
      <c r="H859" s="16">
        <f t="shared" ca="1" si="16"/>
        <v>118</v>
      </c>
    </row>
    <row r="860" spans="4:8" ht="15" thickBot="1" x14ac:dyDescent="0.35">
      <c r="D860" s="20">
        <v>1838</v>
      </c>
      <c r="E860" s="20">
        <v>3550</v>
      </c>
      <c r="F860" s="20">
        <v>3450</v>
      </c>
      <c r="G860" s="20">
        <v>0.38352287853727923</v>
      </c>
      <c r="H860" s="16">
        <f t="shared" ca="1" si="16"/>
        <v>2678</v>
      </c>
    </row>
    <row r="861" spans="4:8" ht="15" thickBot="1" x14ac:dyDescent="0.35">
      <c r="D861" s="20">
        <v>28</v>
      </c>
      <c r="E861" s="20">
        <v>2750</v>
      </c>
      <c r="F861" s="20">
        <v>50</v>
      </c>
      <c r="G861" s="20">
        <v>0.17424723955470345</v>
      </c>
      <c r="H861" s="16">
        <f t="shared" ca="1" si="16"/>
        <v>1283</v>
      </c>
    </row>
    <row r="862" spans="4:8" ht="15" thickBot="1" x14ac:dyDescent="0.35">
      <c r="D862" s="20">
        <v>721</v>
      </c>
      <c r="E862" s="20">
        <v>3150</v>
      </c>
      <c r="F862" s="20">
        <v>1350</v>
      </c>
      <c r="G862" s="20">
        <v>0.29967729557695844</v>
      </c>
      <c r="H862" s="16">
        <f t="shared" ca="1" si="16"/>
        <v>889</v>
      </c>
    </row>
    <row r="863" spans="4:8" ht="15" thickBot="1" x14ac:dyDescent="0.35">
      <c r="D863" s="20">
        <v>2591</v>
      </c>
      <c r="E863" s="20">
        <v>4650</v>
      </c>
      <c r="F863" s="20">
        <v>4850</v>
      </c>
      <c r="G863" s="20">
        <v>0.46439500717919652</v>
      </c>
      <c r="H863" s="16">
        <f t="shared" ca="1" si="16"/>
        <v>1154</v>
      </c>
    </row>
    <row r="864" spans="4:8" ht="15" thickBot="1" x14ac:dyDescent="0.35">
      <c r="D864" s="20">
        <v>2699</v>
      </c>
      <c r="E864" s="20">
        <v>4850</v>
      </c>
      <c r="F864" s="20">
        <v>5050</v>
      </c>
      <c r="G864" s="20">
        <v>0.49401704296657856</v>
      </c>
      <c r="H864" s="16">
        <f t="shared" ca="1" si="16"/>
        <v>1282</v>
      </c>
    </row>
    <row r="865" spans="4:8" ht="15" thickBot="1" x14ac:dyDescent="0.35">
      <c r="D865" s="20">
        <v>1217</v>
      </c>
      <c r="E865" s="20">
        <v>5050</v>
      </c>
      <c r="F865" s="20">
        <v>2250</v>
      </c>
      <c r="G865" s="20">
        <v>0.33916633182030353</v>
      </c>
      <c r="H865" s="16">
        <f t="shared" ca="1" si="16"/>
        <v>761</v>
      </c>
    </row>
    <row r="866" spans="4:8" ht="15" thickBot="1" x14ac:dyDescent="0.35">
      <c r="D866" s="20">
        <v>2181</v>
      </c>
      <c r="E866" s="20">
        <v>750</v>
      </c>
      <c r="F866" s="20">
        <v>4150</v>
      </c>
      <c r="G866" s="20">
        <v>0.41301396720953293</v>
      </c>
      <c r="H866" s="16">
        <f t="shared" ca="1" si="16"/>
        <v>1520</v>
      </c>
    </row>
    <row r="867" spans="4:8" ht="15" thickBot="1" x14ac:dyDescent="0.35">
      <c r="D867" s="20">
        <v>1702</v>
      </c>
      <c r="E867" s="20">
        <v>550</v>
      </c>
      <c r="F867" s="20">
        <v>3250</v>
      </c>
      <c r="G867" s="20">
        <v>0.37438658707328354</v>
      </c>
      <c r="H867" s="16">
        <f t="shared" ca="1" si="16"/>
        <v>752</v>
      </c>
    </row>
    <row r="868" spans="4:8" ht="15" thickBot="1" x14ac:dyDescent="0.35">
      <c r="D868" s="20">
        <v>374</v>
      </c>
      <c r="E868" s="20">
        <v>250</v>
      </c>
      <c r="F868" s="20">
        <v>750</v>
      </c>
      <c r="G868" s="20">
        <v>0.26431600285783519</v>
      </c>
      <c r="H868" s="16">
        <f t="shared" ca="1" si="16"/>
        <v>2197</v>
      </c>
    </row>
    <row r="869" spans="4:8" ht="15" thickBot="1" x14ac:dyDescent="0.35">
      <c r="D869" s="20">
        <v>1196</v>
      </c>
      <c r="E869" s="20">
        <v>2950</v>
      </c>
      <c r="F869" s="20">
        <v>2250</v>
      </c>
      <c r="G869" s="20">
        <v>0.33756524039168267</v>
      </c>
      <c r="H869" s="16">
        <f t="shared" ca="1" si="16"/>
        <v>2285</v>
      </c>
    </row>
    <row r="870" spans="4:8" ht="15" thickBot="1" x14ac:dyDescent="0.35">
      <c r="D870" s="20">
        <v>947</v>
      </c>
      <c r="E870" s="20">
        <v>4550</v>
      </c>
      <c r="F870" s="20">
        <v>1750</v>
      </c>
      <c r="G870" s="20">
        <v>0.31824788710292923</v>
      </c>
      <c r="H870" s="16">
        <f t="shared" ca="1" si="16"/>
        <v>348</v>
      </c>
    </row>
    <row r="871" spans="4:8" ht="15" thickBot="1" x14ac:dyDescent="0.35">
      <c r="D871" s="20">
        <v>22</v>
      </c>
      <c r="E871" s="20">
        <v>2150</v>
      </c>
      <c r="F871" s="20">
        <v>50</v>
      </c>
      <c r="G871" s="20">
        <v>0.16298703235387493</v>
      </c>
      <c r="H871" s="16">
        <f t="shared" ca="1" si="16"/>
        <v>307</v>
      </c>
    </row>
    <row r="872" spans="4:8" ht="15" thickBot="1" x14ac:dyDescent="0.35">
      <c r="D872" s="20">
        <v>737</v>
      </c>
      <c r="E872" s="20">
        <v>4750</v>
      </c>
      <c r="F872" s="20">
        <v>1350</v>
      </c>
      <c r="G872" s="20">
        <v>0.30118795837966261</v>
      </c>
      <c r="H872" s="16">
        <f t="shared" ca="1" si="16"/>
        <v>957</v>
      </c>
    </row>
    <row r="873" spans="4:8" ht="15" thickBot="1" x14ac:dyDescent="0.35">
      <c r="D873" s="20">
        <v>1759</v>
      </c>
      <c r="E873" s="48">
        <v>950</v>
      </c>
      <c r="F873" s="48">
        <v>3350</v>
      </c>
      <c r="G873" s="20">
        <v>0.37821914996576322</v>
      </c>
      <c r="H873" s="16">
        <f t="shared" ca="1" si="16"/>
        <v>437</v>
      </c>
    </row>
    <row r="874" spans="4:8" ht="15" thickBot="1" x14ac:dyDescent="0.35">
      <c r="D874" s="20">
        <v>1485</v>
      </c>
      <c r="E874" s="20">
        <v>50</v>
      </c>
      <c r="F874" s="20">
        <v>2850</v>
      </c>
      <c r="G874" s="20">
        <v>0.35862862797969802</v>
      </c>
      <c r="H874" s="16">
        <f t="shared" ca="1" si="16"/>
        <v>1197</v>
      </c>
    </row>
    <row r="875" spans="4:8" ht="15" thickBot="1" x14ac:dyDescent="0.35">
      <c r="D875" s="20">
        <v>1778</v>
      </c>
      <c r="E875" s="20">
        <v>2850</v>
      </c>
      <c r="F875" s="20">
        <v>3350</v>
      </c>
      <c r="G875" s="20">
        <v>0.37907950468662949</v>
      </c>
      <c r="H875" s="16">
        <f t="shared" ca="1" si="16"/>
        <v>510</v>
      </c>
    </row>
    <row r="876" spans="4:8" ht="15" thickBot="1" x14ac:dyDescent="0.35">
      <c r="D876" s="20">
        <v>2227</v>
      </c>
      <c r="E876" s="20">
        <v>50</v>
      </c>
      <c r="F876" s="20">
        <v>4250</v>
      </c>
      <c r="G876" s="20">
        <v>0.41835701981877449</v>
      </c>
      <c r="H876" s="16">
        <f t="shared" ca="1" si="16"/>
        <v>25</v>
      </c>
    </row>
    <row r="877" spans="4:8" ht="15" thickBot="1" x14ac:dyDescent="0.35">
      <c r="D877" s="20">
        <v>475</v>
      </c>
      <c r="E877" s="20">
        <v>5050</v>
      </c>
      <c r="F877" s="20">
        <v>850</v>
      </c>
      <c r="G877" s="20">
        <v>0.27620677090246726</v>
      </c>
      <c r="H877" s="16">
        <f t="shared" ca="1" si="16"/>
        <v>1672</v>
      </c>
    </row>
    <row r="878" spans="4:8" ht="15" thickBot="1" x14ac:dyDescent="0.35">
      <c r="D878" s="20">
        <v>1295</v>
      </c>
      <c r="E878" s="20">
        <v>2250</v>
      </c>
      <c r="F878" s="20">
        <v>2450</v>
      </c>
      <c r="G878" s="20">
        <v>0.34547246838651707</v>
      </c>
      <c r="H878" s="16">
        <f t="shared" ca="1" si="16"/>
        <v>2439</v>
      </c>
    </row>
    <row r="879" spans="4:8" ht="15" thickBot="1" x14ac:dyDescent="0.35">
      <c r="D879" s="20">
        <v>1606</v>
      </c>
      <c r="E879" s="20">
        <v>1550</v>
      </c>
      <c r="F879" s="20">
        <v>3050</v>
      </c>
      <c r="G879" s="20">
        <v>0.3673335078379768</v>
      </c>
      <c r="H879" s="16">
        <f t="shared" ca="1" si="16"/>
        <v>223</v>
      </c>
    </row>
    <row r="880" spans="4:8" ht="15" thickBot="1" x14ac:dyDescent="0.35">
      <c r="D880" s="20">
        <v>1570</v>
      </c>
      <c r="E880" s="43">
        <v>3250</v>
      </c>
      <c r="F880" s="43">
        <v>2950</v>
      </c>
      <c r="G880" s="20">
        <v>0.364734030136245</v>
      </c>
      <c r="H880" s="16">
        <f t="shared" ca="1" si="16"/>
        <v>2590</v>
      </c>
    </row>
    <row r="881" spans="4:8" ht="15" thickBot="1" x14ac:dyDescent="0.35">
      <c r="D881" s="20">
        <v>5</v>
      </c>
      <c r="E881" s="20">
        <v>450</v>
      </c>
      <c r="F881" s="20">
        <v>50</v>
      </c>
      <c r="G881" s="20">
        <v>0.12834175609328069</v>
      </c>
      <c r="H881" s="16">
        <f t="shared" ca="1" si="16"/>
        <v>103</v>
      </c>
    </row>
    <row r="882" spans="4:8" ht="15" thickBot="1" x14ac:dyDescent="0.35">
      <c r="D882" s="20">
        <v>1562</v>
      </c>
      <c r="E882" s="20">
        <v>2450</v>
      </c>
      <c r="F882" s="20">
        <v>2950</v>
      </c>
      <c r="G882" s="20">
        <v>0.36432289933169049</v>
      </c>
      <c r="H882" s="16">
        <f t="shared" ca="1" si="16"/>
        <v>2171</v>
      </c>
    </row>
    <row r="883" spans="4:8" ht="15" thickBot="1" x14ac:dyDescent="0.35">
      <c r="D883" s="20">
        <v>1716</v>
      </c>
      <c r="E883" s="20">
        <v>1950</v>
      </c>
      <c r="F883" s="20">
        <v>3250</v>
      </c>
      <c r="G883" s="20">
        <v>0.37559900152513565</v>
      </c>
      <c r="H883" s="16">
        <f t="shared" ca="1" si="16"/>
        <v>1719</v>
      </c>
    </row>
    <row r="884" spans="4:8" ht="15" thickBot="1" x14ac:dyDescent="0.35">
      <c r="D884" s="20">
        <v>391</v>
      </c>
      <c r="E884" s="20">
        <v>1950</v>
      </c>
      <c r="F884" s="20">
        <v>750</v>
      </c>
      <c r="G884" s="20">
        <v>0.26641057904886761</v>
      </c>
      <c r="H884" s="16">
        <f t="shared" ca="1" si="16"/>
        <v>2253</v>
      </c>
    </row>
    <row r="885" spans="4:8" ht="15" thickBot="1" x14ac:dyDescent="0.35">
      <c r="D885" s="20">
        <v>1646</v>
      </c>
      <c r="E885" s="20">
        <v>250</v>
      </c>
      <c r="F885" s="20">
        <v>3150</v>
      </c>
      <c r="G885" s="20">
        <v>0.37000386027890703</v>
      </c>
      <c r="H885" s="16">
        <f t="shared" ca="1" si="16"/>
        <v>2181</v>
      </c>
    </row>
    <row r="886" spans="4:8" ht="15" thickBot="1" x14ac:dyDescent="0.35">
      <c r="D886" s="20">
        <v>742</v>
      </c>
      <c r="E886" s="20">
        <v>5250</v>
      </c>
      <c r="F886" s="20">
        <v>1350</v>
      </c>
      <c r="G886" s="20">
        <v>0.30146389183738187</v>
      </c>
      <c r="H886" s="16">
        <f t="shared" ca="1" si="16"/>
        <v>2254</v>
      </c>
    </row>
    <row r="887" spans="4:8" ht="15" thickBot="1" x14ac:dyDescent="0.35">
      <c r="D887" s="20">
        <v>70</v>
      </c>
      <c r="E887" s="20">
        <v>1650</v>
      </c>
      <c r="F887" s="20">
        <v>150</v>
      </c>
      <c r="G887" s="20">
        <v>0.19765733082982642</v>
      </c>
      <c r="H887" s="16">
        <f t="shared" ca="1" si="16"/>
        <v>1681</v>
      </c>
    </row>
    <row r="888" spans="4:8" ht="15" thickBot="1" x14ac:dyDescent="0.35">
      <c r="D888" s="20">
        <v>2043</v>
      </c>
      <c r="E888" s="20">
        <v>2850</v>
      </c>
      <c r="F888" s="20">
        <v>3850</v>
      </c>
      <c r="G888" s="20">
        <v>0.39873096145759229</v>
      </c>
      <c r="H888" s="16">
        <f t="shared" ca="1" si="16"/>
        <v>858</v>
      </c>
    </row>
    <row r="889" spans="4:8" ht="15" thickBot="1" x14ac:dyDescent="0.35">
      <c r="D889" s="20">
        <v>2026</v>
      </c>
      <c r="E889" s="20">
        <v>1150</v>
      </c>
      <c r="F889" s="20">
        <v>3850</v>
      </c>
      <c r="G889" s="20">
        <v>0.3975416131045621</v>
      </c>
      <c r="H889" s="16">
        <f t="shared" ca="1" si="16"/>
        <v>697</v>
      </c>
    </row>
    <row r="890" spans="4:8" ht="15" thickBot="1" x14ac:dyDescent="0.35">
      <c r="D890" s="20">
        <v>2308</v>
      </c>
      <c r="E890" s="20">
        <v>2850</v>
      </c>
      <c r="F890" s="20">
        <v>4350</v>
      </c>
      <c r="G890" s="20">
        <v>0.42580703939545739</v>
      </c>
      <c r="H890" s="16">
        <f t="shared" ca="1" si="16"/>
        <v>1894</v>
      </c>
    </row>
    <row r="891" spans="4:8" ht="15" thickBot="1" x14ac:dyDescent="0.35">
      <c r="D891" s="20">
        <v>1615</v>
      </c>
      <c r="E891" s="20">
        <v>2450</v>
      </c>
      <c r="F891" s="20">
        <v>3050</v>
      </c>
      <c r="G891" s="20">
        <v>0.36813839573928281</v>
      </c>
      <c r="H891" s="16">
        <f t="shared" ca="1" si="16"/>
        <v>2726</v>
      </c>
    </row>
    <row r="892" spans="4:8" ht="15" thickBot="1" x14ac:dyDescent="0.35">
      <c r="D892" s="20">
        <v>190</v>
      </c>
      <c r="E892" s="20">
        <v>3050</v>
      </c>
      <c r="F892" s="20">
        <v>350</v>
      </c>
      <c r="G892" s="20">
        <v>0.2326430096823604</v>
      </c>
      <c r="H892" s="16">
        <f t="shared" ca="1" si="16"/>
        <v>1972</v>
      </c>
    </row>
    <row r="893" spans="4:8" ht="15" thickBot="1" x14ac:dyDescent="0.35">
      <c r="D893" s="20">
        <v>823</v>
      </c>
      <c r="E893" s="44">
        <v>2750</v>
      </c>
      <c r="F893" s="44">
        <v>1550</v>
      </c>
      <c r="G893" s="20">
        <v>0.30827500614689279</v>
      </c>
      <c r="H893" s="16">
        <f t="shared" ca="1" si="16"/>
        <v>979</v>
      </c>
    </row>
    <row r="894" spans="4:8" ht="15" thickBot="1" x14ac:dyDescent="0.35">
      <c r="D894" s="20">
        <v>1807</v>
      </c>
      <c r="E894" s="20">
        <v>450</v>
      </c>
      <c r="F894" s="20">
        <v>3450</v>
      </c>
      <c r="G894" s="20">
        <v>0.38137597423520897</v>
      </c>
      <c r="H894" s="16">
        <f t="shared" ca="1" si="16"/>
        <v>1677</v>
      </c>
    </row>
    <row r="895" spans="4:8" ht="15" thickBot="1" x14ac:dyDescent="0.35">
      <c r="D895" s="20">
        <v>215</v>
      </c>
      <c r="E895" s="20">
        <v>250</v>
      </c>
      <c r="F895" s="20">
        <v>450</v>
      </c>
      <c r="G895" s="20">
        <v>0.23902540120924393</v>
      </c>
      <c r="H895" s="16">
        <f t="shared" ca="1" si="16"/>
        <v>553</v>
      </c>
    </row>
    <row r="896" spans="4:8" ht="15" thickBot="1" x14ac:dyDescent="0.35">
      <c r="D896" s="20">
        <v>58</v>
      </c>
      <c r="E896" s="20">
        <v>450</v>
      </c>
      <c r="F896" s="20">
        <v>150</v>
      </c>
      <c r="G896" s="20">
        <v>0.19214081674825556</v>
      </c>
      <c r="H896" s="16">
        <f t="shared" ca="1" si="16"/>
        <v>572</v>
      </c>
    </row>
    <row r="897" spans="4:8" ht="15" thickBot="1" x14ac:dyDescent="0.35">
      <c r="D897" s="20">
        <v>764</v>
      </c>
      <c r="E897" s="20">
        <v>2150</v>
      </c>
      <c r="F897" s="20">
        <v>1450</v>
      </c>
      <c r="G897" s="20">
        <v>0.30325554743273453</v>
      </c>
      <c r="H897" s="16">
        <f t="shared" ca="1" si="16"/>
        <v>971</v>
      </c>
    </row>
    <row r="898" spans="4:8" ht="15" thickBot="1" x14ac:dyDescent="0.35">
      <c r="D898" s="20">
        <v>1245</v>
      </c>
      <c r="E898" s="20">
        <v>2550</v>
      </c>
      <c r="F898" s="20">
        <v>2350</v>
      </c>
      <c r="G898" s="20">
        <v>0.34134420873981519</v>
      </c>
      <c r="H898" s="16">
        <f t="shared" ca="1" si="16"/>
        <v>2721</v>
      </c>
    </row>
    <row r="899" spans="4:8" ht="15" thickBot="1" x14ac:dyDescent="0.35">
      <c r="D899" s="20">
        <v>1271</v>
      </c>
      <c r="E899" s="20">
        <v>5150</v>
      </c>
      <c r="F899" s="20">
        <v>2350</v>
      </c>
      <c r="G899" s="20">
        <v>0.34351221534467252</v>
      </c>
      <c r="H899" s="16">
        <f t="shared" ca="1" si="16"/>
        <v>1033</v>
      </c>
    </row>
    <row r="900" spans="4:8" ht="15" thickBot="1" x14ac:dyDescent="0.35">
      <c r="D900" s="20">
        <v>241</v>
      </c>
      <c r="E900" s="20">
        <v>2850</v>
      </c>
      <c r="F900" s="20">
        <v>450</v>
      </c>
      <c r="G900" s="20">
        <v>0.24407468268218024</v>
      </c>
      <c r="H900" s="16">
        <f t="shared" ca="1" si="16"/>
        <v>1507</v>
      </c>
    </row>
    <row r="901" spans="4:8" ht="15" thickBot="1" x14ac:dyDescent="0.35">
      <c r="D901" s="20">
        <v>2232</v>
      </c>
      <c r="E901" s="20">
        <v>550</v>
      </c>
      <c r="F901" s="20">
        <v>4250</v>
      </c>
      <c r="G901" s="20">
        <v>0.41848886305122956</v>
      </c>
      <c r="H901" s="16">
        <f t="shared" ca="1" si="16"/>
        <v>21</v>
      </c>
    </row>
    <row r="902" spans="4:8" ht="15" thickBot="1" x14ac:dyDescent="0.35">
      <c r="D902" s="20">
        <v>13</v>
      </c>
      <c r="E902" s="20">
        <v>1250</v>
      </c>
      <c r="F902" s="20">
        <v>50</v>
      </c>
      <c r="G902" s="20">
        <v>0.14681890079261359</v>
      </c>
      <c r="H902" s="16">
        <f t="shared" ca="1" si="16"/>
        <v>2468</v>
      </c>
    </row>
    <row r="903" spans="4:8" ht="15" thickBot="1" x14ac:dyDescent="0.35">
      <c r="D903" s="20">
        <v>170</v>
      </c>
      <c r="E903" s="20">
        <v>1050</v>
      </c>
      <c r="F903" s="20">
        <v>350</v>
      </c>
      <c r="G903" s="20">
        <v>0.22620406069680427</v>
      </c>
      <c r="H903" s="16">
        <f t="shared" ref="H903:H966" ca="1" si="17">RANDBETWEEN(1,2788)</f>
        <v>735</v>
      </c>
    </row>
    <row r="904" spans="4:8" ht="15" thickBot="1" x14ac:dyDescent="0.35">
      <c r="D904" s="20">
        <v>2776</v>
      </c>
      <c r="E904" s="20">
        <v>1950</v>
      </c>
      <c r="F904" s="20">
        <v>5250</v>
      </c>
      <c r="G904" s="20">
        <v>0.54620940536779028</v>
      </c>
      <c r="H904" s="16">
        <f t="shared" ca="1" si="17"/>
        <v>1184</v>
      </c>
    </row>
    <row r="905" spans="4:8" ht="15" thickBot="1" x14ac:dyDescent="0.35">
      <c r="D905" s="20">
        <v>628</v>
      </c>
      <c r="E905" s="20">
        <v>4450</v>
      </c>
      <c r="F905" s="20">
        <v>1150</v>
      </c>
      <c r="G905" s="20">
        <v>0.29131730905011965</v>
      </c>
      <c r="H905" s="16">
        <f t="shared" ca="1" si="17"/>
        <v>540</v>
      </c>
    </row>
    <row r="906" spans="4:8" ht="15" thickBot="1" x14ac:dyDescent="0.35">
      <c r="D906" s="20">
        <v>2594</v>
      </c>
      <c r="E906" s="20">
        <v>4950</v>
      </c>
      <c r="F906" s="20">
        <v>4850</v>
      </c>
      <c r="G906" s="20">
        <v>0.46487346166367238</v>
      </c>
      <c r="H906" s="16">
        <f t="shared" ca="1" si="17"/>
        <v>1654</v>
      </c>
    </row>
    <row r="907" spans="4:8" ht="15" thickBot="1" x14ac:dyDescent="0.35">
      <c r="D907" s="20">
        <v>1348</v>
      </c>
      <c r="E907" s="20">
        <v>2250</v>
      </c>
      <c r="F907" s="20">
        <v>2550</v>
      </c>
      <c r="G907" s="20">
        <v>0.34889353497100806</v>
      </c>
      <c r="H907" s="16">
        <f t="shared" ca="1" si="17"/>
        <v>963</v>
      </c>
    </row>
    <row r="908" spans="4:8" ht="15" thickBot="1" x14ac:dyDescent="0.35">
      <c r="D908" s="20">
        <v>1470</v>
      </c>
      <c r="E908" s="20">
        <v>3850</v>
      </c>
      <c r="F908" s="20">
        <v>2750</v>
      </c>
      <c r="G908" s="20">
        <v>0.35740132762208793</v>
      </c>
      <c r="H908" s="16">
        <f t="shared" ca="1" si="17"/>
        <v>1132</v>
      </c>
    </row>
    <row r="909" spans="4:8" ht="15" thickBot="1" x14ac:dyDescent="0.35">
      <c r="D909" s="20">
        <v>1940</v>
      </c>
      <c r="E909" s="20">
        <v>3150</v>
      </c>
      <c r="F909" s="20">
        <v>3650</v>
      </c>
      <c r="G909" s="20">
        <v>0.39075800406457795</v>
      </c>
      <c r="H909" s="16">
        <f t="shared" ca="1" si="17"/>
        <v>1744</v>
      </c>
    </row>
    <row r="910" spans="4:8" ht="15" thickBot="1" x14ac:dyDescent="0.35">
      <c r="D910" s="20">
        <v>1710</v>
      </c>
      <c r="E910" s="20">
        <v>1350</v>
      </c>
      <c r="F910" s="20">
        <v>3250</v>
      </c>
      <c r="G910" s="20">
        <v>0.37529310216095951</v>
      </c>
      <c r="H910" s="16">
        <f t="shared" ca="1" si="17"/>
        <v>406</v>
      </c>
    </row>
    <row r="911" spans="4:8" ht="15" thickBot="1" x14ac:dyDescent="0.35">
      <c r="D911" s="20">
        <v>205</v>
      </c>
      <c r="E911" s="20">
        <v>4550</v>
      </c>
      <c r="F911" s="20">
        <v>350</v>
      </c>
      <c r="G911" s="20">
        <v>0.2369787459034372</v>
      </c>
      <c r="H911" s="16">
        <f t="shared" ca="1" si="17"/>
        <v>573</v>
      </c>
    </row>
    <row r="912" spans="4:8" ht="15" thickBot="1" x14ac:dyDescent="0.35">
      <c r="D912" s="20">
        <v>886</v>
      </c>
      <c r="E912" s="20">
        <v>3750</v>
      </c>
      <c r="F912" s="20">
        <v>1650</v>
      </c>
      <c r="G912" s="20">
        <v>0.31323589960323572</v>
      </c>
      <c r="H912" s="16">
        <f t="shared" ca="1" si="17"/>
        <v>818</v>
      </c>
    </row>
    <row r="913" spans="4:8" ht="15" thickBot="1" x14ac:dyDescent="0.35">
      <c r="D913" s="20">
        <v>1499</v>
      </c>
      <c r="E913" s="20">
        <v>1450</v>
      </c>
      <c r="F913" s="20">
        <v>2850</v>
      </c>
      <c r="G913" s="20">
        <v>0.35991538138154683</v>
      </c>
      <c r="H913" s="16">
        <f t="shared" ca="1" si="17"/>
        <v>1836</v>
      </c>
    </row>
    <row r="914" spans="4:8" ht="15" thickBot="1" x14ac:dyDescent="0.35">
      <c r="D914" s="20">
        <v>643</v>
      </c>
      <c r="E914" s="20">
        <v>650</v>
      </c>
      <c r="F914" s="20">
        <v>1250</v>
      </c>
      <c r="G914" s="20">
        <v>0.29284923028188004</v>
      </c>
      <c r="H914" s="16">
        <f t="shared" ca="1" si="17"/>
        <v>702</v>
      </c>
    </row>
    <row r="915" spans="4:8" ht="15" thickBot="1" x14ac:dyDescent="0.35">
      <c r="D915" s="20">
        <v>1110</v>
      </c>
      <c r="E915" s="20">
        <v>4950</v>
      </c>
      <c r="F915" s="20">
        <v>2050</v>
      </c>
      <c r="G915" s="20">
        <v>0.33093544845855583</v>
      </c>
      <c r="H915" s="16">
        <f t="shared" ca="1" si="17"/>
        <v>1127</v>
      </c>
    </row>
    <row r="916" spans="4:8" ht="15" thickBot="1" x14ac:dyDescent="0.35">
      <c r="D916" s="20">
        <v>2019</v>
      </c>
      <c r="E916" s="20">
        <v>450</v>
      </c>
      <c r="F916" s="20">
        <v>3850</v>
      </c>
      <c r="G916" s="20">
        <v>0.39713220982116015</v>
      </c>
      <c r="H916" s="16">
        <f t="shared" ca="1" si="17"/>
        <v>1468</v>
      </c>
    </row>
    <row r="917" spans="4:8" ht="15" thickBot="1" x14ac:dyDescent="0.35">
      <c r="D917" s="20">
        <v>353</v>
      </c>
      <c r="E917" s="45">
        <v>3450</v>
      </c>
      <c r="F917" s="45">
        <v>650</v>
      </c>
      <c r="G917" s="20">
        <v>0.26149827776161383</v>
      </c>
      <c r="H917" s="16">
        <f t="shared" ca="1" si="17"/>
        <v>2711</v>
      </c>
    </row>
    <row r="918" spans="4:8" ht="15" thickBot="1" x14ac:dyDescent="0.35">
      <c r="D918" s="20">
        <v>1743</v>
      </c>
      <c r="E918" s="20">
        <v>4650</v>
      </c>
      <c r="F918" s="20">
        <v>3250</v>
      </c>
      <c r="G918" s="20">
        <v>0.37737640233749259</v>
      </c>
      <c r="H918" s="16">
        <f t="shared" ca="1" si="17"/>
        <v>541</v>
      </c>
    </row>
    <row r="919" spans="4:8" ht="15" thickBot="1" x14ac:dyDescent="0.35">
      <c r="D919" s="20">
        <v>1122</v>
      </c>
      <c r="E919" s="20">
        <v>850</v>
      </c>
      <c r="F919" s="20">
        <v>2150</v>
      </c>
      <c r="G919" s="20">
        <v>0.33172697022906544</v>
      </c>
      <c r="H919" s="16">
        <f t="shared" ca="1" si="17"/>
        <v>1452</v>
      </c>
    </row>
    <row r="920" spans="4:8" ht="15" thickBot="1" x14ac:dyDescent="0.35">
      <c r="D920" s="20">
        <v>1192</v>
      </c>
      <c r="E920" s="20">
        <v>2550</v>
      </c>
      <c r="F920" s="20">
        <v>2250</v>
      </c>
      <c r="G920" s="20">
        <v>0.33732842574943683</v>
      </c>
      <c r="H920" s="16">
        <f t="shared" ca="1" si="17"/>
        <v>704</v>
      </c>
    </row>
    <row r="921" spans="4:8" ht="15" thickBot="1" x14ac:dyDescent="0.35">
      <c r="D921" s="20">
        <v>1401</v>
      </c>
      <c r="E921" s="20">
        <v>2250</v>
      </c>
      <c r="F921" s="20">
        <v>2650</v>
      </c>
      <c r="G921" s="20">
        <v>0.35288529574083699</v>
      </c>
      <c r="H921" s="16">
        <f t="shared" ca="1" si="17"/>
        <v>301</v>
      </c>
    </row>
    <row r="922" spans="4:8" ht="15" thickBot="1" x14ac:dyDescent="0.35">
      <c r="D922" s="20">
        <v>1181</v>
      </c>
      <c r="E922" s="20">
        <v>1450</v>
      </c>
      <c r="F922" s="20">
        <v>2250</v>
      </c>
      <c r="G922" s="20">
        <v>0.33674163452356409</v>
      </c>
      <c r="H922" s="16">
        <f t="shared" ca="1" si="17"/>
        <v>95</v>
      </c>
    </row>
    <row r="923" spans="4:8" ht="15" thickBot="1" x14ac:dyDescent="0.35">
      <c r="D923" s="20">
        <v>1421</v>
      </c>
      <c r="E923" s="20">
        <v>4250</v>
      </c>
      <c r="F923" s="20">
        <v>2650</v>
      </c>
      <c r="G923" s="20">
        <v>0.35439892554985214</v>
      </c>
      <c r="H923" s="16">
        <f t="shared" ca="1" si="17"/>
        <v>2132</v>
      </c>
    </row>
    <row r="924" spans="4:8" ht="15" thickBot="1" x14ac:dyDescent="0.35">
      <c r="D924" s="20">
        <v>1937</v>
      </c>
      <c r="E924" s="20">
        <v>2850</v>
      </c>
      <c r="F924" s="20">
        <v>3650</v>
      </c>
      <c r="G924" s="20">
        <v>0.39051200721555235</v>
      </c>
      <c r="H924" s="16">
        <f t="shared" ca="1" si="17"/>
        <v>2464</v>
      </c>
    </row>
    <row r="925" spans="4:8" ht="15" thickBot="1" x14ac:dyDescent="0.35">
      <c r="D925" s="20">
        <v>2121</v>
      </c>
      <c r="E925" s="20">
        <v>50</v>
      </c>
      <c r="F925" s="20">
        <v>4050</v>
      </c>
      <c r="G925" s="20">
        <v>0.40828442714977436</v>
      </c>
      <c r="H925" s="16">
        <f t="shared" ca="1" si="17"/>
        <v>353</v>
      </c>
    </row>
    <row r="926" spans="4:8" ht="15" thickBot="1" x14ac:dyDescent="0.35">
      <c r="D926" s="20">
        <v>1172</v>
      </c>
      <c r="E926" s="20">
        <v>550</v>
      </c>
      <c r="F926" s="20">
        <v>2250</v>
      </c>
      <c r="G926" s="20">
        <v>0.33580732987919043</v>
      </c>
      <c r="H926" s="16">
        <f t="shared" ca="1" si="17"/>
        <v>584</v>
      </c>
    </row>
    <row r="927" spans="4:8" ht="15" thickBot="1" x14ac:dyDescent="0.35">
      <c r="D927" s="20">
        <v>1997</v>
      </c>
      <c r="E927" s="20">
        <v>3550</v>
      </c>
      <c r="F927" s="20">
        <v>3750</v>
      </c>
      <c r="G927" s="20">
        <v>0.39534198907317397</v>
      </c>
      <c r="H927" s="16">
        <f t="shared" ca="1" si="17"/>
        <v>2100</v>
      </c>
    </row>
    <row r="928" spans="4:8" ht="15" thickBot="1" x14ac:dyDescent="0.35">
      <c r="D928" s="20">
        <v>1026</v>
      </c>
      <c r="E928" s="20">
        <v>1850</v>
      </c>
      <c r="F928" s="20">
        <v>1950</v>
      </c>
      <c r="G928" s="20">
        <v>0.32396229965117684</v>
      </c>
      <c r="H928" s="16">
        <f t="shared" ca="1" si="17"/>
        <v>1566</v>
      </c>
    </row>
    <row r="929" spans="4:8" ht="15" thickBot="1" x14ac:dyDescent="0.35">
      <c r="D929" s="20">
        <v>1524</v>
      </c>
      <c r="E929" s="43">
        <v>3950</v>
      </c>
      <c r="F929" s="43">
        <v>2850</v>
      </c>
      <c r="G929" s="20">
        <v>0.3615520287327893</v>
      </c>
      <c r="H929" s="16">
        <f t="shared" ca="1" si="17"/>
        <v>76</v>
      </c>
    </row>
    <row r="930" spans="4:8" ht="15" thickBot="1" x14ac:dyDescent="0.35">
      <c r="D930" s="20">
        <v>1327</v>
      </c>
      <c r="E930" s="44">
        <v>150</v>
      </c>
      <c r="F930" s="44">
        <v>2550</v>
      </c>
      <c r="G930" s="20">
        <v>0.34754578593741187</v>
      </c>
      <c r="H930" s="16">
        <f t="shared" ca="1" si="17"/>
        <v>1079</v>
      </c>
    </row>
    <row r="931" spans="4:8" ht="15" thickBot="1" x14ac:dyDescent="0.35">
      <c r="D931" s="20">
        <v>2188</v>
      </c>
      <c r="E931" s="20">
        <v>1450</v>
      </c>
      <c r="F931" s="20">
        <v>4150</v>
      </c>
      <c r="G931" s="20">
        <v>0.41374602086926898</v>
      </c>
      <c r="H931" s="16">
        <f t="shared" ca="1" si="17"/>
        <v>2113</v>
      </c>
    </row>
    <row r="932" spans="4:8" ht="15" thickBot="1" x14ac:dyDescent="0.35">
      <c r="D932" s="20">
        <v>443</v>
      </c>
      <c r="E932" s="20">
        <v>1850</v>
      </c>
      <c r="F932" s="20">
        <v>850</v>
      </c>
      <c r="G932" s="20">
        <v>0.27269834558107509</v>
      </c>
      <c r="H932" s="16">
        <f t="shared" ca="1" si="17"/>
        <v>2430</v>
      </c>
    </row>
    <row r="933" spans="4:8" ht="15" thickBot="1" x14ac:dyDescent="0.35">
      <c r="D933" s="20">
        <v>2567</v>
      </c>
      <c r="E933" s="20">
        <v>2250</v>
      </c>
      <c r="F933" s="20">
        <v>4850</v>
      </c>
      <c r="G933" s="20">
        <v>0.45912716840979706</v>
      </c>
      <c r="H933" s="16">
        <f t="shared" ca="1" si="17"/>
        <v>898</v>
      </c>
    </row>
    <row r="934" spans="4:8" ht="15" thickBot="1" x14ac:dyDescent="0.35">
      <c r="D934" s="20">
        <v>695</v>
      </c>
      <c r="E934" s="20">
        <v>550</v>
      </c>
      <c r="F934" s="20">
        <v>1350</v>
      </c>
      <c r="G934" s="20">
        <v>0.29811298937232211</v>
      </c>
      <c r="H934" s="16">
        <f t="shared" ca="1" si="17"/>
        <v>374</v>
      </c>
    </row>
    <row r="935" spans="4:8" ht="15" thickBot="1" x14ac:dyDescent="0.35">
      <c r="D935" s="20">
        <v>2613</v>
      </c>
      <c r="E935" s="20">
        <v>1550</v>
      </c>
      <c r="F935" s="20">
        <v>4950</v>
      </c>
      <c r="G935" s="20">
        <v>0.46791221043969755</v>
      </c>
      <c r="H935" s="16">
        <f t="shared" ca="1" si="17"/>
        <v>1532</v>
      </c>
    </row>
    <row r="936" spans="4:8" ht="15" thickBot="1" x14ac:dyDescent="0.35">
      <c r="D936" s="20">
        <v>487</v>
      </c>
      <c r="E936" s="48">
        <v>950</v>
      </c>
      <c r="F936" s="48">
        <v>950</v>
      </c>
      <c r="G936" s="20">
        <v>0.27730854959129714</v>
      </c>
      <c r="H936" s="16">
        <f t="shared" ca="1" si="17"/>
        <v>680</v>
      </c>
    </row>
    <row r="937" spans="4:8" ht="15" thickBot="1" x14ac:dyDescent="0.35">
      <c r="D937" s="20">
        <v>1265</v>
      </c>
      <c r="E937" s="20">
        <v>4550</v>
      </c>
      <c r="F937" s="20">
        <v>2350</v>
      </c>
      <c r="G937" s="20">
        <v>0.34275990488901675</v>
      </c>
      <c r="H937" s="16">
        <f t="shared" ca="1" si="17"/>
        <v>2367</v>
      </c>
    </row>
    <row r="938" spans="4:8" ht="15" thickBot="1" x14ac:dyDescent="0.35">
      <c r="D938" s="20">
        <v>453</v>
      </c>
      <c r="E938" s="20">
        <v>2850</v>
      </c>
      <c r="F938" s="20">
        <v>850</v>
      </c>
      <c r="G938" s="20">
        <v>0.27411415802270495</v>
      </c>
      <c r="H938" s="16">
        <f t="shared" ca="1" si="17"/>
        <v>87</v>
      </c>
    </row>
    <row r="939" spans="4:8" ht="15" thickBot="1" x14ac:dyDescent="0.35">
      <c r="D939" s="20">
        <v>1051</v>
      </c>
      <c r="E939" s="20">
        <v>4350</v>
      </c>
      <c r="F939" s="20">
        <v>1950</v>
      </c>
      <c r="G939" s="20">
        <v>0.32674430848174091</v>
      </c>
      <c r="H939" s="16">
        <f t="shared" ca="1" si="17"/>
        <v>2424</v>
      </c>
    </row>
    <row r="940" spans="4:8" ht="15" thickBot="1" x14ac:dyDescent="0.35">
      <c r="D940" s="20">
        <v>563</v>
      </c>
      <c r="E940" s="20">
        <v>3250</v>
      </c>
      <c r="F940" s="20">
        <v>1050</v>
      </c>
      <c r="G940" s="20">
        <v>0.28493859609885475</v>
      </c>
      <c r="H940" s="16">
        <f t="shared" ca="1" si="17"/>
        <v>385</v>
      </c>
    </row>
    <row r="941" spans="4:8" ht="15" thickBot="1" x14ac:dyDescent="0.35">
      <c r="D941" s="20">
        <v>1667</v>
      </c>
      <c r="E941" s="20">
        <v>2350</v>
      </c>
      <c r="F941" s="20">
        <v>3150</v>
      </c>
      <c r="G941" s="20">
        <v>0.37133135912699827</v>
      </c>
      <c r="H941" s="16">
        <f t="shared" ca="1" si="17"/>
        <v>2666</v>
      </c>
    </row>
    <row r="942" spans="4:8" ht="15" thickBot="1" x14ac:dyDescent="0.35">
      <c r="D942" s="20">
        <v>1914</v>
      </c>
      <c r="E942" s="20">
        <v>550</v>
      </c>
      <c r="F942" s="20">
        <v>3650</v>
      </c>
      <c r="G942" s="20">
        <v>0.38913926401923438</v>
      </c>
      <c r="H942" s="16">
        <f t="shared" ca="1" si="17"/>
        <v>2637</v>
      </c>
    </row>
    <row r="943" spans="4:8" ht="15" thickBot="1" x14ac:dyDescent="0.35">
      <c r="D943" s="20">
        <v>471</v>
      </c>
      <c r="E943" s="20">
        <v>4650</v>
      </c>
      <c r="F943" s="20">
        <v>850</v>
      </c>
      <c r="G943" s="20">
        <v>0.27611444592579054</v>
      </c>
      <c r="H943" s="16">
        <f t="shared" ca="1" si="17"/>
        <v>2133</v>
      </c>
    </row>
    <row r="944" spans="4:8" ht="15" thickBot="1" x14ac:dyDescent="0.35">
      <c r="D944" s="20">
        <v>2240</v>
      </c>
      <c r="E944" s="20">
        <v>1350</v>
      </c>
      <c r="F944" s="20">
        <v>4250</v>
      </c>
      <c r="G944" s="20">
        <v>0.41926500103692688</v>
      </c>
      <c r="H944" s="16">
        <f t="shared" ca="1" si="17"/>
        <v>916</v>
      </c>
    </row>
    <row r="945" spans="4:8" ht="15" thickBot="1" x14ac:dyDescent="0.35">
      <c r="D945" s="20">
        <v>2157</v>
      </c>
      <c r="E945" s="20">
        <v>3650</v>
      </c>
      <c r="F945" s="20">
        <v>4050</v>
      </c>
      <c r="G945" s="20">
        <v>0.41080139271327587</v>
      </c>
      <c r="H945" s="16">
        <f t="shared" ca="1" si="17"/>
        <v>2512</v>
      </c>
    </row>
    <row r="946" spans="4:8" ht="15" thickBot="1" x14ac:dyDescent="0.35">
      <c r="D946" s="20">
        <v>2186</v>
      </c>
      <c r="E946" s="20">
        <v>1250</v>
      </c>
      <c r="F946" s="20">
        <v>4150</v>
      </c>
      <c r="G946" s="20">
        <v>0.41364949672062157</v>
      </c>
      <c r="H946" s="16">
        <f t="shared" ca="1" si="17"/>
        <v>2254</v>
      </c>
    </row>
    <row r="947" spans="4:8" ht="15" thickBot="1" x14ac:dyDescent="0.35">
      <c r="D947" s="20">
        <v>1869</v>
      </c>
      <c r="E947" s="20">
        <v>1350</v>
      </c>
      <c r="F947" s="20">
        <v>3550</v>
      </c>
      <c r="G947" s="20">
        <v>0.3861530737695556</v>
      </c>
      <c r="H947" s="16">
        <f t="shared" ca="1" si="17"/>
        <v>642</v>
      </c>
    </row>
    <row r="948" spans="4:8" ht="15" thickBot="1" x14ac:dyDescent="0.35">
      <c r="D948" s="20">
        <v>2260</v>
      </c>
      <c r="E948" s="20">
        <v>3350</v>
      </c>
      <c r="F948" s="20">
        <v>4250</v>
      </c>
      <c r="G948" s="20">
        <v>0.42115802141066494</v>
      </c>
      <c r="H948" s="16">
        <f t="shared" ca="1" si="17"/>
        <v>755</v>
      </c>
    </row>
    <row r="949" spans="4:8" ht="15" thickBot="1" x14ac:dyDescent="0.35">
      <c r="D949" s="20">
        <v>2269</v>
      </c>
      <c r="E949" s="20">
        <v>4250</v>
      </c>
      <c r="F949" s="20">
        <v>4250</v>
      </c>
      <c r="G949" s="20">
        <v>0.42197352944238814</v>
      </c>
      <c r="H949" s="16">
        <f t="shared" ca="1" si="17"/>
        <v>2159</v>
      </c>
    </row>
    <row r="950" spans="4:8" ht="15" thickBot="1" x14ac:dyDescent="0.35">
      <c r="D950" s="20">
        <v>346</v>
      </c>
      <c r="E950" s="20">
        <v>2750</v>
      </c>
      <c r="F950" s="20">
        <v>650</v>
      </c>
      <c r="G950" s="20">
        <v>0.26055347133233425</v>
      </c>
      <c r="H950" s="16">
        <f t="shared" ca="1" si="17"/>
        <v>1980</v>
      </c>
    </row>
    <row r="951" spans="4:8" ht="15" thickBot="1" x14ac:dyDescent="0.35">
      <c r="D951" s="20">
        <v>2137</v>
      </c>
      <c r="E951" s="20">
        <v>1650</v>
      </c>
      <c r="F951" s="20">
        <v>4050</v>
      </c>
      <c r="G951" s="20">
        <v>0.40923532375277633</v>
      </c>
      <c r="H951" s="16">
        <f t="shared" ca="1" si="17"/>
        <v>547</v>
      </c>
    </row>
    <row r="952" spans="4:8" ht="15" thickBot="1" x14ac:dyDescent="0.35">
      <c r="D952" s="20">
        <v>1547</v>
      </c>
      <c r="E952" s="20">
        <v>950</v>
      </c>
      <c r="F952" s="20">
        <v>2950</v>
      </c>
      <c r="G952" s="20">
        <v>0.36329936703380239</v>
      </c>
      <c r="H952" s="16">
        <f t="shared" ca="1" si="17"/>
        <v>1148</v>
      </c>
    </row>
    <row r="953" spans="4:8" ht="15" thickBot="1" x14ac:dyDescent="0.35">
      <c r="D953" s="20">
        <v>1246</v>
      </c>
      <c r="E953" s="20">
        <v>2650</v>
      </c>
      <c r="F953" s="20">
        <v>2350</v>
      </c>
      <c r="G953" s="20">
        <v>0.34138426364442898</v>
      </c>
      <c r="H953" s="16">
        <f t="shared" ca="1" si="17"/>
        <v>420</v>
      </c>
    </row>
    <row r="954" spans="4:8" ht="15" thickBot="1" x14ac:dyDescent="0.35">
      <c r="D954" s="20">
        <v>1128</v>
      </c>
      <c r="E954" s="20">
        <v>1450</v>
      </c>
      <c r="F954" s="20">
        <v>2150</v>
      </c>
      <c r="G954" s="20">
        <v>0.33263087186018531</v>
      </c>
      <c r="H954" s="16">
        <f t="shared" ca="1" si="17"/>
        <v>2526</v>
      </c>
    </row>
    <row r="955" spans="4:8" ht="15" thickBot="1" x14ac:dyDescent="0.35">
      <c r="D955" s="20">
        <v>2262</v>
      </c>
      <c r="E955" s="20">
        <v>3550</v>
      </c>
      <c r="F955" s="20">
        <v>4250</v>
      </c>
      <c r="G955" s="20">
        <v>0.42148522049107351</v>
      </c>
      <c r="H955" s="16">
        <f t="shared" ca="1" si="17"/>
        <v>2672</v>
      </c>
    </row>
    <row r="956" spans="4:8" ht="15" thickBot="1" x14ac:dyDescent="0.35">
      <c r="D956" s="20">
        <v>1013</v>
      </c>
      <c r="E956" s="20">
        <v>550</v>
      </c>
      <c r="F956" s="20">
        <v>1950</v>
      </c>
      <c r="G956" s="20">
        <v>0.32319214958900905</v>
      </c>
      <c r="H956" s="16">
        <f t="shared" ca="1" si="17"/>
        <v>1518</v>
      </c>
    </row>
    <row r="957" spans="4:8" ht="15" thickBot="1" x14ac:dyDescent="0.35">
      <c r="D957" s="20">
        <v>1471</v>
      </c>
      <c r="E957" s="20">
        <v>3950</v>
      </c>
      <c r="F957" s="20">
        <v>2750</v>
      </c>
      <c r="G957" s="20">
        <v>0.35751501672236219</v>
      </c>
      <c r="H957" s="16">
        <f t="shared" ca="1" si="17"/>
        <v>322</v>
      </c>
    </row>
    <row r="958" spans="4:8" ht="15" thickBot="1" x14ac:dyDescent="0.35">
      <c r="D958" s="20">
        <v>2716</v>
      </c>
      <c r="E958" s="20">
        <v>1250</v>
      </c>
      <c r="F958" s="20">
        <v>5150</v>
      </c>
      <c r="G958" s="20">
        <v>0.50128936103930755</v>
      </c>
      <c r="H958" s="16">
        <f t="shared" ca="1" si="17"/>
        <v>1593</v>
      </c>
    </row>
    <row r="959" spans="4:8" ht="15" thickBot="1" x14ac:dyDescent="0.35">
      <c r="D959" s="20">
        <v>2539</v>
      </c>
      <c r="E959" s="20">
        <v>4750</v>
      </c>
      <c r="F959" s="20">
        <v>4750</v>
      </c>
      <c r="G959" s="20">
        <v>0.45327956538186948</v>
      </c>
      <c r="H959" s="16">
        <f t="shared" ca="1" si="17"/>
        <v>2715</v>
      </c>
    </row>
    <row r="960" spans="4:8" ht="15" thickBot="1" x14ac:dyDescent="0.35">
      <c r="D960" s="20">
        <v>240</v>
      </c>
      <c r="E960" s="20">
        <v>2750</v>
      </c>
      <c r="F960" s="20">
        <v>450</v>
      </c>
      <c r="G960" s="20">
        <v>0.24406956004463448</v>
      </c>
      <c r="H960" s="16">
        <f t="shared" ca="1" si="17"/>
        <v>2181</v>
      </c>
    </row>
    <row r="961" spans="4:8" ht="15" thickBot="1" x14ac:dyDescent="0.35">
      <c r="D961" s="20">
        <v>476</v>
      </c>
      <c r="E961" s="20">
        <v>5150</v>
      </c>
      <c r="F961" s="20">
        <v>850</v>
      </c>
      <c r="G961" s="20">
        <v>0.27644893081051253</v>
      </c>
      <c r="H961" s="16">
        <f t="shared" ca="1" si="17"/>
        <v>1309</v>
      </c>
    </row>
    <row r="962" spans="4:8" ht="15" thickBot="1" x14ac:dyDescent="0.35">
      <c r="D962" s="20">
        <v>7</v>
      </c>
      <c r="E962" s="20">
        <v>650</v>
      </c>
      <c r="F962" s="20">
        <v>50</v>
      </c>
      <c r="G962" s="20">
        <v>0.13324663734487815</v>
      </c>
      <c r="H962" s="16">
        <f t="shared" ca="1" si="17"/>
        <v>1571</v>
      </c>
    </row>
    <row r="963" spans="4:8" ht="15" thickBot="1" x14ac:dyDescent="0.35">
      <c r="D963" s="20">
        <v>367</v>
      </c>
      <c r="E963" s="20">
        <v>4850</v>
      </c>
      <c r="F963" s="20">
        <v>650</v>
      </c>
      <c r="G963" s="20">
        <v>0.26325030986969727</v>
      </c>
      <c r="H963" s="16">
        <f t="shared" ca="1" si="17"/>
        <v>301</v>
      </c>
    </row>
    <row r="964" spans="4:8" ht="15" thickBot="1" x14ac:dyDescent="0.35">
      <c r="D964" s="20">
        <v>2477</v>
      </c>
      <c r="E964" s="20">
        <v>3850</v>
      </c>
      <c r="F964" s="20">
        <v>4650</v>
      </c>
      <c r="G964" s="20">
        <v>0.44442359612159221</v>
      </c>
      <c r="H964" s="16">
        <f t="shared" ca="1" si="17"/>
        <v>2409</v>
      </c>
    </row>
    <row r="965" spans="4:8" ht="15" thickBot="1" x14ac:dyDescent="0.35">
      <c r="D965" s="20">
        <v>2474</v>
      </c>
      <c r="E965" s="45">
        <v>3550</v>
      </c>
      <c r="F965" s="45">
        <v>4650</v>
      </c>
      <c r="G965" s="20">
        <v>0.4437023217473281</v>
      </c>
      <c r="H965" s="16">
        <f t="shared" ca="1" si="17"/>
        <v>90</v>
      </c>
    </row>
    <row r="966" spans="4:8" ht="15" thickBot="1" x14ac:dyDescent="0.35">
      <c r="D966" s="20">
        <v>659</v>
      </c>
      <c r="E966" s="20">
        <v>2250</v>
      </c>
      <c r="F966" s="20">
        <v>1250</v>
      </c>
      <c r="G966" s="20">
        <v>0.29509653820758808</v>
      </c>
      <c r="H966" s="16">
        <f t="shared" ca="1" si="17"/>
        <v>212</v>
      </c>
    </row>
    <row r="967" spans="4:8" ht="15" thickBot="1" x14ac:dyDescent="0.35">
      <c r="D967" s="20">
        <v>2356</v>
      </c>
      <c r="E967" s="20">
        <v>2350</v>
      </c>
      <c r="F967" s="20">
        <v>4450</v>
      </c>
      <c r="G967" s="20">
        <v>0.4305535928222835</v>
      </c>
      <c r="H967" s="16">
        <f t="shared" ref="H967:H1030" ca="1" si="18">RANDBETWEEN(1,2788)</f>
        <v>1393</v>
      </c>
    </row>
    <row r="968" spans="4:8" ht="15" thickBot="1" x14ac:dyDescent="0.35">
      <c r="D968" s="20">
        <v>2000</v>
      </c>
      <c r="E968" s="20">
        <v>3850</v>
      </c>
      <c r="F968" s="20">
        <v>3750</v>
      </c>
      <c r="G968" s="20">
        <v>0.39569893999957345</v>
      </c>
      <c r="H968" s="16">
        <f t="shared" ca="1" si="18"/>
        <v>2047</v>
      </c>
    </row>
    <row r="969" spans="4:8" ht="15" thickBot="1" x14ac:dyDescent="0.35">
      <c r="D969" s="20">
        <v>1062</v>
      </c>
      <c r="E969" s="20">
        <v>150</v>
      </c>
      <c r="F969" s="20">
        <v>2050</v>
      </c>
      <c r="G969" s="20">
        <v>0.32741547640617424</v>
      </c>
      <c r="H969" s="16">
        <f t="shared" ca="1" si="18"/>
        <v>315</v>
      </c>
    </row>
    <row r="970" spans="4:8" ht="15" thickBot="1" x14ac:dyDescent="0.35">
      <c r="D970" s="20">
        <v>2077</v>
      </c>
      <c r="E970" s="20">
        <v>950</v>
      </c>
      <c r="F970" s="20">
        <v>3950</v>
      </c>
      <c r="G970" s="20">
        <v>0.40341113164487602</v>
      </c>
      <c r="H970" s="16">
        <f t="shared" ca="1" si="18"/>
        <v>419</v>
      </c>
    </row>
    <row r="971" spans="4:8" ht="15" thickBot="1" x14ac:dyDescent="0.35">
      <c r="D971" s="20">
        <v>1789</v>
      </c>
      <c r="E971" s="20">
        <v>3950</v>
      </c>
      <c r="F971" s="20">
        <v>3350</v>
      </c>
      <c r="G971" s="20">
        <v>0.38011820370229998</v>
      </c>
      <c r="H971" s="16">
        <f t="shared" ca="1" si="18"/>
        <v>799</v>
      </c>
    </row>
    <row r="972" spans="4:8" ht="15" thickBot="1" x14ac:dyDescent="0.35">
      <c r="D972" s="20">
        <v>2439</v>
      </c>
      <c r="E972" s="20">
        <v>50</v>
      </c>
      <c r="F972" s="20">
        <v>4650</v>
      </c>
      <c r="G972" s="20">
        <v>0.43900599036536414</v>
      </c>
      <c r="H972" s="16">
        <f t="shared" ca="1" si="18"/>
        <v>906</v>
      </c>
    </row>
    <row r="973" spans="4:8" ht="15" thickBot="1" x14ac:dyDescent="0.35">
      <c r="D973" s="20">
        <v>2332</v>
      </c>
      <c r="E973" s="20">
        <v>5250</v>
      </c>
      <c r="F973" s="20">
        <v>4350</v>
      </c>
      <c r="G973" s="20">
        <v>0.42845994311687507</v>
      </c>
      <c r="H973" s="16">
        <f t="shared" ca="1" si="18"/>
        <v>904</v>
      </c>
    </row>
    <row r="974" spans="4:8" ht="15" thickBot="1" x14ac:dyDescent="0.35">
      <c r="D974" s="20">
        <v>334</v>
      </c>
      <c r="E974" s="20">
        <v>1550</v>
      </c>
      <c r="F974" s="20">
        <v>650</v>
      </c>
      <c r="G974" s="20">
        <v>0.25903391993598779</v>
      </c>
      <c r="H974" s="16">
        <f t="shared" ca="1" si="18"/>
        <v>930</v>
      </c>
    </row>
    <row r="975" spans="4:8" ht="15" thickBot="1" x14ac:dyDescent="0.35">
      <c r="D975" s="20">
        <v>390</v>
      </c>
      <c r="E975" s="20">
        <v>1850</v>
      </c>
      <c r="F975" s="20">
        <v>750</v>
      </c>
      <c r="G975" s="20">
        <v>0.26635756207733396</v>
      </c>
      <c r="H975" s="16">
        <f t="shared" ca="1" si="18"/>
        <v>1649</v>
      </c>
    </row>
    <row r="976" spans="4:8" ht="15" thickBot="1" x14ac:dyDescent="0.35">
      <c r="D976" s="20">
        <v>2456</v>
      </c>
      <c r="E976" s="47">
        <v>1750</v>
      </c>
      <c r="F976" s="47">
        <v>4650</v>
      </c>
      <c r="G976" s="20">
        <v>0.44135065919157618</v>
      </c>
      <c r="H976" s="16">
        <f t="shared" ca="1" si="18"/>
        <v>786</v>
      </c>
    </row>
    <row r="977" spans="4:8" ht="15" thickBot="1" x14ac:dyDescent="0.35">
      <c r="D977" s="20">
        <v>2284</v>
      </c>
      <c r="E977" s="20">
        <v>450</v>
      </c>
      <c r="F977" s="20">
        <v>4350</v>
      </c>
      <c r="G977" s="20">
        <v>0.42418202950900652</v>
      </c>
      <c r="H977" s="16">
        <f t="shared" ca="1" si="18"/>
        <v>1318</v>
      </c>
    </row>
    <row r="978" spans="4:8" ht="15" thickBot="1" x14ac:dyDescent="0.35">
      <c r="D978" s="20">
        <v>2239</v>
      </c>
      <c r="E978" s="20">
        <v>1250</v>
      </c>
      <c r="F978" s="20">
        <v>4250</v>
      </c>
      <c r="G978" s="20">
        <v>0.41921409100567342</v>
      </c>
      <c r="H978" s="16">
        <f t="shared" ca="1" si="18"/>
        <v>781</v>
      </c>
    </row>
    <row r="979" spans="4:8" ht="15" thickBot="1" x14ac:dyDescent="0.35">
      <c r="D979" s="20">
        <v>30</v>
      </c>
      <c r="E979" s="20">
        <v>2950</v>
      </c>
      <c r="F979" s="20">
        <v>50</v>
      </c>
      <c r="G979" s="20">
        <v>0.17573314423966677</v>
      </c>
      <c r="H979" s="16">
        <f t="shared" ca="1" si="18"/>
        <v>243</v>
      </c>
    </row>
    <row r="980" spans="4:8" ht="15" thickBot="1" x14ac:dyDescent="0.35">
      <c r="D980" s="20">
        <v>79</v>
      </c>
      <c r="E980" s="20">
        <v>2550</v>
      </c>
      <c r="F980" s="20">
        <v>150</v>
      </c>
      <c r="G980" s="20">
        <v>0.20112831225905195</v>
      </c>
      <c r="H980" s="16">
        <f t="shared" ca="1" si="18"/>
        <v>2521</v>
      </c>
    </row>
    <row r="981" spans="4:8" ht="15" thickBot="1" x14ac:dyDescent="0.35">
      <c r="D981" s="20">
        <v>2192</v>
      </c>
      <c r="E981" s="20">
        <v>1850</v>
      </c>
      <c r="F981" s="20">
        <v>4150</v>
      </c>
      <c r="G981" s="20">
        <v>0.41428896860946257</v>
      </c>
      <c r="H981" s="16">
        <f t="shared" ca="1" si="18"/>
        <v>2078</v>
      </c>
    </row>
    <row r="982" spans="4:8" ht="15" thickBot="1" x14ac:dyDescent="0.35">
      <c r="D982" s="20">
        <v>1031</v>
      </c>
      <c r="E982" s="44">
        <v>2350</v>
      </c>
      <c r="F982" s="44">
        <v>1950</v>
      </c>
      <c r="G982" s="20">
        <v>0.32428067050464904</v>
      </c>
      <c r="H982" s="16">
        <f t="shared" ca="1" si="18"/>
        <v>599</v>
      </c>
    </row>
    <row r="983" spans="4:8" ht="15" thickBot="1" x14ac:dyDescent="0.35">
      <c r="D983" s="20">
        <v>1662</v>
      </c>
      <c r="E983" s="20">
        <v>1850</v>
      </c>
      <c r="F983" s="20">
        <v>3150</v>
      </c>
      <c r="G983" s="20">
        <v>0.37115942988719697</v>
      </c>
      <c r="H983" s="16">
        <f t="shared" ca="1" si="18"/>
        <v>1802</v>
      </c>
    </row>
    <row r="984" spans="4:8" ht="15" thickBot="1" x14ac:dyDescent="0.35">
      <c r="D984" s="20">
        <v>729</v>
      </c>
      <c r="E984" s="20">
        <v>3950</v>
      </c>
      <c r="F984" s="20">
        <v>1350</v>
      </c>
      <c r="G984" s="20">
        <v>0.30022177285606921</v>
      </c>
      <c r="H984" s="16">
        <f t="shared" ca="1" si="18"/>
        <v>152</v>
      </c>
    </row>
    <row r="985" spans="4:8" ht="15" thickBot="1" x14ac:dyDescent="0.35">
      <c r="D985" s="20">
        <v>574</v>
      </c>
      <c r="E985" s="20">
        <v>4350</v>
      </c>
      <c r="F985" s="20">
        <v>1050</v>
      </c>
      <c r="G985" s="20">
        <v>0.28631501726954756</v>
      </c>
      <c r="H985" s="16">
        <f t="shared" ca="1" si="18"/>
        <v>2575</v>
      </c>
    </row>
    <row r="986" spans="4:8" ht="15" thickBot="1" x14ac:dyDescent="0.35">
      <c r="D986" s="20">
        <v>797</v>
      </c>
      <c r="E986" s="44">
        <v>150</v>
      </c>
      <c r="F986" s="44">
        <v>1550</v>
      </c>
      <c r="G986" s="20">
        <v>0.30627914647285026</v>
      </c>
      <c r="H986" s="16">
        <f t="shared" ca="1" si="18"/>
        <v>1583</v>
      </c>
    </row>
    <row r="987" spans="4:8" ht="15" thickBot="1" x14ac:dyDescent="0.35">
      <c r="D987" s="20">
        <v>2621</v>
      </c>
      <c r="E987" s="20">
        <v>2350</v>
      </c>
      <c r="F987" s="20">
        <v>4950</v>
      </c>
      <c r="G987" s="20">
        <v>0.46972829270667393</v>
      </c>
      <c r="H987" s="16">
        <f t="shared" ca="1" si="18"/>
        <v>2394</v>
      </c>
    </row>
    <row r="988" spans="4:8" ht="15" thickBot="1" x14ac:dyDescent="0.35">
      <c r="D988" s="20">
        <v>1256</v>
      </c>
      <c r="E988" s="20">
        <v>3650</v>
      </c>
      <c r="F988" s="20">
        <v>2350</v>
      </c>
      <c r="G988" s="20">
        <v>0.34220872183220008</v>
      </c>
      <c r="H988" s="16">
        <f t="shared" ca="1" si="18"/>
        <v>1555</v>
      </c>
    </row>
    <row r="989" spans="4:8" ht="15" thickBot="1" x14ac:dyDescent="0.35">
      <c r="D989" s="20">
        <v>1837</v>
      </c>
      <c r="E989" s="20">
        <v>3450</v>
      </c>
      <c r="F989" s="20">
        <v>3450</v>
      </c>
      <c r="G989" s="20">
        <v>0.3834646456133437</v>
      </c>
      <c r="H989" s="16">
        <f t="shared" ca="1" si="18"/>
        <v>761</v>
      </c>
    </row>
    <row r="990" spans="4:8" ht="15" thickBot="1" x14ac:dyDescent="0.35">
      <c r="D990" s="20">
        <v>2385</v>
      </c>
      <c r="E990" s="20">
        <v>5250</v>
      </c>
      <c r="F990" s="20">
        <v>4450</v>
      </c>
      <c r="G990" s="20">
        <v>0.43329527286841046</v>
      </c>
      <c r="H990" s="16">
        <f t="shared" ca="1" si="18"/>
        <v>991</v>
      </c>
    </row>
    <row r="991" spans="4:8" ht="15" thickBot="1" x14ac:dyDescent="0.35">
      <c r="D991" s="20">
        <v>1044</v>
      </c>
      <c r="E991" s="20">
        <v>3650</v>
      </c>
      <c r="F991" s="20">
        <v>1950</v>
      </c>
      <c r="G991" s="20">
        <v>0.32577887870678857</v>
      </c>
      <c r="H991" s="16">
        <f t="shared" ca="1" si="18"/>
        <v>2555</v>
      </c>
    </row>
    <row r="992" spans="4:8" ht="15" thickBot="1" x14ac:dyDescent="0.35">
      <c r="D992" s="20">
        <v>1891</v>
      </c>
      <c r="E992" s="20">
        <v>3550</v>
      </c>
      <c r="F992" s="20">
        <v>3550</v>
      </c>
      <c r="G992" s="20">
        <v>0.38788585977450285</v>
      </c>
      <c r="H992" s="16">
        <f t="shared" ca="1" si="18"/>
        <v>1569</v>
      </c>
    </row>
    <row r="993" spans="4:8" ht="15" thickBot="1" x14ac:dyDescent="0.35">
      <c r="D993" s="20">
        <v>279</v>
      </c>
      <c r="E993" s="20">
        <v>1350</v>
      </c>
      <c r="F993" s="20">
        <v>550</v>
      </c>
      <c r="G993" s="20">
        <v>0.24986717458941349</v>
      </c>
      <c r="H993" s="16">
        <f t="shared" ca="1" si="18"/>
        <v>2367</v>
      </c>
    </row>
    <row r="994" spans="4:8" ht="15" thickBot="1" x14ac:dyDescent="0.35">
      <c r="D994" s="20">
        <v>1926</v>
      </c>
      <c r="E994" s="47">
        <v>1750</v>
      </c>
      <c r="F994" s="47">
        <v>3650</v>
      </c>
      <c r="G994" s="20">
        <v>0.38965827607386216</v>
      </c>
      <c r="H994" s="16">
        <f t="shared" ca="1" si="18"/>
        <v>989</v>
      </c>
    </row>
    <row r="995" spans="4:8" ht="15" thickBot="1" x14ac:dyDescent="0.35">
      <c r="D995" s="20">
        <v>449</v>
      </c>
      <c r="E995" s="20">
        <v>2450</v>
      </c>
      <c r="F995" s="20">
        <v>850</v>
      </c>
      <c r="G995" s="20">
        <v>0.27359102764158427</v>
      </c>
      <c r="H995" s="16">
        <f t="shared" ca="1" si="18"/>
        <v>543</v>
      </c>
    </row>
    <row r="996" spans="4:8" ht="15" thickBot="1" x14ac:dyDescent="0.35">
      <c r="D996" s="20">
        <v>1422</v>
      </c>
      <c r="E996" s="20">
        <v>4350</v>
      </c>
      <c r="F996" s="20">
        <v>2650</v>
      </c>
      <c r="G996" s="20">
        <v>0.35448642436270694</v>
      </c>
      <c r="H996" s="16">
        <f t="shared" ca="1" si="18"/>
        <v>21</v>
      </c>
    </row>
    <row r="997" spans="4:8" ht="15" thickBot="1" x14ac:dyDescent="0.35">
      <c r="D997" s="20">
        <v>460</v>
      </c>
      <c r="E997" s="20">
        <v>3550</v>
      </c>
      <c r="F997" s="20">
        <v>850</v>
      </c>
      <c r="G997" s="20">
        <v>0.27499198185775742</v>
      </c>
      <c r="H997" s="16">
        <f t="shared" ca="1" si="18"/>
        <v>174</v>
      </c>
    </row>
    <row r="998" spans="4:8" ht="15" thickBot="1" x14ac:dyDescent="0.35">
      <c r="D998" s="20">
        <v>2117</v>
      </c>
      <c r="E998" s="20">
        <v>4950</v>
      </c>
      <c r="F998" s="20">
        <v>3950</v>
      </c>
      <c r="G998" s="20">
        <v>0.4079455587758552</v>
      </c>
      <c r="H998" s="16">
        <f t="shared" ca="1" si="18"/>
        <v>2008</v>
      </c>
    </row>
    <row r="999" spans="4:8" ht="15" thickBot="1" x14ac:dyDescent="0.35">
      <c r="D999" s="20">
        <v>1352</v>
      </c>
      <c r="E999" s="20">
        <v>2650</v>
      </c>
      <c r="F999" s="20">
        <v>2550</v>
      </c>
      <c r="G999" s="20">
        <v>0.34913397547850872</v>
      </c>
      <c r="H999" s="16">
        <f t="shared" ca="1" si="18"/>
        <v>2681</v>
      </c>
    </row>
    <row r="1000" spans="4:8" ht="15" thickBot="1" x14ac:dyDescent="0.35">
      <c r="D1000" s="20">
        <v>2072</v>
      </c>
      <c r="E1000" s="20">
        <v>450</v>
      </c>
      <c r="F1000" s="20">
        <v>3950</v>
      </c>
      <c r="G1000" s="20">
        <v>0.40296770611493649</v>
      </c>
      <c r="H1000" s="16">
        <f t="shared" ca="1" si="18"/>
        <v>1375</v>
      </c>
    </row>
    <row r="1001" spans="4:8" ht="15" thickBot="1" x14ac:dyDescent="0.35">
      <c r="D1001" s="20">
        <v>2292</v>
      </c>
      <c r="E1001" s="43">
        <v>1250</v>
      </c>
      <c r="F1001" s="43">
        <v>4350</v>
      </c>
      <c r="G1001" s="20">
        <v>0.42491412101025477</v>
      </c>
      <c r="H1001" s="16">
        <f t="shared" ca="1" si="18"/>
        <v>1112</v>
      </c>
    </row>
    <row r="1002" spans="4:8" ht="15" thickBot="1" x14ac:dyDescent="0.35">
      <c r="D1002" s="20">
        <v>1075</v>
      </c>
      <c r="E1002" s="20">
        <v>1450</v>
      </c>
      <c r="F1002" s="20">
        <v>2050</v>
      </c>
      <c r="G1002" s="20">
        <v>0.32831538321934683</v>
      </c>
      <c r="H1002" s="16">
        <f t="shared" ca="1" si="18"/>
        <v>2085</v>
      </c>
    </row>
    <row r="1003" spans="4:8" ht="15" thickBot="1" x14ac:dyDescent="0.35">
      <c r="D1003" s="20">
        <v>1399</v>
      </c>
      <c r="E1003" s="20">
        <v>2050</v>
      </c>
      <c r="F1003" s="20">
        <v>2650</v>
      </c>
      <c r="G1003" s="20">
        <v>0.35216957676404287</v>
      </c>
      <c r="H1003" s="16">
        <f t="shared" ca="1" si="18"/>
        <v>774</v>
      </c>
    </row>
    <row r="1004" spans="4:8" ht="15" thickBot="1" x14ac:dyDescent="0.35">
      <c r="D1004" s="20">
        <v>1328</v>
      </c>
      <c r="E1004" s="20">
        <v>250</v>
      </c>
      <c r="F1004" s="20">
        <v>2550</v>
      </c>
      <c r="G1004" s="20">
        <v>0.34756778895538853</v>
      </c>
      <c r="H1004" s="16">
        <f t="shared" ca="1" si="18"/>
        <v>1841</v>
      </c>
    </row>
    <row r="1005" spans="4:8" ht="15" thickBot="1" x14ac:dyDescent="0.35">
      <c r="D1005" s="20">
        <v>2652</v>
      </c>
      <c r="E1005" s="47">
        <v>150</v>
      </c>
      <c r="F1005" s="47">
        <v>5050</v>
      </c>
      <c r="G1005" s="20">
        <v>0.47796325868325035</v>
      </c>
      <c r="H1005" s="16">
        <f t="shared" ca="1" si="18"/>
        <v>1065</v>
      </c>
    </row>
    <row r="1006" spans="4:8" ht="15" thickBot="1" x14ac:dyDescent="0.35">
      <c r="D1006" s="20">
        <v>682</v>
      </c>
      <c r="E1006" s="20">
        <v>4550</v>
      </c>
      <c r="F1006" s="20">
        <v>1250</v>
      </c>
      <c r="G1006" s="20">
        <v>0.29658890614838551</v>
      </c>
      <c r="H1006" s="16">
        <f t="shared" ca="1" si="18"/>
        <v>1183</v>
      </c>
    </row>
    <row r="1007" spans="4:8" ht="15" thickBot="1" x14ac:dyDescent="0.35">
      <c r="D1007" s="20">
        <v>398</v>
      </c>
      <c r="E1007" s="20">
        <v>2650</v>
      </c>
      <c r="F1007" s="20">
        <v>750</v>
      </c>
      <c r="G1007" s="20">
        <v>0.26714468138798547</v>
      </c>
      <c r="H1007" s="16">
        <f t="shared" ca="1" si="18"/>
        <v>1806</v>
      </c>
    </row>
    <row r="1008" spans="4:8" ht="15" thickBot="1" x14ac:dyDescent="0.35">
      <c r="D1008" s="20">
        <v>1718</v>
      </c>
      <c r="E1008" s="20">
        <v>2150</v>
      </c>
      <c r="F1008" s="20">
        <v>3250</v>
      </c>
      <c r="G1008" s="20">
        <v>0.37560639788683209</v>
      </c>
      <c r="H1008" s="16">
        <f t="shared" ca="1" si="18"/>
        <v>343</v>
      </c>
    </row>
    <row r="1009" spans="4:8" ht="15" thickBot="1" x14ac:dyDescent="0.35">
      <c r="D1009" s="20">
        <v>604</v>
      </c>
      <c r="E1009" s="20">
        <v>2050</v>
      </c>
      <c r="F1009" s="20">
        <v>1150</v>
      </c>
      <c r="G1009" s="20">
        <v>0.28924070525800694</v>
      </c>
      <c r="H1009" s="16">
        <f t="shared" ca="1" si="18"/>
        <v>2364</v>
      </c>
    </row>
    <row r="1010" spans="4:8" ht="15" thickBot="1" x14ac:dyDescent="0.35">
      <c r="D1010" s="20">
        <v>2325</v>
      </c>
      <c r="E1010" s="20">
        <v>4550</v>
      </c>
      <c r="F1010" s="20">
        <v>4350</v>
      </c>
      <c r="G1010" s="20">
        <v>0.42726063027507044</v>
      </c>
      <c r="H1010" s="16">
        <f t="shared" ca="1" si="18"/>
        <v>2186</v>
      </c>
    </row>
    <row r="1011" spans="4:8" ht="15" thickBot="1" x14ac:dyDescent="0.35">
      <c r="D1011" s="20">
        <v>1462</v>
      </c>
      <c r="E1011" s="20">
        <v>3050</v>
      </c>
      <c r="F1011" s="20">
        <v>2750</v>
      </c>
      <c r="G1011" s="20">
        <v>0.35671868250498229</v>
      </c>
      <c r="H1011" s="16">
        <f t="shared" ca="1" si="18"/>
        <v>1230</v>
      </c>
    </row>
    <row r="1012" spans="4:8" ht="15" thickBot="1" x14ac:dyDescent="0.35">
      <c r="D1012" s="20">
        <v>714</v>
      </c>
      <c r="E1012" s="20">
        <v>2450</v>
      </c>
      <c r="F1012" s="20">
        <v>1350</v>
      </c>
      <c r="G1012" s="20">
        <v>0.29926321627777519</v>
      </c>
      <c r="H1012" s="16">
        <f t="shared" ca="1" si="18"/>
        <v>1410</v>
      </c>
    </row>
    <row r="1013" spans="4:8" ht="15" thickBot="1" x14ac:dyDescent="0.35">
      <c r="D1013" s="20">
        <v>2161</v>
      </c>
      <c r="E1013" s="20">
        <v>4050</v>
      </c>
      <c r="F1013" s="20">
        <v>4050</v>
      </c>
      <c r="G1013" s="20">
        <v>0.41128097511270573</v>
      </c>
      <c r="H1013" s="16">
        <f t="shared" ca="1" si="18"/>
        <v>132</v>
      </c>
    </row>
    <row r="1014" spans="4:8" ht="15" thickBot="1" x14ac:dyDescent="0.35">
      <c r="D1014" s="20">
        <v>2103</v>
      </c>
      <c r="E1014" s="20">
        <v>3550</v>
      </c>
      <c r="F1014" s="20">
        <v>3950</v>
      </c>
      <c r="G1014" s="20">
        <v>0.40621796122950582</v>
      </c>
      <c r="H1014" s="16">
        <f t="shared" ca="1" si="18"/>
        <v>2711</v>
      </c>
    </row>
    <row r="1015" spans="4:8" ht="15" thickBot="1" x14ac:dyDescent="0.35">
      <c r="D1015" s="20">
        <v>1919</v>
      </c>
      <c r="E1015" s="20">
        <v>1050</v>
      </c>
      <c r="F1015" s="20">
        <v>3650</v>
      </c>
      <c r="G1015" s="20">
        <v>0.38942310118075824</v>
      </c>
      <c r="H1015" s="16">
        <f t="shared" ca="1" si="18"/>
        <v>1082</v>
      </c>
    </row>
    <row r="1016" spans="4:8" ht="15" thickBot="1" x14ac:dyDescent="0.35">
      <c r="D1016" s="20">
        <v>773</v>
      </c>
      <c r="E1016" s="20">
        <v>3050</v>
      </c>
      <c r="F1016" s="20">
        <v>1450</v>
      </c>
      <c r="G1016" s="20">
        <v>0.30425666595683093</v>
      </c>
      <c r="H1016" s="16">
        <f t="shared" ca="1" si="18"/>
        <v>1619</v>
      </c>
    </row>
    <row r="1017" spans="4:8" ht="15" thickBot="1" x14ac:dyDescent="0.35">
      <c r="D1017" s="20">
        <v>2092</v>
      </c>
      <c r="E1017" s="43">
        <v>2450</v>
      </c>
      <c r="F1017" s="43">
        <v>3950</v>
      </c>
      <c r="G1017" s="20">
        <v>0.40442007100795435</v>
      </c>
      <c r="H1017" s="16">
        <f t="shared" ca="1" si="18"/>
        <v>529</v>
      </c>
    </row>
    <row r="1018" spans="4:8" ht="15" thickBot="1" x14ac:dyDescent="0.35">
      <c r="D1018" s="20">
        <v>2529</v>
      </c>
      <c r="E1018" s="20">
        <v>3750</v>
      </c>
      <c r="F1018" s="20">
        <v>4750</v>
      </c>
      <c r="G1018" s="20">
        <v>0.45133154682038173</v>
      </c>
      <c r="H1018" s="16">
        <f t="shared" ca="1" si="18"/>
        <v>1513</v>
      </c>
    </row>
    <row r="1019" spans="4:8" ht="15" thickBot="1" x14ac:dyDescent="0.35">
      <c r="D1019" s="20">
        <v>2420</v>
      </c>
      <c r="E1019" s="20">
        <v>3450</v>
      </c>
      <c r="F1019" s="20">
        <v>4550</v>
      </c>
      <c r="G1019" s="20">
        <v>0.43751755923164143</v>
      </c>
      <c r="H1019" s="16">
        <f t="shared" ca="1" si="18"/>
        <v>2737</v>
      </c>
    </row>
    <row r="1020" spans="4:8" ht="15" thickBot="1" x14ac:dyDescent="0.35">
      <c r="D1020" s="20">
        <v>2493</v>
      </c>
      <c r="E1020" s="20">
        <v>150</v>
      </c>
      <c r="F1020" s="20">
        <v>4750</v>
      </c>
      <c r="G1020" s="20">
        <v>0.44681153501245219</v>
      </c>
      <c r="H1020" s="16">
        <f t="shared" ca="1" si="18"/>
        <v>2717</v>
      </c>
    </row>
    <row r="1021" spans="4:8" ht="15" thickBot="1" x14ac:dyDescent="0.35">
      <c r="D1021" s="20">
        <v>2768</v>
      </c>
      <c r="E1021" s="20">
        <v>1150</v>
      </c>
      <c r="F1021" s="20">
        <v>5250</v>
      </c>
      <c r="G1021" s="20">
        <v>0.53430651256942419</v>
      </c>
      <c r="H1021" s="16">
        <f t="shared" ca="1" si="18"/>
        <v>638</v>
      </c>
    </row>
    <row r="1022" spans="4:8" ht="15" thickBot="1" x14ac:dyDescent="0.35">
      <c r="D1022" s="20">
        <v>264</v>
      </c>
      <c r="E1022" s="20">
        <v>5150</v>
      </c>
      <c r="F1022" s="20">
        <v>450</v>
      </c>
      <c r="G1022" s="20">
        <v>0.24791475272109317</v>
      </c>
      <c r="H1022" s="16">
        <f t="shared" ca="1" si="18"/>
        <v>1721</v>
      </c>
    </row>
    <row r="1023" spans="4:8" ht="15" thickBot="1" x14ac:dyDescent="0.35">
      <c r="D1023" s="20">
        <v>208</v>
      </c>
      <c r="E1023" s="20">
        <v>4850</v>
      </c>
      <c r="F1023" s="20">
        <v>350</v>
      </c>
      <c r="G1023" s="20">
        <v>0.2381369305252368</v>
      </c>
      <c r="H1023" s="16">
        <f t="shared" ca="1" si="18"/>
        <v>2311</v>
      </c>
    </row>
    <row r="1024" spans="4:8" ht="15" thickBot="1" x14ac:dyDescent="0.35">
      <c r="D1024" s="20">
        <v>328</v>
      </c>
      <c r="E1024" s="20">
        <v>950</v>
      </c>
      <c r="F1024" s="20">
        <v>650</v>
      </c>
      <c r="G1024" s="20">
        <v>0.25811023938732625</v>
      </c>
      <c r="H1024" s="16">
        <f t="shared" ca="1" si="18"/>
        <v>1061</v>
      </c>
    </row>
    <row r="1025" spans="4:8" ht="15" thickBot="1" x14ac:dyDescent="0.35">
      <c r="D1025" s="20">
        <v>1887</v>
      </c>
      <c r="E1025" s="20">
        <v>3150</v>
      </c>
      <c r="F1025" s="20">
        <v>3550</v>
      </c>
      <c r="G1025" s="20">
        <v>0.3877661794897313</v>
      </c>
      <c r="H1025" s="16">
        <f t="shared" ca="1" si="18"/>
        <v>2073</v>
      </c>
    </row>
    <row r="1026" spans="4:8" ht="15" thickBot="1" x14ac:dyDescent="0.35">
      <c r="D1026" s="20">
        <v>2483</v>
      </c>
      <c r="E1026" s="20">
        <v>4450</v>
      </c>
      <c r="F1026" s="20">
        <v>4650</v>
      </c>
      <c r="G1026" s="20">
        <v>0.44532711188688967</v>
      </c>
      <c r="H1026" s="16">
        <f t="shared" ca="1" si="18"/>
        <v>221</v>
      </c>
    </row>
    <row r="1027" spans="4:8" ht="15" thickBot="1" x14ac:dyDescent="0.35">
      <c r="D1027" s="20">
        <v>983</v>
      </c>
      <c r="E1027" s="20">
        <v>2850</v>
      </c>
      <c r="F1027" s="20">
        <v>1850</v>
      </c>
      <c r="G1027" s="20">
        <v>0.32088681005099384</v>
      </c>
      <c r="H1027" s="16">
        <f t="shared" ca="1" si="18"/>
        <v>487</v>
      </c>
    </row>
    <row r="1028" spans="4:8" ht="15" thickBot="1" x14ac:dyDescent="0.35">
      <c r="D1028" s="20">
        <v>550</v>
      </c>
      <c r="E1028" s="20">
        <v>1950</v>
      </c>
      <c r="F1028" s="20">
        <v>1050</v>
      </c>
      <c r="G1028" s="20">
        <v>0.28390587079135282</v>
      </c>
      <c r="H1028" s="16">
        <f t="shared" ca="1" si="18"/>
        <v>800</v>
      </c>
    </row>
    <row r="1029" spans="4:8" ht="15" thickBot="1" x14ac:dyDescent="0.35">
      <c r="D1029" s="20">
        <v>1413</v>
      </c>
      <c r="E1029" s="20">
        <v>3450</v>
      </c>
      <c r="F1029" s="20">
        <v>2650</v>
      </c>
      <c r="G1029" s="20">
        <v>0.35358155780756334</v>
      </c>
      <c r="H1029" s="16">
        <f t="shared" ca="1" si="18"/>
        <v>1886</v>
      </c>
    </row>
    <row r="1030" spans="4:8" ht="15" thickBot="1" x14ac:dyDescent="0.35">
      <c r="D1030" s="20">
        <v>1460</v>
      </c>
      <c r="E1030" s="20">
        <v>2850</v>
      </c>
      <c r="F1030" s="20">
        <v>2750</v>
      </c>
      <c r="G1030" s="20">
        <v>0.35662230224694053</v>
      </c>
      <c r="H1030" s="16">
        <f t="shared" ca="1" si="18"/>
        <v>1210</v>
      </c>
    </row>
    <row r="1031" spans="4:8" ht="15" thickBot="1" x14ac:dyDescent="0.35">
      <c r="D1031" s="20">
        <v>569</v>
      </c>
      <c r="E1031" s="20">
        <v>3850</v>
      </c>
      <c r="F1031" s="20">
        <v>1050</v>
      </c>
      <c r="G1031" s="20">
        <v>0.28599166254357933</v>
      </c>
      <c r="H1031" s="16">
        <f t="shared" ref="H1031:H1094" ca="1" si="19">RANDBETWEEN(1,2788)</f>
        <v>715</v>
      </c>
    </row>
    <row r="1032" spans="4:8" ht="15" thickBot="1" x14ac:dyDescent="0.35">
      <c r="D1032" s="20">
        <v>557</v>
      </c>
      <c r="E1032" s="20">
        <v>2650</v>
      </c>
      <c r="F1032" s="20">
        <v>1050</v>
      </c>
      <c r="G1032" s="20">
        <v>0.28450312038535241</v>
      </c>
      <c r="H1032" s="16">
        <f t="shared" ca="1" si="19"/>
        <v>1119</v>
      </c>
    </row>
    <row r="1033" spans="4:8" ht="15" thickBot="1" x14ac:dyDescent="0.35">
      <c r="D1033" s="20">
        <v>1200</v>
      </c>
      <c r="E1033" s="48">
        <v>3350</v>
      </c>
      <c r="F1033" s="48">
        <v>2250</v>
      </c>
      <c r="G1033" s="20">
        <v>0.33777928002213498</v>
      </c>
      <c r="H1033" s="16">
        <f t="shared" ca="1" si="19"/>
        <v>2137</v>
      </c>
    </row>
    <row r="1034" spans="4:8" ht="15" thickBot="1" x14ac:dyDescent="0.35">
      <c r="D1034" s="20">
        <v>2418</v>
      </c>
      <c r="E1034" s="20">
        <v>3250</v>
      </c>
      <c r="F1034" s="20">
        <v>4550</v>
      </c>
      <c r="G1034" s="20">
        <v>0.43735430600083453</v>
      </c>
      <c r="H1034" s="16">
        <f t="shared" ca="1" si="19"/>
        <v>2390</v>
      </c>
    </row>
    <row r="1035" spans="4:8" ht="15" thickBot="1" x14ac:dyDescent="0.35">
      <c r="D1035" s="20">
        <v>1121</v>
      </c>
      <c r="E1035" s="20">
        <v>750</v>
      </c>
      <c r="F1035" s="20">
        <v>2150</v>
      </c>
      <c r="G1035" s="20">
        <v>0.33155122259047298</v>
      </c>
      <c r="H1035" s="16">
        <f t="shared" ca="1" si="19"/>
        <v>2347</v>
      </c>
    </row>
    <row r="1036" spans="4:8" ht="15" thickBot="1" x14ac:dyDescent="0.35">
      <c r="D1036" s="20">
        <v>69</v>
      </c>
      <c r="E1036" s="20">
        <v>1550</v>
      </c>
      <c r="F1036" s="20">
        <v>150</v>
      </c>
      <c r="G1036" s="20">
        <v>0.19716649511152473</v>
      </c>
      <c r="H1036" s="16">
        <f t="shared" ca="1" si="19"/>
        <v>36</v>
      </c>
    </row>
    <row r="1037" spans="4:8" ht="15" thickBot="1" x14ac:dyDescent="0.35">
      <c r="D1037" s="20">
        <v>2220</v>
      </c>
      <c r="E1037" s="20">
        <v>4650</v>
      </c>
      <c r="F1037" s="20">
        <v>4150</v>
      </c>
      <c r="G1037" s="20">
        <v>0.41704243546396891</v>
      </c>
      <c r="H1037" s="16">
        <f t="shared" ca="1" si="19"/>
        <v>1196</v>
      </c>
    </row>
    <row r="1038" spans="4:8" ht="15" thickBot="1" x14ac:dyDescent="0.35">
      <c r="D1038" s="20">
        <v>126</v>
      </c>
      <c r="E1038" s="20">
        <v>1950</v>
      </c>
      <c r="F1038" s="20">
        <v>250</v>
      </c>
      <c r="G1038" s="20">
        <v>0.21804714436005385</v>
      </c>
      <c r="H1038" s="16">
        <f t="shared" ca="1" si="19"/>
        <v>1047</v>
      </c>
    </row>
    <row r="1039" spans="4:8" ht="15" thickBot="1" x14ac:dyDescent="0.35">
      <c r="D1039" s="20">
        <v>1582</v>
      </c>
      <c r="E1039" s="20">
        <v>4450</v>
      </c>
      <c r="F1039" s="20">
        <v>2950</v>
      </c>
      <c r="G1039" s="20">
        <v>0.3657114788300922</v>
      </c>
      <c r="H1039" s="16">
        <f t="shared" ca="1" si="19"/>
        <v>1999</v>
      </c>
    </row>
    <row r="1040" spans="4:8" ht="15" thickBot="1" x14ac:dyDescent="0.35">
      <c r="D1040" s="20">
        <v>877</v>
      </c>
      <c r="E1040" s="20">
        <v>2850</v>
      </c>
      <c r="F1040" s="20">
        <v>1650</v>
      </c>
      <c r="G1040" s="20">
        <v>0.31265980073619409</v>
      </c>
      <c r="H1040" s="16">
        <f t="shared" ca="1" si="19"/>
        <v>2378</v>
      </c>
    </row>
    <row r="1041" spans="4:8" ht="15" thickBot="1" x14ac:dyDescent="0.35">
      <c r="D1041" s="20">
        <v>1043</v>
      </c>
      <c r="E1041" s="20">
        <v>3550</v>
      </c>
      <c r="F1041" s="20">
        <v>1950</v>
      </c>
      <c r="G1041" s="20">
        <v>0.32538871942026515</v>
      </c>
      <c r="H1041" s="16">
        <f t="shared" ca="1" si="19"/>
        <v>1576</v>
      </c>
    </row>
    <row r="1042" spans="4:8" ht="15" thickBot="1" x14ac:dyDescent="0.35">
      <c r="D1042" s="20">
        <v>2256</v>
      </c>
      <c r="E1042" s="20">
        <v>2950</v>
      </c>
      <c r="F1042" s="20">
        <v>4250</v>
      </c>
      <c r="G1042" s="20">
        <v>0.42080751582305914</v>
      </c>
      <c r="H1042" s="16">
        <f t="shared" ca="1" si="19"/>
        <v>273</v>
      </c>
    </row>
    <row r="1043" spans="4:8" ht="15" thickBot="1" x14ac:dyDescent="0.35">
      <c r="D1043" s="20">
        <v>107</v>
      </c>
      <c r="E1043" s="20">
        <v>50</v>
      </c>
      <c r="F1043" s="20">
        <v>250</v>
      </c>
      <c r="G1043" s="20">
        <v>0.21288016832557752</v>
      </c>
      <c r="H1043" s="16">
        <f t="shared" ca="1" si="19"/>
        <v>2758</v>
      </c>
    </row>
    <row r="1044" spans="4:8" ht="15" thickBot="1" x14ac:dyDescent="0.35">
      <c r="D1044" s="20">
        <v>1205</v>
      </c>
      <c r="E1044" s="20">
        <v>3850</v>
      </c>
      <c r="F1044" s="20">
        <v>2250</v>
      </c>
      <c r="G1044" s="20">
        <v>0.33788936297259381</v>
      </c>
      <c r="H1044" s="16">
        <f t="shared" ca="1" si="19"/>
        <v>410</v>
      </c>
    </row>
    <row r="1045" spans="4:8" ht="15" thickBot="1" x14ac:dyDescent="0.35">
      <c r="D1045" s="20">
        <v>525</v>
      </c>
      <c r="E1045" s="20">
        <v>4750</v>
      </c>
      <c r="F1045" s="20">
        <v>950</v>
      </c>
      <c r="G1045" s="20">
        <v>0.28116213241895011</v>
      </c>
      <c r="H1045" s="16">
        <f t="shared" ca="1" si="19"/>
        <v>2589</v>
      </c>
    </row>
    <row r="1046" spans="4:8" ht="15" thickBot="1" x14ac:dyDescent="0.35">
      <c r="D1046" s="20">
        <v>713</v>
      </c>
      <c r="E1046" s="20">
        <v>2350</v>
      </c>
      <c r="F1046" s="20">
        <v>1350</v>
      </c>
      <c r="G1046" s="20">
        <v>0.29922530055906643</v>
      </c>
      <c r="H1046" s="16">
        <f t="shared" ca="1" si="19"/>
        <v>1628</v>
      </c>
    </row>
    <row r="1047" spans="4:8" ht="15" thickBot="1" x14ac:dyDescent="0.35">
      <c r="D1047" s="20">
        <v>495</v>
      </c>
      <c r="E1047" s="20">
        <v>1750</v>
      </c>
      <c r="F1047" s="20">
        <v>950</v>
      </c>
      <c r="G1047" s="20">
        <v>0.27809137008444951</v>
      </c>
      <c r="H1047" s="16">
        <f t="shared" ca="1" si="19"/>
        <v>1204</v>
      </c>
    </row>
    <row r="1048" spans="4:8" ht="15" thickBot="1" x14ac:dyDescent="0.35">
      <c r="D1048" s="20">
        <v>946</v>
      </c>
      <c r="E1048" s="20">
        <v>4450</v>
      </c>
      <c r="F1048" s="20">
        <v>1750</v>
      </c>
      <c r="G1048" s="20">
        <v>0.31822434324784998</v>
      </c>
      <c r="H1048" s="16">
        <f t="shared" ca="1" si="19"/>
        <v>2525</v>
      </c>
    </row>
    <row r="1049" spans="4:8" ht="15" thickBot="1" x14ac:dyDescent="0.35">
      <c r="D1049" s="20">
        <v>1278</v>
      </c>
      <c r="E1049" s="20">
        <v>550</v>
      </c>
      <c r="F1049" s="20">
        <v>2450</v>
      </c>
      <c r="G1049" s="20">
        <v>0.34399464463520396</v>
      </c>
      <c r="H1049" s="16">
        <f t="shared" ca="1" si="19"/>
        <v>213</v>
      </c>
    </row>
    <row r="1050" spans="4:8" ht="15" thickBot="1" x14ac:dyDescent="0.35">
      <c r="D1050" s="20">
        <v>1971</v>
      </c>
      <c r="E1050" s="20">
        <v>950</v>
      </c>
      <c r="F1050" s="20">
        <v>3750</v>
      </c>
      <c r="G1050" s="20">
        <v>0.3936576581543883</v>
      </c>
      <c r="H1050" s="16">
        <f t="shared" ca="1" si="19"/>
        <v>939</v>
      </c>
    </row>
    <row r="1051" spans="4:8" ht="15" thickBot="1" x14ac:dyDescent="0.35">
      <c r="D1051" s="20">
        <v>130</v>
      </c>
      <c r="E1051" s="20">
        <v>2350</v>
      </c>
      <c r="F1051" s="20">
        <v>250</v>
      </c>
      <c r="G1051" s="20">
        <v>0.2185628422369976</v>
      </c>
      <c r="H1051" s="16">
        <f t="shared" ca="1" si="19"/>
        <v>975</v>
      </c>
    </row>
    <row r="1052" spans="4:8" ht="15" thickBot="1" x14ac:dyDescent="0.35">
      <c r="D1052" s="20">
        <v>356</v>
      </c>
      <c r="E1052" s="20">
        <v>3750</v>
      </c>
      <c r="F1052" s="20">
        <v>650</v>
      </c>
      <c r="G1052" s="20">
        <v>0.26167665939382506</v>
      </c>
      <c r="H1052" s="16">
        <f t="shared" ca="1" si="19"/>
        <v>2552</v>
      </c>
    </row>
    <row r="1053" spans="4:8" ht="15" thickBot="1" x14ac:dyDescent="0.35">
      <c r="D1053" s="20">
        <v>2410</v>
      </c>
      <c r="E1053" s="20">
        <v>2450</v>
      </c>
      <c r="F1053" s="20">
        <v>4550</v>
      </c>
      <c r="G1053" s="20">
        <v>0.43583823206488315</v>
      </c>
      <c r="H1053" s="16">
        <f t="shared" ca="1" si="19"/>
        <v>641</v>
      </c>
    </row>
    <row r="1054" spans="4:8" ht="15" thickBot="1" x14ac:dyDescent="0.35">
      <c r="D1054" s="20">
        <v>753</v>
      </c>
      <c r="E1054" s="20">
        <v>1050</v>
      </c>
      <c r="F1054" s="20">
        <v>1450</v>
      </c>
      <c r="G1054" s="20">
        <v>0.30216499303984579</v>
      </c>
      <c r="H1054" s="16">
        <f t="shared" ca="1" si="19"/>
        <v>1143</v>
      </c>
    </row>
    <row r="1055" spans="4:8" ht="15" thickBot="1" x14ac:dyDescent="0.35">
      <c r="D1055" s="20">
        <v>2449</v>
      </c>
      <c r="E1055" s="20">
        <v>1050</v>
      </c>
      <c r="F1055" s="20">
        <v>4650</v>
      </c>
      <c r="G1055" s="20">
        <v>0.44071183728544205</v>
      </c>
      <c r="H1055" s="16">
        <f t="shared" ca="1" si="19"/>
        <v>995</v>
      </c>
    </row>
    <row r="1056" spans="4:8" ht="15" thickBot="1" x14ac:dyDescent="0.35">
      <c r="D1056" s="20">
        <v>104</v>
      </c>
      <c r="E1056" s="20">
        <v>5050</v>
      </c>
      <c r="F1056" s="20">
        <v>150</v>
      </c>
      <c r="G1056" s="20">
        <v>0.21194743298959848</v>
      </c>
      <c r="H1056" s="16">
        <f t="shared" ca="1" si="19"/>
        <v>126</v>
      </c>
    </row>
    <row r="1057" spans="4:8" ht="15" thickBot="1" x14ac:dyDescent="0.35">
      <c r="D1057" s="20">
        <v>146</v>
      </c>
      <c r="E1057" s="20">
        <v>3950</v>
      </c>
      <c r="F1057" s="20">
        <v>250</v>
      </c>
      <c r="G1057" s="20">
        <v>0.22163065635808923</v>
      </c>
      <c r="H1057" s="16">
        <f t="shared" ca="1" si="19"/>
        <v>1610</v>
      </c>
    </row>
    <row r="1058" spans="4:8" ht="15" thickBot="1" x14ac:dyDescent="0.35">
      <c r="D1058" s="20">
        <v>1981</v>
      </c>
      <c r="E1058" s="20">
        <v>1950</v>
      </c>
      <c r="F1058" s="20">
        <v>3750</v>
      </c>
      <c r="G1058" s="20">
        <v>0.39434429540131144</v>
      </c>
      <c r="H1058" s="16">
        <f t="shared" ca="1" si="19"/>
        <v>1996</v>
      </c>
    </row>
    <row r="1059" spans="4:8" ht="15" thickBot="1" x14ac:dyDescent="0.35">
      <c r="D1059" s="20">
        <v>1212</v>
      </c>
      <c r="E1059" s="20">
        <v>4550</v>
      </c>
      <c r="F1059" s="20">
        <v>2250</v>
      </c>
      <c r="G1059" s="20">
        <v>0.33860596197871207</v>
      </c>
      <c r="H1059" s="16">
        <f t="shared" ca="1" si="19"/>
        <v>1395</v>
      </c>
    </row>
    <row r="1060" spans="4:8" ht="15" thickBot="1" x14ac:dyDescent="0.35">
      <c r="D1060" s="20">
        <v>326</v>
      </c>
      <c r="E1060" s="20">
        <v>750</v>
      </c>
      <c r="F1060" s="20">
        <v>650</v>
      </c>
      <c r="G1060" s="20">
        <v>0.25770986048133582</v>
      </c>
      <c r="H1060" s="16">
        <f t="shared" ca="1" si="19"/>
        <v>943</v>
      </c>
    </row>
    <row r="1061" spans="4:8" ht="15" thickBot="1" x14ac:dyDescent="0.35">
      <c r="D1061" s="20">
        <v>2723</v>
      </c>
      <c r="E1061" s="20">
        <v>1950</v>
      </c>
      <c r="F1061" s="20">
        <v>5150</v>
      </c>
      <c r="G1061" s="20">
        <v>0.50284085672943124</v>
      </c>
      <c r="H1061" s="16">
        <f t="shared" ca="1" si="19"/>
        <v>2346</v>
      </c>
    </row>
    <row r="1062" spans="4:8" ht="15" thickBot="1" x14ac:dyDescent="0.35">
      <c r="D1062" s="20">
        <v>2286</v>
      </c>
      <c r="E1062" s="20">
        <v>650</v>
      </c>
      <c r="F1062" s="20">
        <v>4350</v>
      </c>
      <c r="G1062" s="20">
        <v>0.42439121029945792</v>
      </c>
      <c r="H1062" s="16">
        <f t="shared" ca="1" si="19"/>
        <v>1956</v>
      </c>
    </row>
    <row r="1063" spans="4:8" ht="15" thickBot="1" x14ac:dyDescent="0.35">
      <c r="D1063" s="20">
        <v>1148</v>
      </c>
      <c r="E1063" s="47">
        <v>3450</v>
      </c>
      <c r="F1063" s="47">
        <v>2150</v>
      </c>
      <c r="G1063" s="20">
        <v>0.33408404027622574</v>
      </c>
      <c r="H1063" s="16">
        <f t="shared" ca="1" si="19"/>
        <v>668</v>
      </c>
    </row>
    <row r="1064" spans="4:8" ht="15" thickBot="1" x14ac:dyDescent="0.35">
      <c r="D1064" s="20">
        <v>115</v>
      </c>
      <c r="E1064" s="48">
        <v>850</v>
      </c>
      <c r="F1064" s="48">
        <v>250</v>
      </c>
      <c r="G1064" s="20">
        <v>0.21494339207531782</v>
      </c>
      <c r="H1064" s="16">
        <f t="shared" ca="1" si="19"/>
        <v>431</v>
      </c>
    </row>
    <row r="1065" spans="4:8" ht="15" thickBot="1" x14ac:dyDescent="0.35">
      <c r="D1065" s="20">
        <v>2426</v>
      </c>
      <c r="E1065" s="20">
        <v>4050</v>
      </c>
      <c r="F1065" s="20">
        <v>4550</v>
      </c>
      <c r="G1065" s="20">
        <v>0.4379252191960209</v>
      </c>
      <c r="H1065" s="16">
        <f t="shared" ca="1" si="19"/>
        <v>1181</v>
      </c>
    </row>
    <row r="1066" spans="4:8" ht="15" thickBot="1" x14ac:dyDescent="0.35">
      <c r="D1066" s="20">
        <v>2164</v>
      </c>
      <c r="E1066" s="20">
        <v>4350</v>
      </c>
      <c r="F1066" s="20">
        <v>4050</v>
      </c>
      <c r="G1066" s="20">
        <v>0.41146510098141731</v>
      </c>
      <c r="H1066" s="16">
        <f t="shared" ca="1" si="19"/>
        <v>948</v>
      </c>
    </row>
    <row r="1067" spans="4:8" ht="15" thickBot="1" x14ac:dyDescent="0.35">
      <c r="D1067" s="20">
        <v>1897</v>
      </c>
      <c r="E1067" s="20">
        <v>4150</v>
      </c>
      <c r="F1067" s="20">
        <v>3550</v>
      </c>
      <c r="G1067" s="20">
        <v>0.38832479120410635</v>
      </c>
      <c r="H1067" s="16">
        <f t="shared" ca="1" si="19"/>
        <v>2042</v>
      </c>
    </row>
    <row r="1068" spans="4:8" ht="15" thickBot="1" x14ac:dyDescent="0.35">
      <c r="D1068" s="20">
        <v>1005</v>
      </c>
      <c r="E1068" s="20">
        <v>5050</v>
      </c>
      <c r="F1068" s="20">
        <v>1850</v>
      </c>
      <c r="G1068" s="20">
        <v>0.32271210615846452</v>
      </c>
      <c r="H1068" s="16">
        <f t="shared" ca="1" si="19"/>
        <v>2341</v>
      </c>
    </row>
    <row r="1069" spans="4:8" ht="15" thickBot="1" x14ac:dyDescent="0.35">
      <c r="D1069" s="20">
        <v>657</v>
      </c>
      <c r="E1069" s="20">
        <v>2050</v>
      </c>
      <c r="F1069" s="20">
        <v>1250</v>
      </c>
      <c r="G1069" s="20">
        <v>0.29486496777793503</v>
      </c>
      <c r="H1069" s="16">
        <f t="shared" ca="1" si="19"/>
        <v>250</v>
      </c>
    </row>
    <row r="1070" spans="4:8" ht="15" thickBot="1" x14ac:dyDescent="0.35">
      <c r="D1070" s="20">
        <v>2508</v>
      </c>
      <c r="E1070" s="20">
        <v>1650</v>
      </c>
      <c r="F1070" s="20">
        <v>4750</v>
      </c>
      <c r="G1070" s="20">
        <v>0.4487506362149527</v>
      </c>
      <c r="H1070" s="16">
        <f t="shared" ca="1" si="19"/>
        <v>1452</v>
      </c>
    </row>
    <row r="1071" spans="4:8" ht="15" thickBot="1" x14ac:dyDescent="0.35">
      <c r="D1071" s="20">
        <v>1092</v>
      </c>
      <c r="E1071" s="20">
        <v>3150</v>
      </c>
      <c r="F1071" s="20">
        <v>2050</v>
      </c>
      <c r="G1071" s="20">
        <v>0.32983615466103688</v>
      </c>
      <c r="H1071" s="16">
        <f t="shared" ca="1" si="19"/>
        <v>1503</v>
      </c>
    </row>
    <row r="1072" spans="4:8" ht="15" thickBot="1" x14ac:dyDescent="0.35">
      <c r="D1072" s="20">
        <v>2440</v>
      </c>
      <c r="E1072" s="20">
        <v>150</v>
      </c>
      <c r="F1072" s="20">
        <v>4650</v>
      </c>
      <c r="G1072" s="20">
        <v>0.43922563799080222</v>
      </c>
      <c r="H1072" s="16">
        <f t="shared" ca="1" si="19"/>
        <v>44</v>
      </c>
    </row>
    <row r="1073" spans="4:8" ht="15" thickBot="1" x14ac:dyDescent="0.35">
      <c r="D1073" s="20">
        <v>2045</v>
      </c>
      <c r="E1073" s="20">
        <v>3050</v>
      </c>
      <c r="F1073" s="20">
        <v>3850</v>
      </c>
      <c r="G1073" s="20">
        <v>0.3990263043438656</v>
      </c>
      <c r="H1073" s="16">
        <f t="shared" ca="1" si="19"/>
        <v>2007</v>
      </c>
    </row>
    <row r="1074" spans="4:8" ht="15" thickBot="1" x14ac:dyDescent="0.35">
      <c r="D1074" s="20">
        <v>2392</v>
      </c>
      <c r="E1074" s="20">
        <v>650</v>
      </c>
      <c r="F1074" s="20">
        <v>4550</v>
      </c>
      <c r="G1074" s="20">
        <v>0.43478905433509718</v>
      </c>
      <c r="H1074" s="16">
        <f t="shared" ca="1" si="19"/>
        <v>812</v>
      </c>
    </row>
    <row r="1075" spans="4:8" ht="15" thickBot="1" x14ac:dyDescent="0.35">
      <c r="D1075" s="20">
        <v>2415</v>
      </c>
      <c r="E1075" s="20">
        <v>2950</v>
      </c>
      <c r="F1075" s="20">
        <v>4550</v>
      </c>
      <c r="G1075" s="20">
        <v>0.43693085618624639</v>
      </c>
      <c r="H1075" s="16">
        <f t="shared" ca="1" si="19"/>
        <v>2272</v>
      </c>
    </row>
    <row r="1076" spans="4:8" ht="15" thickBot="1" x14ac:dyDescent="0.35">
      <c r="D1076" s="20">
        <v>2770</v>
      </c>
      <c r="E1076" s="20">
        <v>1350</v>
      </c>
      <c r="F1076" s="20">
        <v>5250</v>
      </c>
      <c r="G1076" s="20">
        <v>0.53627049422324158</v>
      </c>
      <c r="H1076" s="16">
        <f t="shared" ca="1" si="19"/>
        <v>975</v>
      </c>
    </row>
    <row r="1077" spans="4:8" ht="15" thickBot="1" x14ac:dyDescent="0.35">
      <c r="D1077" s="20">
        <v>1732</v>
      </c>
      <c r="E1077" s="20">
        <v>3550</v>
      </c>
      <c r="F1077" s="20">
        <v>3250</v>
      </c>
      <c r="G1077" s="20">
        <v>0.37667711780313218</v>
      </c>
      <c r="H1077" s="16">
        <f t="shared" ca="1" si="19"/>
        <v>394</v>
      </c>
    </row>
    <row r="1078" spans="4:8" ht="15" thickBot="1" x14ac:dyDescent="0.35">
      <c r="D1078" s="20">
        <v>824</v>
      </c>
      <c r="E1078" s="20">
        <v>2850</v>
      </c>
      <c r="F1078" s="20">
        <v>1550</v>
      </c>
      <c r="G1078" s="20">
        <v>0.30841931957911312</v>
      </c>
      <c r="H1078" s="16">
        <f t="shared" ca="1" si="19"/>
        <v>1009</v>
      </c>
    </row>
    <row r="1079" spans="4:8" ht="15" thickBot="1" x14ac:dyDescent="0.35">
      <c r="D1079" s="20">
        <v>1681</v>
      </c>
      <c r="E1079" s="20">
        <v>3750</v>
      </c>
      <c r="F1079" s="20">
        <v>3150</v>
      </c>
      <c r="G1079" s="20">
        <v>0.37280538335676844</v>
      </c>
      <c r="H1079" s="16">
        <f t="shared" ca="1" si="19"/>
        <v>1062</v>
      </c>
    </row>
    <row r="1080" spans="4:8" ht="15" thickBot="1" x14ac:dyDescent="0.35">
      <c r="D1080" s="20">
        <v>2319</v>
      </c>
      <c r="E1080" s="20">
        <v>3950</v>
      </c>
      <c r="F1080" s="20">
        <v>4350</v>
      </c>
      <c r="G1080" s="20">
        <v>0.42648588594896031</v>
      </c>
      <c r="H1080" s="16">
        <f t="shared" ca="1" si="19"/>
        <v>1800</v>
      </c>
    </row>
    <row r="1081" spans="4:8" ht="15" thickBot="1" x14ac:dyDescent="0.35">
      <c r="D1081" s="20">
        <v>675</v>
      </c>
      <c r="E1081" s="20">
        <v>3850</v>
      </c>
      <c r="F1081" s="20">
        <v>1250</v>
      </c>
      <c r="G1081" s="20">
        <v>0.29613741151979556</v>
      </c>
      <c r="H1081" s="16">
        <f t="shared" ca="1" si="19"/>
        <v>608</v>
      </c>
    </row>
    <row r="1082" spans="4:8" ht="15" thickBot="1" x14ac:dyDescent="0.35">
      <c r="D1082" s="20">
        <v>1983</v>
      </c>
      <c r="E1082" s="47">
        <v>2150</v>
      </c>
      <c r="F1082" s="47">
        <v>3750</v>
      </c>
      <c r="G1082" s="20">
        <v>0.39457318815421183</v>
      </c>
      <c r="H1082" s="16">
        <f t="shared" ca="1" si="19"/>
        <v>2451</v>
      </c>
    </row>
    <row r="1083" spans="4:8" ht="15" thickBot="1" x14ac:dyDescent="0.35">
      <c r="D1083" s="20">
        <v>2217</v>
      </c>
      <c r="E1083" s="20">
        <v>4350</v>
      </c>
      <c r="F1083" s="20">
        <v>4150</v>
      </c>
      <c r="G1083" s="20">
        <v>0.4163678584767414</v>
      </c>
      <c r="H1083" s="16">
        <f t="shared" ca="1" si="19"/>
        <v>2494</v>
      </c>
    </row>
    <row r="1084" spans="4:8" ht="15" thickBot="1" x14ac:dyDescent="0.35">
      <c r="D1084" s="20">
        <v>547</v>
      </c>
      <c r="E1084" s="20">
        <v>1650</v>
      </c>
      <c r="F1084" s="20">
        <v>1050</v>
      </c>
      <c r="G1084" s="20">
        <v>0.28330436733192721</v>
      </c>
      <c r="H1084" s="16">
        <f t="shared" ca="1" si="19"/>
        <v>597</v>
      </c>
    </row>
    <row r="1085" spans="4:8" ht="15" thickBot="1" x14ac:dyDescent="0.35">
      <c r="D1085" s="20">
        <v>1828</v>
      </c>
      <c r="E1085" s="20">
        <v>2550</v>
      </c>
      <c r="F1085" s="20">
        <v>3450</v>
      </c>
      <c r="G1085" s="20">
        <v>0.38278473561346038</v>
      </c>
      <c r="H1085" s="16">
        <f t="shared" ca="1" si="19"/>
        <v>493</v>
      </c>
    </row>
    <row r="1086" spans="4:8" ht="15" thickBot="1" x14ac:dyDescent="0.35">
      <c r="D1086" s="20">
        <v>2624</v>
      </c>
      <c r="E1086" s="20">
        <v>2650</v>
      </c>
      <c r="F1086" s="20">
        <v>4950</v>
      </c>
      <c r="G1086" s="20">
        <v>0.47009471124127661</v>
      </c>
      <c r="H1086" s="16">
        <f t="shared" ca="1" si="19"/>
        <v>743</v>
      </c>
    </row>
    <row r="1087" spans="4:8" ht="15" thickBot="1" x14ac:dyDescent="0.35">
      <c r="D1087" s="20">
        <v>1730</v>
      </c>
      <c r="E1087" s="20">
        <v>3350</v>
      </c>
      <c r="F1087" s="20">
        <v>3250</v>
      </c>
      <c r="G1087" s="20">
        <v>0.37657839709338797</v>
      </c>
      <c r="H1087" s="16">
        <f t="shared" ca="1" si="19"/>
        <v>1958</v>
      </c>
    </row>
    <row r="1088" spans="4:8" ht="15" thickBot="1" x14ac:dyDescent="0.35">
      <c r="D1088" s="20">
        <v>2215</v>
      </c>
      <c r="E1088" s="20">
        <v>4150</v>
      </c>
      <c r="F1088" s="20">
        <v>4150</v>
      </c>
      <c r="G1088" s="20">
        <v>0.41628607190359956</v>
      </c>
      <c r="H1088" s="16">
        <f t="shared" ca="1" si="19"/>
        <v>1281</v>
      </c>
    </row>
    <row r="1089" spans="4:8" ht="15" thickBot="1" x14ac:dyDescent="0.35">
      <c r="D1089" s="20">
        <v>897</v>
      </c>
      <c r="E1089" s="48">
        <v>4850</v>
      </c>
      <c r="F1089" s="48">
        <v>1650</v>
      </c>
      <c r="G1089" s="20">
        <v>0.31389539562822305</v>
      </c>
      <c r="H1089" s="16">
        <f t="shared" ca="1" si="19"/>
        <v>371</v>
      </c>
    </row>
    <row r="1090" spans="4:8" ht="15" thickBot="1" x14ac:dyDescent="0.35">
      <c r="D1090" s="20">
        <v>653</v>
      </c>
      <c r="E1090" s="20">
        <v>1650</v>
      </c>
      <c r="F1090" s="20">
        <v>1250</v>
      </c>
      <c r="G1090" s="20">
        <v>0.29422031868972121</v>
      </c>
      <c r="H1090" s="16">
        <f t="shared" ca="1" si="19"/>
        <v>1000</v>
      </c>
    </row>
    <row r="1091" spans="4:8" ht="15" thickBot="1" x14ac:dyDescent="0.35">
      <c r="D1091" s="20">
        <v>1932</v>
      </c>
      <c r="E1091" s="20">
        <v>2350</v>
      </c>
      <c r="F1091" s="20">
        <v>3650</v>
      </c>
      <c r="G1091" s="20">
        <v>0.39006796370896496</v>
      </c>
      <c r="H1091" s="16">
        <f t="shared" ca="1" si="19"/>
        <v>2247</v>
      </c>
    </row>
    <row r="1092" spans="4:8" ht="15" thickBot="1" x14ac:dyDescent="0.35">
      <c r="D1092" s="20">
        <v>381</v>
      </c>
      <c r="E1092" s="20">
        <v>950</v>
      </c>
      <c r="F1092" s="20">
        <v>750</v>
      </c>
      <c r="G1092" s="20">
        <v>0.26533219952206949</v>
      </c>
      <c r="H1092" s="16">
        <f t="shared" ca="1" si="19"/>
        <v>2266</v>
      </c>
    </row>
    <row r="1093" spans="4:8" ht="15" thickBot="1" x14ac:dyDescent="0.35">
      <c r="D1093" s="20">
        <v>63</v>
      </c>
      <c r="E1093" s="20">
        <v>950</v>
      </c>
      <c r="F1093" s="20">
        <v>150</v>
      </c>
      <c r="G1093" s="20">
        <v>0.19502507347716264</v>
      </c>
      <c r="H1093" s="16">
        <f t="shared" ca="1" si="19"/>
        <v>1356</v>
      </c>
    </row>
    <row r="1094" spans="4:8" ht="15" thickBot="1" x14ac:dyDescent="0.35">
      <c r="D1094" s="20">
        <v>1987</v>
      </c>
      <c r="E1094" s="20">
        <v>2550</v>
      </c>
      <c r="F1094" s="20">
        <v>3750</v>
      </c>
      <c r="G1094" s="20">
        <v>0.39475965678301073</v>
      </c>
      <c r="H1094" s="16">
        <f t="shared" ca="1" si="19"/>
        <v>2064</v>
      </c>
    </row>
    <row r="1095" spans="4:8" ht="15" thickBot="1" x14ac:dyDescent="0.35">
      <c r="D1095" s="20">
        <v>1159</v>
      </c>
      <c r="E1095" s="20">
        <v>4550</v>
      </c>
      <c r="F1095" s="20">
        <v>2150</v>
      </c>
      <c r="G1095" s="20">
        <v>0.33485220082947886</v>
      </c>
      <c r="H1095" s="16">
        <f t="shared" ref="H1095:H1158" ca="1" si="20">RANDBETWEEN(1,2788)</f>
        <v>3</v>
      </c>
    </row>
    <row r="1096" spans="4:8" ht="15" thickBot="1" x14ac:dyDescent="0.35">
      <c r="D1096" s="20">
        <v>885</v>
      </c>
      <c r="E1096" s="20">
        <v>3650</v>
      </c>
      <c r="F1096" s="20">
        <v>1650</v>
      </c>
      <c r="G1096" s="20">
        <v>0.31314301990753418</v>
      </c>
      <c r="H1096" s="16">
        <f t="shared" ca="1" si="20"/>
        <v>2296</v>
      </c>
    </row>
    <row r="1097" spans="4:8" ht="15" thickBot="1" x14ac:dyDescent="0.35">
      <c r="D1097" s="20">
        <v>2346</v>
      </c>
      <c r="E1097" s="20">
        <v>1350</v>
      </c>
      <c r="F1097" s="20">
        <v>4450</v>
      </c>
      <c r="G1097" s="20">
        <v>0.42966053658386744</v>
      </c>
      <c r="H1097" s="16">
        <f t="shared" ca="1" si="20"/>
        <v>1309</v>
      </c>
    </row>
    <row r="1098" spans="4:8" ht="15" thickBot="1" x14ac:dyDescent="0.35">
      <c r="D1098" s="20">
        <v>48</v>
      </c>
      <c r="E1098" s="20">
        <v>4750</v>
      </c>
      <c r="F1098" s="20">
        <v>50</v>
      </c>
      <c r="G1098" s="20">
        <v>0.18207842428591128</v>
      </c>
      <c r="H1098" s="16">
        <f t="shared" ca="1" si="20"/>
        <v>1465</v>
      </c>
    </row>
    <row r="1099" spans="4:8" ht="15" thickBot="1" x14ac:dyDescent="0.35">
      <c r="D1099" s="20">
        <v>674</v>
      </c>
      <c r="E1099" s="20">
        <v>3750</v>
      </c>
      <c r="F1099" s="20">
        <v>1250</v>
      </c>
      <c r="G1099" s="20">
        <v>0.2960930022192968</v>
      </c>
      <c r="H1099" s="16">
        <f t="shared" ca="1" si="20"/>
        <v>824</v>
      </c>
    </row>
    <row r="1100" spans="4:8" ht="15" thickBot="1" x14ac:dyDescent="0.35">
      <c r="D1100" s="20">
        <v>2384</v>
      </c>
      <c r="E1100" s="20">
        <v>5150</v>
      </c>
      <c r="F1100" s="20">
        <v>4450</v>
      </c>
      <c r="G1100" s="20">
        <v>0.43329223712417653</v>
      </c>
      <c r="H1100" s="16">
        <f t="shared" ca="1" si="20"/>
        <v>1990</v>
      </c>
    </row>
    <row r="1101" spans="4:8" ht="15" thickBot="1" x14ac:dyDescent="0.35">
      <c r="D1101" s="20">
        <v>2565</v>
      </c>
      <c r="E1101" s="20">
        <v>2050</v>
      </c>
      <c r="F1101" s="20">
        <v>4850</v>
      </c>
      <c r="G1101" s="20">
        <v>0.45885611434967188</v>
      </c>
      <c r="H1101" s="16">
        <f t="shared" ca="1" si="20"/>
        <v>2406</v>
      </c>
    </row>
    <row r="1102" spans="4:8" ht="15" thickBot="1" x14ac:dyDescent="0.35">
      <c r="D1102" s="20">
        <v>375</v>
      </c>
      <c r="E1102" s="20">
        <v>350</v>
      </c>
      <c r="F1102" s="20">
        <v>750</v>
      </c>
      <c r="G1102" s="20">
        <v>0.26438917868449141</v>
      </c>
      <c r="H1102" s="16">
        <f t="shared" ca="1" si="20"/>
        <v>1707</v>
      </c>
    </row>
    <row r="1103" spans="4:8" ht="15" thickBot="1" x14ac:dyDescent="0.35">
      <c r="D1103" s="20">
        <v>588</v>
      </c>
      <c r="E1103" s="20">
        <v>450</v>
      </c>
      <c r="F1103" s="20">
        <v>1150</v>
      </c>
      <c r="G1103" s="20">
        <v>0.28792286277766271</v>
      </c>
      <c r="H1103" s="16">
        <f t="shared" ca="1" si="20"/>
        <v>2103</v>
      </c>
    </row>
    <row r="1104" spans="4:8" ht="15" thickBot="1" x14ac:dyDescent="0.35">
      <c r="D1104" s="20">
        <v>997</v>
      </c>
      <c r="E1104" s="20">
        <v>4250</v>
      </c>
      <c r="F1104" s="20">
        <v>1850</v>
      </c>
      <c r="G1104" s="20">
        <v>0.3219550409964077</v>
      </c>
      <c r="H1104" s="16">
        <f t="shared" ca="1" si="20"/>
        <v>175</v>
      </c>
    </row>
    <row r="1105" spans="4:8" ht="15" thickBot="1" x14ac:dyDescent="0.35">
      <c r="D1105" s="20">
        <v>2760</v>
      </c>
      <c r="E1105" s="20">
        <v>350</v>
      </c>
      <c r="F1105" s="20">
        <v>5250</v>
      </c>
      <c r="G1105" s="20">
        <v>0.52638405810664468</v>
      </c>
      <c r="H1105" s="16">
        <f t="shared" ca="1" si="20"/>
        <v>1845</v>
      </c>
    </row>
    <row r="1106" spans="4:8" ht="15" thickBot="1" x14ac:dyDescent="0.35">
      <c r="D1106" s="20">
        <v>1585</v>
      </c>
      <c r="E1106" s="20">
        <v>4750</v>
      </c>
      <c r="F1106" s="20">
        <v>2950</v>
      </c>
      <c r="G1106" s="20">
        <v>0.36612829993597873</v>
      </c>
      <c r="H1106" s="16">
        <f t="shared" ca="1" si="20"/>
        <v>2675</v>
      </c>
    </row>
    <row r="1107" spans="4:8" ht="15" thickBot="1" x14ac:dyDescent="0.35">
      <c r="D1107" s="20">
        <v>379</v>
      </c>
      <c r="E1107" s="20">
        <v>750</v>
      </c>
      <c r="F1107" s="20">
        <v>750</v>
      </c>
      <c r="G1107" s="20">
        <v>0.26493498864668241</v>
      </c>
      <c r="H1107" s="16">
        <f t="shared" ca="1" si="20"/>
        <v>609</v>
      </c>
    </row>
    <row r="1108" spans="4:8" ht="15" thickBot="1" x14ac:dyDescent="0.35">
      <c r="D1108" s="20">
        <v>455</v>
      </c>
      <c r="E1108" s="20">
        <v>3050</v>
      </c>
      <c r="F1108" s="20">
        <v>850</v>
      </c>
      <c r="G1108" s="20">
        <v>0.27424923490857983</v>
      </c>
      <c r="H1108" s="16">
        <f t="shared" ca="1" si="20"/>
        <v>301</v>
      </c>
    </row>
    <row r="1109" spans="4:8" ht="15" thickBot="1" x14ac:dyDescent="0.35">
      <c r="D1109" s="20">
        <v>1276</v>
      </c>
      <c r="E1109" s="20">
        <v>350</v>
      </c>
      <c r="F1109" s="20">
        <v>2450</v>
      </c>
      <c r="G1109" s="20">
        <v>0.34387709120116799</v>
      </c>
      <c r="H1109" s="16">
        <f t="shared" ca="1" si="20"/>
        <v>335</v>
      </c>
    </row>
    <row r="1110" spans="4:8" ht="15" thickBot="1" x14ac:dyDescent="0.35">
      <c r="D1110" s="20">
        <v>1533</v>
      </c>
      <c r="E1110" s="20">
        <v>4850</v>
      </c>
      <c r="F1110" s="20">
        <v>2850</v>
      </c>
      <c r="G1110" s="20">
        <v>0.36195040612187707</v>
      </c>
      <c r="H1110" s="16">
        <f t="shared" ca="1" si="20"/>
        <v>792</v>
      </c>
    </row>
    <row r="1111" spans="4:8" ht="15" thickBot="1" x14ac:dyDescent="0.35">
      <c r="D1111" s="20">
        <v>1847</v>
      </c>
      <c r="E1111" s="20">
        <v>4450</v>
      </c>
      <c r="F1111" s="20">
        <v>3450</v>
      </c>
      <c r="G1111" s="20">
        <v>0.38449968879892771</v>
      </c>
      <c r="H1111" s="16">
        <f t="shared" ca="1" si="20"/>
        <v>460</v>
      </c>
    </row>
    <row r="1112" spans="4:8" ht="15" thickBot="1" x14ac:dyDescent="0.35">
      <c r="D1112" s="20">
        <v>1739</v>
      </c>
      <c r="E1112" s="20">
        <v>4250</v>
      </c>
      <c r="F1112" s="20">
        <v>3250</v>
      </c>
      <c r="G1112" s="20">
        <v>0.37700492798280821</v>
      </c>
      <c r="H1112" s="16">
        <f t="shared" ca="1" si="20"/>
        <v>738</v>
      </c>
    </row>
    <row r="1113" spans="4:8" ht="15" thickBot="1" x14ac:dyDescent="0.35">
      <c r="D1113" s="20">
        <v>2469</v>
      </c>
      <c r="E1113" s="20">
        <v>3050</v>
      </c>
      <c r="F1113" s="20">
        <v>4650</v>
      </c>
      <c r="G1113" s="20">
        <v>0.44307940715530209</v>
      </c>
      <c r="H1113" s="16">
        <f t="shared" ca="1" si="20"/>
        <v>1977</v>
      </c>
    </row>
    <row r="1114" spans="4:8" ht="15" thickBot="1" x14ac:dyDescent="0.35">
      <c r="D1114" s="20">
        <v>1776</v>
      </c>
      <c r="E1114" s="20">
        <v>2650</v>
      </c>
      <c r="F1114" s="20">
        <v>3350</v>
      </c>
      <c r="G1114" s="20">
        <v>0.37897710292549941</v>
      </c>
      <c r="H1114" s="16">
        <f t="shared" ca="1" si="20"/>
        <v>249</v>
      </c>
    </row>
    <row r="1115" spans="4:8" ht="15" thickBot="1" x14ac:dyDescent="0.35">
      <c r="D1115" s="20">
        <v>733</v>
      </c>
      <c r="E1115" s="20">
        <v>4350</v>
      </c>
      <c r="F1115" s="20">
        <v>1350</v>
      </c>
      <c r="G1115" s="20">
        <v>0.3006916296027492</v>
      </c>
      <c r="H1115" s="16">
        <f t="shared" ca="1" si="20"/>
        <v>2636</v>
      </c>
    </row>
    <row r="1116" spans="4:8" ht="15" thickBot="1" x14ac:dyDescent="0.35">
      <c r="D1116" s="20">
        <v>2324</v>
      </c>
      <c r="E1116" s="20">
        <v>4450</v>
      </c>
      <c r="F1116" s="20">
        <v>4350</v>
      </c>
      <c r="G1116" s="20">
        <v>0.42712280785869167</v>
      </c>
      <c r="H1116" s="16">
        <f t="shared" ca="1" si="20"/>
        <v>2330</v>
      </c>
    </row>
    <row r="1117" spans="4:8" ht="15" thickBot="1" x14ac:dyDescent="0.35">
      <c r="D1117" s="20">
        <v>2235</v>
      </c>
      <c r="E1117" s="20">
        <v>850</v>
      </c>
      <c r="F1117" s="20">
        <v>4250</v>
      </c>
      <c r="G1117" s="20">
        <v>0.41900190766625106</v>
      </c>
      <c r="H1117" s="16">
        <f t="shared" ca="1" si="20"/>
        <v>798</v>
      </c>
    </row>
    <row r="1118" spans="4:8" ht="15" thickBot="1" x14ac:dyDescent="0.35">
      <c r="D1118" s="20">
        <v>1066</v>
      </c>
      <c r="E1118" s="20">
        <v>550</v>
      </c>
      <c r="F1118" s="20">
        <v>2050</v>
      </c>
      <c r="G1118" s="20">
        <v>0.32768403632433046</v>
      </c>
      <c r="H1118" s="16">
        <f t="shared" ca="1" si="20"/>
        <v>359</v>
      </c>
    </row>
    <row r="1119" spans="4:8" ht="15" thickBot="1" x14ac:dyDescent="0.35">
      <c r="D1119" s="20">
        <v>1081</v>
      </c>
      <c r="E1119" s="20">
        <v>2050</v>
      </c>
      <c r="F1119" s="20">
        <v>2050</v>
      </c>
      <c r="G1119" s="20">
        <v>0.32895552881821499</v>
      </c>
      <c r="H1119" s="16">
        <f t="shared" ca="1" si="20"/>
        <v>892</v>
      </c>
    </row>
    <row r="1120" spans="4:8" ht="15" thickBot="1" x14ac:dyDescent="0.35">
      <c r="D1120" s="20">
        <v>2557</v>
      </c>
      <c r="E1120" s="20">
        <v>1250</v>
      </c>
      <c r="F1120" s="20">
        <v>4850</v>
      </c>
      <c r="G1120" s="20">
        <v>0.45685402192895164</v>
      </c>
      <c r="H1120" s="16">
        <f t="shared" ca="1" si="20"/>
        <v>1015</v>
      </c>
    </row>
    <row r="1121" spans="4:8" ht="15" thickBot="1" x14ac:dyDescent="0.35">
      <c r="D1121" s="20">
        <v>1799</v>
      </c>
      <c r="E1121" s="20">
        <v>4950</v>
      </c>
      <c r="F1121" s="20">
        <v>3350</v>
      </c>
      <c r="G1121" s="20">
        <v>0.38087857573756168</v>
      </c>
      <c r="H1121" s="16">
        <f t="shared" ca="1" si="20"/>
        <v>1822</v>
      </c>
    </row>
    <row r="1122" spans="4:8" ht="15" thickBot="1" x14ac:dyDescent="0.35">
      <c r="D1122" s="20">
        <v>2422</v>
      </c>
      <c r="E1122" s="20">
        <v>3650</v>
      </c>
      <c r="F1122" s="20">
        <v>4550</v>
      </c>
      <c r="G1122" s="20">
        <v>0.43782475154902145</v>
      </c>
      <c r="H1122" s="16">
        <f t="shared" ca="1" si="20"/>
        <v>2673</v>
      </c>
    </row>
    <row r="1123" spans="4:8" ht="15" thickBot="1" x14ac:dyDescent="0.35">
      <c r="D1123" s="20">
        <v>2219</v>
      </c>
      <c r="E1123" s="20">
        <v>4550</v>
      </c>
      <c r="F1123" s="20">
        <v>4150</v>
      </c>
      <c r="G1123" s="20">
        <v>0.41652353340881426</v>
      </c>
      <c r="H1123" s="16">
        <f t="shared" ca="1" si="20"/>
        <v>2635</v>
      </c>
    </row>
    <row r="1124" spans="4:8" ht="15" thickBot="1" x14ac:dyDescent="0.35">
      <c r="D1124" s="20">
        <v>1673</v>
      </c>
      <c r="E1124" s="20">
        <v>2950</v>
      </c>
      <c r="F1124" s="20">
        <v>3150</v>
      </c>
      <c r="G1124" s="20">
        <v>0.37174521473050887</v>
      </c>
      <c r="H1124" s="16">
        <f t="shared" ca="1" si="20"/>
        <v>1623</v>
      </c>
    </row>
    <row r="1125" spans="4:8" ht="15" thickBot="1" x14ac:dyDescent="0.35">
      <c r="D1125" s="20">
        <v>2709</v>
      </c>
      <c r="E1125" s="47">
        <v>550</v>
      </c>
      <c r="F1125" s="47">
        <v>5150</v>
      </c>
      <c r="G1125" s="20">
        <v>0.49732053523237263</v>
      </c>
      <c r="H1125" s="16">
        <f t="shared" ca="1" si="20"/>
        <v>1696</v>
      </c>
    </row>
    <row r="1126" spans="4:8" ht="15" thickBot="1" x14ac:dyDescent="0.35">
      <c r="D1126" s="20">
        <v>1954</v>
      </c>
      <c r="E1126" s="20">
        <v>4550</v>
      </c>
      <c r="F1126" s="20">
        <v>3650</v>
      </c>
      <c r="G1126" s="20">
        <v>0.39216079983034074</v>
      </c>
      <c r="H1126" s="16">
        <f t="shared" ca="1" si="20"/>
        <v>1837</v>
      </c>
    </row>
    <row r="1127" spans="4:8" ht="15" thickBot="1" x14ac:dyDescent="0.35">
      <c r="D1127" s="20">
        <v>163</v>
      </c>
      <c r="E1127" s="20">
        <v>350</v>
      </c>
      <c r="F1127" s="20">
        <v>350</v>
      </c>
      <c r="G1127" s="20">
        <v>0.22495512919213587</v>
      </c>
      <c r="H1127" s="16">
        <f t="shared" ca="1" si="20"/>
        <v>746</v>
      </c>
    </row>
    <row r="1128" spans="4:8" ht="15" thickBot="1" x14ac:dyDescent="0.35">
      <c r="D1128" s="20">
        <v>340</v>
      </c>
      <c r="E1128" s="20">
        <v>2150</v>
      </c>
      <c r="F1128" s="20">
        <v>650</v>
      </c>
      <c r="G1128" s="20">
        <v>0.25982749557394968</v>
      </c>
      <c r="H1128" s="16">
        <f t="shared" ca="1" si="20"/>
        <v>1642</v>
      </c>
    </row>
    <row r="1129" spans="4:8" ht="15" thickBot="1" x14ac:dyDescent="0.35">
      <c r="D1129" s="20">
        <v>184</v>
      </c>
      <c r="E1129" s="20">
        <v>2450</v>
      </c>
      <c r="F1129" s="20">
        <v>350</v>
      </c>
      <c r="G1129" s="20">
        <v>0.23031711839953273</v>
      </c>
      <c r="H1129" s="16">
        <f t="shared" ca="1" si="20"/>
        <v>1989</v>
      </c>
    </row>
    <row r="1130" spans="4:8" ht="15" thickBot="1" x14ac:dyDescent="0.35">
      <c r="D1130" s="20">
        <v>1050</v>
      </c>
      <c r="E1130" s="20">
        <v>4250</v>
      </c>
      <c r="F1130" s="20">
        <v>1950</v>
      </c>
      <c r="G1130" s="20">
        <v>0.32657942112883076</v>
      </c>
      <c r="H1130" s="16">
        <f t="shared" ca="1" si="20"/>
        <v>682</v>
      </c>
    </row>
    <row r="1131" spans="4:8" ht="15" thickBot="1" x14ac:dyDescent="0.35">
      <c r="D1131" s="20">
        <v>2279</v>
      </c>
      <c r="E1131" s="20">
        <v>5250</v>
      </c>
      <c r="F1131" s="20">
        <v>4250</v>
      </c>
      <c r="G1131" s="20">
        <v>0.42348630142313104</v>
      </c>
      <c r="H1131" s="16">
        <f t="shared" ca="1" si="20"/>
        <v>2411</v>
      </c>
    </row>
    <row r="1132" spans="4:8" ht="15" thickBot="1" x14ac:dyDescent="0.35">
      <c r="D1132" s="20">
        <v>2078</v>
      </c>
      <c r="E1132" s="48">
        <v>1050</v>
      </c>
      <c r="F1132" s="48">
        <v>3950</v>
      </c>
      <c r="G1132" s="20">
        <v>0.40342971817070161</v>
      </c>
      <c r="H1132" s="16">
        <f t="shared" ca="1" si="20"/>
        <v>1848</v>
      </c>
    </row>
    <row r="1133" spans="4:8" ht="15" thickBot="1" x14ac:dyDescent="0.35">
      <c r="D1133" s="20">
        <v>745</v>
      </c>
      <c r="E1133" s="20">
        <v>250</v>
      </c>
      <c r="F1133" s="20">
        <v>1450</v>
      </c>
      <c r="G1133" s="20">
        <v>0.30156602110456121</v>
      </c>
      <c r="H1133" s="16">
        <f t="shared" ca="1" si="20"/>
        <v>2402</v>
      </c>
    </row>
    <row r="1134" spans="4:8" ht="15" thickBot="1" x14ac:dyDescent="0.35">
      <c r="D1134" s="20">
        <v>1016</v>
      </c>
      <c r="E1134" s="20">
        <v>850</v>
      </c>
      <c r="F1134" s="20">
        <v>1950</v>
      </c>
      <c r="G1134" s="20">
        <v>0.32333524158047044</v>
      </c>
      <c r="H1134" s="16">
        <f t="shared" ca="1" si="20"/>
        <v>2671</v>
      </c>
    </row>
    <row r="1135" spans="4:8" ht="15" thickBot="1" x14ac:dyDescent="0.35">
      <c r="D1135" s="20">
        <v>1644</v>
      </c>
      <c r="E1135" s="20">
        <v>50</v>
      </c>
      <c r="F1135" s="20">
        <v>3150</v>
      </c>
      <c r="G1135" s="20">
        <v>0.36988268481997244</v>
      </c>
      <c r="H1135" s="16">
        <f t="shared" ca="1" si="20"/>
        <v>1146</v>
      </c>
    </row>
    <row r="1136" spans="4:8" ht="15" thickBot="1" x14ac:dyDescent="0.35">
      <c r="D1136" s="20">
        <v>1619</v>
      </c>
      <c r="E1136" s="20">
        <v>2850</v>
      </c>
      <c r="F1136" s="20">
        <v>3050</v>
      </c>
      <c r="G1136" s="20">
        <v>0.36832888572507816</v>
      </c>
      <c r="H1136" s="16">
        <f t="shared" ca="1" si="20"/>
        <v>746</v>
      </c>
    </row>
    <row r="1137" spans="4:8" ht="15" thickBot="1" x14ac:dyDescent="0.35">
      <c r="D1137" s="20">
        <v>728</v>
      </c>
      <c r="E1137" s="20">
        <v>3850</v>
      </c>
      <c r="F1137" s="20">
        <v>1350</v>
      </c>
      <c r="G1137" s="20">
        <v>0.30021915440929153</v>
      </c>
      <c r="H1137" s="16">
        <f t="shared" ca="1" si="20"/>
        <v>1320</v>
      </c>
    </row>
    <row r="1138" spans="4:8" ht="15" thickBot="1" x14ac:dyDescent="0.35">
      <c r="D1138" s="20">
        <v>1339</v>
      </c>
      <c r="E1138" s="20">
        <v>1350</v>
      </c>
      <c r="F1138" s="20">
        <v>2550</v>
      </c>
      <c r="G1138" s="20">
        <v>0.34845619325962573</v>
      </c>
      <c r="H1138" s="16">
        <f t="shared" ca="1" si="20"/>
        <v>313</v>
      </c>
    </row>
    <row r="1139" spans="4:8" ht="15" thickBot="1" x14ac:dyDescent="0.35">
      <c r="D1139" s="20">
        <v>2214</v>
      </c>
      <c r="E1139" s="20">
        <v>4050</v>
      </c>
      <c r="F1139" s="20">
        <v>4150</v>
      </c>
      <c r="G1139" s="20">
        <v>0.4161591808351538</v>
      </c>
      <c r="H1139" s="16">
        <f t="shared" ca="1" si="20"/>
        <v>1548</v>
      </c>
    </row>
    <row r="1140" spans="4:8" ht="15" thickBot="1" x14ac:dyDescent="0.35">
      <c r="D1140" s="20">
        <v>1002</v>
      </c>
      <c r="E1140" s="20">
        <v>4750</v>
      </c>
      <c r="F1140" s="20">
        <v>1850</v>
      </c>
      <c r="G1140" s="20">
        <v>0.32246654850520784</v>
      </c>
      <c r="H1140" s="16">
        <f t="shared" ca="1" si="20"/>
        <v>1765</v>
      </c>
    </row>
    <row r="1141" spans="4:8" ht="15" thickBot="1" x14ac:dyDescent="0.35">
      <c r="D1141" s="20">
        <v>967</v>
      </c>
      <c r="E1141" s="20">
        <v>1250</v>
      </c>
      <c r="F1141" s="20">
        <v>1850</v>
      </c>
      <c r="G1141" s="20">
        <v>0.3196078041180288</v>
      </c>
      <c r="H1141" s="16">
        <f t="shared" ca="1" si="20"/>
        <v>1546</v>
      </c>
    </row>
    <row r="1142" spans="4:8" ht="15" thickBot="1" x14ac:dyDescent="0.35">
      <c r="D1142" s="20">
        <v>1643</v>
      </c>
      <c r="E1142" s="43">
        <v>5250</v>
      </c>
      <c r="F1142" s="43">
        <v>3050</v>
      </c>
      <c r="G1142" s="20">
        <v>0.36985100251583813</v>
      </c>
      <c r="H1142" s="16">
        <f t="shared" ca="1" si="20"/>
        <v>312</v>
      </c>
    </row>
    <row r="1143" spans="4:8" ht="15" thickBot="1" x14ac:dyDescent="0.35">
      <c r="D1143" s="20">
        <v>232</v>
      </c>
      <c r="E1143" s="20">
        <v>1950</v>
      </c>
      <c r="F1143" s="20">
        <v>450</v>
      </c>
      <c r="G1143" s="20">
        <v>0.24248608182295844</v>
      </c>
      <c r="H1143" s="16">
        <f t="shared" ca="1" si="20"/>
        <v>1078</v>
      </c>
    </row>
    <row r="1144" spans="4:8" ht="15" thickBot="1" x14ac:dyDescent="0.35">
      <c r="D1144" s="20">
        <v>1382</v>
      </c>
      <c r="E1144" s="20">
        <v>350</v>
      </c>
      <c r="F1144" s="20">
        <v>2650</v>
      </c>
      <c r="G1144" s="20">
        <v>0.35056773433852856</v>
      </c>
      <c r="H1144" s="16">
        <f t="shared" ca="1" si="20"/>
        <v>1845</v>
      </c>
    </row>
    <row r="1145" spans="4:8" ht="15" thickBot="1" x14ac:dyDescent="0.35">
      <c r="D1145" s="20">
        <v>1014</v>
      </c>
      <c r="E1145" s="20">
        <v>650</v>
      </c>
      <c r="F1145" s="20">
        <v>1950</v>
      </c>
      <c r="G1145" s="20">
        <v>0.32323782225962505</v>
      </c>
      <c r="H1145" s="16">
        <f t="shared" ca="1" si="20"/>
        <v>2522</v>
      </c>
    </row>
    <row r="1146" spans="4:8" ht="15" thickBot="1" x14ac:dyDescent="0.35">
      <c r="D1146" s="20">
        <v>1433</v>
      </c>
      <c r="E1146" s="20">
        <v>150</v>
      </c>
      <c r="F1146" s="20">
        <v>2750</v>
      </c>
      <c r="G1146" s="20">
        <v>0.35515459609563127</v>
      </c>
      <c r="H1146" s="16">
        <f t="shared" ca="1" si="20"/>
        <v>628</v>
      </c>
    </row>
    <row r="1147" spans="4:8" ht="15" thickBot="1" x14ac:dyDescent="0.35">
      <c r="D1147" s="20">
        <v>1836</v>
      </c>
      <c r="E1147" s="20">
        <v>3350</v>
      </c>
      <c r="F1147" s="20">
        <v>3450</v>
      </c>
      <c r="G1147" s="20">
        <v>0.38345499425799734</v>
      </c>
      <c r="H1147" s="16">
        <f t="shared" ca="1" si="20"/>
        <v>1110</v>
      </c>
    </row>
    <row r="1148" spans="4:8" ht="15" thickBot="1" x14ac:dyDescent="0.35">
      <c r="D1148" s="20">
        <v>890</v>
      </c>
      <c r="E1148" s="20">
        <v>4150</v>
      </c>
      <c r="F1148" s="20">
        <v>1650</v>
      </c>
      <c r="G1148" s="20">
        <v>0.31346130720984422</v>
      </c>
      <c r="H1148" s="16">
        <f t="shared" ca="1" si="20"/>
        <v>1906</v>
      </c>
    </row>
    <row r="1149" spans="4:8" ht="15" thickBot="1" x14ac:dyDescent="0.35">
      <c r="D1149" s="20">
        <v>2638</v>
      </c>
      <c r="E1149" s="20">
        <v>4050</v>
      </c>
      <c r="F1149" s="20">
        <v>4950</v>
      </c>
      <c r="G1149" s="20">
        <v>0.47343713571838697</v>
      </c>
      <c r="H1149" s="16">
        <f t="shared" ca="1" si="20"/>
        <v>2398</v>
      </c>
    </row>
    <row r="1150" spans="4:8" ht="15" thickBot="1" x14ac:dyDescent="0.35">
      <c r="D1150" s="20">
        <v>425</v>
      </c>
      <c r="E1150" s="20">
        <v>50</v>
      </c>
      <c r="F1150" s="20">
        <v>850</v>
      </c>
      <c r="G1150" s="20">
        <v>0.27037253776441644</v>
      </c>
      <c r="H1150" s="16">
        <f t="shared" ca="1" si="20"/>
        <v>1484</v>
      </c>
    </row>
    <row r="1151" spans="4:8" ht="15" thickBot="1" x14ac:dyDescent="0.35">
      <c r="D1151" s="20">
        <v>2124</v>
      </c>
      <c r="E1151" s="20">
        <v>350</v>
      </c>
      <c r="F1151" s="20">
        <v>4050</v>
      </c>
      <c r="G1151" s="20">
        <v>0.40836549681884643</v>
      </c>
      <c r="H1151" s="16">
        <f t="shared" ca="1" si="20"/>
        <v>1662</v>
      </c>
    </row>
    <row r="1152" spans="4:8" ht="15" thickBot="1" x14ac:dyDescent="0.35">
      <c r="D1152" s="20">
        <v>1476</v>
      </c>
      <c r="E1152" s="20">
        <v>4450</v>
      </c>
      <c r="F1152" s="20">
        <v>2750</v>
      </c>
      <c r="G1152" s="20">
        <v>0.3581401255148754</v>
      </c>
      <c r="H1152" s="16">
        <f t="shared" ca="1" si="20"/>
        <v>281</v>
      </c>
    </row>
    <row r="1153" spans="4:8" ht="15" thickBot="1" x14ac:dyDescent="0.35">
      <c r="D1153" s="20">
        <v>1236</v>
      </c>
      <c r="E1153" s="20">
        <v>1650</v>
      </c>
      <c r="F1153" s="20">
        <v>2350</v>
      </c>
      <c r="G1153" s="20">
        <v>0.34041523949785663</v>
      </c>
      <c r="H1153" s="16">
        <f t="shared" ca="1" si="20"/>
        <v>1330</v>
      </c>
    </row>
    <row r="1154" spans="4:8" ht="15" thickBot="1" x14ac:dyDescent="0.35">
      <c r="D1154" s="20">
        <v>901</v>
      </c>
      <c r="E1154" s="20">
        <v>5250</v>
      </c>
      <c r="F1154" s="20">
        <v>1650</v>
      </c>
      <c r="G1154" s="20">
        <v>0.31406793920538867</v>
      </c>
      <c r="H1154" s="16">
        <f t="shared" ca="1" si="20"/>
        <v>1299</v>
      </c>
    </row>
    <row r="1155" spans="4:8" ht="15" thickBot="1" x14ac:dyDescent="0.35">
      <c r="D1155" s="20">
        <v>1864</v>
      </c>
      <c r="E1155" s="20">
        <v>850</v>
      </c>
      <c r="F1155" s="20">
        <v>3550</v>
      </c>
      <c r="G1155" s="20">
        <v>0.38581077185823665</v>
      </c>
      <c r="H1155" s="16">
        <f t="shared" ca="1" si="20"/>
        <v>819</v>
      </c>
    </row>
    <row r="1156" spans="4:8" ht="15" thickBot="1" x14ac:dyDescent="0.35">
      <c r="D1156" s="20">
        <v>2672</v>
      </c>
      <c r="E1156" s="47">
        <v>2150</v>
      </c>
      <c r="F1156" s="47">
        <v>5050</v>
      </c>
      <c r="G1156" s="20">
        <v>0.48507662964464826</v>
      </c>
      <c r="H1156" s="16">
        <f t="shared" ca="1" si="20"/>
        <v>16</v>
      </c>
    </row>
    <row r="1157" spans="4:8" ht="15" thickBot="1" x14ac:dyDescent="0.35">
      <c r="D1157" s="20">
        <v>1239</v>
      </c>
      <c r="E1157" s="20">
        <v>1950</v>
      </c>
      <c r="F1157" s="20">
        <v>2350</v>
      </c>
      <c r="G1157" s="20">
        <v>0.34062122425294039</v>
      </c>
      <c r="H1157" s="16">
        <f t="shared" ca="1" si="20"/>
        <v>205</v>
      </c>
    </row>
    <row r="1158" spans="4:8" ht="15" thickBot="1" x14ac:dyDescent="0.35">
      <c r="D1158" s="20">
        <v>2673</v>
      </c>
      <c r="E1158" s="20">
        <v>2250</v>
      </c>
      <c r="F1158" s="20">
        <v>5050</v>
      </c>
      <c r="G1158" s="20">
        <v>0.48508719443137749</v>
      </c>
      <c r="H1158" s="16">
        <f t="shared" ca="1" si="20"/>
        <v>1142</v>
      </c>
    </row>
    <row r="1159" spans="4:8" ht="15" thickBot="1" x14ac:dyDescent="0.35">
      <c r="D1159" s="20">
        <v>1087</v>
      </c>
      <c r="E1159" s="20">
        <v>2650</v>
      </c>
      <c r="F1159" s="20">
        <v>2050</v>
      </c>
      <c r="G1159" s="20">
        <v>0.3295341848631122</v>
      </c>
      <c r="H1159" s="16">
        <f t="shared" ref="H1159:H1222" ca="1" si="21">RANDBETWEEN(1,2788)</f>
        <v>1588</v>
      </c>
    </row>
    <row r="1160" spans="4:8" ht="15" thickBot="1" x14ac:dyDescent="0.35">
      <c r="D1160" s="20">
        <v>593</v>
      </c>
      <c r="E1160" s="20">
        <v>950</v>
      </c>
      <c r="F1160" s="20">
        <v>1150</v>
      </c>
      <c r="G1160" s="20">
        <v>0.28813141669880082</v>
      </c>
      <c r="H1160" s="16">
        <f t="shared" ca="1" si="21"/>
        <v>553</v>
      </c>
    </row>
    <row r="1161" spans="4:8" ht="15" thickBot="1" x14ac:dyDescent="0.35">
      <c r="D1161" s="20">
        <v>1137</v>
      </c>
      <c r="E1161" s="20">
        <v>2350</v>
      </c>
      <c r="F1161" s="20">
        <v>2150</v>
      </c>
      <c r="G1161" s="20">
        <v>0.33323335595256753</v>
      </c>
      <c r="H1161" s="16">
        <f t="shared" ca="1" si="21"/>
        <v>2654</v>
      </c>
    </row>
    <row r="1162" spans="4:8" ht="15" thickBot="1" x14ac:dyDescent="0.35">
      <c r="D1162" s="20">
        <v>1427</v>
      </c>
      <c r="E1162" s="20">
        <v>4850</v>
      </c>
      <c r="F1162" s="20">
        <v>2650</v>
      </c>
      <c r="G1162" s="20">
        <v>0.35481409230152855</v>
      </c>
      <c r="H1162" s="16">
        <f t="shared" ca="1" si="21"/>
        <v>1394</v>
      </c>
    </row>
    <row r="1163" spans="4:8" ht="15" thickBot="1" x14ac:dyDescent="0.35">
      <c r="D1163" s="20">
        <v>791</v>
      </c>
      <c r="E1163" s="20">
        <v>4850</v>
      </c>
      <c r="F1163" s="20">
        <v>1450</v>
      </c>
      <c r="G1163" s="20">
        <v>0.30594210952528905</v>
      </c>
      <c r="H1163" s="16">
        <f t="shared" ca="1" si="21"/>
        <v>2676</v>
      </c>
    </row>
    <row r="1164" spans="4:8" ht="15" thickBot="1" x14ac:dyDescent="0.35">
      <c r="D1164" s="20">
        <v>171</v>
      </c>
      <c r="E1164" s="20">
        <v>1150</v>
      </c>
      <c r="F1164" s="20">
        <v>350</v>
      </c>
      <c r="G1164" s="20">
        <v>0.22636378676055924</v>
      </c>
      <c r="H1164" s="16">
        <f t="shared" ca="1" si="21"/>
        <v>2737</v>
      </c>
    </row>
    <row r="1165" spans="4:8" ht="15" thickBot="1" x14ac:dyDescent="0.35">
      <c r="D1165" s="20">
        <v>1557</v>
      </c>
      <c r="E1165" s="20">
        <v>1950</v>
      </c>
      <c r="F1165" s="20">
        <v>2950</v>
      </c>
      <c r="G1165" s="20">
        <v>0.36389032395343718</v>
      </c>
      <c r="H1165" s="16">
        <f t="shared" ca="1" si="21"/>
        <v>790</v>
      </c>
    </row>
    <row r="1166" spans="4:8" ht="15" thickBot="1" x14ac:dyDescent="0.35">
      <c r="D1166" s="20">
        <v>1808</v>
      </c>
      <c r="E1166" s="20">
        <v>550</v>
      </c>
      <c r="F1166" s="20">
        <v>3450</v>
      </c>
      <c r="G1166" s="20">
        <v>0.38138590831295321</v>
      </c>
      <c r="H1166" s="16">
        <f t="shared" ca="1" si="21"/>
        <v>1819</v>
      </c>
    </row>
    <row r="1167" spans="4:8" ht="15" thickBot="1" x14ac:dyDescent="0.35">
      <c r="D1167" s="20">
        <v>345</v>
      </c>
      <c r="E1167" s="20">
        <v>2650</v>
      </c>
      <c r="F1167" s="20">
        <v>650</v>
      </c>
      <c r="G1167" s="20">
        <v>0.26034789553683102</v>
      </c>
      <c r="H1167" s="16">
        <f t="shared" ca="1" si="21"/>
        <v>2651</v>
      </c>
    </row>
    <row r="1168" spans="4:8" ht="15" thickBot="1" x14ac:dyDescent="0.35">
      <c r="D1168" s="20">
        <v>1260</v>
      </c>
      <c r="E1168" s="20">
        <v>4050</v>
      </c>
      <c r="F1168" s="20">
        <v>2350</v>
      </c>
      <c r="G1168" s="20">
        <v>0.34236109127865794</v>
      </c>
      <c r="H1168" s="16">
        <f t="shared" ca="1" si="21"/>
        <v>1530</v>
      </c>
    </row>
    <row r="1169" spans="4:8" ht="15" thickBot="1" x14ac:dyDescent="0.35">
      <c r="D1169" s="20">
        <v>343</v>
      </c>
      <c r="E1169" s="20">
        <v>2450</v>
      </c>
      <c r="F1169" s="20">
        <v>650</v>
      </c>
      <c r="G1169" s="20">
        <v>0.26013445924538681</v>
      </c>
      <c r="H1169" s="16">
        <f t="shared" ca="1" si="21"/>
        <v>614</v>
      </c>
    </row>
    <row r="1170" spans="4:8" ht="15" thickBot="1" x14ac:dyDescent="0.35">
      <c r="D1170" s="20">
        <v>2753</v>
      </c>
      <c r="E1170" s="20">
        <v>4950</v>
      </c>
      <c r="F1170" s="20">
        <v>5150</v>
      </c>
      <c r="G1170" s="20">
        <v>0.52127310765701296</v>
      </c>
      <c r="H1170" s="16">
        <f t="shared" ca="1" si="21"/>
        <v>503</v>
      </c>
    </row>
    <row r="1171" spans="4:8" ht="15" thickBot="1" x14ac:dyDescent="0.35">
      <c r="D1171" s="20">
        <v>1478</v>
      </c>
      <c r="E1171" s="20">
        <v>4650</v>
      </c>
      <c r="F1171" s="20">
        <v>2750</v>
      </c>
      <c r="G1171" s="20">
        <v>0.35828339334816339</v>
      </c>
      <c r="H1171" s="16">
        <f t="shared" ca="1" si="21"/>
        <v>1749</v>
      </c>
    </row>
    <row r="1172" spans="4:8" ht="15" thickBot="1" x14ac:dyDescent="0.35">
      <c r="D1172" s="20">
        <v>1008</v>
      </c>
      <c r="E1172" s="20">
        <v>50</v>
      </c>
      <c r="F1172" s="20">
        <v>1950</v>
      </c>
      <c r="G1172" s="20">
        <v>0.32283393762197343</v>
      </c>
      <c r="H1172" s="16">
        <f t="shared" ca="1" si="21"/>
        <v>1742</v>
      </c>
    </row>
    <row r="1173" spans="4:8" ht="15" thickBot="1" x14ac:dyDescent="0.35">
      <c r="D1173" s="20">
        <v>2735</v>
      </c>
      <c r="E1173" s="20">
        <v>3150</v>
      </c>
      <c r="F1173" s="20">
        <v>5150</v>
      </c>
      <c r="G1173" s="20">
        <v>0.51102926995711639</v>
      </c>
      <c r="H1173" s="16">
        <f t="shared" ca="1" si="21"/>
        <v>951</v>
      </c>
    </row>
    <row r="1174" spans="4:8" ht="15" thickBot="1" x14ac:dyDescent="0.35">
      <c r="D1174" s="20">
        <v>2489</v>
      </c>
      <c r="E1174" s="20">
        <v>5050</v>
      </c>
      <c r="F1174" s="20">
        <v>4650</v>
      </c>
      <c r="G1174" s="20">
        <v>0.44645061695559568</v>
      </c>
      <c r="H1174" s="16">
        <f t="shared" ca="1" si="21"/>
        <v>703</v>
      </c>
    </row>
    <row r="1175" spans="4:8" ht="15" thickBot="1" x14ac:dyDescent="0.35">
      <c r="D1175" s="20">
        <v>499</v>
      </c>
      <c r="E1175" s="20">
        <v>2150</v>
      </c>
      <c r="F1175" s="20">
        <v>950</v>
      </c>
      <c r="G1175" s="20">
        <v>0.27824726845787218</v>
      </c>
      <c r="H1175" s="16">
        <f t="shared" ca="1" si="21"/>
        <v>553</v>
      </c>
    </row>
    <row r="1176" spans="4:8" ht="15" thickBot="1" x14ac:dyDescent="0.35">
      <c r="D1176" s="20">
        <v>1353</v>
      </c>
      <c r="E1176" s="44">
        <v>2750</v>
      </c>
      <c r="F1176" s="44">
        <v>2550</v>
      </c>
      <c r="G1176" s="20">
        <v>0.34914198387823348</v>
      </c>
      <c r="H1176" s="16">
        <f t="shared" ca="1" si="21"/>
        <v>1092</v>
      </c>
    </row>
    <row r="1177" spans="4:8" ht="15" thickBot="1" x14ac:dyDescent="0.35">
      <c r="D1177" s="20">
        <v>1689</v>
      </c>
      <c r="E1177" s="20">
        <v>4550</v>
      </c>
      <c r="F1177" s="20">
        <v>3150</v>
      </c>
      <c r="G1177" s="20">
        <v>0.3734163853371022</v>
      </c>
      <c r="H1177" s="16">
        <f t="shared" ca="1" si="21"/>
        <v>1156</v>
      </c>
    </row>
    <row r="1178" spans="4:8" ht="15" thickBot="1" x14ac:dyDescent="0.35">
      <c r="D1178" s="20">
        <v>2570</v>
      </c>
      <c r="E1178" s="20">
        <v>2550</v>
      </c>
      <c r="F1178" s="20">
        <v>4850</v>
      </c>
      <c r="G1178" s="20">
        <v>0.46029386413470741</v>
      </c>
      <c r="H1178" s="16">
        <f t="shared" ca="1" si="21"/>
        <v>1434</v>
      </c>
    </row>
    <row r="1179" spans="4:8" ht="15" thickBot="1" x14ac:dyDescent="0.35">
      <c r="D1179" s="20">
        <v>273</v>
      </c>
      <c r="E1179" s="20">
        <v>750</v>
      </c>
      <c r="F1179" s="20">
        <v>550</v>
      </c>
      <c r="G1179" s="20">
        <v>0.24944567887376745</v>
      </c>
      <c r="H1179" s="16">
        <f t="shared" ca="1" si="21"/>
        <v>1077</v>
      </c>
    </row>
    <row r="1180" spans="4:8" ht="15" thickBot="1" x14ac:dyDescent="0.35">
      <c r="D1180" s="20">
        <v>2143</v>
      </c>
      <c r="E1180" s="20">
        <v>2250</v>
      </c>
      <c r="F1180" s="20">
        <v>4050</v>
      </c>
      <c r="G1180" s="20">
        <v>0.40970688604554661</v>
      </c>
      <c r="H1180" s="16">
        <f t="shared" ca="1" si="21"/>
        <v>2264</v>
      </c>
    </row>
    <row r="1181" spans="4:8" ht="15" thickBot="1" x14ac:dyDescent="0.35">
      <c r="D1181" s="20">
        <v>1505</v>
      </c>
      <c r="E1181" s="20">
        <v>2050</v>
      </c>
      <c r="F1181" s="20">
        <v>2850</v>
      </c>
      <c r="G1181" s="20">
        <v>0.36046945128778507</v>
      </c>
      <c r="H1181" s="16">
        <f t="shared" ca="1" si="21"/>
        <v>1715</v>
      </c>
    </row>
    <row r="1182" spans="4:8" ht="15" thickBot="1" x14ac:dyDescent="0.35">
      <c r="D1182" s="20">
        <v>2209</v>
      </c>
      <c r="E1182" s="20">
        <v>3550</v>
      </c>
      <c r="F1182" s="20">
        <v>4150</v>
      </c>
      <c r="G1182" s="20">
        <v>0.41581280071937027</v>
      </c>
      <c r="H1182" s="16">
        <f t="shared" ca="1" si="21"/>
        <v>2202</v>
      </c>
    </row>
    <row r="1183" spans="4:8" ht="15" thickBot="1" x14ac:dyDescent="0.35">
      <c r="D1183" s="20">
        <v>154</v>
      </c>
      <c r="E1183" s="20">
        <v>4750</v>
      </c>
      <c r="F1183" s="20">
        <v>250</v>
      </c>
      <c r="G1183" s="20">
        <v>0.2229411299680539</v>
      </c>
      <c r="H1183" s="16">
        <f t="shared" ca="1" si="21"/>
        <v>157</v>
      </c>
    </row>
    <row r="1184" spans="4:8" ht="15" thickBot="1" x14ac:dyDescent="0.35">
      <c r="D1184" s="20">
        <v>2582</v>
      </c>
      <c r="E1184" s="20">
        <v>3750</v>
      </c>
      <c r="F1184" s="20">
        <v>4850</v>
      </c>
      <c r="G1184" s="20">
        <v>0.46312258026435005</v>
      </c>
      <c r="H1184" s="16">
        <f t="shared" ca="1" si="21"/>
        <v>917</v>
      </c>
    </row>
    <row r="1185" spans="4:8" ht="15" thickBot="1" x14ac:dyDescent="0.35">
      <c r="D1185" s="20">
        <v>595</v>
      </c>
      <c r="E1185" s="20">
        <v>1150</v>
      </c>
      <c r="F1185" s="20">
        <v>1150</v>
      </c>
      <c r="G1185" s="20">
        <v>0.28859574461968784</v>
      </c>
      <c r="H1185" s="16">
        <f t="shared" ca="1" si="21"/>
        <v>2028</v>
      </c>
    </row>
    <row r="1186" spans="4:8" ht="15" thickBot="1" x14ac:dyDescent="0.35">
      <c r="D1186" s="20">
        <v>253</v>
      </c>
      <c r="E1186" s="20">
        <v>4050</v>
      </c>
      <c r="F1186" s="20">
        <v>450</v>
      </c>
      <c r="G1186" s="20">
        <v>0.24541289602201771</v>
      </c>
      <c r="H1186" s="16">
        <f t="shared" ca="1" si="21"/>
        <v>2703</v>
      </c>
    </row>
    <row r="1187" spans="4:8" ht="15" thickBot="1" x14ac:dyDescent="0.35">
      <c r="D1187" s="20">
        <v>1124</v>
      </c>
      <c r="E1187" s="20">
        <v>1050</v>
      </c>
      <c r="F1187" s="20">
        <v>2150</v>
      </c>
      <c r="G1187" s="20">
        <v>0.3320089721421472</v>
      </c>
      <c r="H1187" s="16">
        <f t="shared" ca="1" si="21"/>
        <v>2285</v>
      </c>
    </row>
    <row r="1188" spans="4:8" ht="15" thickBot="1" x14ac:dyDescent="0.35">
      <c r="D1188" s="20">
        <v>1602</v>
      </c>
      <c r="E1188" s="20">
        <v>1150</v>
      </c>
      <c r="F1188" s="20">
        <v>3050</v>
      </c>
      <c r="G1188" s="20">
        <v>0.3669726417152992</v>
      </c>
      <c r="H1188" s="16">
        <f t="shared" ca="1" si="21"/>
        <v>2672</v>
      </c>
    </row>
    <row r="1189" spans="4:8" ht="15" thickBot="1" x14ac:dyDescent="0.35">
      <c r="D1189" s="20">
        <v>1079</v>
      </c>
      <c r="E1189" s="20">
        <v>1850</v>
      </c>
      <c r="F1189" s="20">
        <v>2050</v>
      </c>
      <c r="G1189" s="20">
        <v>0.32874928839807782</v>
      </c>
      <c r="H1189" s="16">
        <f t="shared" ca="1" si="21"/>
        <v>889</v>
      </c>
    </row>
    <row r="1190" spans="4:8" ht="15" thickBot="1" x14ac:dyDescent="0.35">
      <c r="D1190" s="20">
        <v>2608</v>
      </c>
      <c r="E1190" s="20">
        <v>1050</v>
      </c>
      <c r="F1190" s="20">
        <v>4950</v>
      </c>
      <c r="G1190" s="20">
        <v>0.46694350575543986</v>
      </c>
      <c r="H1190" s="16">
        <f t="shared" ca="1" si="21"/>
        <v>883</v>
      </c>
    </row>
    <row r="1191" spans="4:8" ht="15" thickBot="1" x14ac:dyDescent="0.35">
      <c r="D1191" s="20">
        <v>1959</v>
      </c>
      <c r="E1191" s="20">
        <v>5050</v>
      </c>
      <c r="F1191" s="20">
        <v>3650</v>
      </c>
      <c r="G1191" s="20">
        <v>0.39273793349203917</v>
      </c>
      <c r="H1191" s="16">
        <f t="shared" ca="1" si="21"/>
        <v>63</v>
      </c>
    </row>
    <row r="1192" spans="4:8" ht="15" thickBot="1" x14ac:dyDescent="0.35">
      <c r="D1192" s="20">
        <v>678</v>
      </c>
      <c r="E1192" s="20">
        <v>4150</v>
      </c>
      <c r="F1192" s="20">
        <v>1250</v>
      </c>
      <c r="G1192" s="20">
        <v>0.29636426398577226</v>
      </c>
      <c r="H1192" s="16">
        <f t="shared" ca="1" si="21"/>
        <v>2286</v>
      </c>
    </row>
    <row r="1193" spans="4:8" ht="15" thickBot="1" x14ac:dyDescent="0.35">
      <c r="D1193" s="20">
        <v>2749</v>
      </c>
      <c r="E1193" s="20">
        <v>4550</v>
      </c>
      <c r="F1193" s="20">
        <v>5150</v>
      </c>
      <c r="G1193" s="20">
        <v>0.51755744156942496</v>
      </c>
      <c r="H1193" s="16">
        <f t="shared" ca="1" si="21"/>
        <v>939</v>
      </c>
    </row>
    <row r="1194" spans="4:8" ht="15" thickBot="1" x14ac:dyDescent="0.35">
      <c r="D1194" s="20">
        <v>1423</v>
      </c>
      <c r="E1194" s="20">
        <v>4450</v>
      </c>
      <c r="F1194" s="20">
        <v>2650</v>
      </c>
      <c r="G1194" s="20">
        <v>0.35449385523936078</v>
      </c>
      <c r="H1194" s="16">
        <f t="shared" ca="1" si="21"/>
        <v>167</v>
      </c>
    </row>
    <row r="1195" spans="4:8" ht="15" thickBot="1" x14ac:dyDescent="0.35">
      <c r="D1195" s="20">
        <v>861</v>
      </c>
      <c r="E1195" s="20">
        <v>1250</v>
      </c>
      <c r="F1195" s="20">
        <v>1650</v>
      </c>
      <c r="G1195" s="20">
        <v>0.31106133470734487</v>
      </c>
      <c r="H1195" s="16">
        <f t="shared" ca="1" si="21"/>
        <v>2484</v>
      </c>
    </row>
    <row r="1196" spans="4:8" ht="15" thickBot="1" x14ac:dyDescent="0.35">
      <c r="D1196" s="20">
        <v>561</v>
      </c>
      <c r="E1196" s="20">
        <v>3050</v>
      </c>
      <c r="F1196" s="20">
        <v>1050</v>
      </c>
      <c r="G1196" s="20">
        <v>0.28475186217583714</v>
      </c>
      <c r="H1196" s="16">
        <f t="shared" ca="1" si="21"/>
        <v>2147</v>
      </c>
    </row>
    <row r="1197" spans="4:8" ht="15" thickBot="1" x14ac:dyDescent="0.35">
      <c r="D1197" s="20">
        <v>324</v>
      </c>
      <c r="E1197" s="20">
        <v>550</v>
      </c>
      <c r="F1197" s="20">
        <v>650</v>
      </c>
      <c r="G1197" s="20">
        <v>0.25735170991645356</v>
      </c>
      <c r="H1197" s="16">
        <f t="shared" ca="1" si="21"/>
        <v>1436</v>
      </c>
    </row>
    <row r="1198" spans="4:8" ht="15" thickBot="1" x14ac:dyDescent="0.35">
      <c r="D1198" s="20">
        <v>1996</v>
      </c>
      <c r="E1198" s="20">
        <v>3450</v>
      </c>
      <c r="F1198" s="20">
        <v>3750</v>
      </c>
      <c r="G1198" s="20">
        <v>0.39533209525805002</v>
      </c>
      <c r="H1198" s="16">
        <f t="shared" ca="1" si="21"/>
        <v>954</v>
      </c>
    </row>
    <row r="1199" spans="4:8" ht="15" thickBot="1" x14ac:dyDescent="0.35">
      <c r="D1199" s="20">
        <v>254</v>
      </c>
      <c r="E1199" s="20">
        <v>4150</v>
      </c>
      <c r="F1199" s="20">
        <v>450</v>
      </c>
      <c r="G1199" s="20">
        <v>0.24544154303373078</v>
      </c>
      <c r="H1199" s="16">
        <f t="shared" ca="1" si="21"/>
        <v>603</v>
      </c>
    </row>
    <row r="1200" spans="4:8" ht="15" thickBot="1" x14ac:dyDescent="0.35">
      <c r="D1200" s="20">
        <v>2502</v>
      </c>
      <c r="E1200" s="20">
        <v>1050</v>
      </c>
      <c r="F1200" s="20">
        <v>4750</v>
      </c>
      <c r="G1200" s="20">
        <v>0.44795397402545784</v>
      </c>
      <c r="H1200" s="16">
        <f t="shared" ca="1" si="21"/>
        <v>1644</v>
      </c>
    </row>
    <row r="1201" spans="4:8" ht="15" thickBot="1" x14ac:dyDescent="0.35">
      <c r="D1201" s="20">
        <v>2344</v>
      </c>
      <c r="E1201" s="20">
        <v>1150</v>
      </c>
      <c r="F1201" s="20">
        <v>4450</v>
      </c>
      <c r="G1201" s="20">
        <v>0.42946281311822371</v>
      </c>
      <c r="H1201" s="16">
        <f t="shared" ca="1" si="21"/>
        <v>1938</v>
      </c>
    </row>
    <row r="1202" spans="4:8" ht="15" thickBot="1" x14ac:dyDescent="0.35">
      <c r="D1202" s="20">
        <v>1506</v>
      </c>
      <c r="E1202" s="20">
        <v>2150</v>
      </c>
      <c r="F1202" s="20">
        <v>2850</v>
      </c>
      <c r="G1202" s="20">
        <v>0.3605894609612561</v>
      </c>
      <c r="H1202" s="16">
        <f t="shared" ca="1" si="21"/>
        <v>2748</v>
      </c>
    </row>
    <row r="1203" spans="4:8" ht="15" thickBot="1" x14ac:dyDescent="0.35">
      <c r="D1203" s="20">
        <v>1877</v>
      </c>
      <c r="E1203" s="20">
        <v>2150</v>
      </c>
      <c r="F1203" s="20">
        <v>3550</v>
      </c>
      <c r="G1203" s="20">
        <v>0.38666702495748989</v>
      </c>
      <c r="H1203" s="16">
        <f t="shared" ca="1" si="21"/>
        <v>1296</v>
      </c>
    </row>
    <row r="1204" spans="4:8" ht="15" thickBot="1" x14ac:dyDescent="0.35">
      <c r="D1204" s="20">
        <v>747</v>
      </c>
      <c r="E1204" s="20">
        <v>450</v>
      </c>
      <c r="F1204" s="20">
        <v>1450</v>
      </c>
      <c r="G1204" s="20">
        <v>0.30176559897583144</v>
      </c>
      <c r="H1204" s="16">
        <f t="shared" ca="1" si="21"/>
        <v>261</v>
      </c>
    </row>
    <row r="1205" spans="4:8" ht="15" thickBot="1" x14ac:dyDescent="0.35">
      <c r="D1205" s="20">
        <v>1839</v>
      </c>
      <c r="E1205" s="20">
        <v>3650</v>
      </c>
      <c r="F1205" s="20">
        <v>3450</v>
      </c>
      <c r="G1205" s="20">
        <v>0.38357928672336511</v>
      </c>
      <c r="H1205" s="16">
        <f t="shared" ca="1" si="21"/>
        <v>546</v>
      </c>
    </row>
    <row r="1206" spans="4:8" ht="15" thickBot="1" x14ac:dyDescent="0.35">
      <c r="D1206" s="20">
        <v>2011</v>
      </c>
      <c r="E1206" s="20">
        <v>4950</v>
      </c>
      <c r="F1206" s="20">
        <v>3750</v>
      </c>
      <c r="G1206" s="20">
        <v>0.39679410211642485</v>
      </c>
      <c r="H1206" s="16">
        <f t="shared" ca="1" si="21"/>
        <v>2194</v>
      </c>
    </row>
    <row r="1207" spans="4:8" ht="15" thickBot="1" x14ac:dyDescent="0.35">
      <c r="D1207" s="20">
        <v>1569</v>
      </c>
      <c r="E1207" s="47">
        <v>3150</v>
      </c>
      <c r="F1207" s="47">
        <v>2950</v>
      </c>
      <c r="G1207" s="20">
        <v>0.36456548442760434</v>
      </c>
      <c r="H1207" s="16">
        <f t="shared" ca="1" si="21"/>
        <v>1956</v>
      </c>
    </row>
    <row r="1208" spans="4:8" ht="15" thickBot="1" x14ac:dyDescent="0.35">
      <c r="D1208" s="20">
        <v>2142</v>
      </c>
      <c r="E1208" s="20">
        <v>2150</v>
      </c>
      <c r="F1208" s="20">
        <v>4050</v>
      </c>
      <c r="G1208" s="20">
        <v>0.40970136756627562</v>
      </c>
      <c r="H1208" s="16">
        <f t="shared" ca="1" si="21"/>
        <v>2437</v>
      </c>
    </row>
    <row r="1209" spans="4:8" ht="15" thickBot="1" x14ac:dyDescent="0.35">
      <c r="D1209" s="20">
        <v>2151</v>
      </c>
      <c r="E1209" s="20">
        <v>3050</v>
      </c>
      <c r="F1209" s="20">
        <v>4050</v>
      </c>
      <c r="G1209" s="20">
        <v>0.41038082736154691</v>
      </c>
      <c r="H1209" s="16">
        <f t="shared" ca="1" si="21"/>
        <v>2752</v>
      </c>
    </row>
    <row r="1210" spans="4:8" ht="15" thickBot="1" x14ac:dyDescent="0.35">
      <c r="D1210" s="20">
        <v>951</v>
      </c>
      <c r="E1210" s="20">
        <v>4950</v>
      </c>
      <c r="F1210" s="20">
        <v>1750</v>
      </c>
      <c r="G1210" s="20">
        <v>0.31835156525772651</v>
      </c>
      <c r="H1210" s="16">
        <f t="shared" ca="1" si="21"/>
        <v>1380</v>
      </c>
    </row>
    <row r="1211" spans="4:8" ht="15" thickBot="1" x14ac:dyDescent="0.35">
      <c r="D1211" s="20">
        <v>1094</v>
      </c>
      <c r="E1211" s="20">
        <v>3350</v>
      </c>
      <c r="F1211" s="20">
        <v>2050</v>
      </c>
      <c r="G1211" s="20">
        <v>0.33008102931791711</v>
      </c>
      <c r="H1211" s="16">
        <f t="shared" ca="1" si="21"/>
        <v>549</v>
      </c>
    </row>
    <row r="1212" spans="4:8" ht="15" thickBot="1" x14ac:dyDescent="0.35">
      <c r="D1212" s="20">
        <v>978</v>
      </c>
      <c r="E1212" s="20">
        <v>2350</v>
      </c>
      <c r="F1212" s="20">
        <v>1850</v>
      </c>
      <c r="G1212" s="20">
        <v>0.32052096156899434</v>
      </c>
      <c r="H1212" s="16">
        <f t="shared" ca="1" si="21"/>
        <v>2352</v>
      </c>
    </row>
    <row r="1213" spans="4:8" ht="15" thickBot="1" x14ac:dyDescent="0.35">
      <c r="D1213" s="20">
        <v>2274</v>
      </c>
      <c r="E1213" s="20">
        <v>4750</v>
      </c>
      <c r="F1213" s="20">
        <v>4250</v>
      </c>
      <c r="G1213" s="20">
        <v>0.42265651222111406</v>
      </c>
      <c r="H1213" s="16">
        <f t="shared" ca="1" si="21"/>
        <v>442</v>
      </c>
    </row>
    <row r="1214" spans="4:8" ht="15" thickBot="1" x14ac:dyDescent="0.35">
      <c r="D1214" s="20">
        <v>1821</v>
      </c>
      <c r="E1214" s="20">
        <v>1850</v>
      </c>
      <c r="F1214" s="20">
        <v>3450</v>
      </c>
      <c r="G1214" s="20">
        <v>0.38212623443049748</v>
      </c>
      <c r="H1214" s="16">
        <f t="shared" ca="1" si="21"/>
        <v>2109</v>
      </c>
    </row>
    <row r="1215" spans="4:8" ht="15" thickBot="1" x14ac:dyDescent="0.35">
      <c r="D1215" s="20">
        <v>2099</v>
      </c>
      <c r="E1215" s="20">
        <v>3150</v>
      </c>
      <c r="F1215" s="20">
        <v>3950</v>
      </c>
      <c r="G1215" s="20">
        <v>0.40552605594536772</v>
      </c>
      <c r="H1215" s="16">
        <f t="shared" ca="1" si="21"/>
        <v>1033</v>
      </c>
    </row>
    <row r="1216" spans="4:8" ht="15" thickBot="1" x14ac:dyDescent="0.35">
      <c r="D1216" s="20">
        <v>10</v>
      </c>
      <c r="E1216" s="20">
        <v>950</v>
      </c>
      <c r="F1216" s="20">
        <v>50</v>
      </c>
      <c r="G1216" s="20">
        <v>0.13960391459128033</v>
      </c>
      <c r="H1216" s="16">
        <f t="shared" ca="1" si="21"/>
        <v>516</v>
      </c>
    </row>
    <row r="1217" spans="4:8" ht="15" thickBot="1" x14ac:dyDescent="0.35">
      <c r="D1217" s="20">
        <v>594</v>
      </c>
      <c r="E1217" s="44">
        <v>1050</v>
      </c>
      <c r="F1217" s="44">
        <v>1150</v>
      </c>
      <c r="G1217" s="20">
        <v>0.28840743884457282</v>
      </c>
      <c r="H1217" s="16">
        <f t="shared" ca="1" si="21"/>
        <v>815</v>
      </c>
    </row>
    <row r="1218" spans="4:8" ht="15" thickBot="1" x14ac:dyDescent="0.35">
      <c r="D1218" s="20">
        <v>1034</v>
      </c>
      <c r="E1218" s="47">
        <v>2650</v>
      </c>
      <c r="F1218" s="47">
        <v>1950</v>
      </c>
      <c r="G1218" s="20">
        <v>0.32464317989882613</v>
      </c>
      <c r="H1218" s="16">
        <f t="shared" ca="1" si="21"/>
        <v>2507</v>
      </c>
    </row>
    <row r="1219" spans="4:8" ht="15" thickBot="1" x14ac:dyDescent="0.35">
      <c r="D1219" s="20">
        <v>2326</v>
      </c>
      <c r="E1219" s="20">
        <v>4650</v>
      </c>
      <c r="F1219" s="20">
        <v>4350</v>
      </c>
      <c r="G1219" s="20">
        <v>0.42733334563868863</v>
      </c>
      <c r="H1219" s="16">
        <f t="shared" ca="1" si="21"/>
        <v>1505</v>
      </c>
    </row>
    <row r="1220" spans="4:8" ht="15" thickBot="1" x14ac:dyDescent="0.35">
      <c r="D1220" s="20">
        <v>376</v>
      </c>
      <c r="E1220" s="20">
        <v>450</v>
      </c>
      <c r="F1220" s="20">
        <v>750</v>
      </c>
      <c r="G1220" s="20">
        <v>0.26443311688695448</v>
      </c>
      <c r="H1220" s="16">
        <f t="shared" ca="1" si="21"/>
        <v>779</v>
      </c>
    </row>
    <row r="1221" spans="4:8" ht="15" thickBot="1" x14ac:dyDescent="0.35">
      <c r="D1221" s="20">
        <v>2548</v>
      </c>
      <c r="E1221" s="20">
        <v>350</v>
      </c>
      <c r="F1221" s="20">
        <v>4850</v>
      </c>
      <c r="G1221" s="20">
        <v>0.4553536044361523</v>
      </c>
      <c r="H1221" s="16">
        <f t="shared" ca="1" si="21"/>
        <v>95</v>
      </c>
    </row>
    <row r="1222" spans="4:8" ht="15" thickBot="1" x14ac:dyDescent="0.35">
      <c r="D1222" s="20">
        <v>2207</v>
      </c>
      <c r="E1222" s="20">
        <v>3350</v>
      </c>
      <c r="F1222" s="20">
        <v>4150</v>
      </c>
      <c r="G1222" s="20">
        <v>0.41534887960622668</v>
      </c>
      <c r="H1222" s="16">
        <f t="shared" ca="1" si="21"/>
        <v>898</v>
      </c>
    </row>
    <row r="1223" spans="4:8" ht="15" thickBot="1" x14ac:dyDescent="0.35">
      <c r="D1223" s="20">
        <v>78</v>
      </c>
      <c r="E1223" s="20">
        <v>2450</v>
      </c>
      <c r="F1223" s="20">
        <v>150</v>
      </c>
      <c r="G1223" s="20">
        <v>0.20098156060200573</v>
      </c>
      <c r="H1223" s="16">
        <f t="shared" ref="H1223:H1286" ca="1" si="22">RANDBETWEEN(1,2788)</f>
        <v>1010</v>
      </c>
    </row>
    <row r="1224" spans="4:8" ht="15" thickBot="1" x14ac:dyDescent="0.35">
      <c r="D1224" s="20">
        <v>2524</v>
      </c>
      <c r="E1224" s="20">
        <v>3250</v>
      </c>
      <c r="F1224" s="20">
        <v>4750</v>
      </c>
      <c r="G1224" s="20">
        <v>0.45013196482625961</v>
      </c>
      <c r="H1224" s="16">
        <f t="shared" ca="1" si="22"/>
        <v>993</v>
      </c>
    </row>
    <row r="1225" spans="4:8" ht="15" thickBot="1" x14ac:dyDescent="0.35">
      <c r="D1225" s="20">
        <v>2697</v>
      </c>
      <c r="E1225" s="20">
        <v>4650</v>
      </c>
      <c r="F1225" s="20">
        <v>5050</v>
      </c>
      <c r="G1225" s="20">
        <v>0.49381340116560712</v>
      </c>
      <c r="H1225" s="16">
        <f t="shared" ca="1" si="22"/>
        <v>1998</v>
      </c>
    </row>
    <row r="1226" spans="4:8" ht="15" thickBot="1" x14ac:dyDescent="0.35">
      <c r="D1226" s="20">
        <v>878</v>
      </c>
      <c r="E1226" s="20">
        <v>2950</v>
      </c>
      <c r="F1226" s="20">
        <v>1650</v>
      </c>
      <c r="G1226" s="20">
        <v>0.31269413548815883</v>
      </c>
      <c r="H1226" s="16">
        <f t="shared" ca="1" si="22"/>
        <v>1234</v>
      </c>
    </row>
    <row r="1227" spans="4:8" ht="15" thickBot="1" x14ac:dyDescent="0.35">
      <c r="D1227" s="20">
        <v>11</v>
      </c>
      <c r="E1227" s="20">
        <v>1050</v>
      </c>
      <c r="F1227" s="20">
        <v>50</v>
      </c>
      <c r="G1227" s="20">
        <v>0.14076337182490539</v>
      </c>
      <c r="H1227" s="16">
        <f t="shared" ca="1" si="22"/>
        <v>970</v>
      </c>
    </row>
    <row r="1228" spans="4:8" ht="15" thickBot="1" x14ac:dyDescent="0.35">
      <c r="D1228" s="20">
        <v>2715</v>
      </c>
      <c r="E1228" s="20">
        <v>1150</v>
      </c>
      <c r="F1228" s="20">
        <v>5150</v>
      </c>
      <c r="G1228" s="20">
        <v>0.50118818407136656</v>
      </c>
      <c r="H1228" s="16">
        <f t="shared" ca="1" si="22"/>
        <v>1287</v>
      </c>
    </row>
    <row r="1229" spans="4:8" ht="15" thickBot="1" x14ac:dyDescent="0.35">
      <c r="D1229" s="20">
        <v>2172</v>
      </c>
      <c r="E1229" s="20">
        <v>5150</v>
      </c>
      <c r="F1229" s="20">
        <v>4050</v>
      </c>
      <c r="G1229" s="20">
        <v>0.41224518966498791</v>
      </c>
      <c r="H1229" s="16">
        <f t="shared" ca="1" si="22"/>
        <v>2298</v>
      </c>
    </row>
    <row r="1230" spans="4:8" ht="15" thickBot="1" x14ac:dyDescent="0.35">
      <c r="D1230" s="20">
        <v>2461</v>
      </c>
      <c r="E1230" s="20">
        <v>2250</v>
      </c>
      <c r="F1230" s="20">
        <v>4650</v>
      </c>
      <c r="G1230" s="20">
        <v>0.442167303910176</v>
      </c>
      <c r="H1230" s="16">
        <f t="shared" ca="1" si="22"/>
        <v>2145</v>
      </c>
    </row>
    <row r="1231" spans="4:8" ht="15" thickBot="1" x14ac:dyDescent="0.35">
      <c r="D1231" s="20">
        <v>2495</v>
      </c>
      <c r="E1231" s="20">
        <v>350</v>
      </c>
      <c r="F1231" s="20">
        <v>4750</v>
      </c>
      <c r="G1231" s="20">
        <v>0.44715720421073191</v>
      </c>
      <c r="H1231" s="16">
        <f t="shared" ca="1" si="22"/>
        <v>494</v>
      </c>
    </row>
    <row r="1232" spans="4:8" ht="15" thickBot="1" x14ac:dyDescent="0.35">
      <c r="D1232" s="20">
        <v>989</v>
      </c>
      <c r="E1232" s="43">
        <v>3450</v>
      </c>
      <c r="F1232" s="43">
        <v>1850</v>
      </c>
      <c r="G1232" s="20">
        <v>0.32123912324910725</v>
      </c>
      <c r="H1232" s="16">
        <f t="shared" ca="1" si="22"/>
        <v>160</v>
      </c>
    </row>
    <row r="1233" spans="4:8" ht="15" thickBot="1" x14ac:dyDescent="0.35">
      <c r="D1233" s="20">
        <v>1973</v>
      </c>
      <c r="E1233" s="20">
        <v>1150</v>
      </c>
      <c r="F1233" s="20">
        <v>3750</v>
      </c>
      <c r="G1233" s="20">
        <v>0.39367014265843087</v>
      </c>
      <c r="H1233" s="16">
        <f t="shared" ca="1" si="22"/>
        <v>160</v>
      </c>
    </row>
    <row r="1234" spans="4:8" ht="15" thickBot="1" x14ac:dyDescent="0.35">
      <c r="D1234" s="20">
        <v>71</v>
      </c>
      <c r="E1234" s="20">
        <v>1750</v>
      </c>
      <c r="F1234" s="20">
        <v>150</v>
      </c>
      <c r="G1234" s="20">
        <v>0.19840915984168614</v>
      </c>
      <c r="H1234" s="16">
        <f t="shared" ca="1" si="22"/>
        <v>2710</v>
      </c>
    </row>
    <row r="1235" spans="4:8" ht="15" thickBot="1" x14ac:dyDescent="0.35">
      <c r="D1235" s="20">
        <v>845</v>
      </c>
      <c r="E1235" s="20">
        <v>4950</v>
      </c>
      <c r="F1235" s="20">
        <v>1550</v>
      </c>
      <c r="G1235" s="20">
        <v>0.30994695946638445</v>
      </c>
      <c r="H1235" s="16">
        <f t="shared" ca="1" si="22"/>
        <v>271</v>
      </c>
    </row>
    <row r="1236" spans="4:8" ht="15" thickBot="1" x14ac:dyDescent="0.35">
      <c r="D1236" s="20">
        <v>216</v>
      </c>
      <c r="E1236" s="20">
        <v>350</v>
      </c>
      <c r="F1236" s="20">
        <v>450</v>
      </c>
      <c r="G1236" s="20">
        <v>0.23916278492346199</v>
      </c>
      <c r="H1236" s="16">
        <f t="shared" ca="1" si="22"/>
        <v>2447</v>
      </c>
    </row>
    <row r="1237" spans="4:8" ht="15" thickBot="1" x14ac:dyDescent="0.35">
      <c r="D1237" s="20">
        <v>2441</v>
      </c>
      <c r="E1237" s="20">
        <v>250</v>
      </c>
      <c r="F1237" s="20">
        <v>4650</v>
      </c>
      <c r="G1237" s="20">
        <v>0.43949086294289902</v>
      </c>
      <c r="H1237" s="16">
        <f t="shared" ca="1" si="22"/>
        <v>2645</v>
      </c>
    </row>
    <row r="1238" spans="4:8" ht="15" thickBot="1" x14ac:dyDescent="0.35">
      <c r="D1238" s="20">
        <v>898</v>
      </c>
      <c r="E1238" s="20">
        <v>4950</v>
      </c>
      <c r="F1238" s="20">
        <v>1650</v>
      </c>
      <c r="G1238" s="20">
        <v>0.31392407233469688</v>
      </c>
      <c r="H1238" s="16">
        <f t="shared" ca="1" si="22"/>
        <v>1855</v>
      </c>
    </row>
    <row r="1239" spans="4:8" ht="15" thickBot="1" x14ac:dyDescent="0.35">
      <c r="D1239" s="20">
        <v>2763</v>
      </c>
      <c r="E1239" s="20">
        <v>650</v>
      </c>
      <c r="F1239" s="20">
        <v>5250</v>
      </c>
      <c r="G1239" s="20">
        <v>0.52667639797977994</v>
      </c>
      <c r="H1239" s="16">
        <f t="shared" ca="1" si="22"/>
        <v>1216</v>
      </c>
    </row>
    <row r="1240" spans="4:8" ht="15" thickBot="1" x14ac:dyDescent="0.35">
      <c r="D1240" s="20">
        <v>972</v>
      </c>
      <c r="E1240" s="20">
        <v>1750</v>
      </c>
      <c r="F1240" s="20">
        <v>1850</v>
      </c>
      <c r="G1240" s="20">
        <v>0.32008152960017039</v>
      </c>
      <c r="H1240" s="16">
        <f t="shared" ca="1" si="22"/>
        <v>1253</v>
      </c>
    </row>
    <row r="1241" spans="4:8" ht="15" thickBot="1" x14ac:dyDescent="0.35">
      <c r="D1241" s="20">
        <v>2154</v>
      </c>
      <c r="E1241" s="20">
        <v>3350</v>
      </c>
      <c r="F1241" s="20">
        <v>4050</v>
      </c>
      <c r="G1241" s="20">
        <v>0.41059195260138598</v>
      </c>
      <c r="H1241" s="16">
        <f t="shared" ca="1" si="22"/>
        <v>2430</v>
      </c>
    </row>
    <row r="1242" spans="4:8" ht="15" thickBot="1" x14ac:dyDescent="0.35">
      <c r="D1242" s="20">
        <v>2612</v>
      </c>
      <c r="E1242" s="20">
        <v>1450</v>
      </c>
      <c r="F1242" s="20">
        <v>4950</v>
      </c>
      <c r="G1242" s="20">
        <v>0.46788403106001875</v>
      </c>
      <c r="H1242" s="16">
        <f t="shared" ca="1" si="22"/>
        <v>221</v>
      </c>
    </row>
    <row r="1243" spans="4:8" ht="15" thickBot="1" x14ac:dyDescent="0.35">
      <c r="D1243" s="20">
        <v>1136</v>
      </c>
      <c r="E1243" s="20">
        <v>2250</v>
      </c>
      <c r="F1243" s="20">
        <v>2150</v>
      </c>
      <c r="G1243" s="20">
        <v>0.33314422629936491</v>
      </c>
      <c r="H1243" s="16">
        <f t="shared" ca="1" si="22"/>
        <v>2780</v>
      </c>
    </row>
    <row r="1244" spans="4:8" ht="15" thickBot="1" x14ac:dyDescent="0.35">
      <c r="D1244" s="20">
        <v>1992</v>
      </c>
      <c r="E1244" s="44">
        <v>3050</v>
      </c>
      <c r="F1244" s="44">
        <v>3750</v>
      </c>
      <c r="G1244" s="20">
        <v>0.39501436836113718</v>
      </c>
      <c r="H1244" s="16">
        <f t="shared" ca="1" si="22"/>
        <v>2515</v>
      </c>
    </row>
    <row r="1245" spans="4:8" ht="15" thickBot="1" x14ac:dyDescent="0.35">
      <c r="D1245" s="20">
        <v>932</v>
      </c>
      <c r="E1245" s="20">
        <v>3050</v>
      </c>
      <c r="F1245" s="20">
        <v>1750</v>
      </c>
      <c r="G1245" s="20">
        <v>0.31704446187873137</v>
      </c>
      <c r="H1245" s="16">
        <f t="shared" ca="1" si="22"/>
        <v>2117</v>
      </c>
    </row>
    <row r="1246" spans="4:8" ht="15" thickBot="1" x14ac:dyDescent="0.35">
      <c r="D1246" s="20">
        <v>1596</v>
      </c>
      <c r="E1246" s="20">
        <v>550</v>
      </c>
      <c r="F1246" s="20">
        <v>3050</v>
      </c>
      <c r="G1246" s="20">
        <v>0.366563621318932</v>
      </c>
      <c r="H1246" s="16">
        <f t="shared" ca="1" si="22"/>
        <v>2315</v>
      </c>
    </row>
    <row r="1247" spans="4:8" ht="15" thickBot="1" x14ac:dyDescent="0.35">
      <c r="D1247" s="20">
        <v>2296</v>
      </c>
      <c r="E1247" s="20">
        <v>1650</v>
      </c>
      <c r="F1247" s="20">
        <v>4350</v>
      </c>
      <c r="G1247" s="20">
        <v>0.42507294863202799</v>
      </c>
      <c r="H1247" s="16">
        <f t="shared" ca="1" si="22"/>
        <v>2494</v>
      </c>
    </row>
    <row r="1248" spans="4:8" ht="15" thickBot="1" x14ac:dyDescent="0.35">
      <c r="D1248" s="20">
        <v>724</v>
      </c>
      <c r="E1248" s="20">
        <v>3450</v>
      </c>
      <c r="F1248" s="20">
        <v>1350</v>
      </c>
      <c r="G1248" s="20">
        <v>0.29987241589472785</v>
      </c>
      <c r="H1248" s="16">
        <f t="shared" ca="1" si="22"/>
        <v>1262</v>
      </c>
    </row>
    <row r="1249" spans="4:8" ht="15" thickBot="1" x14ac:dyDescent="0.35">
      <c r="D1249" s="20">
        <v>819</v>
      </c>
      <c r="E1249" s="43">
        <v>2350</v>
      </c>
      <c r="F1249" s="43">
        <v>1550</v>
      </c>
      <c r="G1249" s="20">
        <v>0.30802941334020778</v>
      </c>
      <c r="H1249" s="16">
        <f t="shared" ca="1" si="22"/>
        <v>637</v>
      </c>
    </row>
    <row r="1250" spans="4:8" ht="15" thickBot="1" x14ac:dyDescent="0.35">
      <c r="D1250" s="20">
        <v>992</v>
      </c>
      <c r="E1250" s="45">
        <v>3750</v>
      </c>
      <c r="F1250" s="45">
        <v>1850</v>
      </c>
      <c r="G1250" s="20">
        <v>0.32156263249591505</v>
      </c>
      <c r="H1250" s="16">
        <f t="shared" ca="1" si="22"/>
        <v>363</v>
      </c>
    </row>
    <row r="1251" spans="4:8" ht="15" thickBot="1" x14ac:dyDescent="0.35">
      <c r="D1251" s="20">
        <v>549</v>
      </c>
      <c r="E1251" s="20">
        <v>1850</v>
      </c>
      <c r="F1251" s="20">
        <v>1050</v>
      </c>
      <c r="G1251" s="20">
        <v>0.28378091120816906</v>
      </c>
      <c r="H1251" s="16">
        <f t="shared" ca="1" si="22"/>
        <v>393</v>
      </c>
    </row>
    <row r="1252" spans="4:8" ht="15" thickBot="1" x14ac:dyDescent="0.35">
      <c r="D1252" s="20">
        <v>1243</v>
      </c>
      <c r="E1252" s="20">
        <v>2350</v>
      </c>
      <c r="F1252" s="20">
        <v>2350</v>
      </c>
      <c r="G1252" s="20">
        <v>0.34123063939883358</v>
      </c>
      <c r="H1252" s="16">
        <f t="shared" ca="1" si="22"/>
        <v>1034</v>
      </c>
    </row>
    <row r="1253" spans="4:8" ht="15" thickBot="1" x14ac:dyDescent="0.35">
      <c r="D1253" s="20">
        <v>2574</v>
      </c>
      <c r="E1253" s="20">
        <v>2950</v>
      </c>
      <c r="F1253" s="20">
        <v>4850</v>
      </c>
      <c r="G1253" s="20">
        <v>0.46094327280124864</v>
      </c>
      <c r="H1253" s="16">
        <f t="shared" ca="1" si="22"/>
        <v>2545</v>
      </c>
    </row>
    <row r="1254" spans="4:8" ht="15" thickBot="1" x14ac:dyDescent="0.35">
      <c r="D1254" s="20">
        <v>2281</v>
      </c>
      <c r="E1254" s="20">
        <v>150</v>
      </c>
      <c r="F1254" s="20">
        <v>4350</v>
      </c>
      <c r="G1254" s="20">
        <v>0.42390574437505169</v>
      </c>
      <c r="H1254" s="16">
        <f t="shared" ca="1" si="22"/>
        <v>1514</v>
      </c>
    </row>
    <row r="1255" spans="4:8" ht="15" thickBot="1" x14ac:dyDescent="0.35">
      <c r="D1255" s="20">
        <v>2022</v>
      </c>
      <c r="E1255" s="43">
        <v>750</v>
      </c>
      <c r="F1255" s="43">
        <v>3850</v>
      </c>
      <c r="G1255" s="20">
        <v>0.39738034336438233</v>
      </c>
      <c r="H1255" s="16">
        <f t="shared" ca="1" si="22"/>
        <v>360</v>
      </c>
    </row>
    <row r="1256" spans="4:8" ht="15" thickBot="1" x14ac:dyDescent="0.35">
      <c r="D1256" s="20">
        <v>1118</v>
      </c>
      <c r="E1256" s="20">
        <v>450</v>
      </c>
      <c r="F1256" s="20">
        <v>2150</v>
      </c>
      <c r="G1256" s="20">
        <v>0.33139933213734341</v>
      </c>
      <c r="H1256" s="16">
        <f t="shared" ca="1" si="22"/>
        <v>1274</v>
      </c>
    </row>
    <row r="1257" spans="4:8" ht="15" thickBot="1" x14ac:dyDescent="0.35">
      <c r="D1257" s="20">
        <v>1235</v>
      </c>
      <c r="E1257" s="20">
        <v>1550</v>
      </c>
      <c r="F1257" s="20">
        <v>2350</v>
      </c>
      <c r="G1257" s="20">
        <v>0.34040734112051846</v>
      </c>
      <c r="H1257" s="16">
        <f t="shared" ca="1" si="22"/>
        <v>1471</v>
      </c>
    </row>
    <row r="1258" spans="4:8" ht="15" thickBot="1" x14ac:dyDescent="0.35">
      <c r="D1258" s="20">
        <v>144</v>
      </c>
      <c r="E1258" s="20">
        <v>3750</v>
      </c>
      <c r="F1258" s="20">
        <v>250</v>
      </c>
      <c r="G1258" s="20">
        <v>0.22105937662135983</v>
      </c>
      <c r="H1258" s="16">
        <f t="shared" ca="1" si="22"/>
        <v>2268</v>
      </c>
    </row>
    <row r="1259" spans="4:8" ht="15" thickBot="1" x14ac:dyDescent="0.35">
      <c r="D1259" s="20">
        <v>1500</v>
      </c>
      <c r="E1259" s="20">
        <v>1550</v>
      </c>
      <c r="F1259" s="20">
        <v>2850</v>
      </c>
      <c r="G1259" s="20">
        <v>0.36003165418526439</v>
      </c>
      <c r="H1259" s="16">
        <f t="shared" ca="1" si="22"/>
        <v>1451</v>
      </c>
    </row>
    <row r="1260" spans="4:8" ht="15" thickBot="1" x14ac:dyDescent="0.35">
      <c r="D1260" s="20">
        <v>1230</v>
      </c>
      <c r="E1260" s="20">
        <v>1050</v>
      </c>
      <c r="F1260" s="20">
        <v>2350</v>
      </c>
      <c r="G1260" s="20">
        <v>0.34018654594511732</v>
      </c>
      <c r="H1260" s="16">
        <f t="shared" ca="1" si="22"/>
        <v>2216</v>
      </c>
    </row>
    <row r="1261" spans="4:8" ht="15" thickBot="1" x14ac:dyDescent="0.35">
      <c r="D1261" s="20">
        <v>783</v>
      </c>
      <c r="E1261" s="20">
        <v>4050</v>
      </c>
      <c r="F1261" s="20">
        <v>1450</v>
      </c>
      <c r="G1261" s="20">
        <v>0.30529318603190364</v>
      </c>
      <c r="H1261" s="16">
        <f t="shared" ca="1" si="22"/>
        <v>1040</v>
      </c>
    </row>
    <row r="1262" spans="4:8" ht="15" thickBot="1" x14ac:dyDescent="0.35">
      <c r="D1262" s="20">
        <v>1077</v>
      </c>
      <c r="E1262" s="20">
        <v>1650</v>
      </c>
      <c r="F1262" s="20">
        <v>2050</v>
      </c>
      <c r="G1262" s="20">
        <v>0.32839559489248599</v>
      </c>
      <c r="H1262" s="16">
        <f t="shared" ca="1" si="22"/>
        <v>2436</v>
      </c>
    </row>
    <row r="1263" spans="4:8" ht="15" thickBot="1" x14ac:dyDescent="0.35">
      <c r="D1263" s="20">
        <v>920</v>
      </c>
      <c r="E1263" s="20">
        <v>1850</v>
      </c>
      <c r="F1263" s="20">
        <v>1750</v>
      </c>
      <c r="G1263" s="20">
        <v>0.31582272616689816</v>
      </c>
      <c r="H1263" s="16">
        <f t="shared" ca="1" si="22"/>
        <v>2376</v>
      </c>
    </row>
    <row r="1264" spans="4:8" ht="15" thickBot="1" x14ac:dyDescent="0.35">
      <c r="D1264" s="20">
        <v>2690</v>
      </c>
      <c r="E1264" s="20">
        <v>3950</v>
      </c>
      <c r="F1264" s="20">
        <v>5050</v>
      </c>
      <c r="G1264" s="20">
        <v>0.49024897340069556</v>
      </c>
      <c r="H1264" s="16">
        <f t="shared" ca="1" si="22"/>
        <v>1799</v>
      </c>
    </row>
    <row r="1265" spans="4:8" ht="15" thickBot="1" x14ac:dyDescent="0.35">
      <c r="D1265" s="20">
        <v>2784</v>
      </c>
      <c r="E1265" s="20">
        <v>2750</v>
      </c>
      <c r="F1265" s="20">
        <v>5250</v>
      </c>
      <c r="G1265" s="20">
        <v>0.55985353784496095</v>
      </c>
      <c r="H1265" s="16">
        <f t="shared" ca="1" si="22"/>
        <v>1716</v>
      </c>
    </row>
    <row r="1266" spans="4:8" ht="15" thickBot="1" x14ac:dyDescent="0.35">
      <c r="D1266" s="20">
        <v>2049</v>
      </c>
      <c r="E1266" s="20">
        <v>3450</v>
      </c>
      <c r="F1266" s="20">
        <v>3850</v>
      </c>
      <c r="G1266" s="20">
        <v>0.39949641860518181</v>
      </c>
      <c r="H1266" s="16">
        <f t="shared" ca="1" si="22"/>
        <v>1992</v>
      </c>
    </row>
    <row r="1267" spans="4:8" ht="15" thickBot="1" x14ac:dyDescent="0.35">
      <c r="D1267" s="20">
        <v>1507</v>
      </c>
      <c r="E1267" s="48">
        <v>2250</v>
      </c>
      <c r="F1267" s="48">
        <v>2850</v>
      </c>
      <c r="G1267" s="20">
        <v>0.36062505532059785</v>
      </c>
      <c r="H1267" s="16">
        <f t="shared" ca="1" si="22"/>
        <v>511</v>
      </c>
    </row>
    <row r="1268" spans="4:8" ht="15" thickBot="1" x14ac:dyDescent="0.35">
      <c r="D1268" s="20">
        <v>2614</v>
      </c>
      <c r="E1268" s="20">
        <v>1650</v>
      </c>
      <c r="F1268" s="20">
        <v>4950</v>
      </c>
      <c r="G1268" s="20">
        <v>0.4680418083084133</v>
      </c>
      <c r="H1268" s="16">
        <f t="shared" ca="1" si="22"/>
        <v>2682</v>
      </c>
    </row>
    <row r="1269" spans="4:8" ht="15" thickBot="1" x14ac:dyDescent="0.35">
      <c r="D1269" s="20">
        <v>2397</v>
      </c>
      <c r="E1269" s="20">
        <v>1150</v>
      </c>
      <c r="F1269" s="20">
        <v>4550</v>
      </c>
      <c r="G1269" s="20">
        <v>0.43514466525017081</v>
      </c>
      <c r="H1269" s="16">
        <f t="shared" ca="1" si="22"/>
        <v>1570</v>
      </c>
    </row>
    <row r="1270" spans="4:8" ht="15" thickBot="1" x14ac:dyDescent="0.35">
      <c r="D1270" s="20">
        <v>1291</v>
      </c>
      <c r="E1270" s="20">
        <v>1850</v>
      </c>
      <c r="F1270" s="20">
        <v>2450</v>
      </c>
      <c r="G1270" s="20">
        <v>0.34522003696844705</v>
      </c>
      <c r="H1270" s="16">
        <f t="shared" ca="1" si="22"/>
        <v>2141</v>
      </c>
    </row>
    <row r="1271" spans="4:8" ht="15" thickBot="1" x14ac:dyDescent="0.35">
      <c r="D1271" s="20">
        <v>1517</v>
      </c>
      <c r="E1271" s="20">
        <v>3250</v>
      </c>
      <c r="F1271" s="20">
        <v>2850</v>
      </c>
      <c r="G1271" s="20">
        <v>0.36111331933419594</v>
      </c>
      <c r="H1271" s="16">
        <f t="shared" ca="1" si="22"/>
        <v>1400</v>
      </c>
    </row>
    <row r="1272" spans="4:8" ht="15" thickBot="1" x14ac:dyDescent="0.35">
      <c r="D1272" s="20">
        <v>939</v>
      </c>
      <c r="E1272" s="20">
        <v>3750</v>
      </c>
      <c r="F1272" s="20">
        <v>1750</v>
      </c>
      <c r="G1272" s="20">
        <v>0.31762376431600903</v>
      </c>
      <c r="H1272" s="16">
        <f t="shared" ca="1" si="22"/>
        <v>2770</v>
      </c>
    </row>
    <row r="1273" spans="4:8" ht="15" thickBot="1" x14ac:dyDescent="0.35">
      <c r="D1273" s="20">
        <v>1234</v>
      </c>
      <c r="E1273" s="20">
        <v>1450</v>
      </c>
      <c r="F1273" s="20">
        <v>2350</v>
      </c>
      <c r="G1273" s="20">
        <v>0.34038767810295922</v>
      </c>
      <c r="H1273" s="16">
        <f t="shared" ca="1" si="22"/>
        <v>1377</v>
      </c>
    </row>
    <row r="1274" spans="4:8" ht="15" thickBot="1" x14ac:dyDescent="0.35">
      <c r="D1274" s="20">
        <v>1912</v>
      </c>
      <c r="E1274" s="20">
        <v>350</v>
      </c>
      <c r="F1274" s="20">
        <v>3650</v>
      </c>
      <c r="G1274" s="20">
        <v>0.38890141848070892</v>
      </c>
      <c r="H1274" s="16">
        <f t="shared" ca="1" si="22"/>
        <v>50</v>
      </c>
    </row>
    <row r="1275" spans="4:8" ht="15" thickBot="1" x14ac:dyDescent="0.35">
      <c r="D1275" s="20">
        <v>2714</v>
      </c>
      <c r="E1275" s="20">
        <v>1050</v>
      </c>
      <c r="F1275" s="20">
        <v>5150</v>
      </c>
      <c r="G1275" s="20">
        <v>0.50100883630911019</v>
      </c>
      <c r="H1275" s="16">
        <f t="shared" ca="1" si="22"/>
        <v>892</v>
      </c>
    </row>
    <row r="1276" spans="4:8" ht="15" thickBot="1" x14ac:dyDescent="0.35">
      <c r="D1276" s="20">
        <v>313</v>
      </c>
      <c r="E1276" s="20">
        <v>4750</v>
      </c>
      <c r="F1276" s="20">
        <v>550</v>
      </c>
      <c r="G1276" s="20">
        <v>0.25515969405398603</v>
      </c>
      <c r="H1276" s="16">
        <f t="shared" ca="1" si="22"/>
        <v>1159</v>
      </c>
    </row>
    <row r="1277" spans="4:8" ht="15" thickBot="1" x14ac:dyDescent="0.35">
      <c r="D1277" s="20">
        <v>2120</v>
      </c>
      <c r="E1277" s="20">
        <v>5250</v>
      </c>
      <c r="F1277" s="20">
        <v>3950</v>
      </c>
      <c r="G1277" s="20">
        <v>0.40821626635830743</v>
      </c>
      <c r="H1277" s="16">
        <f t="shared" ca="1" si="22"/>
        <v>2450</v>
      </c>
    </row>
    <row r="1278" spans="4:8" ht="15" thickBot="1" x14ac:dyDescent="0.35">
      <c r="D1278" s="20">
        <v>1841</v>
      </c>
      <c r="E1278" s="20">
        <v>3850</v>
      </c>
      <c r="F1278" s="20">
        <v>3450</v>
      </c>
      <c r="G1278" s="20">
        <v>0.38394343543955528</v>
      </c>
      <c r="H1278" s="16">
        <f t="shared" ca="1" si="22"/>
        <v>928</v>
      </c>
    </row>
    <row r="1279" spans="4:8" ht="15" thickBot="1" x14ac:dyDescent="0.35">
      <c r="D1279" s="20">
        <v>1114</v>
      </c>
      <c r="E1279" s="47">
        <v>50</v>
      </c>
      <c r="F1279" s="47">
        <v>2150</v>
      </c>
      <c r="G1279" s="20">
        <v>0.33120778569338316</v>
      </c>
      <c r="H1279" s="16">
        <f t="shared" ca="1" si="22"/>
        <v>686</v>
      </c>
    </row>
    <row r="1280" spans="4:8" ht="15" thickBot="1" x14ac:dyDescent="0.35">
      <c r="D1280" s="20">
        <v>2372</v>
      </c>
      <c r="E1280" s="45">
        <v>3950</v>
      </c>
      <c r="F1280" s="45">
        <v>4450</v>
      </c>
      <c r="G1280" s="20">
        <v>0.43152037606512372</v>
      </c>
      <c r="H1280" s="16">
        <f t="shared" ca="1" si="22"/>
        <v>947</v>
      </c>
    </row>
    <row r="1281" spans="4:8" ht="15" thickBot="1" x14ac:dyDescent="0.35">
      <c r="D1281" s="20">
        <v>1359</v>
      </c>
      <c r="E1281" s="20">
        <v>3350</v>
      </c>
      <c r="F1281" s="20">
        <v>2550</v>
      </c>
      <c r="G1281" s="20">
        <v>0.34926652685983323</v>
      </c>
      <c r="H1281" s="16">
        <f t="shared" ca="1" si="22"/>
        <v>278</v>
      </c>
    </row>
    <row r="1282" spans="4:8" ht="15" thickBot="1" x14ac:dyDescent="0.35">
      <c r="D1282" s="20">
        <v>1870</v>
      </c>
      <c r="E1282" s="44">
        <v>1450</v>
      </c>
      <c r="F1282" s="44">
        <v>3550</v>
      </c>
      <c r="G1282" s="20">
        <v>0.38619744891224439</v>
      </c>
      <c r="H1282" s="16">
        <f t="shared" ca="1" si="22"/>
        <v>1584</v>
      </c>
    </row>
    <row r="1283" spans="4:8" ht="15" thickBot="1" x14ac:dyDescent="0.35">
      <c r="D1283" s="20">
        <v>386</v>
      </c>
      <c r="E1283" s="20">
        <v>1450</v>
      </c>
      <c r="F1283" s="20">
        <v>750</v>
      </c>
      <c r="G1283" s="20">
        <v>0.26579770760885457</v>
      </c>
      <c r="H1283" s="16">
        <f t="shared" ca="1" si="22"/>
        <v>822</v>
      </c>
    </row>
    <row r="1284" spans="4:8" ht="15" thickBot="1" x14ac:dyDescent="0.35">
      <c r="D1284" s="20">
        <v>1671</v>
      </c>
      <c r="E1284" s="20">
        <v>2750</v>
      </c>
      <c r="F1284" s="20">
        <v>3150</v>
      </c>
      <c r="G1284" s="20">
        <v>0.37154005511706423</v>
      </c>
      <c r="H1284" s="16">
        <f t="shared" ca="1" si="22"/>
        <v>1054</v>
      </c>
    </row>
    <row r="1285" spans="4:8" ht="15" thickBot="1" x14ac:dyDescent="0.35">
      <c r="D1285" s="20">
        <v>474</v>
      </c>
      <c r="E1285" s="20">
        <v>4950</v>
      </c>
      <c r="F1285" s="20">
        <v>850</v>
      </c>
      <c r="G1285" s="20">
        <v>0.27619797965452375</v>
      </c>
      <c r="H1285" s="16">
        <f t="shared" ca="1" si="22"/>
        <v>2770</v>
      </c>
    </row>
    <row r="1286" spans="4:8" ht="15" thickBot="1" x14ac:dyDescent="0.35">
      <c r="D1286" s="20">
        <v>1604</v>
      </c>
      <c r="E1286" s="48">
        <v>1350</v>
      </c>
      <c r="F1286" s="48">
        <v>3050</v>
      </c>
      <c r="G1286" s="20">
        <v>0.36716991745590571</v>
      </c>
      <c r="H1286" s="16">
        <f t="shared" ca="1" si="22"/>
        <v>518</v>
      </c>
    </row>
    <row r="1287" spans="4:8" ht="15" thickBot="1" x14ac:dyDescent="0.35">
      <c r="D1287" s="20">
        <v>1748</v>
      </c>
      <c r="E1287" s="20">
        <v>5150</v>
      </c>
      <c r="F1287" s="20">
        <v>3250</v>
      </c>
      <c r="G1287" s="20">
        <v>0.37764261403783717</v>
      </c>
      <c r="H1287" s="16">
        <f t="shared" ref="H1287:H1350" ca="1" si="23">RANDBETWEEN(1,2788)</f>
        <v>629</v>
      </c>
    </row>
    <row r="1288" spans="4:8" ht="15" thickBot="1" x14ac:dyDescent="0.35">
      <c r="D1288" s="20">
        <v>1885</v>
      </c>
      <c r="E1288" s="20">
        <v>2950</v>
      </c>
      <c r="F1288" s="20">
        <v>3550</v>
      </c>
      <c r="G1288" s="20">
        <v>0.38769374497965997</v>
      </c>
      <c r="H1288" s="16">
        <f t="shared" ca="1" si="23"/>
        <v>1098</v>
      </c>
    </row>
    <row r="1289" spans="4:8" ht="15" thickBot="1" x14ac:dyDescent="0.35">
      <c r="D1289" s="20">
        <v>2744</v>
      </c>
      <c r="E1289" s="20">
        <v>4050</v>
      </c>
      <c r="F1289" s="20">
        <v>5150</v>
      </c>
      <c r="G1289" s="20">
        <v>0.51375071315047527</v>
      </c>
      <c r="H1289" s="16">
        <f t="shared" ca="1" si="23"/>
        <v>1145</v>
      </c>
    </row>
    <row r="1290" spans="4:8" ht="15" thickBot="1" x14ac:dyDescent="0.35">
      <c r="D1290" s="20">
        <v>810</v>
      </c>
      <c r="E1290" s="20">
        <v>1450</v>
      </c>
      <c r="F1290" s="20">
        <v>1550</v>
      </c>
      <c r="G1290" s="20">
        <v>0.3074389573393792</v>
      </c>
      <c r="H1290" s="16">
        <f t="shared" ca="1" si="23"/>
        <v>896</v>
      </c>
    </row>
    <row r="1291" spans="4:8" ht="15" thickBot="1" x14ac:dyDescent="0.35">
      <c r="D1291" s="20">
        <v>697</v>
      </c>
      <c r="E1291" s="20">
        <v>750</v>
      </c>
      <c r="F1291" s="20">
        <v>1350</v>
      </c>
      <c r="G1291" s="20">
        <v>0.29829288147676014</v>
      </c>
      <c r="H1291" s="16">
        <f t="shared" ca="1" si="23"/>
        <v>2328</v>
      </c>
    </row>
    <row r="1292" spans="4:8" ht="15" thickBot="1" x14ac:dyDescent="0.35">
      <c r="D1292" s="20">
        <v>767</v>
      </c>
      <c r="E1292" s="20">
        <v>2450</v>
      </c>
      <c r="F1292" s="20">
        <v>1450</v>
      </c>
      <c r="G1292" s="20">
        <v>0.30351167976261467</v>
      </c>
      <c r="H1292" s="16">
        <f t="shared" ca="1" si="23"/>
        <v>1402</v>
      </c>
    </row>
    <row r="1293" spans="4:8" ht="15" thickBot="1" x14ac:dyDescent="0.35">
      <c r="D1293" s="20">
        <v>922</v>
      </c>
      <c r="E1293" s="20">
        <v>2050</v>
      </c>
      <c r="F1293" s="20">
        <v>1750</v>
      </c>
      <c r="G1293" s="20">
        <v>0.31613829805129323</v>
      </c>
      <c r="H1293" s="16">
        <f t="shared" ca="1" si="23"/>
        <v>2616</v>
      </c>
    </row>
    <row r="1294" spans="4:8" ht="15" thickBot="1" x14ac:dyDescent="0.35">
      <c r="D1294" s="20">
        <v>1551</v>
      </c>
      <c r="E1294" s="20">
        <v>1350</v>
      </c>
      <c r="F1294" s="20">
        <v>2950</v>
      </c>
      <c r="G1294" s="20">
        <v>0.36365516417686394</v>
      </c>
      <c r="H1294" s="16">
        <f t="shared" ca="1" si="23"/>
        <v>2292</v>
      </c>
    </row>
    <row r="1295" spans="4:8" ht="15" thickBot="1" x14ac:dyDescent="0.35">
      <c r="D1295" s="20">
        <v>2480</v>
      </c>
      <c r="E1295" s="20">
        <v>4150</v>
      </c>
      <c r="F1295" s="20">
        <v>4650</v>
      </c>
      <c r="G1295" s="20">
        <v>0.44508084283221327</v>
      </c>
      <c r="H1295" s="16">
        <f t="shared" ca="1" si="23"/>
        <v>823</v>
      </c>
    </row>
    <row r="1296" spans="4:8" ht="15" thickBot="1" x14ac:dyDescent="0.35">
      <c r="D1296" s="20">
        <v>893</v>
      </c>
      <c r="E1296" s="20">
        <v>4450</v>
      </c>
      <c r="F1296" s="20">
        <v>1650</v>
      </c>
      <c r="G1296" s="20">
        <v>0.31375569982797241</v>
      </c>
      <c r="H1296" s="16">
        <f t="shared" ca="1" si="23"/>
        <v>2649</v>
      </c>
    </row>
    <row r="1297" spans="4:8" ht="15" thickBot="1" x14ac:dyDescent="0.35">
      <c r="D1297" s="20">
        <v>1806</v>
      </c>
      <c r="E1297" s="20">
        <v>350</v>
      </c>
      <c r="F1297" s="20">
        <v>3450</v>
      </c>
      <c r="G1297" s="20">
        <v>0.38127690318052843</v>
      </c>
      <c r="H1297" s="16">
        <f t="shared" ca="1" si="23"/>
        <v>129</v>
      </c>
    </row>
    <row r="1298" spans="4:8" ht="15" thickBot="1" x14ac:dyDescent="0.35">
      <c r="D1298" s="20">
        <v>2210</v>
      </c>
      <c r="E1298" s="45">
        <v>3650</v>
      </c>
      <c r="F1298" s="45">
        <v>4150</v>
      </c>
      <c r="G1298" s="20">
        <v>0.41582771001303187</v>
      </c>
      <c r="H1298" s="16">
        <f t="shared" ca="1" si="23"/>
        <v>816</v>
      </c>
    </row>
    <row r="1299" spans="4:8" ht="15" thickBot="1" x14ac:dyDescent="0.35">
      <c r="D1299" s="20">
        <v>1140</v>
      </c>
      <c r="E1299" s="20">
        <v>2650</v>
      </c>
      <c r="F1299" s="20">
        <v>2150</v>
      </c>
      <c r="G1299" s="20">
        <v>0.33360622324760753</v>
      </c>
      <c r="H1299" s="16">
        <f t="shared" ca="1" si="23"/>
        <v>750</v>
      </c>
    </row>
    <row r="1300" spans="4:8" ht="15" thickBot="1" x14ac:dyDescent="0.35">
      <c r="D1300" s="20">
        <v>1067</v>
      </c>
      <c r="E1300" s="20">
        <v>650</v>
      </c>
      <c r="F1300" s="20">
        <v>2050</v>
      </c>
      <c r="G1300" s="20">
        <v>0.3277390277148835</v>
      </c>
      <c r="H1300" s="16">
        <f t="shared" ca="1" si="23"/>
        <v>2267</v>
      </c>
    </row>
    <row r="1301" spans="4:8" ht="15" thickBot="1" x14ac:dyDescent="0.35">
      <c r="D1301" s="20">
        <v>294</v>
      </c>
      <c r="E1301" s="20">
        <v>2850</v>
      </c>
      <c r="F1301" s="20">
        <v>550</v>
      </c>
      <c r="G1301" s="20">
        <v>0.25223144934645536</v>
      </c>
      <c r="H1301" s="16">
        <f t="shared" ca="1" si="23"/>
        <v>2605</v>
      </c>
    </row>
    <row r="1302" spans="4:8" ht="15" thickBot="1" x14ac:dyDescent="0.35">
      <c r="D1302" s="20">
        <v>2028</v>
      </c>
      <c r="E1302" s="20">
        <v>1350</v>
      </c>
      <c r="F1302" s="20">
        <v>3850</v>
      </c>
      <c r="G1302" s="20">
        <v>0.39761854606573904</v>
      </c>
      <c r="H1302" s="16">
        <f t="shared" ca="1" si="23"/>
        <v>117</v>
      </c>
    </row>
    <row r="1303" spans="4:8" ht="15" thickBot="1" x14ac:dyDescent="0.35">
      <c r="D1303" s="20">
        <v>2541</v>
      </c>
      <c r="E1303" s="20">
        <v>4950</v>
      </c>
      <c r="F1303" s="20">
        <v>4750</v>
      </c>
      <c r="G1303" s="20">
        <v>0.45381502710699989</v>
      </c>
      <c r="H1303" s="16">
        <f t="shared" ca="1" si="23"/>
        <v>1524</v>
      </c>
    </row>
    <row r="1304" spans="4:8" ht="15" thickBot="1" x14ac:dyDescent="0.35">
      <c r="D1304" s="20">
        <v>2666</v>
      </c>
      <c r="E1304" s="20">
        <v>1550</v>
      </c>
      <c r="F1304" s="20">
        <v>5050</v>
      </c>
      <c r="G1304" s="20">
        <v>0.48312362540520937</v>
      </c>
      <c r="H1304" s="16">
        <f t="shared" ca="1" si="23"/>
        <v>1419</v>
      </c>
    </row>
    <row r="1305" spans="4:8" ht="15" thickBot="1" x14ac:dyDescent="0.35">
      <c r="D1305" s="20">
        <v>1832</v>
      </c>
      <c r="E1305" s="47">
        <v>2950</v>
      </c>
      <c r="F1305" s="47">
        <v>3450</v>
      </c>
      <c r="G1305" s="20">
        <v>0.38320726783146236</v>
      </c>
      <c r="H1305" s="16">
        <f t="shared" ca="1" si="23"/>
        <v>1772</v>
      </c>
    </row>
    <row r="1306" spans="4:8" ht="15" thickBot="1" x14ac:dyDescent="0.35">
      <c r="D1306" s="20">
        <v>2395</v>
      </c>
      <c r="E1306" s="20">
        <v>950</v>
      </c>
      <c r="F1306" s="20">
        <v>4550</v>
      </c>
      <c r="G1306" s="20">
        <v>0.43495248705282019</v>
      </c>
      <c r="H1306" s="16">
        <f t="shared" ca="1" si="23"/>
        <v>2180</v>
      </c>
    </row>
    <row r="1307" spans="4:8" ht="15" thickBot="1" x14ac:dyDescent="0.35">
      <c r="D1307" s="20">
        <v>1920</v>
      </c>
      <c r="E1307" s="20">
        <v>1150</v>
      </c>
      <c r="F1307" s="20">
        <v>3650</v>
      </c>
      <c r="G1307" s="20">
        <v>0.38942850045335681</v>
      </c>
      <c r="H1307" s="16">
        <f t="shared" ca="1" si="23"/>
        <v>1590</v>
      </c>
    </row>
    <row r="1308" spans="4:8" ht="15" thickBot="1" x14ac:dyDescent="0.35">
      <c r="D1308" s="20">
        <v>2021</v>
      </c>
      <c r="E1308" s="20">
        <v>650</v>
      </c>
      <c r="F1308" s="20">
        <v>3850</v>
      </c>
      <c r="G1308" s="20">
        <v>0.39723208014528527</v>
      </c>
      <c r="H1308" s="16">
        <f t="shared" ca="1" si="23"/>
        <v>2217</v>
      </c>
    </row>
    <row r="1309" spans="4:8" ht="15" thickBot="1" x14ac:dyDescent="0.35">
      <c r="D1309" s="20">
        <v>2498</v>
      </c>
      <c r="E1309" s="20">
        <v>650</v>
      </c>
      <c r="F1309" s="20">
        <v>4750</v>
      </c>
      <c r="G1309" s="20">
        <v>0.44740410803600128</v>
      </c>
      <c r="H1309" s="16">
        <f t="shared" ca="1" si="23"/>
        <v>576</v>
      </c>
    </row>
    <row r="1310" spans="4:8" ht="15" thickBot="1" x14ac:dyDescent="0.35">
      <c r="D1310" s="20">
        <v>2538</v>
      </c>
      <c r="E1310" s="20">
        <v>4650</v>
      </c>
      <c r="F1310" s="20">
        <v>4750</v>
      </c>
      <c r="G1310" s="20">
        <v>0.45326093174609156</v>
      </c>
      <c r="H1310" s="16">
        <f t="shared" ca="1" si="23"/>
        <v>398</v>
      </c>
    </row>
    <row r="1311" spans="4:8" ht="15" thickBot="1" x14ac:dyDescent="0.35">
      <c r="D1311" s="20">
        <v>1560</v>
      </c>
      <c r="E1311" s="20">
        <v>2250</v>
      </c>
      <c r="F1311" s="20">
        <v>2950</v>
      </c>
      <c r="G1311" s="20">
        <v>0.36423023416584932</v>
      </c>
      <c r="H1311" s="16">
        <f t="shared" ca="1" si="23"/>
        <v>1348</v>
      </c>
    </row>
    <row r="1312" spans="4:8" ht="15" thickBot="1" x14ac:dyDescent="0.35">
      <c r="D1312" s="20">
        <v>1074</v>
      </c>
      <c r="E1312" s="20">
        <v>1350</v>
      </c>
      <c r="F1312" s="20">
        <v>2050</v>
      </c>
      <c r="G1312" s="20">
        <v>0.32827633460394895</v>
      </c>
      <c r="H1312" s="16">
        <f t="shared" ca="1" si="23"/>
        <v>2375</v>
      </c>
    </row>
    <row r="1313" spans="4:8" ht="15" thickBot="1" x14ac:dyDescent="0.35">
      <c r="D1313" s="20">
        <v>2576</v>
      </c>
      <c r="E1313" s="20">
        <v>3150</v>
      </c>
      <c r="F1313" s="20">
        <v>4850</v>
      </c>
      <c r="G1313" s="20">
        <v>0.46107736842435948</v>
      </c>
      <c r="H1313" s="16">
        <f t="shared" ca="1" si="23"/>
        <v>1724</v>
      </c>
    </row>
    <row r="1314" spans="4:8" ht="15" thickBot="1" x14ac:dyDescent="0.35">
      <c r="D1314" s="20">
        <v>1456</v>
      </c>
      <c r="E1314" s="20">
        <v>2450</v>
      </c>
      <c r="F1314" s="20">
        <v>2750</v>
      </c>
      <c r="G1314" s="20">
        <v>0.35629879422791477</v>
      </c>
      <c r="H1314" s="16">
        <f t="shared" ca="1" si="23"/>
        <v>1318</v>
      </c>
    </row>
    <row r="1315" spans="4:8" ht="15" thickBot="1" x14ac:dyDescent="0.35">
      <c r="D1315" s="20">
        <v>344</v>
      </c>
      <c r="E1315" s="20">
        <v>2550</v>
      </c>
      <c r="F1315" s="20">
        <v>650</v>
      </c>
      <c r="G1315" s="20">
        <v>0.26028832173587957</v>
      </c>
      <c r="H1315" s="16">
        <f t="shared" ca="1" si="23"/>
        <v>2400</v>
      </c>
    </row>
    <row r="1316" spans="4:8" ht="15" thickBot="1" x14ac:dyDescent="0.35">
      <c r="D1316" s="20">
        <v>2783</v>
      </c>
      <c r="E1316" s="20">
        <v>2650</v>
      </c>
      <c r="F1316" s="20">
        <v>5250</v>
      </c>
      <c r="G1316" s="20">
        <v>0.55909690732640471</v>
      </c>
      <c r="H1316" s="16">
        <f t="shared" ca="1" si="23"/>
        <v>2382</v>
      </c>
    </row>
    <row r="1317" spans="4:8" ht="15" thickBot="1" x14ac:dyDescent="0.35">
      <c r="D1317" s="20">
        <v>2419</v>
      </c>
      <c r="E1317" s="20">
        <v>3350</v>
      </c>
      <c r="F1317" s="20">
        <v>4550</v>
      </c>
      <c r="G1317" s="20">
        <v>0.43749700151877435</v>
      </c>
      <c r="H1317" s="16">
        <f t="shared" ca="1" si="23"/>
        <v>1599</v>
      </c>
    </row>
    <row r="1318" spans="4:8" ht="15" thickBot="1" x14ac:dyDescent="0.35">
      <c r="D1318" s="20">
        <v>1862</v>
      </c>
      <c r="E1318" s="20">
        <v>650</v>
      </c>
      <c r="F1318" s="20">
        <v>3550</v>
      </c>
      <c r="G1318" s="20">
        <v>0.38574055176825123</v>
      </c>
      <c r="H1318" s="16">
        <f t="shared" ca="1" si="23"/>
        <v>1341</v>
      </c>
    </row>
    <row r="1319" spans="4:8" ht="15" thickBot="1" x14ac:dyDescent="0.35">
      <c r="D1319" s="20">
        <v>1155</v>
      </c>
      <c r="E1319" s="20">
        <v>4150</v>
      </c>
      <c r="F1319" s="20">
        <v>2150</v>
      </c>
      <c r="G1319" s="20">
        <v>0.33444415280766066</v>
      </c>
      <c r="H1319" s="16">
        <f t="shared" ca="1" si="23"/>
        <v>89</v>
      </c>
    </row>
    <row r="1320" spans="4:8" ht="15" thickBot="1" x14ac:dyDescent="0.35">
      <c r="D1320" s="20">
        <v>1845</v>
      </c>
      <c r="E1320" s="48">
        <v>4250</v>
      </c>
      <c r="F1320" s="48">
        <v>3450</v>
      </c>
      <c r="G1320" s="20">
        <v>0.38438221591966049</v>
      </c>
      <c r="H1320" s="16">
        <f t="shared" ca="1" si="23"/>
        <v>1389</v>
      </c>
    </row>
    <row r="1321" spans="4:8" ht="15" thickBot="1" x14ac:dyDescent="0.35">
      <c r="D1321" s="20">
        <v>2328</v>
      </c>
      <c r="E1321" s="20">
        <v>4850</v>
      </c>
      <c r="F1321" s="20">
        <v>4350</v>
      </c>
      <c r="G1321" s="20">
        <v>0.42767812511052905</v>
      </c>
      <c r="H1321" s="16">
        <f t="shared" ca="1" si="23"/>
        <v>222</v>
      </c>
    </row>
    <row r="1322" spans="4:8" ht="15" thickBot="1" x14ac:dyDescent="0.35">
      <c r="D1322" s="20">
        <v>2772</v>
      </c>
      <c r="E1322" s="20">
        <v>1550</v>
      </c>
      <c r="F1322" s="20">
        <v>5250</v>
      </c>
      <c r="G1322" s="20">
        <v>0.53747014509321489</v>
      </c>
      <c r="H1322" s="16">
        <f t="shared" ca="1" si="23"/>
        <v>1895</v>
      </c>
    </row>
    <row r="1323" spans="4:8" ht="15" thickBot="1" x14ac:dyDescent="0.35">
      <c r="D1323" s="20">
        <v>301</v>
      </c>
      <c r="E1323" s="20">
        <v>3550</v>
      </c>
      <c r="F1323" s="20">
        <v>550</v>
      </c>
      <c r="G1323" s="20">
        <v>0.25352122212308836</v>
      </c>
      <c r="H1323" s="16">
        <f t="shared" ca="1" si="23"/>
        <v>870</v>
      </c>
    </row>
    <row r="1324" spans="4:8" ht="15" thickBot="1" x14ac:dyDescent="0.35">
      <c r="D1324" s="20">
        <v>785</v>
      </c>
      <c r="E1324" s="20">
        <v>4250</v>
      </c>
      <c r="F1324" s="20">
        <v>1450</v>
      </c>
      <c r="G1324" s="20">
        <v>0.30545433119956866</v>
      </c>
      <c r="H1324" s="16">
        <f t="shared" ca="1" si="23"/>
        <v>1772</v>
      </c>
    </row>
    <row r="1325" spans="4:8" ht="15" thickBot="1" x14ac:dyDescent="0.35">
      <c r="D1325" s="20">
        <v>985</v>
      </c>
      <c r="E1325" s="20">
        <v>3050</v>
      </c>
      <c r="F1325" s="20">
        <v>1850</v>
      </c>
      <c r="G1325" s="20">
        <v>0.32095981153206454</v>
      </c>
      <c r="H1325" s="16">
        <f t="shared" ca="1" si="23"/>
        <v>1136</v>
      </c>
    </row>
    <row r="1326" spans="4:8" ht="15" thickBot="1" x14ac:dyDescent="0.35">
      <c r="D1326" s="20">
        <v>1221</v>
      </c>
      <c r="E1326" s="20">
        <v>150</v>
      </c>
      <c r="F1326" s="20">
        <v>2350</v>
      </c>
      <c r="G1326" s="20">
        <v>0.33935002476496373</v>
      </c>
      <c r="H1326" s="16">
        <f t="shared" ca="1" si="23"/>
        <v>1529</v>
      </c>
    </row>
    <row r="1327" spans="4:8" ht="15" thickBot="1" x14ac:dyDescent="0.35">
      <c r="D1327" s="20">
        <v>2700</v>
      </c>
      <c r="E1327" s="20">
        <v>4950</v>
      </c>
      <c r="F1327" s="20">
        <v>5050</v>
      </c>
      <c r="G1327" s="20">
        <v>0.4944515049546821</v>
      </c>
      <c r="H1327" s="16">
        <f t="shared" ca="1" si="23"/>
        <v>2711</v>
      </c>
    </row>
    <row r="1328" spans="4:8" ht="15" thickBot="1" x14ac:dyDescent="0.35">
      <c r="D1328" s="20">
        <v>559</v>
      </c>
      <c r="E1328" s="20">
        <v>2850</v>
      </c>
      <c r="F1328" s="20">
        <v>1050</v>
      </c>
      <c r="G1328" s="20">
        <v>0.28453440741015601</v>
      </c>
      <c r="H1328" s="16">
        <f t="shared" ca="1" si="23"/>
        <v>23</v>
      </c>
    </row>
    <row r="1329" spans="4:8" ht="15" thickBot="1" x14ac:dyDescent="0.35">
      <c r="D1329" s="20">
        <v>775</v>
      </c>
      <c r="E1329" s="20">
        <v>3250</v>
      </c>
      <c r="F1329" s="20">
        <v>1450</v>
      </c>
      <c r="G1329" s="20">
        <v>0.30432209318417486</v>
      </c>
      <c r="H1329" s="16">
        <f t="shared" ca="1" si="23"/>
        <v>1877</v>
      </c>
    </row>
    <row r="1330" spans="4:8" ht="15" thickBot="1" x14ac:dyDescent="0.35">
      <c r="D1330" s="20">
        <v>1073</v>
      </c>
      <c r="E1330" s="20">
        <v>1250</v>
      </c>
      <c r="F1330" s="20">
        <v>2050</v>
      </c>
      <c r="G1330" s="20">
        <v>0.32819091763227698</v>
      </c>
      <c r="H1330" s="16">
        <f t="shared" ca="1" si="23"/>
        <v>279</v>
      </c>
    </row>
    <row r="1331" spans="4:8" ht="15" thickBot="1" x14ac:dyDescent="0.35">
      <c r="D1331" s="20">
        <v>1549</v>
      </c>
      <c r="E1331" s="20">
        <v>1150</v>
      </c>
      <c r="F1331" s="20">
        <v>2950</v>
      </c>
      <c r="G1331" s="20">
        <v>0.36354456617956299</v>
      </c>
      <c r="H1331" s="16">
        <f t="shared" ca="1" si="23"/>
        <v>467</v>
      </c>
    </row>
    <row r="1332" spans="4:8" ht="15" thickBot="1" x14ac:dyDescent="0.35">
      <c r="D1332" s="20">
        <v>2183</v>
      </c>
      <c r="E1332" s="20">
        <v>950</v>
      </c>
      <c r="F1332" s="20">
        <v>4150</v>
      </c>
      <c r="G1332" s="20">
        <v>0.4134615313721508</v>
      </c>
      <c r="H1332" s="16">
        <f t="shared" ca="1" si="23"/>
        <v>2546</v>
      </c>
    </row>
    <row r="1333" spans="4:8" ht="15" thickBot="1" x14ac:dyDescent="0.35">
      <c r="D1333" s="20">
        <v>36</v>
      </c>
      <c r="E1333" s="20">
        <v>3550</v>
      </c>
      <c r="F1333" s="20">
        <v>50</v>
      </c>
      <c r="G1333" s="20">
        <v>0.1779952845211599</v>
      </c>
      <c r="H1333" s="16">
        <f t="shared" ca="1" si="23"/>
        <v>586</v>
      </c>
    </row>
    <row r="1334" spans="4:8" ht="15" thickBot="1" x14ac:dyDescent="0.35">
      <c r="D1334" s="20">
        <v>1319</v>
      </c>
      <c r="E1334" s="20">
        <v>4650</v>
      </c>
      <c r="F1334" s="20">
        <v>2450</v>
      </c>
      <c r="G1334" s="20">
        <v>0.34709926934347102</v>
      </c>
      <c r="H1334" s="16">
        <f t="shared" ca="1" si="23"/>
        <v>2665</v>
      </c>
    </row>
    <row r="1335" spans="4:8" ht="15" thickBot="1" x14ac:dyDescent="0.35">
      <c r="D1335" s="20">
        <v>2337</v>
      </c>
      <c r="E1335" s="20">
        <v>450</v>
      </c>
      <c r="F1335" s="20">
        <v>4450</v>
      </c>
      <c r="G1335" s="20">
        <v>0.42899206435423504</v>
      </c>
      <c r="H1335" s="16">
        <f t="shared" ca="1" si="23"/>
        <v>871</v>
      </c>
    </row>
    <row r="1336" spans="4:8" ht="15" thickBot="1" x14ac:dyDescent="0.35">
      <c r="D1336" s="20">
        <v>478</v>
      </c>
      <c r="E1336" s="20">
        <v>50</v>
      </c>
      <c r="F1336" s="20">
        <v>950</v>
      </c>
      <c r="G1336" s="20">
        <v>0.27649194859418103</v>
      </c>
      <c r="H1336" s="16">
        <f t="shared" ca="1" si="23"/>
        <v>1424</v>
      </c>
    </row>
    <row r="1337" spans="4:8" ht="15" thickBot="1" x14ac:dyDescent="0.35">
      <c r="D1337" s="20">
        <v>93</v>
      </c>
      <c r="E1337" s="20">
        <v>3950</v>
      </c>
      <c r="F1337" s="20">
        <v>150</v>
      </c>
      <c r="G1337" s="20">
        <v>0.20895765469999011</v>
      </c>
      <c r="H1337" s="16">
        <f t="shared" ca="1" si="23"/>
        <v>2547</v>
      </c>
    </row>
    <row r="1338" spans="4:8" ht="15" thickBot="1" x14ac:dyDescent="0.35">
      <c r="D1338" s="20">
        <v>111</v>
      </c>
      <c r="E1338" s="20">
        <v>450</v>
      </c>
      <c r="F1338" s="20">
        <v>250</v>
      </c>
      <c r="G1338" s="20">
        <v>0.21372485036549113</v>
      </c>
      <c r="H1338" s="16">
        <f t="shared" ca="1" si="23"/>
        <v>407</v>
      </c>
    </row>
    <row r="1339" spans="4:8" ht="15" thickBot="1" x14ac:dyDescent="0.35">
      <c r="D1339" s="20">
        <v>209</v>
      </c>
      <c r="E1339" s="20">
        <v>4950</v>
      </c>
      <c r="F1339" s="20">
        <v>350</v>
      </c>
      <c r="G1339" s="20">
        <v>0.23823704249221447</v>
      </c>
      <c r="H1339" s="16">
        <f t="shared" ca="1" si="23"/>
        <v>1130</v>
      </c>
    </row>
    <row r="1340" spans="4:8" ht="15" thickBot="1" x14ac:dyDescent="0.35">
      <c r="D1340" s="20">
        <v>167</v>
      </c>
      <c r="E1340" s="47">
        <v>750</v>
      </c>
      <c r="F1340" s="47">
        <v>350</v>
      </c>
      <c r="G1340" s="20">
        <v>0.2255506594538387</v>
      </c>
      <c r="H1340" s="16">
        <f t="shared" ca="1" si="23"/>
        <v>1144</v>
      </c>
    </row>
    <row r="1341" spans="4:8" ht="15" thickBot="1" x14ac:dyDescent="0.35">
      <c r="D1341" s="20">
        <v>1497</v>
      </c>
      <c r="E1341" s="20">
        <v>1250</v>
      </c>
      <c r="F1341" s="20">
        <v>2850</v>
      </c>
      <c r="G1341" s="20">
        <v>0.35958923547201349</v>
      </c>
      <c r="H1341" s="16">
        <f t="shared" ca="1" si="23"/>
        <v>767</v>
      </c>
    </row>
    <row r="1342" spans="4:8" ht="15" thickBot="1" x14ac:dyDescent="0.35">
      <c r="D1342" s="20">
        <v>358</v>
      </c>
      <c r="E1342" s="20">
        <v>3950</v>
      </c>
      <c r="F1342" s="20">
        <v>650</v>
      </c>
      <c r="G1342" s="20">
        <v>0.26171970327455851</v>
      </c>
      <c r="H1342" s="16">
        <f t="shared" ca="1" si="23"/>
        <v>2684</v>
      </c>
    </row>
    <row r="1343" spans="4:8" ht="15" thickBot="1" x14ac:dyDescent="0.35">
      <c r="D1343" s="20">
        <v>2200</v>
      </c>
      <c r="E1343" s="45">
        <v>2650</v>
      </c>
      <c r="F1343" s="45">
        <v>4150</v>
      </c>
      <c r="G1343" s="20">
        <v>0.41484644018255357</v>
      </c>
      <c r="H1343" s="16">
        <f t="shared" ca="1" si="23"/>
        <v>32</v>
      </c>
    </row>
    <row r="1344" spans="4:8" ht="15" thickBot="1" x14ac:dyDescent="0.35">
      <c r="D1344" s="20">
        <v>1539</v>
      </c>
      <c r="E1344" s="20">
        <v>150</v>
      </c>
      <c r="F1344" s="20">
        <v>2950</v>
      </c>
      <c r="G1344" s="20">
        <v>0.36297123459130376</v>
      </c>
      <c r="H1344" s="16">
        <f t="shared" ca="1" si="23"/>
        <v>2518</v>
      </c>
    </row>
    <row r="1345" spans="4:8" ht="15" thickBot="1" x14ac:dyDescent="0.35">
      <c r="D1345" s="20">
        <v>528</v>
      </c>
      <c r="E1345" s="20">
        <v>5050</v>
      </c>
      <c r="F1345" s="20">
        <v>950</v>
      </c>
      <c r="G1345" s="20">
        <v>0.28150412881338716</v>
      </c>
      <c r="H1345" s="16">
        <f t="shared" ca="1" si="23"/>
        <v>674</v>
      </c>
    </row>
    <row r="1346" spans="4:8" ht="15" thickBot="1" x14ac:dyDescent="0.35">
      <c r="D1346" s="20">
        <v>1142</v>
      </c>
      <c r="E1346" s="20">
        <v>2850</v>
      </c>
      <c r="F1346" s="20">
        <v>2150</v>
      </c>
      <c r="G1346" s="20">
        <v>0.33371205240197943</v>
      </c>
      <c r="H1346" s="16">
        <f t="shared" ca="1" si="23"/>
        <v>1814</v>
      </c>
    </row>
    <row r="1347" spans="4:8" ht="15" thickBot="1" x14ac:dyDescent="0.35">
      <c r="D1347" s="20">
        <v>2047</v>
      </c>
      <c r="E1347" s="20">
        <v>3250</v>
      </c>
      <c r="F1347" s="20">
        <v>3850</v>
      </c>
      <c r="G1347" s="20">
        <v>0.39929394378237226</v>
      </c>
      <c r="H1347" s="16">
        <f t="shared" ca="1" si="23"/>
        <v>559</v>
      </c>
    </row>
    <row r="1348" spans="4:8" ht="15" thickBot="1" x14ac:dyDescent="0.35">
      <c r="D1348" s="20">
        <v>1656</v>
      </c>
      <c r="E1348" s="48">
        <v>1250</v>
      </c>
      <c r="F1348" s="48">
        <v>3150</v>
      </c>
      <c r="G1348" s="20">
        <v>0.37049761954809646</v>
      </c>
      <c r="H1348" s="16">
        <f t="shared" ca="1" si="23"/>
        <v>79</v>
      </c>
    </row>
    <row r="1349" spans="4:8" ht="15" thickBot="1" x14ac:dyDescent="0.35">
      <c r="D1349" s="20">
        <v>1905</v>
      </c>
      <c r="E1349" s="20">
        <v>4950</v>
      </c>
      <c r="F1349" s="20">
        <v>3550</v>
      </c>
      <c r="G1349" s="20">
        <v>0.38853372296079375</v>
      </c>
      <c r="H1349" s="16">
        <f t="shared" ca="1" si="23"/>
        <v>2531</v>
      </c>
    </row>
    <row r="1350" spans="4:8" ht="15" thickBot="1" x14ac:dyDescent="0.35">
      <c r="D1350" s="20">
        <v>169</v>
      </c>
      <c r="E1350" s="20">
        <v>950</v>
      </c>
      <c r="F1350" s="20">
        <v>350</v>
      </c>
      <c r="G1350" s="20">
        <v>0.22589428145384655</v>
      </c>
      <c r="H1350" s="16">
        <f t="shared" ca="1" si="23"/>
        <v>1723</v>
      </c>
    </row>
    <row r="1351" spans="4:8" ht="15" thickBot="1" x14ac:dyDescent="0.35">
      <c r="D1351" s="20">
        <v>814</v>
      </c>
      <c r="E1351" s="20">
        <v>1850</v>
      </c>
      <c r="F1351" s="20">
        <v>1550</v>
      </c>
      <c r="G1351" s="20">
        <v>0.30771287531645763</v>
      </c>
      <c r="H1351" s="16">
        <f t="shared" ref="H1351:H1414" ca="1" si="24">RANDBETWEEN(1,2788)</f>
        <v>2057</v>
      </c>
    </row>
    <row r="1352" spans="4:8" ht="15" thickBot="1" x14ac:dyDescent="0.35">
      <c r="D1352" s="20">
        <v>1305</v>
      </c>
      <c r="E1352" s="20">
        <v>3250</v>
      </c>
      <c r="F1352" s="20">
        <v>2450</v>
      </c>
      <c r="G1352" s="20">
        <v>0.34596363685780218</v>
      </c>
      <c r="H1352" s="16">
        <f t="shared" ca="1" si="24"/>
        <v>735</v>
      </c>
    </row>
    <row r="1353" spans="4:8" ht="15" thickBot="1" x14ac:dyDescent="0.35">
      <c r="D1353" s="20">
        <v>1215</v>
      </c>
      <c r="E1353" s="20">
        <v>4850</v>
      </c>
      <c r="F1353" s="20">
        <v>2250</v>
      </c>
      <c r="G1353" s="20">
        <v>0.33897435828242373</v>
      </c>
      <c r="H1353" s="16">
        <f t="shared" ca="1" si="24"/>
        <v>680</v>
      </c>
    </row>
    <row r="1354" spans="4:8" ht="15" thickBot="1" x14ac:dyDescent="0.35">
      <c r="D1354" s="20">
        <v>1599</v>
      </c>
      <c r="E1354" s="20">
        <v>850</v>
      </c>
      <c r="F1354" s="20">
        <v>3050</v>
      </c>
      <c r="G1354" s="20">
        <v>0.3668013741589608</v>
      </c>
      <c r="H1354" s="16">
        <f t="shared" ca="1" si="24"/>
        <v>2102</v>
      </c>
    </row>
    <row r="1355" spans="4:8" ht="15" thickBot="1" x14ac:dyDescent="0.35">
      <c r="D1355" s="20">
        <v>1963</v>
      </c>
      <c r="E1355" s="20">
        <v>150</v>
      </c>
      <c r="F1355" s="20">
        <v>3750</v>
      </c>
      <c r="G1355" s="20">
        <v>0.39340370006804981</v>
      </c>
      <c r="H1355" s="16">
        <f t="shared" ca="1" si="24"/>
        <v>440</v>
      </c>
    </row>
    <row r="1356" spans="4:8" ht="15" thickBot="1" x14ac:dyDescent="0.35">
      <c r="D1356" s="20">
        <v>1711</v>
      </c>
      <c r="E1356" s="20">
        <v>1450</v>
      </c>
      <c r="F1356" s="20">
        <v>3250</v>
      </c>
      <c r="G1356" s="20">
        <v>0.3753470809477194</v>
      </c>
      <c r="H1356" s="16">
        <f t="shared" ca="1" si="24"/>
        <v>968</v>
      </c>
    </row>
    <row r="1357" spans="4:8" ht="15" thickBot="1" x14ac:dyDescent="0.35">
      <c r="D1357" s="20">
        <v>744</v>
      </c>
      <c r="E1357" s="20">
        <v>150</v>
      </c>
      <c r="F1357" s="20">
        <v>1450</v>
      </c>
      <c r="G1357" s="20">
        <v>0.30155170862409336</v>
      </c>
      <c r="H1357" s="16">
        <f t="shared" ca="1" si="24"/>
        <v>501</v>
      </c>
    </row>
    <row r="1358" spans="4:8" ht="15" thickBot="1" x14ac:dyDescent="0.35">
      <c r="D1358" s="20">
        <v>2759</v>
      </c>
      <c r="E1358" s="20">
        <v>250</v>
      </c>
      <c r="F1358" s="20">
        <v>5250</v>
      </c>
      <c r="G1358" s="20">
        <v>0.52589854921953116</v>
      </c>
      <c r="H1358" s="16">
        <f t="shared" ca="1" si="24"/>
        <v>1719</v>
      </c>
    </row>
    <row r="1359" spans="4:8" ht="15" thickBot="1" x14ac:dyDescent="0.35">
      <c r="D1359" s="20">
        <v>1258</v>
      </c>
      <c r="E1359" s="47">
        <v>3850</v>
      </c>
      <c r="F1359" s="47">
        <v>2350</v>
      </c>
      <c r="G1359" s="20">
        <v>0.34230074725213266</v>
      </c>
      <c r="H1359" s="16">
        <f t="shared" ca="1" si="24"/>
        <v>1617</v>
      </c>
    </row>
    <row r="1360" spans="4:8" ht="15" thickBot="1" x14ac:dyDescent="0.35">
      <c r="D1360" s="20">
        <v>213</v>
      </c>
      <c r="E1360" s="20">
        <v>50</v>
      </c>
      <c r="F1360" s="20">
        <v>450</v>
      </c>
      <c r="G1360" s="20">
        <v>0.23901309463250175</v>
      </c>
      <c r="H1360" s="16">
        <f t="shared" ca="1" si="24"/>
        <v>671</v>
      </c>
    </row>
    <row r="1361" spans="4:8" ht="15" thickBot="1" x14ac:dyDescent="0.35">
      <c r="D1361" s="20">
        <v>2471</v>
      </c>
      <c r="E1361" s="20">
        <v>3250</v>
      </c>
      <c r="F1361" s="20">
        <v>4650</v>
      </c>
      <c r="G1361" s="20">
        <v>0.44326785894502052</v>
      </c>
      <c r="H1361" s="16">
        <f t="shared" ca="1" si="24"/>
        <v>867</v>
      </c>
    </row>
    <row r="1362" spans="4:8" ht="15" thickBot="1" x14ac:dyDescent="0.35">
      <c r="D1362" s="20">
        <v>1916</v>
      </c>
      <c r="E1362" s="20">
        <v>750</v>
      </c>
      <c r="F1362" s="20">
        <v>3650</v>
      </c>
      <c r="G1362" s="20">
        <v>0.38928929404020501</v>
      </c>
      <c r="H1362" s="16">
        <f t="shared" ca="1" si="24"/>
        <v>857</v>
      </c>
    </row>
    <row r="1363" spans="4:8" ht="15" thickBot="1" x14ac:dyDescent="0.35">
      <c r="D1363" s="20">
        <v>1197</v>
      </c>
      <c r="E1363" s="20">
        <v>3050</v>
      </c>
      <c r="F1363" s="20">
        <v>2250</v>
      </c>
      <c r="G1363" s="20">
        <v>0.3375899959771208</v>
      </c>
      <c r="H1363" s="16">
        <f t="shared" ca="1" si="24"/>
        <v>1101</v>
      </c>
    </row>
    <row r="1364" spans="4:8" ht="15" thickBot="1" x14ac:dyDescent="0.35">
      <c r="D1364" s="20">
        <v>259</v>
      </c>
      <c r="E1364" s="20">
        <v>4650</v>
      </c>
      <c r="F1364" s="20">
        <v>450</v>
      </c>
      <c r="G1364" s="20">
        <v>0.24677317026146256</v>
      </c>
      <c r="H1364" s="16">
        <f t="shared" ca="1" si="24"/>
        <v>1375</v>
      </c>
    </row>
    <row r="1365" spans="4:8" ht="15" thickBot="1" x14ac:dyDescent="0.35">
      <c r="D1365" s="20">
        <v>660</v>
      </c>
      <c r="E1365" s="20">
        <v>2350</v>
      </c>
      <c r="F1365" s="20">
        <v>1250</v>
      </c>
      <c r="G1365" s="20">
        <v>0.29518787276222469</v>
      </c>
      <c r="H1365" s="16">
        <f t="shared" ca="1" si="24"/>
        <v>1288</v>
      </c>
    </row>
    <row r="1366" spans="4:8" ht="15" thickBot="1" x14ac:dyDescent="0.35">
      <c r="D1366" s="20">
        <v>1972</v>
      </c>
      <c r="E1366" s="20">
        <v>1050</v>
      </c>
      <c r="F1366" s="20">
        <v>3750</v>
      </c>
      <c r="G1366" s="20">
        <v>0.39366854424027364</v>
      </c>
      <c r="H1366" s="16">
        <f t="shared" ca="1" si="24"/>
        <v>553</v>
      </c>
    </row>
    <row r="1367" spans="4:8" ht="15" thickBot="1" x14ac:dyDescent="0.35">
      <c r="D1367" s="20">
        <v>109</v>
      </c>
      <c r="E1367" s="45">
        <v>250</v>
      </c>
      <c r="F1367" s="45">
        <v>250</v>
      </c>
      <c r="G1367" s="20">
        <v>0.21337347945167801</v>
      </c>
      <c r="H1367" s="16">
        <f t="shared" ca="1" si="24"/>
        <v>1983</v>
      </c>
    </row>
    <row r="1368" spans="4:8" ht="15" thickBot="1" x14ac:dyDescent="0.35">
      <c r="D1368" s="20">
        <v>1548</v>
      </c>
      <c r="E1368" s="20">
        <v>1050</v>
      </c>
      <c r="F1368" s="20">
        <v>2950</v>
      </c>
      <c r="G1368" s="20">
        <v>0.36353304764851957</v>
      </c>
      <c r="H1368" s="16">
        <f t="shared" ca="1" si="24"/>
        <v>805</v>
      </c>
    </row>
    <row r="1369" spans="4:8" ht="15" thickBot="1" x14ac:dyDescent="0.35">
      <c r="D1369" s="20">
        <v>2050</v>
      </c>
      <c r="E1369" s="20">
        <v>3550</v>
      </c>
      <c r="F1369" s="20">
        <v>3850</v>
      </c>
      <c r="G1369" s="20">
        <v>0.39955569669347113</v>
      </c>
      <c r="H1369" s="16">
        <f t="shared" ca="1" si="24"/>
        <v>1649</v>
      </c>
    </row>
    <row r="1370" spans="4:8" ht="15" thickBot="1" x14ac:dyDescent="0.35">
      <c r="D1370" s="20">
        <v>822</v>
      </c>
      <c r="E1370" s="20">
        <v>2650</v>
      </c>
      <c r="F1370" s="20">
        <v>1550</v>
      </c>
      <c r="G1370" s="20">
        <v>0.30826601211033039</v>
      </c>
      <c r="H1370" s="16">
        <f t="shared" ca="1" si="24"/>
        <v>2633</v>
      </c>
    </row>
    <row r="1371" spans="4:8" ht="15" thickBot="1" x14ac:dyDescent="0.35">
      <c r="D1371" s="20">
        <v>2031</v>
      </c>
      <c r="E1371" s="44">
        <v>1650</v>
      </c>
      <c r="F1371" s="44">
        <v>3850</v>
      </c>
      <c r="G1371" s="20">
        <v>0.39794625170374953</v>
      </c>
      <c r="H1371" s="16">
        <f t="shared" ca="1" si="24"/>
        <v>2305</v>
      </c>
    </row>
    <row r="1372" spans="4:8" ht="15" thickBot="1" x14ac:dyDescent="0.35">
      <c r="D1372" s="20">
        <v>1737</v>
      </c>
      <c r="E1372" s="20">
        <v>4050</v>
      </c>
      <c r="F1372" s="20">
        <v>3250</v>
      </c>
      <c r="G1372" s="20">
        <v>0.37689769098502779</v>
      </c>
      <c r="H1372" s="16">
        <f t="shared" ca="1" si="24"/>
        <v>1424</v>
      </c>
    </row>
    <row r="1373" spans="4:8" ht="15" thickBot="1" x14ac:dyDescent="0.35">
      <c r="D1373" s="20">
        <v>2318</v>
      </c>
      <c r="E1373" s="20">
        <v>3850</v>
      </c>
      <c r="F1373" s="20">
        <v>4350</v>
      </c>
      <c r="G1373" s="20">
        <v>0.4264267022738642</v>
      </c>
      <c r="H1373" s="16">
        <f t="shared" ca="1" si="24"/>
        <v>678</v>
      </c>
    </row>
    <row r="1374" spans="4:8" ht="15" thickBot="1" x14ac:dyDescent="0.35">
      <c r="D1374" s="20">
        <v>81</v>
      </c>
      <c r="E1374" s="20">
        <v>2750</v>
      </c>
      <c r="F1374" s="20">
        <v>150</v>
      </c>
      <c r="G1374" s="20">
        <v>0.20245172163984332</v>
      </c>
      <c r="H1374" s="16">
        <f t="shared" ca="1" si="24"/>
        <v>2191</v>
      </c>
    </row>
    <row r="1375" spans="4:8" ht="15" thickBot="1" x14ac:dyDescent="0.35">
      <c r="D1375" s="20">
        <v>516</v>
      </c>
      <c r="E1375" s="20">
        <v>3850</v>
      </c>
      <c r="F1375" s="20">
        <v>950</v>
      </c>
      <c r="G1375" s="20">
        <v>0.28040746371977893</v>
      </c>
      <c r="H1375" s="16">
        <f t="shared" ca="1" si="24"/>
        <v>239</v>
      </c>
    </row>
    <row r="1376" spans="4:8" ht="15" thickBot="1" x14ac:dyDescent="0.35">
      <c r="D1376" s="20">
        <v>1316</v>
      </c>
      <c r="E1376" s="20">
        <v>4350</v>
      </c>
      <c r="F1376" s="20">
        <v>2450</v>
      </c>
      <c r="G1376" s="20">
        <v>0.34675127619284368</v>
      </c>
      <c r="H1376" s="16">
        <f t="shared" ca="1" si="24"/>
        <v>1382</v>
      </c>
    </row>
    <row r="1377" spans="4:8" ht="15" thickBot="1" x14ac:dyDescent="0.35">
      <c r="D1377" s="20">
        <v>290</v>
      </c>
      <c r="E1377" s="20">
        <v>2450</v>
      </c>
      <c r="F1377" s="20">
        <v>550</v>
      </c>
      <c r="G1377" s="20">
        <v>0.25145688812463685</v>
      </c>
      <c r="H1377" s="16">
        <f t="shared" ca="1" si="24"/>
        <v>1609</v>
      </c>
    </row>
    <row r="1378" spans="4:8" ht="15" thickBot="1" x14ac:dyDescent="0.35">
      <c r="D1378" s="20">
        <v>2590</v>
      </c>
      <c r="E1378" s="20">
        <v>4550</v>
      </c>
      <c r="F1378" s="20">
        <v>4850</v>
      </c>
      <c r="G1378" s="20">
        <v>0.46433921788619476</v>
      </c>
      <c r="H1378" s="16">
        <f t="shared" ca="1" si="24"/>
        <v>409</v>
      </c>
    </row>
    <row r="1379" spans="4:8" ht="15" thickBot="1" x14ac:dyDescent="0.35">
      <c r="D1379" s="20">
        <v>1873</v>
      </c>
      <c r="E1379" s="20">
        <v>1750</v>
      </c>
      <c r="F1379" s="20">
        <v>3550</v>
      </c>
      <c r="G1379" s="20">
        <v>0.3864667766689438</v>
      </c>
      <c r="H1379" s="16">
        <f t="shared" ca="1" si="24"/>
        <v>429</v>
      </c>
    </row>
    <row r="1380" spans="4:8" ht="15" thickBot="1" x14ac:dyDescent="0.35">
      <c r="D1380" s="20">
        <v>2663</v>
      </c>
      <c r="E1380" s="43">
        <v>1250</v>
      </c>
      <c r="F1380" s="43">
        <v>5050</v>
      </c>
      <c r="G1380" s="20">
        <v>0.48190932331390857</v>
      </c>
      <c r="H1380" s="16">
        <f t="shared" ca="1" si="24"/>
        <v>1990</v>
      </c>
    </row>
    <row r="1381" spans="4:8" ht="15" thickBot="1" x14ac:dyDescent="0.35">
      <c r="D1381" s="20">
        <v>2662</v>
      </c>
      <c r="E1381" s="20">
        <v>1150</v>
      </c>
      <c r="F1381" s="20">
        <v>5050</v>
      </c>
      <c r="G1381" s="20">
        <v>0.48182086847191308</v>
      </c>
      <c r="H1381" s="16">
        <f t="shared" ca="1" si="24"/>
        <v>41</v>
      </c>
    </row>
    <row r="1382" spans="4:8" ht="15" thickBot="1" x14ac:dyDescent="0.35">
      <c r="D1382" s="20">
        <v>1108</v>
      </c>
      <c r="E1382" s="20">
        <v>4750</v>
      </c>
      <c r="F1382" s="20">
        <v>2050</v>
      </c>
      <c r="G1382" s="20">
        <v>0.33068447365162451</v>
      </c>
      <c r="H1382" s="16">
        <f t="shared" ca="1" si="24"/>
        <v>2470</v>
      </c>
    </row>
    <row r="1383" spans="4:8" ht="15" thickBot="1" x14ac:dyDescent="0.35">
      <c r="D1383" s="20">
        <v>544</v>
      </c>
      <c r="E1383" s="20">
        <v>1350</v>
      </c>
      <c r="F1383" s="20">
        <v>1050</v>
      </c>
      <c r="G1383" s="20">
        <v>0.28294923915977671</v>
      </c>
      <c r="H1383" s="16">
        <f t="shared" ca="1" si="24"/>
        <v>629</v>
      </c>
    </row>
    <row r="1384" spans="4:8" ht="15" thickBot="1" x14ac:dyDescent="0.35">
      <c r="D1384" s="20">
        <v>389</v>
      </c>
      <c r="E1384" s="20">
        <v>1750</v>
      </c>
      <c r="F1384" s="20">
        <v>750</v>
      </c>
      <c r="G1384" s="20">
        <v>0.26635242291997119</v>
      </c>
      <c r="H1384" s="16">
        <f t="shared" ca="1" si="24"/>
        <v>2665</v>
      </c>
    </row>
    <row r="1385" spans="4:8" ht="15" thickBot="1" x14ac:dyDescent="0.35">
      <c r="D1385" s="20">
        <v>1294</v>
      </c>
      <c r="E1385" s="20">
        <v>2150</v>
      </c>
      <c r="F1385" s="20">
        <v>2450</v>
      </c>
      <c r="G1385" s="20">
        <v>0.3453320669003212</v>
      </c>
      <c r="H1385" s="16">
        <f t="shared" ca="1" si="24"/>
        <v>1725</v>
      </c>
    </row>
    <row r="1386" spans="4:8" ht="15" thickBot="1" x14ac:dyDescent="0.35">
      <c r="D1386" s="20">
        <v>308</v>
      </c>
      <c r="E1386" s="20">
        <v>4250</v>
      </c>
      <c r="F1386" s="20">
        <v>550</v>
      </c>
      <c r="G1386" s="20">
        <v>0.25423199875820779</v>
      </c>
      <c r="H1386" s="16">
        <f t="shared" ca="1" si="24"/>
        <v>2051</v>
      </c>
    </row>
    <row r="1387" spans="4:8" ht="15" thickBot="1" x14ac:dyDescent="0.35">
      <c r="D1387" s="20">
        <v>529</v>
      </c>
      <c r="E1387" s="20">
        <v>5150</v>
      </c>
      <c r="F1387" s="20">
        <v>950</v>
      </c>
      <c r="G1387" s="20">
        <v>0.28166564288090506</v>
      </c>
      <c r="H1387" s="16">
        <f t="shared" ca="1" si="24"/>
        <v>272</v>
      </c>
    </row>
    <row r="1388" spans="4:8" ht="15" thickBot="1" x14ac:dyDescent="0.35">
      <c r="D1388" s="20">
        <v>153</v>
      </c>
      <c r="E1388" s="20">
        <v>4650</v>
      </c>
      <c r="F1388" s="20">
        <v>250</v>
      </c>
      <c r="G1388" s="20">
        <v>0.22291481251626452</v>
      </c>
      <c r="H1388" s="16">
        <f t="shared" ca="1" si="24"/>
        <v>154</v>
      </c>
    </row>
    <row r="1389" spans="4:8" ht="15" thickBot="1" x14ac:dyDescent="0.35">
      <c r="D1389" s="20">
        <v>1652</v>
      </c>
      <c r="E1389" s="20">
        <v>850</v>
      </c>
      <c r="F1389" s="20">
        <v>3150</v>
      </c>
      <c r="G1389" s="20">
        <v>0.37028166024253673</v>
      </c>
      <c r="H1389" s="16">
        <f t="shared" ca="1" si="24"/>
        <v>1958</v>
      </c>
    </row>
    <row r="1390" spans="4:8" ht="15" thickBot="1" x14ac:dyDescent="0.35">
      <c r="D1390" s="20">
        <v>276</v>
      </c>
      <c r="E1390" s="20">
        <v>1050</v>
      </c>
      <c r="F1390" s="20">
        <v>550</v>
      </c>
      <c r="G1390" s="20">
        <v>0.2497586170501761</v>
      </c>
      <c r="H1390" s="16">
        <f t="shared" ca="1" si="24"/>
        <v>673</v>
      </c>
    </row>
    <row r="1391" spans="4:8" ht="15" thickBot="1" x14ac:dyDescent="0.35">
      <c r="D1391" s="20">
        <v>2657</v>
      </c>
      <c r="E1391" s="20">
        <v>650</v>
      </c>
      <c r="F1391" s="20">
        <v>5050</v>
      </c>
      <c r="G1391" s="20">
        <v>0.47926803017738895</v>
      </c>
      <c r="H1391" s="16">
        <f t="shared" ca="1" si="24"/>
        <v>2527</v>
      </c>
    </row>
    <row r="1392" spans="4:8" ht="15" thickBot="1" x14ac:dyDescent="0.35">
      <c r="D1392" s="20">
        <v>1383</v>
      </c>
      <c r="E1392" s="20">
        <v>450</v>
      </c>
      <c r="F1392" s="20">
        <v>2650</v>
      </c>
      <c r="G1392" s="20">
        <v>0.35058695010407814</v>
      </c>
      <c r="H1392" s="16">
        <f t="shared" ca="1" si="24"/>
        <v>2237</v>
      </c>
    </row>
    <row r="1393" spans="4:8" ht="15" thickBot="1" x14ac:dyDescent="0.35">
      <c r="D1393" s="20">
        <v>570</v>
      </c>
      <c r="E1393" s="20">
        <v>3950</v>
      </c>
      <c r="F1393" s="20">
        <v>1050</v>
      </c>
      <c r="G1393" s="20">
        <v>0.28606286169569217</v>
      </c>
      <c r="H1393" s="16">
        <f t="shared" ca="1" si="24"/>
        <v>953</v>
      </c>
    </row>
    <row r="1394" spans="4:8" ht="15" thickBot="1" x14ac:dyDescent="0.35">
      <c r="D1394" s="20">
        <v>86</v>
      </c>
      <c r="E1394" s="20">
        <v>3250</v>
      </c>
      <c r="F1394" s="20">
        <v>150</v>
      </c>
      <c r="G1394" s="20">
        <v>0.20683717446805353</v>
      </c>
      <c r="H1394" s="16">
        <f t="shared" ca="1" si="24"/>
        <v>2613</v>
      </c>
    </row>
    <row r="1395" spans="4:8" ht="15" thickBot="1" x14ac:dyDescent="0.35">
      <c r="D1395" s="20">
        <v>2394</v>
      </c>
      <c r="E1395" s="43">
        <v>850</v>
      </c>
      <c r="F1395" s="43">
        <v>4550</v>
      </c>
      <c r="G1395" s="20">
        <v>0.43487227302364317</v>
      </c>
      <c r="H1395" s="16">
        <f t="shared" ca="1" si="24"/>
        <v>1063</v>
      </c>
    </row>
    <row r="1396" spans="4:8" ht="15" thickBot="1" x14ac:dyDescent="0.35">
      <c r="D1396" s="20">
        <v>2113</v>
      </c>
      <c r="E1396" s="20">
        <v>4550</v>
      </c>
      <c r="F1396" s="20">
        <v>3950</v>
      </c>
      <c r="G1396" s="20">
        <v>0.40751920779539208</v>
      </c>
      <c r="H1396" s="16">
        <f t="shared" ca="1" si="24"/>
        <v>1986</v>
      </c>
    </row>
    <row r="1397" spans="4:8" ht="15" thickBot="1" x14ac:dyDescent="0.35">
      <c r="D1397" s="20">
        <v>1380</v>
      </c>
      <c r="E1397" s="20">
        <v>150</v>
      </c>
      <c r="F1397" s="20">
        <v>2650</v>
      </c>
      <c r="G1397" s="20">
        <v>0.35044380106305778</v>
      </c>
      <c r="H1397" s="16">
        <f t="shared" ca="1" si="24"/>
        <v>2379</v>
      </c>
    </row>
    <row r="1398" spans="4:8" ht="15" thickBot="1" x14ac:dyDescent="0.35">
      <c r="D1398" s="20">
        <v>2631</v>
      </c>
      <c r="E1398" s="20">
        <v>3350</v>
      </c>
      <c r="F1398" s="20">
        <v>4950</v>
      </c>
      <c r="G1398" s="20">
        <v>0.47233712074992518</v>
      </c>
      <c r="H1398" s="16">
        <f t="shared" ca="1" si="24"/>
        <v>2713</v>
      </c>
    </row>
    <row r="1399" spans="4:8" ht="15" thickBot="1" x14ac:dyDescent="0.35">
      <c r="D1399" s="20">
        <v>1040</v>
      </c>
      <c r="E1399" s="44">
        <v>3250</v>
      </c>
      <c r="F1399" s="44">
        <v>1950</v>
      </c>
      <c r="G1399" s="20">
        <v>0.32524091228836438</v>
      </c>
      <c r="H1399" s="16">
        <f t="shared" ca="1" si="24"/>
        <v>2097</v>
      </c>
    </row>
    <row r="1400" spans="4:8" ht="15" thickBot="1" x14ac:dyDescent="0.35">
      <c r="D1400" s="20">
        <v>2531</v>
      </c>
      <c r="E1400" s="20">
        <v>3950</v>
      </c>
      <c r="F1400" s="20">
        <v>4750</v>
      </c>
      <c r="G1400" s="20">
        <v>0.45158588393557697</v>
      </c>
      <c r="H1400" s="16">
        <f t="shared" ca="1" si="24"/>
        <v>306</v>
      </c>
    </row>
    <row r="1401" spans="4:8" ht="15" thickBot="1" x14ac:dyDescent="0.35">
      <c r="D1401" s="20">
        <v>2658</v>
      </c>
      <c r="E1401" s="20">
        <v>750</v>
      </c>
      <c r="F1401" s="20">
        <v>5050</v>
      </c>
      <c r="G1401" s="20">
        <v>0.47940159711771502</v>
      </c>
      <c r="H1401" s="16">
        <f t="shared" ca="1" si="24"/>
        <v>331</v>
      </c>
    </row>
    <row r="1402" spans="4:8" ht="15" thickBot="1" x14ac:dyDescent="0.35">
      <c r="D1402" s="20">
        <v>1865</v>
      </c>
      <c r="E1402" s="20">
        <v>950</v>
      </c>
      <c r="F1402" s="20">
        <v>3550</v>
      </c>
      <c r="G1402" s="20">
        <v>0.38587484409748096</v>
      </c>
      <c r="H1402" s="16">
        <f t="shared" ca="1" si="24"/>
        <v>1979</v>
      </c>
    </row>
    <row r="1403" spans="4:8" ht="15" thickBot="1" x14ac:dyDescent="0.35">
      <c r="D1403" s="20">
        <v>1030</v>
      </c>
      <c r="E1403" s="20">
        <v>2250</v>
      </c>
      <c r="F1403" s="20">
        <v>1950</v>
      </c>
      <c r="G1403" s="20">
        <v>0.32425247392125567</v>
      </c>
      <c r="H1403" s="16">
        <f t="shared" ca="1" si="24"/>
        <v>751</v>
      </c>
    </row>
    <row r="1404" spans="4:8" ht="15" thickBot="1" x14ac:dyDescent="0.35">
      <c r="D1404" s="20">
        <v>1297</v>
      </c>
      <c r="E1404" s="20">
        <v>2450</v>
      </c>
      <c r="F1404" s="20">
        <v>2450</v>
      </c>
      <c r="G1404" s="20">
        <v>0.34561128517925416</v>
      </c>
      <c r="H1404" s="16">
        <f t="shared" ca="1" si="24"/>
        <v>183</v>
      </c>
    </row>
    <row r="1405" spans="4:8" ht="15" thickBot="1" x14ac:dyDescent="0.35">
      <c r="D1405" s="20">
        <v>1979</v>
      </c>
      <c r="E1405" s="20">
        <v>1750</v>
      </c>
      <c r="F1405" s="20">
        <v>3750</v>
      </c>
      <c r="G1405" s="20">
        <v>0.39425264186068931</v>
      </c>
      <c r="H1405" s="16">
        <f t="shared" ca="1" si="24"/>
        <v>2395</v>
      </c>
    </row>
    <row r="1406" spans="4:8" ht="15" thickBot="1" x14ac:dyDescent="0.35">
      <c r="D1406" s="20">
        <v>2688</v>
      </c>
      <c r="E1406" s="20">
        <v>3750</v>
      </c>
      <c r="F1406" s="20">
        <v>5050</v>
      </c>
      <c r="G1406" s="20">
        <v>0.48865405088301428</v>
      </c>
      <c r="H1406" s="16">
        <f t="shared" ca="1" si="24"/>
        <v>496</v>
      </c>
    </row>
    <row r="1407" spans="4:8" ht="15" thickBot="1" x14ac:dyDescent="0.35">
      <c r="D1407" s="20">
        <v>693</v>
      </c>
      <c r="E1407" s="20">
        <v>350</v>
      </c>
      <c r="F1407" s="20">
        <v>1350</v>
      </c>
      <c r="G1407" s="20">
        <v>0.29777511846608051</v>
      </c>
      <c r="H1407" s="16">
        <f t="shared" ca="1" si="24"/>
        <v>1862</v>
      </c>
    </row>
    <row r="1408" spans="4:8" ht="15" thickBot="1" x14ac:dyDescent="0.35">
      <c r="D1408" s="20">
        <v>579</v>
      </c>
      <c r="E1408" s="20">
        <v>4850</v>
      </c>
      <c r="F1408" s="20">
        <v>1050</v>
      </c>
      <c r="G1408" s="20">
        <v>0.28662335823739593</v>
      </c>
      <c r="H1408" s="16">
        <f t="shared" ca="1" si="24"/>
        <v>2072</v>
      </c>
    </row>
    <row r="1409" spans="4:8" ht="15" thickBot="1" x14ac:dyDescent="0.35">
      <c r="D1409" s="20">
        <v>332</v>
      </c>
      <c r="E1409" s="20">
        <v>1350</v>
      </c>
      <c r="F1409" s="20">
        <v>650</v>
      </c>
      <c r="G1409" s="20">
        <v>0.25887356445472604</v>
      </c>
      <c r="H1409" s="16">
        <f t="shared" ca="1" si="24"/>
        <v>2337</v>
      </c>
    </row>
    <row r="1410" spans="4:8" ht="15" thickBot="1" x14ac:dyDescent="0.35">
      <c r="D1410" s="20">
        <v>1015</v>
      </c>
      <c r="E1410" s="20">
        <v>750</v>
      </c>
      <c r="F1410" s="20">
        <v>1950</v>
      </c>
      <c r="G1410" s="20">
        <v>0.32332853261359884</v>
      </c>
      <c r="H1410" s="16">
        <f t="shared" ca="1" si="24"/>
        <v>477</v>
      </c>
    </row>
    <row r="1411" spans="4:8" ht="15" thickBot="1" x14ac:dyDescent="0.35">
      <c r="D1411" s="20">
        <v>2647</v>
      </c>
      <c r="E1411" s="20">
        <v>4950</v>
      </c>
      <c r="F1411" s="20">
        <v>4950</v>
      </c>
      <c r="G1411" s="20">
        <v>0.47546137939830319</v>
      </c>
      <c r="H1411" s="16">
        <f t="shared" ca="1" si="24"/>
        <v>132</v>
      </c>
    </row>
    <row r="1412" spans="4:8" ht="15" thickBot="1" x14ac:dyDescent="0.35">
      <c r="D1412" s="20">
        <v>1146</v>
      </c>
      <c r="E1412" s="20">
        <v>3250</v>
      </c>
      <c r="F1412" s="20">
        <v>2150</v>
      </c>
      <c r="G1412" s="20">
        <v>0.33388810202699154</v>
      </c>
      <c r="H1412" s="16">
        <f t="shared" ca="1" si="24"/>
        <v>1797</v>
      </c>
    </row>
    <row r="1413" spans="4:8" ht="15" thickBot="1" x14ac:dyDescent="0.35">
      <c r="D1413" s="20">
        <v>94</v>
      </c>
      <c r="E1413" s="20">
        <v>4050</v>
      </c>
      <c r="F1413" s="20">
        <v>150</v>
      </c>
      <c r="G1413" s="20">
        <v>0.208999548963474</v>
      </c>
      <c r="H1413" s="16">
        <f t="shared" ca="1" si="24"/>
        <v>1401</v>
      </c>
    </row>
    <row r="1414" spans="4:8" ht="15" thickBot="1" x14ac:dyDescent="0.35">
      <c r="D1414" s="20">
        <v>426</v>
      </c>
      <c r="E1414" s="20">
        <v>150</v>
      </c>
      <c r="F1414" s="20">
        <v>850</v>
      </c>
      <c r="G1414" s="20">
        <v>0.27053064238511204</v>
      </c>
      <c r="H1414" s="16">
        <f t="shared" ca="1" si="24"/>
        <v>2221</v>
      </c>
    </row>
    <row r="1415" spans="4:8" ht="15" thickBot="1" x14ac:dyDescent="0.35">
      <c r="D1415" s="20">
        <v>2391</v>
      </c>
      <c r="E1415" s="47">
        <v>550</v>
      </c>
      <c r="F1415" s="47">
        <v>4550</v>
      </c>
      <c r="G1415" s="20">
        <v>0.43459416537159939</v>
      </c>
      <c r="H1415" s="16">
        <f t="shared" ref="H1415:H1478" ca="1" si="25">RANDBETWEEN(1,2788)</f>
        <v>981</v>
      </c>
    </row>
    <row r="1416" spans="4:8" ht="15" thickBot="1" x14ac:dyDescent="0.35">
      <c r="D1416" s="20">
        <v>435</v>
      </c>
      <c r="E1416" s="20">
        <v>1050</v>
      </c>
      <c r="F1416" s="20">
        <v>850</v>
      </c>
      <c r="G1416" s="20">
        <v>0.27190035774407512</v>
      </c>
      <c r="H1416" s="16">
        <f t="shared" ca="1" si="25"/>
        <v>1788</v>
      </c>
    </row>
    <row r="1417" spans="4:8" ht="15" thickBot="1" x14ac:dyDescent="0.35">
      <c r="D1417" s="20">
        <v>669</v>
      </c>
      <c r="E1417" s="43">
        <v>3250</v>
      </c>
      <c r="F1417" s="43">
        <v>1250</v>
      </c>
      <c r="G1417" s="20">
        <v>0.2958485525918641</v>
      </c>
      <c r="H1417" s="16">
        <f t="shared" ca="1" si="25"/>
        <v>2558</v>
      </c>
    </row>
    <row r="1418" spans="4:8" ht="15" thickBot="1" x14ac:dyDescent="0.35">
      <c r="D1418" s="20">
        <v>864</v>
      </c>
      <c r="E1418" s="20">
        <v>1550</v>
      </c>
      <c r="F1418" s="20">
        <v>1650</v>
      </c>
      <c r="G1418" s="20">
        <v>0.31136947666988263</v>
      </c>
      <c r="H1418" s="16">
        <f t="shared" ca="1" si="25"/>
        <v>2745</v>
      </c>
    </row>
    <row r="1419" spans="4:8" ht="15" thickBot="1" x14ac:dyDescent="0.35">
      <c r="D1419" s="20">
        <v>2639</v>
      </c>
      <c r="E1419" s="20">
        <v>4150</v>
      </c>
      <c r="F1419" s="20">
        <v>4950</v>
      </c>
      <c r="G1419" s="20">
        <v>0.47371485036319688</v>
      </c>
      <c r="H1419" s="16">
        <f t="shared" ca="1" si="25"/>
        <v>2238</v>
      </c>
    </row>
    <row r="1420" spans="4:8" ht="15" thickBot="1" x14ac:dyDescent="0.35">
      <c r="D1420" s="20">
        <v>909</v>
      </c>
      <c r="E1420" s="20">
        <v>750</v>
      </c>
      <c r="F1420" s="20">
        <v>1750</v>
      </c>
      <c r="G1420" s="20">
        <v>0.31496802990292655</v>
      </c>
      <c r="H1420" s="16">
        <f t="shared" ca="1" si="25"/>
        <v>1785</v>
      </c>
    </row>
    <row r="1421" spans="4:8" ht="15" thickBot="1" x14ac:dyDescent="0.35">
      <c r="D1421" s="20">
        <v>498</v>
      </c>
      <c r="E1421" s="45">
        <v>2050</v>
      </c>
      <c r="F1421" s="45">
        <v>950</v>
      </c>
      <c r="G1421" s="20">
        <v>0.27818367874928984</v>
      </c>
      <c r="H1421" s="16">
        <f t="shared" ca="1" si="25"/>
        <v>1788</v>
      </c>
    </row>
    <row r="1422" spans="4:8" ht="15" thickBot="1" x14ac:dyDescent="0.35">
      <c r="D1422" s="20">
        <v>1523</v>
      </c>
      <c r="E1422" s="20">
        <v>3850</v>
      </c>
      <c r="F1422" s="20">
        <v>2850</v>
      </c>
      <c r="G1422" s="20">
        <v>0.36138017431233355</v>
      </c>
      <c r="H1422" s="16">
        <f t="shared" ca="1" si="25"/>
        <v>767</v>
      </c>
    </row>
    <row r="1423" spans="4:8" ht="15" thickBot="1" x14ac:dyDescent="0.35">
      <c r="D1423" s="20">
        <v>2515</v>
      </c>
      <c r="E1423" s="48">
        <v>2350</v>
      </c>
      <c r="F1423" s="48">
        <v>4750</v>
      </c>
      <c r="G1423" s="20">
        <v>0.44932535186957057</v>
      </c>
      <c r="H1423" s="16">
        <f t="shared" ca="1" si="25"/>
        <v>1142</v>
      </c>
    </row>
    <row r="1424" spans="4:8" ht="15" thickBot="1" x14ac:dyDescent="0.35">
      <c r="D1424" s="20">
        <v>1168</v>
      </c>
      <c r="E1424" s="20">
        <v>150</v>
      </c>
      <c r="F1424" s="20">
        <v>2250</v>
      </c>
      <c r="G1424" s="20">
        <v>0.33560846204802819</v>
      </c>
      <c r="H1424" s="16">
        <f t="shared" ca="1" si="25"/>
        <v>1071</v>
      </c>
    </row>
    <row r="1425" spans="4:8" ht="15" thickBot="1" x14ac:dyDescent="0.35">
      <c r="D1425" s="20">
        <v>2467</v>
      </c>
      <c r="E1425" s="20">
        <v>2850</v>
      </c>
      <c r="F1425" s="20">
        <v>4650</v>
      </c>
      <c r="G1425" s="20">
        <v>0.44267969371195859</v>
      </c>
      <c r="H1425" s="16">
        <f t="shared" ca="1" si="25"/>
        <v>2409</v>
      </c>
    </row>
    <row r="1426" spans="4:8" ht="15" thickBot="1" x14ac:dyDescent="0.35">
      <c r="D1426" s="20">
        <v>289</v>
      </c>
      <c r="E1426" s="20">
        <v>2350</v>
      </c>
      <c r="F1426" s="20">
        <v>550</v>
      </c>
      <c r="G1426" s="20">
        <v>0.25145685181310629</v>
      </c>
      <c r="H1426" s="16">
        <f t="shared" ca="1" si="25"/>
        <v>996</v>
      </c>
    </row>
    <row r="1427" spans="4:8" ht="15" thickBot="1" x14ac:dyDescent="0.35">
      <c r="D1427" s="20">
        <v>95</v>
      </c>
      <c r="E1427" s="20">
        <v>4150</v>
      </c>
      <c r="F1427" s="20">
        <v>150</v>
      </c>
      <c r="G1427" s="20">
        <v>0.20939397021043538</v>
      </c>
      <c r="H1427" s="16">
        <f t="shared" ca="1" si="25"/>
        <v>1498</v>
      </c>
    </row>
    <row r="1428" spans="4:8" ht="15" thickBot="1" x14ac:dyDescent="0.35">
      <c r="D1428" s="20">
        <v>2651</v>
      </c>
      <c r="E1428" s="20">
        <v>50</v>
      </c>
      <c r="F1428" s="20">
        <v>5050</v>
      </c>
      <c r="G1428" s="20">
        <v>0.4775667339488695</v>
      </c>
      <c r="H1428" s="16">
        <f t="shared" ca="1" si="25"/>
        <v>1832</v>
      </c>
    </row>
    <row r="1429" spans="4:8" ht="15" thickBot="1" x14ac:dyDescent="0.35">
      <c r="D1429" s="20">
        <v>707</v>
      </c>
      <c r="E1429" s="20">
        <v>1750</v>
      </c>
      <c r="F1429" s="20">
        <v>1350</v>
      </c>
      <c r="G1429" s="20">
        <v>0.29900469328965584</v>
      </c>
      <c r="H1429" s="16">
        <f t="shared" ca="1" si="25"/>
        <v>1132</v>
      </c>
    </row>
    <row r="1430" spans="4:8" ht="15" thickBot="1" x14ac:dyDescent="0.35">
      <c r="D1430" s="20">
        <v>234</v>
      </c>
      <c r="E1430" s="20">
        <v>2150</v>
      </c>
      <c r="F1430" s="20">
        <v>450</v>
      </c>
      <c r="G1430" s="20">
        <v>0.24291821232292082</v>
      </c>
      <c r="H1430" s="16">
        <f t="shared" ca="1" si="25"/>
        <v>1975</v>
      </c>
    </row>
    <row r="1431" spans="4:8" ht="15" thickBot="1" x14ac:dyDescent="0.35">
      <c r="D1431" s="20">
        <v>2619</v>
      </c>
      <c r="E1431" s="20">
        <v>2150</v>
      </c>
      <c r="F1431" s="20">
        <v>4950</v>
      </c>
      <c r="G1431" s="20">
        <v>0.46937290951516919</v>
      </c>
      <c r="H1431" s="16">
        <f t="shared" ca="1" si="25"/>
        <v>1423</v>
      </c>
    </row>
    <row r="1432" spans="4:8" ht="15" thickBot="1" x14ac:dyDescent="0.35">
      <c r="D1432" s="20">
        <v>2048</v>
      </c>
      <c r="E1432" s="20">
        <v>3350</v>
      </c>
      <c r="F1432" s="20">
        <v>3850</v>
      </c>
      <c r="G1432" s="20">
        <v>0.39938846940587924</v>
      </c>
      <c r="H1432" s="16">
        <f t="shared" ca="1" si="25"/>
        <v>1280</v>
      </c>
    </row>
    <row r="1433" spans="4:8" ht="15" thickBot="1" x14ac:dyDescent="0.35">
      <c r="D1433" s="20">
        <v>1036</v>
      </c>
      <c r="E1433" s="20">
        <v>2850</v>
      </c>
      <c r="F1433" s="20">
        <v>1950</v>
      </c>
      <c r="G1433" s="20">
        <v>0.32472270174385198</v>
      </c>
      <c r="H1433" s="16">
        <f t="shared" ca="1" si="25"/>
        <v>169</v>
      </c>
    </row>
    <row r="1434" spans="4:8" ht="15" thickBot="1" x14ac:dyDescent="0.35">
      <c r="D1434" s="20">
        <v>2053</v>
      </c>
      <c r="E1434" s="20">
        <v>3850</v>
      </c>
      <c r="F1434" s="20">
        <v>3850</v>
      </c>
      <c r="G1434" s="20">
        <v>0.39987045955356726</v>
      </c>
      <c r="H1434" s="16">
        <f t="shared" ca="1" si="25"/>
        <v>412</v>
      </c>
    </row>
    <row r="1435" spans="4:8" ht="15" thickBot="1" x14ac:dyDescent="0.35">
      <c r="D1435" s="20">
        <v>677</v>
      </c>
      <c r="E1435" s="20">
        <v>4050</v>
      </c>
      <c r="F1435" s="20">
        <v>1250</v>
      </c>
      <c r="G1435" s="20">
        <v>0.29627869253015665</v>
      </c>
      <c r="H1435" s="16">
        <f t="shared" ca="1" si="25"/>
        <v>796</v>
      </c>
    </row>
    <row r="1436" spans="4:8" ht="15" thickBot="1" x14ac:dyDescent="0.35">
      <c r="D1436" s="20">
        <v>2587</v>
      </c>
      <c r="E1436" s="20">
        <v>4250</v>
      </c>
      <c r="F1436" s="20">
        <v>4850</v>
      </c>
      <c r="G1436" s="20">
        <v>0.46403991224446844</v>
      </c>
      <c r="H1436" s="16">
        <f t="shared" ca="1" si="25"/>
        <v>532</v>
      </c>
    </row>
    <row r="1437" spans="4:8" ht="15" thickBot="1" x14ac:dyDescent="0.35">
      <c r="D1437" s="20">
        <v>445</v>
      </c>
      <c r="E1437" s="45">
        <v>2050</v>
      </c>
      <c r="F1437" s="45">
        <v>850</v>
      </c>
      <c r="G1437" s="20">
        <v>0.27284845157121729</v>
      </c>
      <c r="H1437" s="16">
        <f t="shared" ca="1" si="25"/>
        <v>392</v>
      </c>
    </row>
    <row r="1438" spans="4:8" ht="15" thickBot="1" x14ac:dyDescent="0.35">
      <c r="D1438" s="20">
        <v>2119</v>
      </c>
      <c r="E1438" s="20">
        <v>5150</v>
      </c>
      <c r="F1438" s="20">
        <v>3950</v>
      </c>
      <c r="G1438" s="20">
        <v>0.40803860036522893</v>
      </c>
      <c r="H1438" s="16">
        <f t="shared" ca="1" si="25"/>
        <v>109</v>
      </c>
    </row>
    <row r="1439" spans="4:8" ht="15" thickBot="1" x14ac:dyDescent="0.35">
      <c r="D1439" s="20">
        <v>812</v>
      </c>
      <c r="E1439" s="43">
        <v>1650</v>
      </c>
      <c r="F1439" s="43">
        <v>1550</v>
      </c>
      <c r="G1439" s="20">
        <v>0.30763578964422028</v>
      </c>
      <c r="H1439" s="16">
        <f t="shared" ca="1" si="25"/>
        <v>1959</v>
      </c>
    </row>
    <row r="1440" spans="4:8" ht="15" thickBot="1" x14ac:dyDescent="0.35">
      <c r="D1440" s="20">
        <v>2588</v>
      </c>
      <c r="E1440" s="20">
        <v>4350</v>
      </c>
      <c r="F1440" s="20">
        <v>4850</v>
      </c>
      <c r="G1440" s="20">
        <v>0.46409779577346433</v>
      </c>
      <c r="H1440" s="16">
        <f t="shared" ca="1" si="25"/>
        <v>572</v>
      </c>
    </row>
    <row r="1441" spans="4:8" ht="15" thickBot="1" x14ac:dyDescent="0.35">
      <c r="D1441" s="20">
        <v>603</v>
      </c>
      <c r="E1441" s="20">
        <v>1950</v>
      </c>
      <c r="F1441" s="20">
        <v>1150</v>
      </c>
      <c r="G1441" s="20">
        <v>0.28921798856325981</v>
      </c>
      <c r="H1441" s="16">
        <f t="shared" ca="1" si="25"/>
        <v>757</v>
      </c>
    </row>
    <row r="1442" spans="4:8" ht="15" thickBot="1" x14ac:dyDescent="0.35">
      <c r="D1442" s="20">
        <v>2563</v>
      </c>
      <c r="E1442" s="20">
        <v>1850</v>
      </c>
      <c r="F1442" s="20">
        <v>4850</v>
      </c>
      <c r="G1442" s="20">
        <v>0.45829233061189778</v>
      </c>
      <c r="H1442" s="16">
        <f t="shared" ca="1" si="25"/>
        <v>2197</v>
      </c>
    </row>
    <row r="1443" spans="4:8" ht="15" thickBot="1" x14ac:dyDescent="0.35">
      <c r="D1443" s="20">
        <v>2532</v>
      </c>
      <c r="E1443" s="20">
        <v>4050</v>
      </c>
      <c r="F1443" s="20">
        <v>4750</v>
      </c>
      <c r="G1443" s="20">
        <v>0.45190530746805563</v>
      </c>
      <c r="H1443" s="16">
        <f t="shared" ca="1" si="25"/>
        <v>923</v>
      </c>
    </row>
    <row r="1444" spans="4:8" ht="15" thickBot="1" x14ac:dyDescent="0.35">
      <c r="D1444" s="20">
        <v>231</v>
      </c>
      <c r="E1444" s="20">
        <v>1850</v>
      </c>
      <c r="F1444" s="20">
        <v>450</v>
      </c>
      <c r="G1444" s="20">
        <v>0.24226821080574695</v>
      </c>
      <c r="H1444" s="16">
        <f t="shared" ca="1" si="25"/>
        <v>1515</v>
      </c>
    </row>
    <row r="1445" spans="4:8" ht="15" thickBot="1" x14ac:dyDescent="0.35">
      <c r="D1445" s="20">
        <v>832</v>
      </c>
      <c r="E1445" s="20">
        <v>3650</v>
      </c>
      <c r="F1445" s="20">
        <v>1550</v>
      </c>
      <c r="G1445" s="20">
        <v>0.30892943465041744</v>
      </c>
      <c r="H1445" s="16">
        <f t="shared" ca="1" si="25"/>
        <v>1381</v>
      </c>
    </row>
    <row r="1446" spans="4:8" ht="15" thickBot="1" x14ac:dyDescent="0.35">
      <c r="D1446" s="20">
        <v>811</v>
      </c>
      <c r="E1446" s="20">
        <v>1550</v>
      </c>
      <c r="F1446" s="20">
        <v>1550</v>
      </c>
      <c r="G1446" s="20">
        <v>0.30745106968236546</v>
      </c>
      <c r="H1446" s="16">
        <f t="shared" ca="1" si="25"/>
        <v>1965</v>
      </c>
    </row>
    <row r="1447" spans="4:8" ht="15" thickBot="1" x14ac:dyDescent="0.35">
      <c r="D1447" s="20">
        <v>484</v>
      </c>
      <c r="E1447" s="20">
        <v>650</v>
      </c>
      <c r="F1447" s="20">
        <v>950</v>
      </c>
      <c r="G1447" s="20">
        <v>0.27692286308941605</v>
      </c>
      <c r="H1447" s="16">
        <f t="shared" ca="1" si="25"/>
        <v>2611</v>
      </c>
    </row>
    <row r="1448" spans="4:8" ht="15" thickBot="1" x14ac:dyDescent="0.35">
      <c r="D1448" s="20">
        <v>1304</v>
      </c>
      <c r="E1448" s="20">
        <v>3150</v>
      </c>
      <c r="F1448" s="20">
        <v>2450</v>
      </c>
      <c r="G1448" s="20">
        <v>0.34581574638088558</v>
      </c>
      <c r="H1448" s="16">
        <f t="shared" ca="1" si="25"/>
        <v>1359</v>
      </c>
    </row>
    <row r="1449" spans="4:8" ht="15" thickBot="1" x14ac:dyDescent="0.35">
      <c r="D1449" s="20">
        <v>1988</v>
      </c>
      <c r="E1449" s="20">
        <v>2650</v>
      </c>
      <c r="F1449" s="20">
        <v>3750</v>
      </c>
      <c r="G1449" s="20">
        <v>0.39481146984797655</v>
      </c>
      <c r="H1449" s="16">
        <f t="shared" ca="1" si="25"/>
        <v>547</v>
      </c>
    </row>
    <row r="1450" spans="4:8" ht="15" thickBot="1" x14ac:dyDescent="0.35">
      <c r="D1450" s="20">
        <v>315</v>
      </c>
      <c r="E1450" s="20">
        <v>4950</v>
      </c>
      <c r="F1450" s="20">
        <v>550</v>
      </c>
      <c r="G1450" s="20">
        <v>0.25578468243325836</v>
      </c>
      <c r="H1450" s="16">
        <f t="shared" ca="1" si="25"/>
        <v>2512</v>
      </c>
    </row>
    <row r="1451" spans="4:8" ht="15" thickBot="1" x14ac:dyDescent="0.35">
      <c r="D1451" s="20">
        <v>817</v>
      </c>
      <c r="E1451" s="20">
        <v>2150</v>
      </c>
      <c r="F1451" s="20">
        <v>1550</v>
      </c>
      <c r="G1451" s="20">
        <v>0.3079888724614106</v>
      </c>
      <c r="H1451" s="16">
        <f t="shared" ca="1" si="25"/>
        <v>2020</v>
      </c>
    </row>
    <row r="1452" spans="4:8" ht="15" thickBot="1" x14ac:dyDescent="0.35">
      <c r="D1452" s="20">
        <v>2257</v>
      </c>
      <c r="E1452" s="20">
        <v>3050</v>
      </c>
      <c r="F1452" s="20">
        <v>4250</v>
      </c>
      <c r="G1452" s="20">
        <v>0.42089543261720586</v>
      </c>
      <c r="H1452" s="16">
        <f t="shared" ca="1" si="25"/>
        <v>1033</v>
      </c>
    </row>
    <row r="1453" spans="4:8" ht="15" thickBot="1" x14ac:dyDescent="0.35">
      <c r="D1453" s="20">
        <v>2520</v>
      </c>
      <c r="E1453" s="20">
        <v>2850</v>
      </c>
      <c r="F1453" s="20">
        <v>4750</v>
      </c>
      <c r="G1453" s="20">
        <v>0.44988642565595605</v>
      </c>
      <c r="H1453" s="16">
        <f t="shared" ca="1" si="25"/>
        <v>470</v>
      </c>
    </row>
    <row r="1454" spans="4:8" ht="15" thickBot="1" x14ac:dyDescent="0.35">
      <c r="D1454" s="20">
        <v>96</v>
      </c>
      <c r="E1454" s="20">
        <v>4250</v>
      </c>
      <c r="F1454" s="20">
        <v>150</v>
      </c>
      <c r="G1454" s="20">
        <v>0.20943330569272753</v>
      </c>
      <c r="H1454" s="16">
        <f t="shared" ca="1" si="25"/>
        <v>2761</v>
      </c>
    </row>
    <row r="1455" spans="4:8" ht="15" thickBot="1" x14ac:dyDescent="0.35">
      <c r="D1455" s="20">
        <v>2706</v>
      </c>
      <c r="E1455" s="20">
        <v>250</v>
      </c>
      <c r="F1455" s="20">
        <v>5150</v>
      </c>
      <c r="G1455" s="20">
        <v>0.49645676829179486</v>
      </c>
      <c r="H1455" s="16">
        <f t="shared" ca="1" si="25"/>
        <v>1979</v>
      </c>
    </row>
    <row r="1456" spans="4:8" ht="15" thickBot="1" x14ac:dyDescent="0.35">
      <c r="D1456" s="20">
        <v>1933</v>
      </c>
      <c r="E1456" s="20">
        <v>2450</v>
      </c>
      <c r="F1456" s="20">
        <v>3650</v>
      </c>
      <c r="G1456" s="20">
        <v>0.39021686562869778</v>
      </c>
      <c r="H1456" s="16">
        <f t="shared" ca="1" si="25"/>
        <v>2673</v>
      </c>
    </row>
    <row r="1457" spans="4:8" ht="15" thickBot="1" x14ac:dyDescent="0.35">
      <c r="D1457" s="20">
        <v>1761</v>
      </c>
      <c r="E1457" s="20">
        <v>1150</v>
      </c>
      <c r="F1457" s="20">
        <v>3350</v>
      </c>
      <c r="G1457" s="20">
        <v>0.37838907097235081</v>
      </c>
      <c r="H1457" s="16">
        <f t="shared" ca="1" si="25"/>
        <v>1348</v>
      </c>
    </row>
    <row r="1458" spans="4:8" ht="15" thickBot="1" x14ac:dyDescent="0.35">
      <c r="D1458" s="20">
        <v>2464</v>
      </c>
      <c r="E1458" s="20">
        <v>2550</v>
      </c>
      <c r="F1458" s="20">
        <v>4650</v>
      </c>
      <c r="G1458" s="20">
        <v>0.44226733490148684</v>
      </c>
      <c r="H1458" s="16">
        <f t="shared" ca="1" si="25"/>
        <v>1170</v>
      </c>
    </row>
    <row r="1459" spans="4:8" ht="15" thickBot="1" x14ac:dyDescent="0.35">
      <c r="D1459" s="20">
        <v>392</v>
      </c>
      <c r="E1459" s="20">
        <v>2050</v>
      </c>
      <c r="F1459" s="20">
        <v>750</v>
      </c>
      <c r="G1459" s="20">
        <v>0.26642930043043117</v>
      </c>
      <c r="H1459" s="16">
        <f t="shared" ca="1" si="25"/>
        <v>1187</v>
      </c>
    </row>
    <row r="1460" spans="4:8" ht="15" thickBot="1" x14ac:dyDescent="0.35">
      <c r="D1460" s="20">
        <v>2634</v>
      </c>
      <c r="E1460" s="20">
        <v>3650</v>
      </c>
      <c r="F1460" s="20">
        <v>4950</v>
      </c>
      <c r="G1460" s="20">
        <v>0.47286541613769445</v>
      </c>
      <c r="H1460" s="16">
        <f t="shared" ca="1" si="25"/>
        <v>60</v>
      </c>
    </row>
    <row r="1461" spans="4:8" ht="15" thickBot="1" x14ac:dyDescent="0.35">
      <c r="D1461" s="20">
        <v>150</v>
      </c>
      <c r="E1461" s="20">
        <v>4350</v>
      </c>
      <c r="F1461" s="20">
        <v>250</v>
      </c>
      <c r="G1461" s="20">
        <v>0.22251399614932713</v>
      </c>
      <c r="H1461" s="16">
        <f t="shared" ca="1" si="25"/>
        <v>79</v>
      </c>
    </row>
    <row r="1462" spans="4:8" ht="15" thickBot="1" x14ac:dyDescent="0.35">
      <c r="D1462" s="20">
        <v>1572</v>
      </c>
      <c r="E1462" s="48">
        <v>3450</v>
      </c>
      <c r="F1462" s="48">
        <v>2950</v>
      </c>
      <c r="G1462" s="20">
        <v>0.36482839270708073</v>
      </c>
      <c r="H1462" s="16">
        <f t="shared" ca="1" si="25"/>
        <v>1118</v>
      </c>
    </row>
    <row r="1463" spans="4:8" ht="15" thickBot="1" x14ac:dyDescent="0.35">
      <c r="D1463" s="20">
        <v>2718</v>
      </c>
      <c r="E1463" s="20">
        <v>1450</v>
      </c>
      <c r="F1463" s="20">
        <v>5150</v>
      </c>
      <c r="G1463" s="20">
        <v>0.50157129228815278</v>
      </c>
      <c r="H1463" s="16">
        <f t="shared" ca="1" si="25"/>
        <v>1145</v>
      </c>
    </row>
    <row r="1464" spans="4:8" ht="15" thickBot="1" x14ac:dyDescent="0.35">
      <c r="D1464" s="20">
        <v>1998</v>
      </c>
      <c r="E1464" s="20">
        <v>3650</v>
      </c>
      <c r="F1464" s="20">
        <v>3750</v>
      </c>
      <c r="G1464" s="20">
        <v>0.39537520684574912</v>
      </c>
      <c r="H1464" s="16">
        <f t="shared" ca="1" si="25"/>
        <v>309</v>
      </c>
    </row>
    <row r="1465" spans="4:8" ht="15" thickBot="1" x14ac:dyDescent="0.35">
      <c r="D1465" s="20">
        <v>1394</v>
      </c>
      <c r="E1465" s="20">
        <v>1550</v>
      </c>
      <c r="F1465" s="20">
        <v>2650</v>
      </c>
      <c r="G1465" s="20">
        <v>0.35150172053451484</v>
      </c>
      <c r="H1465" s="16">
        <f t="shared" ca="1" si="25"/>
        <v>2768</v>
      </c>
    </row>
    <row r="1466" spans="4:8" ht="15" thickBot="1" x14ac:dyDescent="0.35">
      <c r="D1466" s="20">
        <v>2390</v>
      </c>
      <c r="E1466" s="20">
        <v>450</v>
      </c>
      <c r="F1466" s="20">
        <v>4550</v>
      </c>
      <c r="G1466" s="20">
        <v>0.43437274472304893</v>
      </c>
      <c r="H1466" s="16">
        <f t="shared" ca="1" si="25"/>
        <v>1223</v>
      </c>
    </row>
    <row r="1467" spans="4:8" ht="15" thickBot="1" x14ac:dyDescent="0.35">
      <c r="D1467" s="20">
        <v>1038</v>
      </c>
      <c r="E1467" s="20">
        <v>3050</v>
      </c>
      <c r="F1467" s="20">
        <v>1950</v>
      </c>
      <c r="G1467" s="20">
        <v>0.32513005727551297</v>
      </c>
      <c r="H1467" s="16">
        <f t="shared" ca="1" si="25"/>
        <v>1437</v>
      </c>
    </row>
    <row r="1468" spans="4:8" ht="15" thickBot="1" x14ac:dyDescent="0.35">
      <c r="D1468" s="20">
        <v>1101</v>
      </c>
      <c r="E1468" s="20">
        <v>4050</v>
      </c>
      <c r="F1468" s="20">
        <v>2050</v>
      </c>
      <c r="G1468" s="20">
        <v>0.33027901299276163</v>
      </c>
      <c r="H1468" s="16">
        <f t="shared" ca="1" si="25"/>
        <v>885</v>
      </c>
    </row>
    <row r="1469" spans="4:8" ht="15" thickBot="1" x14ac:dyDescent="0.35">
      <c r="D1469" s="20">
        <v>1902</v>
      </c>
      <c r="E1469" s="20">
        <v>4650</v>
      </c>
      <c r="F1469" s="20">
        <v>3550</v>
      </c>
      <c r="G1469" s="20">
        <v>0.38846600721442159</v>
      </c>
      <c r="H1469" s="16">
        <f t="shared" ca="1" si="25"/>
        <v>899</v>
      </c>
    </row>
    <row r="1470" spans="4:8" ht="15" thickBot="1" x14ac:dyDescent="0.35">
      <c r="D1470" s="20">
        <v>1894</v>
      </c>
      <c r="E1470" s="20">
        <v>3850</v>
      </c>
      <c r="F1470" s="20">
        <v>3550</v>
      </c>
      <c r="G1470" s="20">
        <v>0.38794974120333614</v>
      </c>
      <c r="H1470" s="16">
        <f t="shared" ca="1" si="25"/>
        <v>2713</v>
      </c>
    </row>
    <row r="1471" spans="4:8" ht="15" thickBot="1" x14ac:dyDescent="0.35">
      <c r="D1471" s="20">
        <v>599</v>
      </c>
      <c r="E1471" s="20">
        <v>1550</v>
      </c>
      <c r="F1471" s="20">
        <v>1150</v>
      </c>
      <c r="G1471" s="20">
        <v>0.28895169377246888</v>
      </c>
      <c r="H1471" s="16">
        <f t="shared" ca="1" si="25"/>
        <v>1795</v>
      </c>
    </row>
    <row r="1472" spans="4:8" ht="15" thickBot="1" x14ac:dyDescent="0.35">
      <c r="D1472" s="20">
        <v>771</v>
      </c>
      <c r="E1472" s="20">
        <v>2850</v>
      </c>
      <c r="F1472" s="20">
        <v>1450</v>
      </c>
      <c r="G1472" s="20">
        <v>0.30404816366457882</v>
      </c>
      <c r="H1472" s="16">
        <f t="shared" ca="1" si="25"/>
        <v>40</v>
      </c>
    </row>
    <row r="1473" spans="4:8" ht="15" thickBot="1" x14ac:dyDescent="0.35">
      <c r="D1473" s="20">
        <v>873</v>
      </c>
      <c r="E1473" s="20">
        <v>2450</v>
      </c>
      <c r="F1473" s="20">
        <v>1650</v>
      </c>
      <c r="G1473" s="20">
        <v>0.31227534945894059</v>
      </c>
      <c r="H1473" s="16">
        <f t="shared" ca="1" si="25"/>
        <v>3</v>
      </c>
    </row>
    <row r="1474" spans="4:8" ht="15" thickBot="1" x14ac:dyDescent="0.35">
      <c r="D1474" s="20">
        <v>1598</v>
      </c>
      <c r="E1474" s="20">
        <v>750</v>
      </c>
      <c r="F1474" s="20">
        <v>3050</v>
      </c>
      <c r="G1474" s="20">
        <v>0.36669347981249706</v>
      </c>
      <c r="H1474" s="16">
        <f t="shared" ca="1" si="25"/>
        <v>1306</v>
      </c>
    </row>
    <row r="1475" spans="4:8" ht="15" thickBot="1" x14ac:dyDescent="0.35">
      <c r="D1475" s="20">
        <v>1695</v>
      </c>
      <c r="E1475" s="20">
        <v>5150</v>
      </c>
      <c r="F1475" s="20">
        <v>3150</v>
      </c>
      <c r="G1475" s="20">
        <v>0.37379178281322195</v>
      </c>
      <c r="H1475" s="16">
        <f t="shared" ca="1" si="25"/>
        <v>1540</v>
      </c>
    </row>
    <row r="1476" spans="4:8" ht="15" thickBot="1" x14ac:dyDescent="0.35">
      <c r="D1476" s="20">
        <v>2132</v>
      </c>
      <c r="E1476" s="20">
        <v>1150</v>
      </c>
      <c r="F1476" s="20">
        <v>4050</v>
      </c>
      <c r="G1476" s="20">
        <v>0.40865044229632763</v>
      </c>
      <c r="H1476" s="16">
        <f t="shared" ca="1" si="25"/>
        <v>427</v>
      </c>
    </row>
    <row r="1477" spans="4:8" ht="15" thickBot="1" x14ac:dyDescent="0.35">
      <c r="D1477" s="20">
        <v>2566</v>
      </c>
      <c r="E1477" s="20">
        <v>2150</v>
      </c>
      <c r="F1477" s="20">
        <v>4850</v>
      </c>
      <c r="G1477" s="20">
        <v>0.45888394760442008</v>
      </c>
      <c r="H1477" s="16">
        <f t="shared" ca="1" si="25"/>
        <v>620</v>
      </c>
    </row>
    <row r="1478" spans="4:8" ht="15" thickBot="1" x14ac:dyDescent="0.35">
      <c r="D1478" s="20">
        <v>1977</v>
      </c>
      <c r="E1478" s="20">
        <v>1550</v>
      </c>
      <c r="F1478" s="20">
        <v>3750</v>
      </c>
      <c r="G1478" s="20">
        <v>0.3939899549733577</v>
      </c>
      <c r="H1478" s="16">
        <f t="shared" ca="1" si="25"/>
        <v>70</v>
      </c>
    </row>
    <row r="1479" spans="4:8" ht="15" thickBot="1" x14ac:dyDescent="0.35">
      <c r="D1479" s="20">
        <v>1554</v>
      </c>
      <c r="E1479" s="20">
        <v>1650</v>
      </c>
      <c r="F1479" s="20">
        <v>2950</v>
      </c>
      <c r="G1479" s="20">
        <v>0.36379097363161256</v>
      </c>
      <c r="H1479" s="16">
        <f t="shared" ref="H1479:H1542" ca="1" si="26">RANDBETWEEN(1,2788)</f>
        <v>2751</v>
      </c>
    </row>
    <row r="1480" spans="4:8" ht="15" thickBot="1" x14ac:dyDescent="0.35">
      <c r="D1480" s="20">
        <v>2002</v>
      </c>
      <c r="E1480" s="20">
        <v>4050</v>
      </c>
      <c r="F1480" s="20">
        <v>3750</v>
      </c>
      <c r="G1480" s="20">
        <v>0.39586885930110699</v>
      </c>
      <c r="H1480" s="16">
        <f t="shared" ca="1" si="26"/>
        <v>2161</v>
      </c>
    </row>
    <row r="1481" spans="4:8" ht="15" thickBot="1" x14ac:dyDescent="0.35">
      <c r="D1481" s="20">
        <v>1109</v>
      </c>
      <c r="E1481" s="20">
        <v>4850</v>
      </c>
      <c r="F1481" s="20">
        <v>2050</v>
      </c>
      <c r="G1481" s="20">
        <v>0.33076541155777778</v>
      </c>
      <c r="H1481" s="16">
        <f t="shared" ca="1" si="26"/>
        <v>2448</v>
      </c>
    </row>
    <row r="1482" spans="4:8" ht="15" thickBot="1" x14ac:dyDescent="0.35">
      <c r="D1482" s="20">
        <v>360</v>
      </c>
      <c r="E1482" s="20">
        <v>4150</v>
      </c>
      <c r="F1482" s="20">
        <v>650</v>
      </c>
      <c r="G1482" s="20">
        <v>0.26207169336706071</v>
      </c>
      <c r="H1482" s="16">
        <f t="shared" ca="1" si="26"/>
        <v>1877</v>
      </c>
    </row>
    <row r="1483" spans="4:8" ht="15" thickBot="1" x14ac:dyDescent="0.35">
      <c r="D1483" s="20">
        <v>2201</v>
      </c>
      <c r="E1483" s="20">
        <v>2750</v>
      </c>
      <c r="F1483" s="20">
        <v>4150</v>
      </c>
      <c r="G1483" s="20">
        <v>0.41493873966822925</v>
      </c>
      <c r="H1483" s="16">
        <f t="shared" ca="1" si="26"/>
        <v>1517</v>
      </c>
    </row>
    <row r="1484" spans="4:8" ht="15" thickBot="1" x14ac:dyDescent="0.35">
      <c r="D1484" s="20">
        <v>298</v>
      </c>
      <c r="E1484" s="20">
        <v>3250</v>
      </c>
      <c r="F1484" s="20">
        <v>550</v>
      </c>
      <c r="G1484" s="20">
        <v>0.2527184150261082</v>
      </c>
      <c r="H1484" s="16">
        <f t="shared" ca="1" si="26"/>
        <v>30</v>
      </c>
    </row>
    <row r="1485" spans="4:8" ht="15" thickBot="1" x14ac:dyDescent="0.35">
      <c r="D1485" s="20">
        <v>756</v>
      </c>
      <c r="E1485" s="20">
        <v>1350</v>
      </c>
      <c r="F1485" s="20">
        <v>1450</v>
      </c>
      <c r="G1485" s="20">
        <v>0.30255805681271469</v>
      </c>
      <c r="H1485" s="16">
        <f t="shared" ca="1" si="26"/>
        <v>975</v>
      </c>
    </row>
    <row r="1486" spans="4:8" ht="15" thickBot="1" x14ac:dyDescent="0.35">
      <c r="D1486" s="20">
        <v>1904</v>
      </c>
      <c r="E1486" s="20">
        <v>4850</v>
      </c>
      <c r="F1486" s="20">
        <v>3550</v>
      </c>
      <c r="G1486" s="20">
        <v>0.38850502380457647</v>
      </c>
      <c r="H1486" s="16">
        <f t="shared" ca="1" si="26"/>
        <v>561</v>
      </c>
    </row>
    <row r="1487" spans="4:8" ht="15" thickBot="1" x14ac:dyDescent="0.35">
      <c r="D1487" s="20">
        <v>1835</v>
      </c>
      <c r="E1487" s="20">
        <v>3250</v>
      </c>
      <c r="F1487" s="20">
        <v>3450</v>
      </c>
      <c r="G1487" s="20">
        <v>0.38338473273548246</v>
      </c>
      <c r="H1487" s="16">
        <f t="shared" ca="1" si="26"/>
        <v>425</v>
      </c>
    </row>
    <row r="1488" spans="4:8" ht="15" thickBot="1" x14ac:dyDescent="0.35">
      <c r="D1488" s="20">
        <v>1690</v>
      </c>
      <c r="E1488" s="20">
        <v>4650</v>
      </c>
      <c r="F1488" s="20">
        <v>3150</v>
      </c>
      <c r="G1488" s="20">
        <v>0.37350162529862602</v>
      </c>
      <c r="H1488" s="16">
        <f t="shared" ca="1" si="26"/>
        <v>2247</v>
      </c>
    </row>
    <row r="1489" spans="4:8" ht="15" thickBot="1" x14ac:dyDescent="0.35">
      <c r="D1489" s="20">
        <v>255</v>
      </c>
      <c r="E1489" s="20">
        <v>4250</v>
      </c>
      <c r="F1489" s="20">
        <v>450</v>
      </c>
      <c r="G1489" s="20">
        <v>0.24555959688515211</v>
      </c>
      <c r="H1489" s="16">
        <f t="shared" ca="1" si="26"/>
        <v>1707</v>
      </c>
    </row>
    <row r="1490" spans="4:8" ht="15" thickBot="1" x14ac:dyDescent="0.35">
      <c r="D1490" s="20">
        <v>1398</v>
      </c>
      <c r="E1490" s="20">
        <v>1950</v>
      </c>
      <c r="F1490" s="20">
        <v>2650</v>
      </c>
      <c r="G1490" s="20">
        <v>0.35213629707483135</v>
      </c>
      <c r="H1490" s="16">
        <f t="shared" ca="1" si="26"/>
        <v>475</v>
      </c>
    </row>
    <row r="1491" spans="4:8" ht="15" thickBot="1" x14ac:dyDescent="0.35">
      <c r="D1491" s="20">
        <v>627</v>
      </c>
      <c r="E1491" s="20">
        <v>4350</v>
      </c>
      <c r="F1491" s="20">
        <v>1150</v>
      </c>
      <c r="G1491" s="20">
        <v>0.29125159163163128</v>
      </c>
      <c r="H1491" s="16">
        <f t="shared" ca="1" si="26"/>
        <v>984</v>
      </c>
    </row>
    <row r="1492" spans="4:8" ht="15" thickBot="1" x14ac:dyDescent="0.35">
      <c r="D1492" s="20">
        <v>2788</v>
      </c>
      <c r="E1492" s="20">
        <v>3150</v>
      </c>
      <c r="F1492" s="20">
        <v>5250</v>
      </c>
      <c r="G1492" s="20">
        <v>0.62218347902956728</v>
      </c>
      <c r="H1492" s="16">
        <f t="shared" ca="1" si="26"/>
        <v>947</v>
      </c>
    </row>
    <row r="1493" spans="4:8" ht="15" thickBot="1" x14ac:dyDescent="0.35">
      <c r="D1493" s="20">
        <v>1576</v>
      </c>
      <c r="E1493" s="20">
        <v>3850</v>
      </c>
      <c r="F1493" s="20">
        <v>2950</v>
      </c>
      <c r="G1493" s="20">
        <v>0.36521128751151871</v>
      </c>
      <c r="H1493" s="16">
        <f t="shared" ca="1" si="26"/>
        <v>386</v>
      </c>
    </row>
    <row r="1494" spans="4:8" ht="15" thickBot="1" x14ac:dyDescent="0.35">
      <c r="D1494" s="20">
        <v>2083</v>
      </c>
      <c r="E1494" s="44">
        <v>1550</v>
      </c>
      <c r="F1494" s="44">
        <v>3950</v>
      </c>
      <c r="G1494" s="20">
        <v>0.40376354260807296</v>
      </c>
      <c r="H1494" s="16">
        <f t="shared" ca="1" si="26"/>
        <v>539</v>
      </c>
    </row>
    <row r="1495" spans="4:8" ht="15" thickBot="1" x14ac:dyDescent="0.35">
      <c r="D1495" s="20">
        <v>285</v>
      </c>
      <c r="E1495" s="20">
        <v>1950</v>
      </c>
      <c r="F1495" s="20">
        <v>550</v>
      </c>
      <c r="G1495" s="20">
        <v>0.25095099728834591</v>
      </c>
      <c r="H1495" s="16">
        <f t="shared" ca="1" si="26"/>
        <v>2049</v>
      </c>
    </row>
    <row r="1496" spans="4:8" ht="15" thickBot="1" x14ac:dyDescent="0.35">
      <c r="D1496" s="20">
        <v>1257</v>
      </c>
      <c r="E1496" s="20">
        <v>3750</v>
      </c>
      <c r="F1496" s="20">
        <v>2350</v>
      </c>
      <c r="G1496" s="20">
        <v>0.34225137062385036</v>
      </c>
      <c r="H1496" s="16">
        <f t="shared" ca="1" si="26"/>
        <v>1655</v>
      </c>
    </row>
    <row r="1497" spans="4:8" ht="15" thickBot="1" x14ac:dyDescent="0.35">
      <c r="D1497" s="20">
        <v>1272</v>
      </c>
      <c r="E1497" s="20">
        <v>5250</v>
      </c>
      <c r="F1497" s="20">
        <v>2350</v>
      </c>
      <c r="G1497" s="20">
        <v>0.34360438507776564</v>
      </c>
      <c r="H1497" s="16">
        <f t="shared" ca="1" si="26"/>
        <v>1984</v>
      </c>
    </row>
    <row r="1498" spans="4:8" ht="15" thickBot="1" x14ac:dyDescent="0.35">
      <c r="D1498" s="20">
        <v>798</v>
      </c>
      <c r="E1498" s="20">
        <v>250</v>
      </c>
      <c r="F1498" s="20">
        <v>1550</v>
      </c>
      <c r="G1498" s="20">
        <v>0.30638192893268501</v>
      </c>
      <c r="H1498" s="16">
        <f t="shared" ca="1" si="26"/>
        <v>1471</v>
      </c>
    </row>
    <row r="1499" spans="4:8" ht="15" thickBot="1" x14ac:dyDescent="0.35">
      <c r="D1499" s="20">
        <v>2595</v>
      </c>
      <c r="E1499" s="20">
        <v>5050</v>
      </c>
      <c r="F1499" s="20">
        <v>4850</v>
      </c>
      <c r="G1499" s="20">
        <v>0.4649722211415418</v>
      </c>
      <c r="H1499" s="16">
        <f t="shared" ca="1" si="26"/>
        <v>2240</v>
      </c>
    </row>
    <row r="1500" spans="4:8" ht="15" thickBot="1" x14ac:dyDescent="0.35">
      <c r="D1500" s="20">
        <v>1119</v>
      </c>
      <c r="E1500" s="20">
        <v>550</v>
      </c>
      <c r="F1500" s="20">
        <v>2150</v>
      </c>
      <c r="G1500" s="20">
        <v>0.33143158712832055</v>
      </c>
      <c r="H1500" s="16">
        <f t="shared" ca="1" si="26"/>
        <v>99</v>
      </c>
    </row>
    <row r="1501" spans="4:8" ht="15" thickBot="1" x14ac:dyDescent="0.35">
      <c r="D1501" s="20">
        <v>1942</v>
      </c>
      <c r="E1501" s="20">
        <v>3350</v>
      </c>
      <c r="F1501" s="20">
        <v>3650</v>
      </c>
      <c r="G1501" s="20">
        <v>0.39084719153074576</v>
      </c>
      <c r="H1501" s="16">
        <f t="shared" ca="1" si="26"/>
        <v>1049</v>
      </c>
    </row>
    <row r="1502" spans="4:8" ht="15" thickBot="1" x14ac:dyDescent="0.35">
      <c r="D1502" s="20">
        <v>1454</v>
      </c>
      <c r="E1502" s="20">
        <v>2250</v>
      </c>
      <c r="F1502" s="20">
        <v>2750</v>
      </c>
      <c r="G1502" s="20">
        <v>0.35617258563337467</v>
      </c>
      <c r="H1502" s="16">
        <f t="shared" ca="1" si="26"/>
        <v>1669</v>
      </c>
    </row>
    <row r="1503" spans="4:8" ht="15" thickBot="1" x14ac:dyDescent="0.35">
      <c r="D1503" s="20">
        <v>333</v>
      </c>
      <c r="E1503" s="20">
        <v>1450</v>
      </c>
      <c r="F1503" s="20">
        <v>650</v>
      </c>
      <c r="G1503" s="20">
        <v>0.2589926950260879</v>
      </c>
      <c r="H1503" s="16">
        <f t="shared" ca="1" si="26"/>
        <v>545</v>
      </c>
    </row>
    <row r="1504" spans="4:8" ht="15" thickBot="1" x14ac:dyDescent="0.35">
      <c r="D1504" s="20">
        <v>501</v>
      </c>
      <c r="E1504" s="20">
        <v>2350</v>
      </c>
      <c r="F1504" s="20">
        <v>950</v>
      </c>
      <c r="G1504" s="20">
        <v>0.27835016988094735</v>
      </c>
      <c r="H1504" s="16">
        <f t="shared" ca="1" si="26"/>
        <v>2652</v>
      </c>
    </row>
    <row r="1505" spans="4:8" ht="15" thickBot="1" x14ac:dyDescent="0.35">
      <c r="D1505" s="20">
        <v>269</v>
      </c>
      <c r="E1505" s="20">
        <v>350</v>
      </c>
      <c r="F1505" s="20">
        <v>550</v>
      </c>
      <c r="G1505" s="20">
        <v>0.24876304012427158</v>
      </c>
      <c r="H1505" s="16">
        <f t="shared" ca="1" si="26"/>
        <v>965</v>
      </c>
    </row>
    <row r="1506" spans="4:8" ht="15" thickBot="1" x14ac:dyDescent="0.35">
      <c r="D1506" s="20">
        <v>21</v>
      </c>
      <c r="E1506" s="20">
        <v>2050</v>
      </c>
      <c r="F1506" s="20">
        <v>50</v>
      </c>
      <c r="G1506" s="20">
        <v>0.16006873185384238</v>
      </c>
      <c r="H1506" s="16">
        <f t="shared" ca="1" si="26"/>
        <v>565</v>
      </c>
    </row>
    <row r="1507" spans="4:8" ht="15" thickBot="1" x14ac:dyDescent="0.35">
      <c r="D1507" s="20">
        <v>906</v>
      </c>
      <c r="E1507" s="20">
        <v>450</v>
      </c>
      <c r="F1507" s="20">
        <v>1750</v>
      </c>
      <c r="G1507" s="20">
        <v>0.31478295249962412</v>
      </c>
      <c r="H1507" s="16">
        <f t="shared" ca="1" si="26"/>
        <v>1015</v>
      </c>
    </row>
    <row r="1508" spans="4:8" ht="15" thickBot="1" x14ac:dyDescent="0.35">
      <c r="D1508" s="20">
        <v>2389</v>
      </c>
      <c r="E1508" s="44">
        <v>350</v>
      </c>
      <c r="F1508" s="44">
        <v>4550</v>
      </c>
      <c r="G1508" s="20">
        <v>0.43405632767083108</v>
      </c>
      <c r="H1508" s="16">
        <f t="shared" ca="1" si="26"/>
        <v>891</v>
      </c>
    </row>
    <row r="1509" spans="4:8" ht="15" thickBot="1" x14ac:dyDescent="0.35">
      <c r="D1509" s="20">
        <v>530</v>
      </c>
      <c r="E1509" s="20">
        <v>5250</v>
      </c>
      <c r="F1509" s="20">
        <v>950</v>
      </c>
      <c r="G1509" s="20">
        <v>0.28173136823279171</v>
      </c>
      <c r="H1509" s="16">
        <f t="shared" ca="1" si="26"/>
        <v>1202</v>
      </c>
    </row>
    <row r="1510" spans="4:8" ht="15" thickBot="1" x14ac:dyDescent="0.35">
      <c r="D1510" s="20">
        <v>137</v>
      </c>
      <c r="E1510" s="20">
        <v>3050</v>
      </c>
      <c r="F1510" s="20">
        <v>250</v>
      </c>
      <c r="G1510" s="20">
        <v>0.21958948679553184</v>
      </c>
      <c r="H1510" s="16">
        <f t="shared" ca="1" si="26"/>
        <v>1320</v>
      </c>
    </row>
    <row r="1511" spans="4:8" ht="15" thickBot="1" x14ac:dyDescent="0.35">
      <c r="D1511" s="20">
        <v>38</v>
      </c>
      <c r="E1511" s="20">
        <v>3750</v>
      </c>
      <c r="F1511" s="20">
        <v>50</v>
      </c>
      <c r="G1511" s="20">
        <v>0.17850298364480086</v>
      </c>
      <c r="H1511" s="16">
        <f t="shared" ca="1" si="26"/>
        <v>1133</v>
      </c>
    </row>
    <row r="1512" spans="4:8" ht="15" thickBot="1" x14ac:dyDescent="0.35">
      <c r="D1512" s="20">
        <v>1203</v>
      </c>
      <c r="E1512" s="20">
        <v>3650</v>
      </c>
      <c r="F1512" s="20">
        <v>2250</v>
      </c>
      <c r="G1512" s="20">
        <v>0.33786940523081171</v>
      </c>
      <c r="H1512" s="16">
        <f t="shared" ca="1" si="26"/>
        <v>1236</v>
      </c>
    </row>
    <row r="1513" spans="4:8" ht="15" thickBot="1" x14ac:dyDescent="0.35">
      <c r="D1513" s="20">
        <v>2175</v>
      </c>
      <c r="E1513" s="20">
        <v>150</v>
      </c>
      <c r="F1513" s="20">
        <v>4150</v>
      </c>
      <c r="G1513" s="20">
        <v>0.41247465547907425</v>
      </c>
      <c r="H1513" s="16">
        <f t="shared" ca="1" si="26"/>
        <v>1693</v>
      </c>
    </row>
    <row r="1514" spans="4:8" ht="15" thickBot="1" x14ac:dyDescent="0.35">
      <c r="D1514" s="20">
        <v>2213</v>
      </c>
      <c r="E1514" s="20">
        <v>3950</v>
      </c>
      <c r="F1514" s="20">
        <v>4150</v>
      </c>
      <c r="G1514" s="20">
        <v>0.41605339303945438</v>
      </c>
      <c r="H1514" s="16">
        <f t="shared" ca="1" si="26"/>
        <v>2084</v>
      </c>
    </row>
    <row r="1515" spans="4:8" ht="15" thickBot="1" x14ac:dyDescent="0.35">
      <c r="D1515" s="20">
        <v>1444</v>
      </c>
      <c r="E1515" s="20">
        <v>1250</v>
      </c>
      <c r="F1515" s="20">
        <v>2750</v>
      </c>
      <c r="G1515" s="20">
        <v>0.35561254439797746</v>
      </c>
      <c r="H1515" s="16">
        <f t="shared" ca="1" si="26"/>
        <v>2677</v>
      </c>
    </row>
    <row r="1516" spans="4:8" ht="15" thickBot="1" x14ac:dyDescent="0.35">
      <c r="D1516" s="20">
        <v>1984</v>
      </c>
      <c r="E1516" s="20">
        <v>2250</v>
      </c>
      <c r="F1516" s="20">
        <v>3750</v>
      </c>
      <c r="G1516" s="20">
        <v>0.3946351002259148</v>
      </c>
      <c r="H1516" s="16">
        <f t="shared" ca="1" si="26"/>
        <v>1333</v>
      </c>
    </row>
    <row r="1517" spans="4:8" ht="15" thickBot="1" x14ac:dyDescent="0.35">
      <c r="D1517" s="20">
        <v>2009</v>
      </c>
      <c r="E1517" s="20">
        <v>4750</v>
      </c>
      <c r="F1517" s="20">
        <v>3750</v>
      </c>
      <c r="G1517" s="20">
        <v>0.39663814619131865</v>
      </c>
      <c r="H1517" s="16">
        <f t="shared" ca="1" si="26"/>
        <v>2613</v>
      </c>
    </row>
    <row r="1518" spans="4:8" ht="15" thickBot="1" x14ac:dyDescent="0.35">
      <c r="D1518" s="20">
        <v>1310</v>
      </c>
      <c r="E1518" s="20">
        <v>3750</v>
      </c>
      <c r="F1518" s="20">
        <v>2450</v>
      </c>
      <c r="G1518" s="20">
        <v>0.34649037672687644</v>
      </c>
      <c r="H1518" s="16">
        <f t="shared" ca="1" si="26"/>
        <v>1507</v>
      </c>
    </row>
    <row r="1519" spans="4:8" ht="15" thickBot="1" x14ac:dyDescent="0.35">
      <c r="D1519" s="20">
        <v>749</v>
      </c>
      <c r="E1519" s="20">
        <v>650</v>
      </c>
      <c r="F1519" s="20">
        <v>1450</v>
      </c>
      <c r="G1519" s="20">
        <v>0.30184223293726609</v>
      </c>
      <c r="H1519" s="16">
        <f t="shared" ca="1" si="26"/>
        <v>498</v>
      </c>
    </row>
    <row r="1520" spans="4:8" ht="15" thickBot="1" x14ac:dyDescent="0.35">
      <c r="D1520" s="20">
        <v>1255</v>
      </c>
      <c r="E1520" s="20">
        <v>3550</v>
      </c>
      <c r="F1520" s="20">
        <v>2350</v>
      </c>
      <c r="G1520" s="20">
        <v>0.34220379284927693</v>
      </c>
      <c r="H1520" s="16">
        <f t="shared" ca="1" si="26"/>
        <v>1043</v>
      </c>
    </row>
    <row r="1521" spans="4:8" ht="15" thickBot="1" x14ac:dyDescent="0.35">
      <c r="D1521" s="20">
        <v>2600</v>
      </c>
      <c r="E1521" s="20">
        <v>250</v>
      </c>
      <c r="F1521" s="20">
        <v>4950</v>
      </c>
      <c r="G1521" s="20">
        <v>0.46528190834822969</v>
      </c>
      <c r="H1521" s="16">
        <f t="shared" ca="1" si="26"/>
        <v>1138</v>
      </c>
    </row>
    <row r="1522" spans="4:8" ht="15" thickBot="1" x14ac:dyDescent="0.35">
      <c r="D1522" s="20">
        <v>2091</v>
      </c>
      <c r="E1522" s="20">
        <v>2350</v>
      </c>
      <c r="F1522" s="20">
        <v>3950</v>
      </c>
      <c r="G1522" s="20">
        <v>0.40439176157901463</v>
      </c>
      <c r="H1522" s="16">
        <f t="shared" ca="1" si="26"/>
        <v>2335</v>
      </c>
    </row>
    <row r="1523" spans="4:8" ht="15" thickBot="1" x14ac:dyDescent="0.35">
      <c r="D1523" s="20">
        <v>1698</v>
      </c>
      <c r="E1523" s="20">
        <v>150</v>
      </c>
      <c r="F1523" s="20">
        <v>3250</v>
      </c>
      <c r="G1523" s="20">
        <v>0.37393055503195544</v>
      </c>
      <c r="H1523" s="16">
        <f t="shared" ca="1" si="26"/>
        <v>2248</v>
      </c>
    </row>
    <row r="1524" spans="4:8" ht="15" thickBot="1" x14ac:dyDescent="0.35">
      <c r="D1524" s="20">
        <v>2307</v>
      </c>
      <c r="E1524" s="20">
        <v>2750</v>
      </c>
      <c r="F1524" s="20">
        <v>4350</v>
      </c>
      <c r="G1524" s="20">
        <v>0.42579271739039903</v>
      </c>
      <c r="H1524" s="16">
        <f t="shared" ca="1" si="26"/>
        <v>1177</v>
      </c>
    </row>
    <row r="1525" spans="4:8" ht="15" thickBot="1" x14ac:dyDescent="0.35">
      <c r="D1525" s="20">
        <v>1046</v>
      </c>
      <c r="E1525" s="20">
        <v>3850</v>
      </c>
      <c r="F1525" s="20">
        <v>1950</v>
      </c>
      <c r="G1525" s="20">
        <v>0.32624334988495679</v>
      </c>
      <c r="H1525" s="16">
        <f t="shared" ca="1" si="26"/>
        <v>690</v>
      </c>
    </row>
    <row r="1526" spans="4:8" ht="15" thickBot="1" x14ac:dyDescent="0.35">
      <c r="D1526" s="20">
        <v>293</v>
      </c>
      <c r="E1526" s="20">
        <v>2750</v>
      </c>
      <c r="F1526" s="20">
        <v>550</v>
      </c>
      <c r="G1526" s="20">
        <v>0.25222913427164195</v>
      </c>
      <c r="H1526" s="16">
        <f t="shared" ca="1" si="26"/>
        <v>2126</v>
      </c>
    </row>
    <row r="1527" spans="4:8" ht="15" thickBot="1" x14ac:dyDescent="0.35">
      <c r="D1527" s="20">
        <v>2338</v>
      </c>
      <c r="E1527" s="20">
        <v>550</v>
      </c>
      <c r="F1527" s="20">
        <v>4450</v>
      </c>
      <c r="G1527" s="20">
        <v>0.42924190205999418</v>
      </c>
      <c r="H1527" s="16">
        <f t="shared" ca="1" si="26"/>
        <v>176</v>
      </c>
    </row>
    <row r="1528" spans="4:8" ht="15" thickBot="1" x14ac:dyDescent="0.35">
      <c r="D1528" s="20">
        <v>1027</v>
      </c>
      <c r="E1528" s="20">
        <v>1950</v>
      </c>
      <c r="F1528" s="20">
        <v>1950</v>
      </c>
      <c r="G1528" s="20">
        <v>0.3240703275841389</v>
      </c>
      <c r="H1528" s="16">
        <f t="shared" ca="1" si="26"/>
        <v>2123</v>
      </c>
    </row>
    <row r="1529" spans="4:8" ht="15" thickBot="1" x14ac:dyDescent="0.35">
      <c r="D1529" s="20">
        <v>220</v>
      </c>
      <c r="E1529" s="20">
        <v>750</v>
      </c>
      <c r="F1529" s="20">
        <v>450</v>
      </c>
      <c r="G1529" s="20">
        <v>0.23977762319202911</v>
      </c>
      <c r="H1529" s="16">
        <f t="shared" ca="1" si="26"/>
        <v>2184</v>
      </c>
    </row>
    <row r="1530" spans="4:8" ht="15" thickBot="1" x14ac:dyDescent="0.35">
      <c r="D1530" s="20">
        <v>2311</v>
      </c>
      <c r="E1530" s="20">
        <v>3150</v>
      </c>
      <c r="F1530" s="20">
        <v>4350</v>
      </c>
      <c r="G1530" s="20">
        <v>0.42597350949137641</v>
      </c>
      <c r="H1530" s="16">
        <f t="shared" ca="1" si="26"/>
        <v>412</v>
      </c>
    </row>
    <row r="1531" spans="4:8" ht="15" thickBot="1" x14ac:dyDescent="0.35">
      <c r="D1531" s="20">
        <v>465</v>
      </c>
      <c r="E1531" s="20">
        <v>4050</v>
      </c>
      <c r="F1531" s="20">
        <v>850</v>
      </c>
      <c r="G1531" s="20">
        <v>0.27527932124798987</v>
      </c>
      <c r="H1531" s="16">
        <f t="shared" ca="1" si="26"/>
        <v>768</v>
      </c>
    </row>
    <row r="1532" spans="4:8" ht="15" thickBot="1" x14ac:dyDescent="0.35">
      <c r="D1532" s="20">
        <v>1458</v>
      </c>
      <c r="E1532" s="20">
        <v>2650</v>
      </c>
      <c r="F1532" s="20">
        <v>2750</v>
      </c>
      <c r="G1532" s="20">
        <v>0.35638155502791247</v>
      </c>
      <c r="H1532" s="16">
        <f t="shared" ca="1" si="26"/>
        <v>177</v>
      </c>
    </row>
    <row r="1533" spans="4:8" ht="15" thickBot="1" x14ac:dyDescent="0.35">
      <c r="D1533" s="20">
        <v>140</v>
      </c>
      <c r="E1533" s="20">
        <v>3350</v>
      </c>
      <c r="F1533" s="20">
        <v>250</v>
      </c>
      <c r="G1533" s="20">
        <v>0.22064234248859219</v>
      </c>
      <c r="H1533" s="16">
        <f t="shared" ca="1" si="26"/>
        <v>955</v>
      </c>
    </row>
    <row r="1534" spans="4:8" ht="15" thickBot="1" x14ac:dyDescent="0.35">
      <c r="D1534" s="20">
        <v>2282</v>
      </c>
      <c r="E1534" s="20">
        <v>250</v>
      </c>
      <c r="F1534" s="20">
        <v>4350</v>
      </c>
      <c r="G1534" s="20">
        <v>0.42396327624775221</v>
      </c>
      <c r="H1534" s="16">
        <f t="shared" ca="1" si="26"/>
        <v>1759</v>
      </c>
    </row>
    <row r="1535" spans="4:8" ht="15" thickBot="1" x14ac:dyDescent="0.35">
      <c r="D1535" s="20">
        <v>552</v>
      </c>
      <c r="E1535" s="20">
        <v>2150</v>
      </c>
      <c r="F1535" s="20">
        <v>1050</v>
      </c>
      <c r="G1535" s="20">
        <v>0.28413227199863822</v>
      </c>
      <c r="H1535" s="16">
        <f t="shared" ca="1" si="26"/>
        <v>492</v>
      </c>
    </row>
    <row r="1536" spans="4:8" ht="15" thickBot="1" x14ac:dyDescent="0.35">
      <c r="D1536" s="20">
        <v>2481</v>
      </c>
      <c r="E1536" s="44">
        <v>4250</v>
      </c>
      <c r="F1536" s="44">
        <v>4650</v>
      </c>
      <c r="G1536" s="20">
        <v>0.44523907538438512</v>
      </c>
      <c r="H1536" s="16">
        <f t="shared" ca="1" si="26"/>
        <v>1330</v>
      </c>
    </row>
    <row r="1537" spans="4:8" ht="15" thickBot="1" x14ac:dyDescent="0.35">
      <c r="D1537" s="20">
        <v>1083</v>
      </c>
      <c r="E1537" s="20">
        <v>2250</v>
      </c>
      <c r="F1537" s="20">
        <v>2050</v>
      </c>
      <c r="G1537" s="20">
        <v>0.32910021578266996</v>
      </c>
      <c r="H1537" s="16">
        <f t="shared" ca="1" si="26"/>
        <v>2725</v>
      </c>
    </row>
    <row r="1538" spans="4:8" ht="15" thickBot="1" x14ac:dyDescent="0.35">
      <c r="D1538" s="20">
        <v>2312</v>
      </c>
      <c r="E1538" s="20">
        <v>3250</v>
      </c>
      <c r="F1538" s="20">
        <v>4350</v>
      </c>
      <c r="G1538" s="20">
        <v>0.42601631292883968</v>
      </c>
      <c r="H1538" s="16">
        <f t="shared" ca="1" si="26"/>
        <v>1935</v>
      </c>
    </row>
    <row r="1539" spans="4:8" ht="15" thickBot="1" x14ac:dyDescent="0.35">
      <c r="D1539" s="20">
        <v>223</v>
      </c>
      <c r="E1539" s="20">
        <v>1050</v>
      </c>
      <c r="F1539" s="20">
        <v>450</v>
      </c>
      <c r="G1539" s="20">
        <v>0.24013580692217876</v>
      </c>
      <c r="H1539" s="16">
        <f t="shared" ca="1" si="26"/>
        <v>1169</v>
      </c>
    </row>
    <row r="1540" spans="4:8" ht="15" thickBot="1" x14ac:dyDescent="0.35">
      <c r="D1540" s="20">
        <v>524</v>
      </c>
      <c r="E1540" s="20">
        <v>4650</v>
      </c>
      <c r="F1540" s="20">
        <v>950</v>
      </c>
      <c r="G1540" s="20">
        <v>0.28111035824489145</v>
      </c>
      <c r="H1540" s="16">
        <f t="shared" ca="1" si="26"/>
        <v>2616</v>
      </c>
    </row>
    <row r="1541" spans="4:8" ht="15" thickBot="1" x14ac:dyDescent="0.35">
      <c r="D1541" s="20">
        <v>202</v>
      </c>
      <c r="E1541" s="20">
        <v>4250</v>
      </c>
      <c r="F1541" s="20">
        <v>350</v>
      </c>
      <c r="G1541" s="20">
        <v>0.23538728140701604</v>
      </c>
      <c r="H1541" s="16">
        <f t="shared" ca="1" si="26"/>
        <v>2459</v>
      </c>
    </row>
    <row r="1542" spans="4:8" ht="15" thickBot="1" x14ac:dyDescent="0.35">
      <c r="D1542" s="20">
        <v>1317</v>
      </c>
      <c r="E1542" s="20">
        <v>4450</v>
      </c>
      <c r="F1542" s="20">
        <v>2450</v>
      </c>
      <c r="G1542" s="20">
        <v>0.34687015088957662</v>
      </c>
      <c r="H1542" s="16">
        <f t="shared" ca="1" si="26"/>
        <v>1930</v>
      </c>
    </row>
    <row r="1543" spans="4:8" ht="15" thickBot="1" x14ac:dyDescent="0.35">
      <c r="D1543" s="20">
        <v>424</v>
      </c>
      <c r="E1543" s="20">
        <v>5250</v>
      </c>
      <c r="F1543" s="20">
        <v>750</v>
      </c>
      <c r="G1543" s="20">
        <v>0.27036961914247976</v>
      </c>
      <c r="H1543" s="16">
        <f t="shared" ref="H1543:H1606" ca="1" si="27">RANDBETWEEN(1,2788)</f>
        <v>884</v>
      </c>
    </row>
    <row r="1544" spans="4:8" ht="15" thickBot="1" x14ac:dyDescent="0.35">
      <c r="D1544" s="20">
        <v>1650</v>
      </c>
      <c r="E1544" s="20">
        <v>650</v>
      </c>
      <c r="F1544" s="20">
        <v>3150</v>
      </c>
      <c r="G1544" s="20">
        <v>0.3701137297252281</v>
      </c>
      <c r="H1544" s="16">
        <f t="shared" ca="1" si="27"/>
        <v>826</v>
      </c>
    </row>
    <row r="1545" spans="4:8" ht="15" thickBot="1" x14ac:dyDescent="0.35">
      <c r="D1545" s="20">
        <v>2603</v>
      </c>
      <c r="E1545" s="45">
        <v>550</v>
      </c>
      <c r="F1545" s="45">
        <v>4950</v>
      </c>
      <c r="G1545" s="20">
        <v>0.46571760260546913</v>
      </c>
      <c r="H1545" s="16">
        <f t="shared" ca="1" si="27"/>
        <v>1542</v>
      </c>
    </row>
    <row r="1546" spans="4:8" ht="15" thickBot="1" x14ac:dyDescent="0.35">
      <c r="D1546" s="20">
        <v>1270</v>
      </c>
      <c r="E1546" s="20">
        <v>5050</v>
      </c>
      <c r="F1546" s="20">
        <v>2350</v>
      </c>
      <c r="G1546" s="20">
        <v>0.34349861976775981</v>
      </c>
      <c r="H1546" s="16">
        <f t="shared" ca="1" si="27"/>
        <v>1208</v>
      </c>
    </row>
    <row r="1547" spans="4:8" ht="15" thickBot="1" x14ac:dyDescent="0.35">
      <c r="D1547" s="20">
        <v>317</v>
      </c>
      <c r="E1547" s="20">
        <v>5150</v>
      </c>
      <c r="F1547" s="20">
        <v>550</v>
      </c>
      <c r="G1547" s="20">
        <v>0.25618839742741417</v>
      </c>
      <c r="H1547" s="16">
        <f t="shared" ca="1" si="27"/>
        <v>1388</v>
      </c>
    </row>
    <row r="1548" spans="4:8" ht="15" thickBot="1" x14ac:dyDescent="0.35">
      <c r="D1548" s="20">
        <v>956</v>
      </c>
      <c r="E1548" s="47">
        <v>150</v>
      </c>
      <c r="F1548" s="47">
        <v>1850</v>
      </c>
      <c r="G1548" s="20">
        <v>0.31860180995804072</v>
      </c>
      <c r="H1548" s="16">
        <f t="shared" ca="1" si="27"/>
        <v>181</v>
      </c>
    </row>
    <row r="1549" spans="4:8" ht="15" thickBot="1" x14ac:dyDescent="0.35">
      <c r="D1549" s="20">
        <v>44</v>
      </c>
      <c r="E1549" s="20">
        <v>4350</v>
      </c>
      <c r="F1549" s="20">
        <v>50</v>
      </c>
      <c r="G1549" s="20">
        <v>0.18023266799415844</v>
      </c>
      <c r="H1549" s="16">
        <f t="shared" ca="1" si="27"/>
        <v>2639</v>
      </c>
    </row>
    <row r="1550" spans="4:8" ht="15" thickBot="1" x14ac:dyDescent="0.35">
      <c r="D1550" s="20">
        <v>2290</v>
      </c>
      <c r="E1550" s="20">
        <v>1050</v>
      </c>
      <c r="F1550" s="20">
        <v>4350</v>
      </c>
      <c r="G1550" s="20">
        <v>0.42473451110680327</v>
      </c>
      <c r="H1550" s="16">
        <f t="shared" ca="1" si="27"/>
        <v>385</v>
      </c>
    </row>
    <row r="1551" spans="4:8" ht="15" thickBot="1" x14ac:dyDescent="0.35">
      <c r="D1551" s="20">
        <v>1830</v>
      </c>
      <c r="E1551" s="20">
        <v>2750</v>
      </c>
      <c r="F1551" s="20">
        <v>3450</v>
      </c>
      <c r="G1551" s="20">
        <v>0.38295638311040803</v>
      </c>
      <c r="H1551" s="16">
        <f t="shared" ca="1" si="27"/>
        <v>1175</v>
      </c>
    </row>
    <row r="1552" spans="4:8" ht="15" thickBot="1" x14ac:dyDescent="0.35">
      <c r="D1552" s="20">
        <v>587</v>
      </c>
      <c r="E1552" s="45">
        <v>350</v>
      </c>
      <c r="F1552" s="45">
        <v>1150</v>
      </c>
      <c r="G1552" s="20">
        <v>0.28791801833057018</v>
      </c>
      <c r="H1552" s="16">
        <f t="shared" ca="1" si="27"/>
        <v>2290</v>
      </c>
    </row>
    <row r="1553" spans="4:8" ht="15" thickBot="1" x14ac:dyDescent="0.35">
      <c r="D1553" s="20">
        <v>1559</v>
      </c>
      <c r="E1553" s="20">
        <v>2150</v>
      </c>
      <c r="F1553" s="20">
        <v>2950</v>
      </c>
      <c r="G1553" s="20">
        <v>0.3642099728120603</v>
      </c>
      <c r="H1553" s="16">
        <f t="shared" ca="1" si="27"/>
        <v>361</v>
      </c>
    </row>
    <row r="1554" spans="4:8" ht="15" thickBot="1" x14ac:dyDescent="0.35">
      <c r="D1554" s="20">
        <v>708</v>
      </c>
      <c r="E1554" s="20">
        <v>1850</v>
      </c>
      <c r="F1554" s="20">
        <v>1350</v>
      </c>
      <c r="G1554" s="20">
        <v>0.29905880958506414</v>
      </c>
      <c r="H1554" s="16">
        <f t="shared" ca="1" si="27"/>
        <v>2532</v>
      </c>
    </row>
    <row r="1555" spans="4:8" ht="15" thickBot="1" x14ac:dyDescent="0.35">
      <c r="D1555" s="20">
        <v>2703</v>
      </c>
      <c r="E1555" s="20">
        <v>5250</v>
      </c>
      <c r="F1555" s="20">
        <v>5050</v>
      </c>
      <c r="G1555" s="20">
        <v>0.49541628280122407</v>
      </c>
      <c r="H1555" s="16">
        <f t="shared" ca="1" si="27"/>
        <v>2665</v>
      </c>
    </row>
    <row r="1556" spans="4:8" ht="15" thickBot="1" x14ac:dyDescent="0.35">
      <c r="D1556" s="20">
        <v>149</v>
      </c>
      <c r="E1556" s="43">
        <v>4250</v>
      </c>
      <c r="F1556" s="43">
        <v>250</v>
      </c>
      <c r="G1556" s="20">
        <v>0.22248179837637602</v>
      </c>
      <c r="H1556" s="16">
        <f t="shared" ca="1" si="27"/>
        <v>2435</v>
      </c>
    </row>
    <row r="1557" spans="4:8" ht="15" thickBot="1" x14ac:dyDescent="0.35">
      <c r="D1557" s="20">
        <v>1995</v>
      </c>
      <c r="E1557" s="20">
        <v>3350</v>
      </c>
      <c r="F1557" s="20">
        <v>3750</v>
      </c>
      <c r="G1557" s="20">
        <v>0.39530895027958801</v>
      </c>
      <c r="H1557" s="16">
        <f t="shared" ca="1" si="27"/>
        <v>484</v>
      </c>
    </row>
    <row r="1558" spans="4:8" ht="15" thickBot="1" x14ac:dyDescent="0.35">
      <c r="D1558" s="20">
        <v>347</v>
      </c>
      <c r="E1558" s="43">
        <v>2850</v>
      </c>
      <c r="F1558" s="43">
        <v>650</v>
      </c>
      <c r="G1558" s="20">
        <v>0.26076932633090399</v>
      </c>
      <c r="H1558" s="16">
        <f t="shared" ca="1" si="27"/>
        <v>1947</v>
      </c>
    </row>
    <row r="1559" spans="4:8" ht="15" thickBot="1" x14ac:dyDescent="0.35">
      <c r="D1559" s="20">
        <v>1219</v>
      </c>
      <c r="E1559" s="44">
        <v>5250</v>
      </c>
      <c r="F1559" s="44">
        <v>2250</v>
      </c>
      <c r="G1559" s="20">
        <v>0.33924358528652343</v>
      </c>
      <c r="H1559" s="16">
        <f t="shared" ca="1" si="27"/>
        <v>1794</v>
      </c>
    </row>
    <row r="1560" spans="4:8" ht="15" thickBot="1" x14ac:dyDescent="0.35">
      <c r="D1560" s="20">
        <v>1624</v>
      </c>
      <c r="E1560" s="20">
        <v>3350</v>
      </c>
      <c r="F1560" s="20">
        <v>3050</v>
      </c>
      <c r="G1560" s="20">
        <v>0.36852816401972621</v>
      </c>
      <c r="H1560" s="16">
        <f t="shared" ca="1" si="27"/>
        <v>2248</v>
      </c>
    </row>
    <row r="1561" spans="4:8" ht="15" thickBot="1" x14ac:dyDescent="0.35">
      <c r="D1561" s="20">
        <v>2575</v>
      </c>
      <c r="E1561" s="20">
        <v>3050</v>
      </c>
      <c r="F1561" s="20">
        <v>4850</v>
      </c>
      <c r="G1561" s="20">
        <v>0.4609433527398426</v>
      </c>
      <c r="H1561" s="16">
        <f t="shared" ca="1" si="27"/>
        <v>1260</v>
      </c>
    </row>
    <row r="1562" spans="4:8" ht="15" thickBot="1" x14ac:dyDescent="0.35">
      <c r="D1562" s="20">
        <v>1772</v>
      </c>
      <c r="E1562" s="20">
        <v>2250</v>
      </c>
      <c r="F1562" s="20">
        <v>3350</v>
      </c>
      <c r="G1562" s="20">
        <v>0.37880424757605829</v>
      </c>
      <c r="H1562" s="16">
        <f t="shared" ca="1" si="27"/>
        <v>1736</v>
      </c>
    </row>
    <row r="1563" spans="4:8" ht="15" thickBot="1" x14ac:dyDescent="0.35">
      <c r="D1563" s="20">
        <v>198</v>
      </c>
      <c r="E1563" s="20">
        <v>3850</v>
      </c>
      <c r="F1563" s="20">
        <v>350</v>
      </c>
      <c r="G1563" s="20">
        <v>0.23481613606366514</v>
      </c>
      <c r="H1563" s="16">
        <f t="shared" ca="1" si="27"/>
        <v>1211</v>
      </c>
    </row>
    <row r="1564" spans="4:8" ht="15" thickBot="1" x14ac:dyDescent="0.35">
      <c r="D1564" s="20">
        <v>1059</v>
      </c>
      <c r="E1564" s="20">
        <v>5150</v>
      </c>
      <c r="F1564" s="20">
        <v>1950</v>
      </c>
      <c r="G1564" s="20">
        <v>0.32711867349470997</v>
      </c>
      <c r="H1564" s="16">
        <f t="shared" ca="1" si="27"/>
        <v>515</v>
      </c>
    </row>
    <row r="1565" spans="4:8" ht="15" thickBot="1" x14ac:dyDescent="0.35">
      <c r="D1565" s="20">
        <v>1071</v>
      </c>
      <c r="E1565" s="20">
        <v>1050</v>
      </c>
      <c r="F1565" s="20">
        <v>2050</v>
      </c>
      <c r="G1565" s="20">
        <v>0.32794731989265158</v>
      </c>
      <c r="H1565" s="16">
        <f t="shared" ca="1" si="27"/>
        <v>1837</v>
      </c>
    </row>
    <row r="1566" spans="4:8" ht="15" thickBot="1" x14ac:dyDescent="0.35">
      <c r="D1566" s="20">
        <v>1111</v>
      </c>
      <c r="E1566" s="20">
        <v>5050</v>
      </c>
      <c r="F1566" s="20">
        <v>2050</v>
      </c>
      <c r="G1566" s="20">
        <v>0.3309363087733137</v>
      </c>
      <c r="H1566" s="16">
        <f t="shared" ca="1" si="27"/>
        <v>1256</v>
      </c>
    </row>
    <row r="1567" spans="4:8" ht="15" thickBot="1" x14ac:dyDescent="0.35">
      <c r="D1567" s="20">
        <v>2271</v>
      </c>
      <c r="E1567" s="20">
        <v>4450</v>
      </c>
      <c r="F1567" s="20">
        <v>4250</v>
      </c>
      <c r="G1567" s="20">
        <v>0.4221206689218916</v>
      </c>
      <c r="H1567" s="16">
        <f t="shared" ca="1" si="27"/>
        <v>1732</v>
      </c>
    </row>
    <row r="1568" spans="4:8" ht="15" thickBot="1" x14ac:dyDescent="0.35">
      <c r="D1568" s="20">
        <v>1967</v>
      </c>
      <c r="E1568" s="20">
        <v>550</v>
      </c>
      <c r="F1568" s="20">
        <v>3750</v>
      </c>
      <c r="G1568" s="20">
        <v>0.39361057898394697</v>
      </c>
      <c r="H1568" s="16">
        <f t="shared" ca="1" si="27"/>
        <v>2263</v>
      </c>
    </row>
    <row r="1569" spans="4:8" ht="15" thickBot="1" x14ac:dyDescent="0.35">
      <c r="D1569" s="20">
        <v>35</v>
      </c>
      <c r="E1569" s="45">
        <v>3450</v>
      </c>
      <c r="F1569" s="45">
        <v>50</v>
      </c>
      <c r="G1569" s="20">
        <v>0.17739113018187394</v>
      </c>
      <c r="H1569" s="16">
        <f t="shared" ca="1" si="27"/>
        <v>244</v>
      </c>
    </row>
    <row r="1570" spans="4:8" ht="15" thickBot="1" x14ac:dyDescent="0.35">
      <c r="D1570" s="20">
        <v>1488</v>
      </c>
      <c r="E1570" s="20">
        <v>350</v>
      </c>
      <c r="F1570" s="20">
        <v>2850</v>
      </c>
      <c r="G1570" s="20">
        <v>0.35878584208035524</v>
      </c>
      <c r="H1570" s="16">
        <f t="shared" ca="1" si="27"/>
        <v>929</v>
      </c>
    </row>
    <row r="1571" spans="4:8" ht="15" thickBot="1" x14ac:dyDescent="0.35">
      <c r="D1571" s="20">
        <v>918</v>
      </c>
      <c r="E1571" s="20">
        <v>1650</v>
      </c>
      <c r="F1571" s="20">
        <v>1750</v>
      </c>
      <c r="G1571" s="20">
        <v>0.31548168526798276</v>
      </c>
      <c r="H1571" s="16">
        <f t="shared" ca="1" si="27"/>
        <v>466</v>
      </c>
    </row>
    <row r="1572" spans="4:8" ht="15" thickBot="1" x14ac:dyDescent="0.35">
      <c r="D1572" s="20">
        <v>2519</v>
      </c>
      <c r="E1572" s="47">
        <v>2750</v>
      </c>
      <c r="F1572" s="47">
        <v>4750</v>
      </c>
      <c r="G1572" s="20">
        <v>0.44970783566316747</v>
      </c>
      <c r="H1572" s="16">
        <f t="shared" ca="1" si="27"/>
        <v>1566</v>
      </c>
    </row>
    <row r="1573" spans="4:8" ht="15" thickBot="1" x14ac:dyDescent="0.35">
      <c r="D1573" s="20">
        <v>2275</v>
      </c>
      <c r="E1573" s="20">
        <v>4850</v>
      </c>
      <c r="F1573" s="20">
        <v>4250</v>
      </c>
      <c r="G1573" s="20">
        <v>0.42275384755176432</v>
      </c>
      <c r="H1573" s="16">
        <f t="shared" ca="1" si="27"/>
        <v>2771</v>
      </c>
    </row>
    <row r="1574" spans="4:8" ht="15" thickBot="1" x14ac:dyDescent="0.35">
      <c r="D1574" s="20">
        <v>2407</v>
      </c>
      <c r="E1574" s="20">
        <v>2150</v>
      </c>
      <c r="F1574" s="20">
        <v>4550</v>
      </c>
      <c r="G1574" s="20">
        <v>0.4356009252448978</v>
      </c>
      <c r="H1574" s="16">
        <f t="shared" ca="1" si="27"/>
        <v>1333</v>
      </c>
    </row>
    <row r="1575" spans="4:8" ht="15" thickBot="1" x14ac:dyDescent="0.35">
      <c r="D1575" s="20">
        <v>1275</v>
      </c>
      <c r="E1575" s="20">
        <v>250</v>
      </c>
      <c r="F1575" s="20">
        <v>2450</v>
      </c>
      <c r="G1575" s="20">
        <v>0.34387650113382212</v>
      </c>
      <c r="H1575" s="16">
        <f t="shared" ca="1" si="27"/>
        <v>495</v>
      </c>
    </row>
    <row r="1576" spans="4:8" ht="15" thickBot="1" x14ac:dyDescent="0.35">
      <c r="D1576" s="20">
        <v>646</v>
      </c>
      <c r="E1576" s="20">
        <v>950</v>
      </c>
      <c r="F1576" s="20">
        <v>1250</v>
      </c>
      <c r="G1576" s="20">
        <v>0.29309927945794434</v>
      </c>
      <c r="H1576" s="16">
        <f t="shared" ca="1" si="27"/>
        <v>2769</v>
      </c>
    </row>
    <row r="1577" spans="4:8" ht="15" thickBot="1" x14ac:dyDescent="0.35">
      <c r="D1577" s="20">
        <v>1326</v>
      </c>
      <c r="E1577" s="20">
        <v>50</v>
      </c>
      <c r="F1577" s="20">
        <v>2550</v>
      </c>
      <c r="G1577" s="20">
        <v>0.34750339548432818</v>
      </c>
      <c r="H1577" s="16">
        <f t="shared" ca="1" si="27"/>
        <v>1217</v>
      </c>
    </row>
    <row r="1578" spans="4:8" ht="15" thickBot="1" x14ac:dyDescent="0.35">
      <c r="D1578" s="20">
        <v>2368</v>
      </c>
      <c r="E1578" s="20">
        <v>3550</v>
      </c>
      <c r="F1578" s="20">
        <v>4450</v>
      </c>
      <c r="G1578" s="20">
        <v>0.43126736948292638</v>
      </c>
      <c r="H1578" s="16">
        <f t="shared" ca="1" si="27"/>
        <v>412</v>
      </c>
    </row>
    <row r="1579" spans="4:8" ht="15" thickBot="1" x14ac:dyDescent="0.35">
      <c r="D1579" s="20">
        <v>2698</v>
      </c>
      <c r="E1579" s="20">
        <v>4750</v>
      </c>
      <c r="F1579" s="20">
        <v>5050</v>
      </c>
      <c r="G1579" s="20">
        <v>0.49393738973233936</v>
      </c>
      <c r="H1579" s="16">
        <f t="shared" ca="1" si="27"/>
        <v>2598</v>
      </c>
    </row>
    <row r="1580" spans="4:8" ht="15" thickBot="1" x14ac:dyDescent="0.35">
      <c r="D1580" s="20">
        <v>2074</v>
      </c>
      <c r="E1580" s="20">
        <v>650</v>
      </c>
      <c r="F1580" s="20">
        <v>3950</v>
      </c>
      <c r="G1580" s="20">
        <v>0.40301279803279511</v>
      </c>
      <c r="H1580" s="16">
        <f t="shared" ca="1" si="27"/>
        <v>1432</v>
      </c>
    </row>
    <row r="1581" spans="4:8" ht="15" thickBot="1" x14ac:dyDescent="0.35">
      <c r="D1581" s="20">
        <v>965</v>
      </c>
      <c r="E1581" s="48">
        <v>1050</v>
      </c>
      <c r="F1581" s="48">
        <v>1850</v>
      </c>
      <c r="G1581" s="20">
        <v>0.31948043002641674</v>
      </c>
      <c r="H1581" s="16">
        <f t="shared" ca="1" si="27"/>
        <v>2395</v>
      </c>
    </row>
    <row r="1582" spans="4:8" ht="15" thickBot="1" x14ac:dyDescent="0.35">
      <c r="D1582" s="20">
        <v>636</v>
      </c>
      <c r="E1582" s="20">
        <v>5250</v>
      </c>
      <c r="F1582" s="20">
        <v>1150</v>
      </c>
      <c r="G1582" s="20">
        <v>0.29214226242312219</v>
      </c>
      <c r="H1582" s="16">
        <f t="shared" ca="1" si="27"/>
        <v>345</v>
      </c>
    </row>
    <row r="1583" spans="4:8" ht="15" thickBot="1" x14ac:dyDescent="0.35">
      <c r="D1583" s="20">
        <v>1713</v>
      </c>
      <c r="E1583" s="20">
        <v>1650</v>
      </c>
      <c r="F1583" s="20">
        <v>3250</v>
      </c>
      <c r="G1583" s="20">
        <v>0.37536559779435213</v>
      </c>
      <c r="H1583" s="16">
        <f t="shared" ca="1" si="27"/>
        <v>929</v>
      </c>
    </row>
    <row r="1584" spans="4:8" ht="15" thickBot="1" x14ac:dyDescent="0.35">
      <c r="D1584" s="20">
        <v>512</v>
      </c>
      <c r="E1584" s="20">
        <v>3450</v>
      </c>
      <c r="F1584" s="20">
        <v>950</v>
      </c>
      <c r="G1584" s="20">
        <v>0.27984252807154908</v>
      </c>
      <c r="H1584" s="16">
        <f t="shared" ca="1" si="27"/>
        <v>390</v>
      </c>
    </row>
    <row r="1585" spans="4:8" ht="15" thickBot="1" x14ac:dyDescent="0.35">
      <c r="D1585" s="20">
        <v>1183</v>
      </c>
      <c r="E1585" s="44">
        <v>1650</v>
      </c>
      <c r="F1585" s="44">
        <v>2250</v>
      </c>
      <c r="G1585" s="20">
        <v>0.336918887539159</v>
      </c>
      <c r="H1585" s="16">
        <f t="shared" ca="1" si="27"/>
        <v>1436</v>
      </c>
    </row>
    <row r="1586" spans="4:8" ht="15" thickBot="1" x14ac:dyDescent="0.35">
      <c r="D1586" s="20">
        <v>1771</v>
      </c>
      <c r="E1586" s="20">
        <v>2150</v>
      </c>
      <c r="F1586" s="20">
        <v>3350</v>
      </c>
      <c r="G1586" s="20">
        <v>0.37879770813533226</v>
      </c>
      <c r="H1586" s="16">
        <f t="shared" ca="1" si="27"/>
        <v>1768</v>
      </c>
    </row>
    <row r="1587" spans="4:8" ht="15" thickBot="1" x14ac:dyDescent="0.35">
      <c r="D1587" s="20">
        <v>384</v>
      </c>
      <c r="E1587" s="45">
        <v>1250</v>
      </c>
      <c r="F1587" s="45">
        <v>750</v>
      </c>
      <c r="G1587" s="20">
        <v>0.26563068939660084</v>
      </c>
      <c r="H1587" s="16">
        <f t="shared" ca="1" si="27"/>
        <v>1225</v>
      </c>
    </row>
    <row r="1588" spans="4:8" ht="15" thickBot="1" x14ac:dyDescent="0.35">
      <c r="D1588" s="20">
        <v>2016</v>
      </c>
      <c r="E1588" s="20">
        <v>150</v>
      </c>
      <c r="F1588" s="20">
        <v>3850</v>
      </c>
      <c r="G1588" s="20">
        <v>0.39692537219144652</v>
      </c>
      <c r="H1588" s="16">
        <f t="shared" ca="1" si="27"/>
        <v>596</v>
      </c>
    </row>
    <row r="1589" spans="4:8" ht="15" thickBot="1" x14ac:dyDescent="0.35">
      <c r="D1589" s="20">
        <v>1315</v>
      </c>
      <c r="E1589" s="20">
        <v>4250</v>
      </c>
      <c r="F1589" s="20">
        <v>2450</v>
      </c>
      <c r="G1589" s="20">
        <v>0.34668914319913319</v>
      </c>
      <c r="H1589" s="16">
        <f t="shared" ca="1" si="27"/>
        <v>2729</v>
      </c>
    </row>
    <row r="1590" spans="4:8" ht="15" thickBot="1" x14ac:dyDescent="0.35">
      <c r="D1590" s="20">
        <v>2169</v>
      </c>
      <c r="E1590" s="20">
        <v>4850</v>
      </c>
      <c r="F1590" s="20">
        <v>4050</v>
      </c>
      <c r="G1590" s="20">
        <v>0.4121203470348721</v>
      </c>
      <c r="H1590" s="16">
        <f t="shared" ca="1" si="27"/>
        <v>1600</v>
      </c>
    </row>
    <row r="1591" spans="4:8" ht="15" thickBot="1" x14ac:dyDescent="0.35">
      <c r="D1591" s="20">
        <v>1098</v>
      </c>
      <c r="E1591" s="20">
        <v>3750</v>
      </c>
      <c r="F1591" s="20">
        <v>2050</v>
      </c>
      <c r="G1591" s="20">
        <v>0.33014137202356048</v>
      </c>
      <c r="H1591" s="16">
        <f t="shared" ca="1" si="27"/>
        <v>1087</v>
      </c>
    </row>
    <row r="1592" spans="4:8" ht="15" thickBot="1" x14ac:dyDescent="0.35">
      <c r="D1592" s="20">
        <v>2037</v>
      </c>
      <c r="E1592" s="20">
        <v>2250</v>
      </c>
      <c r="F1592" s="20">
        <v>3850</v>
      </c>
      <c r="G1592" s="20">
        <v>0.39821706566773996</v>
      </c>
      <c r="H1592" s="16">
        <f t="shared" ca="1" si="27"/>
        <v>466</v>
      </c>
    </row>
    <row r="1593" spans="4:8" ht="15" thickBot="1" x14ac:dyDescent="0.35">
      <c r="D1593" s="20">
        <v>2046</v>
      </c>
      <c r="E1593" s="20">
        <v>3150</v>
      </c>
      <c r="F1593" s="20">
        <v>3850</v>
      </c>
      <c r="G1593" s="20">
        <v>0.39929107018213272</v>
      </c>
      <c r="H1593" s="16">
        <f t="shared" ca="1" si="27"/>
        <v>988</v>
      </c>
    </row>
    <row r="1594" spans="4:8" ht="15" thickBot="1" x14ac:dyDescent="0.35">
      <c r="D1594" s="20">
        <v>2040</v>
      </c>
      <c r="E1594" s="20">
        <v>2550</v>
      </c>
      <c r="F1594" s="20">
        <v>3850</v>
      </c>
      <c r="G1594" s="20">
        <v>0.39843177880825326</v>
      </c>
      <c r="H1594" s="16">
        <f t="shared" ca="1" si="27"/>
        <v>2660</v>
      </c>
    </row>
    <row r="1595" spans="4:8" ht="15" thickBot="1" x14ac:dyDescent="0.35">
      <c r="D1595" s="20">
        <v>919</v>
      </c>
      <c r="E1595" s="20">
        <v>1750</v>
      </c>
      <c r="F1595" s="20">
        <v>1750</v>
      </c>
      <c r="G1595" s="20">
        <v>0.31563980827579896</v>
      </c>
      <c r="H1595" s="16">
        <f t="shared" ca="1" si="27"/>
        <v>1520</v>
      </c>
    </row>
    <row r="1596" spans="4:8" ht="15" thickBot="1" x14ac:dyDescent="0.35">
      <c r="D1596" s="20">
        <v>196</v>
      </c>
      <c r="E1596" s="20">
        <v>3650</v>
      </c>
      <c r="F1596" s="20">
        <v>350</v>
      </c>
      <c r="G1596" s="20">
        <v>0.23455034457676402</v>
      </c>
      <c r="H1596" s="16">
        <f t="shared" ca="1" si="27"/>
        <v>1851</v>
      </c>
    </row>
    <row r="1597" spans="4:8" ht="15" thickBot="1" x14ac:dyDescent="0.35">
      <c r="D1597" s="20">
        <v>1301</v>
      </c>
      <c r="E1597" s="20">
        <v>2850</v>
      </c>
      <c r="F1597" s="20">
        <v>2450</v>
      </c>
      <c r="G1597" s="20">
        <v>0.34570496306177795</v>
      </c>
      <c r="H1597" s="16">
        <f t="shared" ca="1" si="27"/>
        <v>2618</v>
      </c>
    </row>
    <row r="1598" spans="4:8" ht="15" thickBot="1" x14ac:dyDescent="0.35">
      <c r="D1598" s="20">
        <v>844</v>
      </c>
      <c r="E1598" s="20">
        <v>4850</v>
      </c>
      <c r="F1598" s="20">
        <v>1550</v>
      </c>
      <c r="G1598" s="20">
        <v>0.30979654157616404</v>
      </c>
      <c r="H1598" s="16">
        <f t="shared" ca="1" si="27"/>
        <v>2764</v>
      </c>
    </row>
    <row r="1599" spans="4:8" ht="15" thickBot="1" x14ac:dyDescent="0.35">
      <c r="D1599" s="20">
        <v>57</v>
      </c>
      <c r="E1599" s="20">
        <v>350</v>
      </c>
      <c r="F1599" s="20">
        <v>150</v>
      </c>
      <c r="G1599" s="20">
        <v>0.19159219344382558</v>
      </c>
      <c r="H1599" s="16">
        <f t="shared" ca="1" si="27"/>
        <v>1371</v>
      </c>
    </row>
    <row r="1600" spans="4:8" ht="15" thickBot="1" x14ac:dyDescent="0.35">
      <c r="D1600" s="20">
        <v>546</v>
      </c>
      <c r="E1600" s="20">
        <v>1550</v>
      </c>
      <c r="F1600" s="20">
        <v>1050</v>
      </c>
      <c r="G1600" s="20">
        <v>0.28316127599286156</v>
      </c>
      <c r="H1600" s="16">
        <f t="shared" ca="1" si="27"/>
        <v>2213</v>
      </c>
    </row>
    <row r="1601" spans="4:8" ht="15" thickBot="1" x14ac:dyDescent="0.35">
      <c r="D1601" s="20">
        <v>1358</v>
      </c>
      <c r="E1601" s="20">
        <v>3250</v>
      </c>
      <c r="F1601" s="20">
        <v>2550</v>
      </c>
      <c r="G1601" s="20">
        <v>0.34926417389581244</v>
      </c>
      <c r="H1601" s="16">
        <f t="shared" ca="1" si="27"/>
        <v>2398</v>
      </c>
    </row>
    <row r="1602" spans="4:8" ht="15" thickBot="1" x14ac:dyDescent="0.35">
      <c r="D1602" s="20">
        <v>856</v>
      </c>
      <c r="E1602" s="20">
        <v>750</v>
      </c>
      <c r="F1602" s="20">
        <v>1650</v>
      </c>
      <c r="G1602" s="20">
        <v>0.31072306668447169</v>
      </c>
      <c r="H1602" s="16">
        <f t="shared" ca="1" si="27"/>
        <v>2538</v>
      </c>
    </row>
    <row r="1603" spans="4:8" ht="15" thickBot="1" x14ac:dyDescent="0.35">
      <c r="D1603" s="20">
        <v>2457</v>
      </c>
      <c r="E1603" s="20">
        <v>1850</v>
      </c>
      <c r="F1603" s="20">
        <v>4650</v>
      </c>
      <c r="G1603" s="20">
        <v>0.44166432479109707</v>
      </c>
      <c r="H1603" s="16">
        <f t="shared" ca="1" si="27"/>
        <v>339</v>
      </c>
    </row>
    <row r="1604" spans="4:8" ht="15" thickBot="1" x14ac:dyDescent="0.35">
      <c r="D1604" s="20">
        <v>270</v>
      </c>
      <c r="E1604" s="44">
        <v>450</v>
      </c>
      <c r="F1604" s="44">
        <v>550</v>
      </c>
      <c r="G1604" s="20">
        <v>0.24897587318120523</v>
      </c>
      <c r="H1604" s="16">
        <f t="shared" ca="1" si="27"/>
        <v>76</v>
      </c>
    </row>
    <row r="1605" spans="4:8" ht="15" thickBot="1" x14ac:dyDescent="0.35">
      <c r="D1605" s="20">
        <v>2130</v>
      </c>
      <c r="E1605" s="20">
        <v>950</v>
      </c>
      <c r="F1605" s="20">
        <v>4050</v>
      </c>
      <c r="G1605" s="20">
        <v>0.40858890357124128</v>
      </c>
      <c r="H1605" s="16">
        <f t="shared" ca="1" si="27"/>
        <v>2015</v>
      </c>
    </row>
    <row r="1606" spans="4:8" ht="15" thickBot="1" x14ac:dyDescent="0.35">
      <c r="D1606" s="20">
        <v>2618</v>
      </c>
      <c r="E1606" s="20">
        <v>2050</v>
      </c>
      <c r="F1606" s="20">
        <v>4950</v>
      </c>
      <c r="G1606" s="20">
        <v>0.46889602770100508</v>
      </c>
      <c r="H1606" s="16">
        <f t="shared" ca="1" si="27"/>
        <v>45</v>
      </c>
    </row>
    <row r="1607" spans="4:8" ht="15" thickBot="1" x14ac:dyDescent="0.35">
      <c r="D1607" s="20">
        <v>1457</v>
      </c>
      <c r="E1607" s="20">
        <v>2550</v>
      </c>
      <c r="F1607" s="20">
        <v>2750</v>
      </c>
      <c r="G1607" s="20">
        <v>0.35634080039220506</v>
      </c>
      <c r="H1607" s="16">
        <f t="shared" ref="H1607:H1670" ca="1" si="28">RANDBETWEEN(1,2788)</f>
        <v>1913</v>
      </c>
    </row>
    <row r="1608" spans="4:8" ht="15" thickBot="1" x14ac:dyDescent="0.35">
      <c r="D1608" s="20">
        <v>1726</v>
      </c>
      <c r="E1608" s="20">
        <v>2950</v>
      </c>
      <c r="F1608" s="20">
        <v>3250</v>
      </c>
      <c r="G1608" s="20">
        <v>0.376125948486284</v>
      </c>
      <c r="H1608" s="16">
        <f t="shared" ca="1" si="28"/>
        <v>1106</v>
      </c>
    </row>
    <row r="1609" spans="4:8" ht="15" thickBot="1" x14ac:dyDescent="0.35">
      <c r="D1609" s="20">
        <v>2774</v>
      </c>
      <c r="E1609" s="20">
        <v>1750</v>
      </c>
      <c r="F1609" s="20">
        <v>5250</v>
      </c>
      <c r="G1609" s="20">
        <v>0.54027791783536372</v>
      </c>
      <c r="H1609" s="16">
        <f t="shared" ca="1" si="28"/>
        <v>197</v>
      </c>
    </row>
    <row r="1610" spans="4:8" ht="15" thickBot="1" x14ac:dyDescent="0.35">
      <c r="D1610" s="20">
        <v>1039</v>
      </c>
      <c r="E1610" s="20">
        <v>3150</v>
      </c>
      <c r="F1610" s="20">
        <v>1950</v>
      </c>
      <c r="G1610" s="20">
        <v>0.3252241383264588</v>
      </c>
      <c r="H1610" s="16">
        <f t="shared" ca="1" si="28"/>
        <v>1421</v>
      </c>
    </row>
    <row r="1611" spans="4:8" ht="15" thickBot="1" x14ac:dyDescent="0.35">
      <c r="D1611" s="20">
        <v>2017</v>
      </c>
      <c r="E1611" s="44">
        <v>250</v>
      </c>
      <c r="F1611" s="44">
        <v>3850</v>
      </c>
      <c r="G1611" s="20">
        <v>0.39693461822509946</v>
      </c>
      <c r="H1611" s="16">
        <f t="shared" ca="1" si="28"/>
        <v>1047</v>
      </c>
    </row>
    <row r="1612" spans="4:8" ht="15" thickBot="1" x14ac:dyDescent="0.35">
      <c r="D1612" s="20">
        <v>690</v>
      </c>
      <c r="E1612" s="20">
        <v>50</v>
      </c>
      <c r="F1612" s="20">
        <v>1350</v>
      </c>
      <c r="G1612" s="20">
        <v>0.2975205679519311</v>
      </c>
      <c r="H1612" s="16">
        <f t="shared" ca="1" si="28"/>
        <v>1616</v>
      </c>
    </row>
    <row r="1613" spans="4:8" ht="15" thickBot="1" x14ac:dyDescent="0.35">
      <c r="D1613" s="20">
        <v>459</v>
      </c>
      <c r="E1613" s="20">
        <v>3450</v>
      </c>
      <c r="F1613" s="20">
        <v>850</v>
      </c>
      <c r="G1613" s="20">
        <v>0.27467764482887719</v>
      </c>
      <c r="H1613" s="16">
        <f t="shared" ca="1" si="28"/>
        <v>694</v>
      </c>
    </row>
    <row r="1614" spans="4:8" ht="15" thickBot="1" x14ac:dyDescent="0.35">
      <c r="D1614" s="20">
        <v>292</v>
      </c>
      <c r="E1614" s="20">
        <v>2650</v>
      </c>
      <c r="F1614" s="20">
        <v>550</v>
      </c>
      <c r="G1614" s="20">
        <v>0.25221276960415256</v>
      </c>
      <c r="H1614" s="16">
        <f t="shared" ca="1" si="28"/>
        <v>334</v>
      </c>
    </row>
    <row r="1615" spans="4:8" ht="15" thickBot="1" x14ac:dyDescent="0.35">
      <c r="D1615" s="20">
        <v>1330</v>
      </c>
      <c r="E1615" s="20">
        <v>450</v>
      </c>
      <c r="F1615" s="20">
        <v>2550</v>
      </c>
      <c r="G1615" s="20">
        <v>0.34769994228763806</v>
      </c>
      <c r="H1615" s="16">
        <f t="shared" ca="1" si="28"/>
        <v>1698</v>
      </c>
    </row>
    <row r="1616" spans="4:8" ht="15" thickBot="1" x14ac:dyDescent="0.35">
      <c r="D1616" s="20">
        <v>1854</v>
      </c>
      <c r="E1616" s="20">
        <v>5150</v>
      </c>
      <c r="F1616" s="20">
        <v>3450</v>
      </c>
      <c r="G1616" s="20">
        <v>0.38493837604495168</v>
      </c>
      <c r="H1616" s="16">
        <f t="shared" ca="1" si="28"/>
        <v>1522</v>
      </c>
    </row>
    <row r="1617" spans="4:8" ht="15" thickBot="1" x14ac:dyDescent="0.35">
      <c r="D1617" s="20">
        <v>1277</v>
      </c>
      <c r="E1617" s="20">
        <v>450</v>
      </c>
      <c r="F1617" s="20">
        <v>2450</v>
      </c>
      <c r="G1617" s="20">
        <v>0.34397279679624254</v>
      </c>
      <c r="H1617" s="16">
        <f t="shared" ca="1" si="28"/>
        <v>942</v>
      </c>
    </row>
    <row r="1618" spans="4:8" ht="15" thickBot="1" x14ac:dyDescent="0.35">
      <c r="D1618" s="20">
        <v>1630</v>
      </c>
      <c r="E1618" s="20">
        <v>3950</v>
      </c>
      <c r="F1618" s="20">
        <v>3050</v>
      </c>
      <c r="G1618" s="20">
        <v>0.36883988831768455</v>
      </c>
      <c r="H1618" s="16">
        <f t="shared" ca="1" si="28"/>
        <v>901</v>
      </c>
    </row>
    <row r="1619" spans="4:8" ht="15" thickBot="1" x14ac:dyDescent="0.35">
      <c r="D1619" s="20">
        <v>1701</v>
      </c>
      <c r="E1619" s="20">
        <v>450</v>
      </c>
      <c r="F1619" s="20">
        <v>3250</v>
      </c>
      <c r="G1619" s="20">
        <v>0.37429841284630583</v>
      </c>
      <c r="H1619" s="16">
        <f t="shared" ca="1" si="28"/>
        <v>2624</v>
      </c>
    </row>
    <row r="1620" spans="4:8" ht="15" thickBot="1" x14ac:dyDescent="0.35">
      <c r="D1620" s="20">
        <v>178</v>
      </c>
      <c r="E1620" s="20">
        <v>1850</v>
      </c>
      <c r="F1620" s="20">
        <v>350</v>
      </c>
      <c r="G1620" s="20">
        <v>0.22841712284400217</v>
      </c>
      <c r="H1620" s="16">
        <f t="shared" ca="1" si="28"/>
        <v>1354</v>
      </c>
    </row>
    <row r="1621" spans="4:8" ht="15" thickBot="1" x14ac:dyDescent="0.35">
      <c r="D1621" s="20">
        <v>1174</v>
      </c>
      <c r="E1621" s="20">
        <v>750</v>
      </c>
      <c r="F1621" s="20">
        <v>2250</v>
      </c>
      <c r="G1621" s="20">
        <v>0.33610049035136874</v>
      </c>
      <c r="H1621" s="16">
        <f t="shared" ca="1" si="28"/>
        <v>819</v>
      </c>
    </row>
    <row r="1622" spans="4:8" ht="15" thickBot="1" x14ac:dyDescent="0.35">
      <c r="D1622" s="20">
        <v>1264</v>
      </c>
      <c r="E1622" s="48">
        <v>4450</v>
      </c>
      <c r="F1622" s="48">
        <v>2350</v>
      </c>
      <c r="G1622" s="20">
        <v>0.34259257847408009</v>
      </c>
      <c r="H1622" s="16">
        <f t="shared" ca="1" si="28"/>
        <v>2763</v>
      </c>
    </row>
    <row r="1623" spans="4:8" ht="15" thickBot="1" x14ac:dyDescent="0.35">
      <c r="D1623" s="20">
        <v>607</v>
      </c>
      <c r="E1623" s="43">
        <v>2350</v>
      </c>
      <c r="F1623" s="43">
        <v>1150</v>
      </c>
      <c r="G1623" s="20">
        <v>0.28941367014259306</v>
      </c>
      <c r="H1623" s="16">
        <f t="shared" ca="1" si="28"/>
        <v>1249</v>
      </c>
    </row>
    <row r="1624" spans="4:8" ht="15" thickBot="1" x14ac:dyDescent="0.35">
      <c r="D1624" s="20">
        <v>2150</v>
      </c>
      <c r="E1624" s="20">
        <v>2950</v>
      </c>
      <c r="F1624" s="20">
        <v>4050</v>
      </c>
      <c r="G1624" s="20">
        <v>0.41036758089236564</v>
      </c>
      <c r="H1624" s="16">
        <f t="shared" ca="1" si="28"/>
        <v>1161</v>
      </c>
    </row>
    <row r="1625" spans="4:8" ht="15" thickBot="1" x14ac:dyDescent="0.35">
      <c r="D1625" s="20">
        <v>667</v>
      </c>
      <c r="E1625" s="20">
        <v>3050</v>
      </c>
      <c r="F1625" s="20">
        <v>1250</v>
      </c>
      <c r="G1625" s="20">
        <v>0.29581109237716019</v>
      </c>
      <c r="H1625" s="16">
        <f t="shared" ca="1" si="28"/>
        <v>1618</v>
      </c>
    </row>
    <row r="1626" spans="4:8" ht="15" thickBot="1" x14ac:dyDescent="0.35">
      <c r="D1626" s="20">
        <v>515</v>
      </c>
      <c r="E1626" s="20">
        <v>3750</v>
      </c>
      <c r="F1626" s="20">
        <v>950</v>
      </c>
      <c r="G1626" s="20">
        <v>0.28021442437657884</v>
      </c>
      <c r="H1626" s="16">
        <f t="shared" ca="1" si="28"/>
        <v>1374</v>
      </c>
    </row>
    <row r="1627" spans="4:8" ht="15" thickBot="1" x14ac:dyDescent="0.35">
      <c r="D1627" s="20">
        <v>2208</v>
      </c>
      <c r="E1627" s="43">
        <v>3450</v>
      </c>
      <c r="F1627" s="43">
        <v>4150</v>
      </c>
      <c r="G1627" s="20">
        <v>0.41568428890873887</v>
      </c>
      <c r="H1627" s="16">
        <f t="shared" ca="1" si="28"/>
        <v>1613</v>
      </c>
    </row>
    <row r="1628" spans="4:8" ht="15" thickBot="1" x14ac:dyDescent="0.35">
      <c r="D1628" s="20">
        <v>1492</v>
      </c>
      <c r="E1628" s="44">
        <v>750</v>
      </c>
      <c r="F1628" s="44">
        <v>2850</v>
      </c>
      <c r="G1628" s="20">
        <v>0.35915465675561381</v>
      </c>
      <c r="H1628" s="16">
        <f t="shared" ca="1" si="28"/>
        <v>606</v>
      </c>
    </row>
    <row r="1629" spans="4:8" ht="15" thickBot="1" x14ac:dyDescent="0.35">
      <c r="D1629" s="20">
        <v>1812</v>
      </c>
      <c r="E1629" s="20">
        <v>950</v>
      </c>
      <c r="F1629" s="20">
        <v>3450</v>
      </c>
      <c r="G1629" s="20">
        <v>0.38160843955377693</v>
      </c>
      <c r="H1629" s="16">
        <f t="shared" ca="1" si="28"/>
        <v>949</v>
      </c>
    </row>
    <row r="1630" spans="4:8" ht="15" thickBot="1" x14ac:dyDescent="0.35">
      <c r="D1630" s="20">
        <v>1939</v>
      </c>
      <c r="E1630" s="20">
        <v>3050</v>
      </c>
      <c r="F1630" s="20">
        <v>3650</v>
      </c>
      <c r="G1630" s="20">
        <v>0.39069420307711117</v>
      </c>
      <c r="H1630" s="16">
        <f t="shared" ca="1" si="28"/>
        <v>1867</v>
      </c>
    </row>
    <row r="1631" spans="4:8" ht="15" thickBot="1" x14ac:dyDescent="0.35">
      <c r="D1631" s="20">
        <v>2381</v>
      </c>
      <c r="E1631" s="20">
        <v>4850</v>
      </c>
      <c r="F1631" s="20">
        <v>4450</v>
      </c>
      <c r="G1631" s="20">
        <v>0.43269797551767647</v>
      </c>
      <c r="H1631" s="16">
        <f t="shared" ca="1" si="28"/>
        <v>1629</v>
      </c>
    </row>
    <row r="1632" spans="4:8" ht="15" thickBot="1" x14ac:dyDescent="0.35">
      <c r="D1632" s="20">
        <v>235</v>
      </c>
      <c r="E1632" s="20">
        <v>2250</v>
      </c>
      <c r="F1632" s="20">
        <v>450</v>
      </c>
      <c r="G1632" s="20">
        <v>0.24310479748602476</v>
      </c>
      <c r="H1632" s="16">
        <f t="shared" ca="1" si="28"/>
        <v>256</v>
      </c>
    </row>
    <row r="1633" spans="4:8" ht="15" thickBot="1" x14ac:dyDescent="0.35">
      <c r="D1633" s="20">
        <v>2707</v>
      </c>
      <c r="E1633" s="20">
        <v>350</v>
      </c>
      <c r="F1633" s="20">
        <v>5150</v>
      </c>
      <c r="G1633" s="20">
        <v>0.4965142647129922</v>
      </c>
      <c r="H1633" s="16">
        <f t="shared" ca="1" si="28"/>
        <v>1990</v>
      </c>
    </row>
    <row r="1634" spans="4:8" ht="15" thickBot="1" x14ac:dyDescent="0.35">
      <c r="D1634" s="20">
        <v>2598</v>
      </c>
      <c r="E1634" s="48">
        <v>50</v>
      </c>
      <c r="F1634" s="48">
        <v>4950</v>
      </c>
      <c r="G1634" s="20">
        <v>0.46522148116664103</v>
      </c>
      <c r="H1634" s="16">
        <f t="shared" ca="1" si="28"/>
        <v>1414</v>
      </c>
    </row>
    <row r="1635" spans="4:8" ht="15" thickBot="1" x14ac:dyDescent="0.35">
      <c r="D1635" s="20">
        <v>1356</v>
      </c>
      <c r="E1635" s="20">
        <v>3050</v>
      </c>
      <c r="F1635" s="20">
        <v>2550</v>
      </c>
      <c r="G1635" s="20">
        <v>0.34923482185694327</v>
      </c>
      <c r="H1635" s="16">
        <f t="shared" ca="1" si="28"/>
        <v>441</v>
      </c>
    </row>
    <row r="1636" spans="4:8" ht="15" thickBot="1" x14ac:dyDescent="0.35">
      <c r="D1636" s="20">
        <v>114</v>
      </c>
      <c r="E1636" s="20">
        <v>750</v>
      </c>
      <c r="F1636" s="20">
        <v>250</v>
      </c>
      <c r="G1636" s="20">
        <v>0.21455810084065005</v>
      </c>
      <c r="H1636" s="16">
        <f t="shared" ca="1" si="28"/>
        <v>2138</v>
      </c>
    </row>
    <row r="1637" spans="4:8" ht="15" thickBot="1" x14ac:dyDescent="0.35">
      <c r="D1637" s="20">
        <v>971</v>
      </c>
      <c r="E1637" s="20">
        <v>1650</v>
      </c>
      <c r="F1637" s="20">
        <v>1850</v>
      </c>
      <c r="G1637" s="20">
        <v>0.32006919787149696</v>
      </c>
      <c r="H1637" s="16">
        <f t="shared" ca="1" si="28"/>
        <v>2420</v>
      </c>
    </row>
    <row r="1638" spans="4:8" ht="15" thickBot="1" x14ac:dyDescent="0.35">
      <c r="D1638" s="20">
        <v>1803</v>
      </c>
      <c r="E1638" s="20">
        <v>50</v>
      </c>
      <c r="F1638" s="20">
        <v>3450</v>
      </c>
      <c r="G1638" s="20">
        <v>0.38097569922463265</v>
      </c>
      <c r="H1638" s="16">
        <f t="shared" ca="1" si="28"/>
        <v>1312</v>
      </c>
    </row>
    <row r="1639" spans="4:8" ht="15" thickBot="1" x14ac:dyDescent="0.35">
      <c r="D1639" s="20">
        <v>624</v>
      </c>
      <c r="E1639" s="20">
        <v>4050</v>
      </c>
      <c r="F1639" s="20">
        <v>1150</v>
      </c>
      <c r="G1639" s="20">
        <v>0.29092145397479907</v>
      </c>
      <c r="H1639" s="16">
        <f t="shared" ca="1" si="28"/>
        <v>2650</v>
      </c>
    </row>
    <row r="1640" spans="4:8" ht="15" thickBot="1" x14ac:dyDescent="0.35">
      <c r="D1640" s="20">
        <v>1263</v>
      </c>
      <c r="E1640" s="20">
        <v>4350</v>
      </c>
      <c r="F1640" s="20">
        <v>2350</v>
      </c>
      <c r="G1640" s="20">
        <v>0.34244264418849929</v>
      </c>
      <c r="H1640" s="16">
        <f t="shared" ca="1" si="28"/>
        <v>1169</v>
      </c>
    </row>
    <row r="1641" spans="4:8" ht="15" thickBot="1" x14ac:dyDescent="0.35">
      <c r="D1641" s="20">
        <v>916</v>
      </c>
      <c r="E1641" s="20">
        <v>1450</v>
      </c>
      <c r="F1641" s="20">
        <v>1750</v>
      </c>
      <c r="G1641" s="20">
        <v>0.31536346142774141</v>
      </c>
      <c r="H1641" s="16">
        <f t="shared" ca="1" si="28"/>
        <v>2673</v>
      </c>
    </row>
    <row r="1642" spans="4:8" ht="15" thickBot="1" x14ac:dyDescent="0.35">
      <c r="D1642" s="20">
        <v>76</v>
      </c>
      <c r="E1642" s="20">
        <v>2250</v>
      </c>
      <c r="F1642" s="20">
        <v>150</v>
      </c>
      <c r="G1642" s="20">
        <v>0.20089807536266199</v>
      </c>
      <c r="H1642" s="16">
        <f t="shared" ca="1" si="28"/>
        <v>584</v>
      </c>
    </row>
    <row r="1643" spans="4:8" ht="15" thickBot="1" x14ac:dyDescent="0.35">
      <c r="D1643" s="20">
        <v>2174</v>
      </c>
      <c r="E1643" s="20">
        <v>50</v>
      </c>
      <c r="F1643" s="20">
        <v>4150</v>
      </c>
      <c r="G1643" s="20">
        <v>0.41232337093675359</v>
      </c>
      <c r="H1643" s="16">
        <f t="shared" ca="1" si="28"/>
        <v>487</v>
      </c>
    </row>
    <row r="1644" spans="4:8" ht="15" thickBot="1" x14ac:dyDescent="0.35">
      <c r="D1644" s="20">
        <v>351</v>
      </c>
      <c r="E1644" s="20">
        <v>3250</v>
      </c>
      <c r="F1644" s="20">
        <v>650</v>
      </c>
      <c r="G1644" s="20">
        <v>0.26142794978757833</v>
      </c>
      <c r="H1644" s="16">
        <f t="shared" ca="1" si="28"/>
        <v>452</v>
      </c>
    </row>
    <row r="1645" spans="4:8" ht="15" thickBot="1" x14ac:dyDescent="0.35">
      <c r="D1645" s="20">
        <v>726</v>
      </c>
      <c r="E1645" s="20">
        <v>3650</v>
      </c>
      <c r="F1645" s="20">
        <v>1350</v>
      </c>
      <c r="G1645" s="20">
        <v>0.30005008205582057</v>
      </c>
      <c r="H1645" s="16">
        <f t="shared" ca="1" si="28"/>
        <v>682</v>
      </c>
    </row>
    <row r="1646" spans="4:8" ht="15" thickBot="1" x14ac:dyDescent="0.35">
      <c r="D1646" s="20">
        <v>338</v>
      </c>
      <c r="E1646" s="20">
        <v>1950</v>
      </c>
      <c r="F1646" s="20">
        <v>650</v>
      </c>
      <c r="G1646" s="20">
        <v>0.25960895394096689</v>
      </c>
      <c r="H1646" s="16">
        <f t="shared" ca="1" si="28"/>
        <v>663</v>
      </c>
    </row>
    <row r="1647" spans="4:8" ht="15" thickBot="1" x14ac:dyDescent="0.35">
      <c r="D1647" s="20">
        <v>1150</v>
      </c>
      <c r="E1647" s="20">
        <v>3650</v>
      </c>
      <c r="F1647" s="20">
        <v>2150</v>
      </c>
      <c r="G1647" s="20">
        <v>0.33414260179626398</v>
      </c>
      <c r="H1647" s="16">
        <f t="shared" ca="1" si="28"/>
        <v>269</v>
      </c>
    </row>
    <row r="1648" spans="4:8" ht="15" thickBot="1" x14ac:dyDescent="0.35">
      <c r="D1648" s="20">
        <v>2687</v>
      </c>
      <c r="E1648" s="20">
        <v>3650</v>
      </c>
      <c r="F1648" s="20">
        <v>5050</v>
      </c>
      <c r="G1648" s="20">
        <v>0.48841010412135899</v>
      </c>
      <c r="H1648" s="16">
        <f t="shared" ca="1" si="28"/>
        <v>1728</v>
      </c>
    </row>
    <row r="1649" spans="4:8" ht="15" thickBot="1" x14ac:dyDescent="0.35">
      <c r="D1649" s="20">
        <v>2350</v>
      </c>
      <c r="E1649" s="20">
        <v>1750</v>
      </c>
      <c r="F1649" s="20">
        <v>4450</v>
      </c>
      <c r="G1649" s="20">
        <v>0.43030962629571134</v>
      </c>
      <c r="H1649" s="16">
        <f t="shared" ca="1" si="28"/>
        <v>2343</v>
      </c>
    </row>
    <row r="1650" spans="4:8" ht="15" thickBot="1" x14ac:dyDescent="0.35">
      <c r="D1650" s="20">
        <v>1385</v>
      </c>
      <c r="E1650" s="20">
        <v>650</v>
      </c>
      <c r="F1650" s="20">
        <v>2650</v>
      </c>
      <c r="G1650" s="20">
        <v>0.35064201893131397</v>
      </c>
      <c r="H1650" s="16">
        <f t="shared" ca="1" si="28"/>
        <v>162</v>
      </c>
    </row>
    <row r="1651" spans="4:8" ht="15" thickBot="1" x14ac:dyDescent="0.35">
      <c r="D1651" s="20">
        <v>914</v>
      </c>
      <c r="E1651" s="20">
        <v>1250</v>
      </c>
      <c r="F1651" s="20">
        <v>1750</v>
      </c>
      <c r="G1651" s="20">
        <v>0.31525035816183211</v>
      </c>
      <c r="H1651" s="16">
        <f t="shared" ca="1" si="28"/>
        <v>1004</v>
      </c>
    </row>
    <row r="1652" spans="4:8" ht="15" thickBot="1" x14ac:dyDescent="0.35">
      <c r="D1652" s="20">
        <v>826</v>
      </c>
      <c r="E1652" s="20">
        <v>3050</v>
      </c>
      <c r="F1652" s="20">
        <v>1550</v>
      </c>
      <c r="G1652" s="20">
        <v>0.30850483388868644</v>
      </c>
      <c r="H1652" s="16">
        <f t="shared" ca="1" si="28"/>
        <v>1569</v>
      </c>
    </row>
    <row r="1653" spans="4:8" ht="15" thickBot="1" x14ac:dyDescent="0.35">
      <c r="D1653" s="20">
        <v>533</v>
      </c>
      <c r="E1653" s="20">
        <v>250</v>
      </c>
      <c r="F1653" s="20">
        <v>1050</v>
      </c>
      <c r="G1653" s="20">
        <v>0.28182249663805953</v>
      </c>
      <c r="H1653" s="16">
        <f t="shared" ca="1" si="28"/>
        <v>569</v>
      </c>
    </row>
    <row r="1654" spans="4:8" ht="15" thickBot="1" x14ac:dyDescent="0.35">
      <c r="D1654" s="20">
        <v>830</v>
      </c>
      <c r="E1654" s="20">
        <v>3450</v>
      </c>
      <c r="F1654" s="20">
        <v>1550</v>
      </c>
      <c r="G1654" s="20">
        <v>0.30872059740282337</v>
      </c>
      <c r="H1654" s="16">
        <f t="shared" ca="1" si="28"/>
        <v>1334</v>
      </c>
    </row>
    <row r="1655" spans="4:8" ht="15" thickBot="1" x14ac:dyDescent="0.35">
      <c r="D1655" s="20">
        <v>2298</v>
      </c>
      <c r="E1655" s="20">
        <v>1850</v>
      </c>
      <c r="F1655" s="20">
        <v>4350</v>
      </c>
      <c r="G1655" s="20">
        <v>0.42520504981804275</v>
      </c>
      <c r="H1655" s="16">
        <f t="shared" ca="1" si="28"/>
        <v>1681</v>
      </c>
    </row>
    <row r="1656" spans="4:8" ht="15" thickBot="1" x14ac:dyDescent="0.35">
      <c r="D1656" s="20">
        <v>651</v>
      </c>
      <c r="E1656" s="20">
        <v>1450</v>
      </c>
      <c r="F1656" s="20">
        <v>1250</v>
      </c>
      <c r="G1656" s="20">
        <v>0.29379110786821599</v>
      </c>
      <c r="H1656" s="16">
        <f t="shared" ca="1" si="28"/>
        <v>431</v>
      </c>
    </row>
    <row r="1657" spans="4:8" ht="15" thickBot="1" x14ac:dyDescent="0.35">
      <c r="D1657" s="20">
        <v>645</v>
      </c>
      <c r="E1657" s="20">
        <v>850</v>
      </c>
      <c r="F1657" s="20">
        <v>1250</v>
      </c>
      <c r="G1657" s="20">
        <v>0.2930849578070307</v>
      </c>
      <c r="H1657" s="16">
        <f t="shared" ca="1" si="28"/>
        <v>1042</v>
      </c>
    </row>
    <row r="1658" spans="4:8" ht="15" thickBot="1" x14ac:dyDescent="0.35">
      <c r="D1658" s="20">
        <v>2743</v>
      </c>
      <c r="E1658" s="20">
        <v>3950</v>
      </c>
      <c r="F1658" s="20">
        <v>5150</v>
      </c>
      <c r="G1658" s="20">
        <v>0.51295614186387417</v>
      </c>
      <c r="H1658" s="16">
        <f t="shared" ca="1" si="28"/>
        <v>2237</v>
      </c>
    </row>
    <row r="1659" spans="4:8" ht="15" thickBot="1" x14ac:dyDescent="0.35">
      <c r="D1659" s="20">
        <v>930</v>
      </c>
      <c r="E1659" s="20">
        <v>2850</v>
      </c>
      <c r="F1659" s="20">
        <v>1750</v>
      </c>
      <c r="G1659" s="20">
        <v>0.31700758403599399</v>
      </c>
      <c r="H1659" s="16">
        <f t="shared" ca="1" si="28"/>
        <v>140</v>
      </c>
    </row>
    <row r="1660" spans="4:8" ht="15" thickBot="1" x14ac:dyDescent="0.35">
      <c r="D1660" s="20">
        <v>1512</v>
      </c>
      <c r="E1660" s="20">
        <v>2750</v>
      </c>
      <c r="F1660" s="20">
        <v>2850</v>
      </c>
      <c r="G1660" s="20">
        <v>0.36091182019030932</v>
      </c>
      <c r="H1660" s="16">
        <f t="shared" ca="1" si="28"/>
        <v>607</v>
      </c>
    </row>
    <row r="1661" spans="4:8" ht="15" thickBot="1" x14ac:dyDescent="0.35">
      <c r="D1661" s="20">
        <v>472</v>
      </c>
      <c r="E1661" s="20">
        <v>4750</v>
      </c>
      <c r="F1661" s="20">
        <v>850</v>
      </c>
      <c r="G1661" s="20">
        <v>0.27613757196591865</v>
      </c>
      <c r="H1661" s="16">
        <f t="shared" ca="1" si="28"/>
        <v>1818</v>
      </c>
    </row>
    <row r="1662" spans="4:8" ht="15" thickBot="1" x14ac:dyDescent="0.35">
      <c r="D1662" s="20">
        <v>957</v>
      </c>
      <c r="E1662" s="20">
        <v>250</v>
      </c>
      <c r="F1662" s="20">
        <v>1850</v>
      </c>
      <c r="G1662" s="20">
        <v>0.3186062820469916</v>
      </c>
      <c r="H1662" s="16">
        <f t="shared" ca="1" si="28"/>
        <v>877</v>
      </c>
    </row>
    <row r="1663" spans="4:8" ht="15" thickBot="1" x14ac:dyDescent="0.35">
      <c r="D1663" s="20">
        <v>2075</v>
      </c>
      <c r="E1663" s="20">
        <v>750</v>
      </c>
      <c r="F1663" s="20">
        <v>3950</v>
      </c>
      <c r="G1663" s="20">
        <v>0.40312301007268869</v>
      </c>
      <c r="H1663" s="16">
        <f t="shared" ca="1" si="28"/>
        <v>1734</v>
      </c>
    </row>
    <row r="1664" spans="4:8" ht="15" thickBot="1" x14ac:dyDescent="0.35">
      <c r="D1664" s="20">
        <v>778</v>
      </c>
      <c r="E1664" s="20">
        <v>3550</v>
      </c>
      <c r="F1664" s="20">
        <v>1450</v>
      </c>
      <c r="G1664" s="20">
        <v>0.30467881598697893</v>
      </c>
      <c r="H1664" s="16">
        <f t="shared" ca="1" si="28"/>
        <v>1421</v>
      </c>
    </row>
    <row r="1665" spans="4:8" ht="15" thickBot="1" x14ac:dyDescent="0.35">
      <c r="D1665" s="20">
        <v>2010</v>
      </c>
      <c r="E1665" s="20">
        <v>4850</v>
      </c>
      <c r="F1665" s="20">
        <v>3750</v>
      </c>
      <c r="G1665" s="20">
        <v>0.39670401550845574</v>
      </c>
      <c r="H1665" s="16">
        <f t="shared" ca="1" si="28"/>
        <v>247</v>
      </c>
    </row>
    <row r="1666" spans="4:8" ht="15" thickBot="1" x14ac:dyDescent="0.35">
      <c r="D1666" s="20">
        <v>1473</v>
      </c>
      <c r="E1666" s="20">
        <v>4150</v>
      </c>
      <c r="F1666" s="20">
        <v>2750</v>
      </c>
      <c r="G1666" s="20">
        <v>0.35766381570878014</v>
      </c>
      <c r="H1666" s="16">
        <f t="shared" ca="1" si="28"/>
        <v>67</v>
      </c>
    </row>
    <row r="1667" spans="4:8" ht="15" thickBot="1" x14ac:dyDescent="0.35">
      <c r="D1667" s="20">
        <v>1936</v>
      </c>
      <c r="E1667" s="20">
        <v>2750</v>
      </c>
      <c r="F1667" s="20">
        <v>3650</v>
      </c>
      <c r="G1667" s="20">
        <v>0.39039570623882591</v>
      </c>
      <c r="H1667" s="16">
        <f t="shared" ca="1" si="28"/>
        <v>1622</v>
      </c>
    </row>
    <row r="1668" spans="4:8" ht="15" thickBot="1" x14ac:dyDescent="0.35">
      <c r="D1668" s="20">
        <v>246</v>
      </c>
      <c r="E1668" s="20">
        <v>3350</v>
      </c>
      <c r="F1668" s="20">
        <v>450</v>
      </c>
      <c r="G1668" s="20">
        <v>0.24435058681955352</v>
      </c>
      <c r="H1668" s="16">
        <f t="shared" ca="1" si="28"/>
        <v>2001</v>
      </c>
    </row>
    <row r="1669" spans="4:8" ht="15" thickBot="1" x14ac:dyDescent="0.35">
      <c r="D1669" s="20">
        <v>1296</v>
      </c>
      <c r="E1669" s="20">
        <v>2350</v>
      </c>
      <c r="F1669" s="20">
        <v>2450</v>
      </c>
      <c r="G1669" s="20">
        <v>0.34555233771557797</v>
      </c>
      <c r="H1669" s="16">
        <f t="shared" ca="1" si="28"/>
        <v>1694</v>
      </c>
    </row>
    <row r="1670" spans="4:8" ht="15" thickBot="1" x14ac:dyDescent="0.35">
      <c r="D1670" s="20">
        <v>923</v>
      </c>
      <c r="E1670" s="48">
        <v>2150</v>
      </c>
      <c r="F1670" s="48">
        <v>1750</v>
      </c>
      <c r="G1670" s="20">
        <v>0.31625009111507396</v>
      </c>
      <c r="H1670" s="16">
        <f t="shared" ca="1" si="28"/>
        <v>2625</v>
      </c>
    </row>
    <row r="1671" spans="4:8" ht="15" thickBot="1" x14ac:dyDescent="0.35">
      <c r="D1671" s="20">
        <v>1355</v>
      </c>
      <c r="E1671" s="20">
        <v>2950</v>
      </c>
      <c r="F1671" s="20">
        <v>2550</v>
      </c>
      <c r="G1671" s="20">
        <v>0.3492231198591092</v>
      </c>
      <c r="H1671" s="16">
        <f t="shared" ref="H1671:H1734" ca="1" si="29">RANDBETWEEN(1,2788)</f>
        <v>1985</v>
      </c>
    </row>
    <row r="1672" spans="4:8" ht="15" thickBot="1" x14ac:dyDescent="0.35">
      <c r="D1672" s="20">
        <v>2114</v>
      </c>
      <c r="E1672" s="20">
        <v>4650</v>
      </c>
      <c r="F1672" s="20">
        <v>3950</v>
      </c>
      <c r="G1672" s="20">
        <v>0.40768041589487725</v>
      </c>
      <c r="H1672" s="16">
        <f t="shared" ca="1" si="29"/>
        <v>583</v>
      </c>
    </row>
    <row r="1673" spans="4:8" ht="15" thickBot="1" x14ac:dyDescent="0.35">
      <c r="D1673" s="20">
        <v>642</v>
      </c>
      <c r="E1673" s="20">
        <v>550</v>
      </c>
      <c r="F1673" s="20">
        <v>1250</v>
      </c>
      <c r="G1673" s="20">
        <v>0.29270789678560838</v>
      </c>
      <c r="H1673" s="16">
        <f t="shared" ca="1" si="29"/>
        <v>1578</v>
      </c>
    </row>
    <row r="1674" spans="4:8" ht="15" thickBot="1" x14ac:dyDescent="0.35">
      <c r="D1674" s="20">
        <v>1091</v>
      </c>
      <c r="E1674" s="20">
        <v>3050</v>
      </c>
      <c r="F1674" s="20">
        <v>2050</v>
      </c>
      <c r="G1674" s="20">
        <v>0.3298184785275462</v>
      </c>
      <c r="H1674" s="16">
        <f t="shared" ca="1" si="29"/>
        <v>1461</v>
      </c>
    </row>
    <row r="1675" spans="4:8" ht="15" thickBot="1" x14ac:dyDescent="0.35">
      <c r="D1675" s="20">
        <v>1494</v>
      </c>
      <c r="E1675" s="20">
        <v>950</v>
      </c>
      <c r="F1675" s="20">
        <v>2850</v>
      </c>
      <c r="G1675" s="20">
        <v>0.3594118967672561</v>
      </c>
      <c r="H1675" s="16">
        <f t="shared" ca="1" si="29"/>
        <v>2436</v>
      </c>
    </row>
    <row r="1676" spans="4:8" ht="15" thickBot="1" x14ac:dyDescent="0.35">
      <c r="D1676" s="20">
        <v>2106</v>
      </c>
      <c r="E1676" s="48">
        <v>3850</v>
      </c>
      <c r="F1676" s="48">
        <v>3950</v>
      </c>
      <c r="G1676" s="20">
        <v>0.40676929920016924</v>
      </c>
      <c r="H1676" s="16">
        <f t="shared" ca="1" si="29"/>
        <v>1308</v>
      </c>
    </row>
    <row r="1677" spans="4:8" ht="15" thickBot="1" x14ac:dyDescent="0.35">
      <c r="D1677" s="20">
        <v>2287</v>
      </c>
      <c r="E1677" s="20">
        <v>750</v>
      </c>
      <c r="F1677" s="20">
        <v>4350</v>
      </c>
      <c r="G1677" s="20">
        <v>0.42448694330029413</v>
      </c>
      <c r="H1677" s="16">
        <f t="shared" ca="1" si="29"/>
        <v>1157</v>
      </c>
    </row>
    <row r="1678" spans="4:8" ht="15" thickBot="1" x14ac:dyDescent="0.35">
      <c r="D1678" s="20">
        <v>1408</v>
      </c>
      <c r="E1678" s="20">
        <v>2950</v>
      </c>
      <c r="F1678" s="20">
        <v>2650</v>
      </c>
      <c r="G1678" s="20">
        <v>0.3532715882884937</v>
      </c>
      <c r="H1678" s="16">
        <f t="shared" ca="1" si="29"/>
        <v>2710</v>
      </c>
    </row>
    <row r="1679" spans="4:8" ht="15" thickBot="1" x14ac:dyDescent="0.35">
      <c r="D1679" s="20">
        <v>305</v>
      </c>
      <c r="E1679" s="47">
        <v>3950</v>
      </c>
      <c r="F1679" s="47">
        <v>550</v>
      </c>
      <c r="G1679" s="20">
        <v>0.25415104979930792</v>
      </c>
      <c r="H1679" s="16">
        <f t="shared" ca="1" si="29"/>
        <v>1125</v>
      </c>
    </row>
    <row r="1680" spans="4:8" ht="15" thickBot="1" x14ac:dyDescent="0.35">
      <c r="D1680" s="20">
        <v>2473</v>
      </c>
      <c r="E1680" s="20">
        <v>3450</v>
      </c>
      <c r="F1680" s="20">
        <v>4650</v>
      </c>
      <c r="G1680" s="20">
        <v>0.44344533663282104</v>
      </c>
      <c r="H1680" s="16">
        <f t="shared" ca="1" si="29"/>
        <v>1365</v>
      </c>
    </row>
    <row r="1681" spans="4:8" ht="15" thickBot="1" x14ac:dyDescent="0.35">
      <c r="D1681" s="20">
        <v>1375</v>
      </c>
      <c r="E1681" s="20">
        <v>4950</v>
      </c>
      <c r="F1681" s="20">
        <v>2550</v>
      </c>
      <c r="G1681" s="20">
        <v>0.35001782573006002</v>
      </c>
      <c r="H1681" s="16">
        <f t="shared" ca="1" si="29"/>
        <v>286</v>
      </c>
    </row>
    <row r="1682" spans="4:8" ht="15" thickBot="1" x14ac:dyDescent="0.35">
      <c r="D1682" s="20">
        <v>1722</v>
      </c>
      <c r="E1682" s="20">
        <v>2550</v>
      </c>
      <c r="F1682" s="20">
        <v>3250</v>
      </c>
      <c r="G1682" s="20">
        <v>0.37588866262684495</v>
      </c>
      <c r="H1682" s="16">
        <f t="shared" ca="1" si="29"/>
        <v>800</v>
      </c>
    </row>
    <row r="1683" spans="4:8" ht="15" thickBot="1" x14ac:dyDescent="0.35">
      <c r="D1683" s="20">
        <v>91</v>
      </c>
      <c r="E1683" s="20">
        <v>3750</v>
      </c>
      <c r="F1683" s="20">
        <v>150</v>
      </c>
      <c r="G1683" s="20">
        <v>0.20838720843375041</v>
      </c>
      <c r="H1683" s="16">
        <f t="shared" ca="1" si="29"/>
        <v>300</v>
      </c>
    </row>
    <row r="1684" spans="4:8" ht="15" thickBot="1" x14ac:dyDescent="0.35">
      <c r="D1684" s="20">
        <v>2452</v>
      </c>
      <c r="E1684" s="20">
        <v>1350</v>
      </c>
      <c r="F1684" s="20">
        <v>4650</v>
      </c>
      <c r="G1684" s="20">
        <v>0.44090344465048731</v>
      </c>
      <c r="H1684" s="16">
        <f t="shared" ca="1" si="29"/>
        <v>1908</v>
      </c>
    </row>
    <row r="1685" spans="4:8" ht="15" thickBot="1" x14ac:dyDescent="0.35">
      <c r="D1685" s="20">
        <v>2101</v>
      </c>
      <c r="E1685" s="20">
        <v>3350</v>
      </c>
      <c r="F1685" s="20">
        <v>3950</v>
      </c>
      <c r="G1685" s="20">
        <v>0.4056784357166664</v>
      </c>
      <c r="H1685" s="16">
        <f t="shared" ca="1" si="29"/>
        <v>2543</v>
      </c>
    </row>
    <row r="1686" spans="4:8" ht="15" thickBot="1" x14ac:dyDescent="0.35">
      <c r="D1686" s="20">
        <v>413</v>
      </c>
      <c r="E1686" s="20">
        <v>4150</v>
      </c>
      <c r="F1686" s="20">
        <v>750</v>
      </c>
      <c r="G1686" s="20">
        <v>0.26956593311583826</v>
      </c>
      <c r="H1686" s="16">
        <f t="shared" ca="1" si="29"/>
        <v>2283</v>
      </c>
    </row>
    <row r="1687" spans="4:8" ht="15" thickBot="1" x14ac:dyDescent="0.35">
      <c r="D1687" s="20">
        <v>820</v>
      </c>
      <c r="E1687" s="47">
        <v>2450</v>
      </c>
      <c r="F1687" s="47">
        <v>1550</v>
      </c>
      <c r="G1687" s="20">
        <v>0.30813542180075182</v>
      </c>
      <c r="H1687" s="16">
        <f t="shared" ca="1" si="29"/>
        <v>1645</v>
      </c>
    </row>
    <row r="1688" spans="4:8" ht="15" thickBot="1" x14ac:dyDescent="0.35">
      <c r="D1688" s="20">
        <v>665</v>
      </c>
      <c r="E1688" s="20">
        <v>2850</v>
      </c>
      <c r="F1688" s="20">
        <v>1250</v>
      </c>
      <c r="G1688" s="20">
        <v>0.29571290173603276</v>
      </c>
      <c r="H1688" s="16">
        <f t="shared" ca="1" si="29"/>
        <v>1714</v>
      </c>
    </row>
    <row r="1689" spans="4:8" ht="15" thickBot="1" x14ac:dyDescent="0.35">
      <c r="D1689" s="20">
        <v>1280</v>
      </c>
      <c r="E1689" s="20">
        <v>750</v>
      </c>
      <c r="F1689" s="20">
        <v>2450</v>
      </c>
      <c r="G1689" s="20">
        <v>0.34436810719187527</v>
      </c>
      <c r="H1689" s="16">
        <f t="shared" ca="1" si="29"/>
        <v>2051</v>
      </c>
    </row>
    <row r="1690" spans="4:8" ht="15" thickBot="1" x14ac:dyDescent="0.35">
      <c r="D1690" s="20">
        <v>1756</v>
      </c>
      <c r="E1690" s="47">
        <v>650</v>
      </c>
      <c r="F1690" s="47">
        <v>3350</v>
      </c>
      <c r="G1690" s="20">
        <v>0.37789150759991474</v>
      </c>
      <c r="H1690" s="16">
        <f t="shared" ca="1" si="29"/>
        <v>1135</v>
      </c>
    </row>
    <row r="1691" spans="4:8" ht="15" thickBot="1" x14ac:dyDescent="0.35">
      <c r="D1691" s="20">
        <v>2102</v>
      </c>
      <c r="E1691" s="48">
        <v>3450</v>
      </c>
      <c r="F1691" s="48">
        <v>3950</v>
      </c>
      <c r="G1691" s="20">
        <v>0.40583396139967098</v>
      </c>
      <c r="H1691" s="16">
        <f t="shared" ca="1" si="29"/>
        <v>1117</v>
      </c>
    </row>
    <row r="1692" spans="4:8" ht="15" thickBot="1" x14ac:dyDescent="0.35">
      <c r="D1692" s="20">
        <v>1976</v>
      </c>
      <c r="E1692" s="20">
        <v>1450</v>
      </c>
      <c r="F1692" s="20">
        <v>3750</v>
      </c>
      <c r="G1692" s="20">
        <v>0.39398407872475305</v>
      </c>
      <c r="H1692" s="16">
        <f t="shared" ca="1" si="29"/>
        <v>886</v>
      </c>
    </row>
    <row r="1693" spans="4:8" ht="15" thickBot="1" x14ac:dyDescent="0.35">
      <c r="D1693" s="20">
        <v>2136</v>
      </c>
      <c r="E1693" s="20">
        <v>1550</v>
      </c>
      <c r="F1693" s="20">
        <v>4050</v>
      </c>
      <c r="G1693" s="20">
        <v>0.40911636656337336</v>
      </c>
      <c r="H1693" s="16">
        <f t="shared" ca="1" si="29"/>
        <v>2727</v>
      </c>
    </row>
    <row r="1694" spans="4:8" ht="15" thickBot="1" x14ac:dyDescent="0.35">
      <c r="D1694" s="20">
        <v>1889</v>
      </c>
      <c r="E1694" s="20">
        <v>3350</v>
      </c>
      <c r="F1694" s="20">
        <v>3550</v>
      </c>
      <c r="G1694" s="20">
        <v>0.38783909059585969</v>
      </c>
      <c r="H1694" s="16">
        <f t="shared" ca="1" si="29"/>
        <v>596</v>
      </c>
    </row>
    <row r="1695" spans="4:8" ht="15" thickBot="1" x14ac:dyDescent="0.35">
      <c r="D1695" s="20">
        <v>1767</v>
      </c>
      <c r="E1695" s="20">
        <v>1750</v>
      </c>
      <c r="F1695" s="20">
        <v>3350</v>
      </c>
      <c r="G1695" s="20">
        <v>0.37862066425512531</v>
      </c>
      <c r="H1695" s="16">
        <f t="shared" ca="1" si="29"/>
        <v>299</v>
      </c>
    </row>
    <row r="1696" spans="4:8" ht="15" thickBot="1" x14ac:dyDescent="0.35">
      <c r="D1696" s="20">
        <v>1798</v>
      </c>
      <c r="E1696" s="20">
        <v>4850</v>
      </c>
      <c r="F1696" s="20">
        <v>3350</v>
      </c>
      <c r="G1696" s="20">
        <v>0.38085216676407274</v>
      </c>
      <c r="H1696" s="16">
        <f t="shared" ca="1" si="29"/>
        <v>1522</v>
      </c>
    </row>
    <row r="1697" spans="4:8" ht="15" thickBot="1" x14ac:dyDescent="0.35">
      <c r="D1697" s="20">
        <v>385</v>
      </c>
      <c r="E1697" s="48">
        <v>1350</v>
      </c>
      <c r="F1697" s="48">
        <v>750</v>
      </c>
      <c r="G1697" s="20">
        <v>0.26565633048819937</v>
      </c>
      <c r="H1697" s="16">
        <f t="shared" ca="1" si="29"/>
        <v>1796</v>
      </c>
    </row>
    <row r="1698" spans="4:8" ht="15" thickBot="1" x14ac:dyDescent="0.35">
      <c r="D1698" s="20">
        <v>2585</v>
      </c>
      <c r="E1698" s="20">
        <v>4050</v>
      </c>
      <c r="F1698" s="20">
        <v>4850</v>
      </c>
      <c r="G1698" s="20">
        <v>0.4638143514456296</v>
      </c>
      <c r="H1698" s="16">
        <f t="shared" ca="1" si="29"/>
        <v>394</v>
      </c>
    </row>
    <row r="1699" spans="4:8" ht="15" thickBot="1" x14ac:dyDescent="0.35">
      <c r="D1699" s="20">
        <v>2674</v>
      </c>
      <c r="E1699" s="20">
        <v>2350</v>
      </c>
      <c r="F1699" s="20">
        <v>5050</v>
      </c>
      <c r="G1699" s="20">
        <v>0.48522327761978157</v>
      </c>
      <c r="H1699" s="16">
        <f t="shared" ca="1" si="29"/>
        <v>1121</v>
      </c>
    </row>
    <row r="1700" spans="4:8" ht="15" thickBot="1" x14ac:dyDescent="0.35">
      <c r="D1700" s="20">
        <v>2300</v>
      </c>
      <c r="E1700" s="20">
        <v>2050</v>
      </c>
      <c r="F1700" s="20">
        <v>4350</v>
      </c>
      <c r="G1700" s="20">
        <v>0.42523764773533723</v>
      </c>
      <c r="H1700" s="16">
        <f t="shared" ca="1" si="29"/>
        <v>98</v>
      </c>
    </row>
    <row r="1701" spans="4:8" ht="15" thickBot="1" x14ac:dyDescent="0.35">
      <c r="D1701" s="20">
        <v>1064</v>
      </c>
      <c r="E1701" s="20">
        <v>350</v>
      </c>
      <c r="F1701" s="20">
        <v>2050</v>
      </c>
      <c r="G1701" s="20">
        <v>0.32757522324415544</v>
      </c>
      <c r="H1701" s="16">
        <f t="shared" ca="1" si="29"/>
        <v>2166</v>
      </c>
    </row>
    <row r="1702" spans="4:8" ht="15" thickBot="1" x14ac:dyDescent="0.35">
      <c r="D1702" s="20">
        <v>1244</v>
      </c>
      <c r="E1702" s="20">
        <v>2450</v>
      </c>
      <c r="F1702" s="20">
        <v>2350</v>
      </c>
      <c r="G1702" s="20">
        <v>0.34131837097635015</v>
      </c>
      <c r="H1702" s="16">
        <f t="shared" ca="1" si="29"/>
        <v>882</v>
      </c>
    </row>
    <row r="1703" spans="4:8" ht="15" thickBot="1" x14ac:dyDescent="0.35">
      <c r="D1703" s="20">
        <v>1417</v>
      </c>
      <c r="E1703" s="20">
        <v>3850</v>
      </c>
      <c r="F1703" s="20">
        <v>2650</v>
      </c>
      <c r="G1703" s="20">
        <v>0.35398905878696202</v>
      </c>
      <c r="H1703" s="16">
        <f t="shared" ca="1" si="29"/>
        <v>1176</v>
      </c>
    </row>
    <row r="1704" spans="4:8" ht="15" thickBot="1" x14ac:dyDescent="0.35">
      <c r="D1704" s="20">
        <v>648</v>
      </c>
      <c r="E1704" s="20">
        <v>1150</v>
      </c>
      <c r="F1704" s="20">
        <v>1250</v>
      </c>
      <c r="G1704" s="20">
        <v>0.29330558421265612</v>
      </c>
      <c r="H1704" s="16">
        <f t="shared" ca="1" si="29"/>
        <v>116</v>
      </c>
    </row>
    <row r="1705" spans="4:8" ht="15" thickBot="1" x14ac:dyDescent="0.35">
      <c r="D1705" s="20">
        <v>1249</v>
      </c>
      <c r="E1705" s="20">
        <v>2950</v>
      </c>
      <c r="F1705" s="20">
        <v>2350</v>
      </c>
      <c r="G1705" s="20">
        <v>0.34145286006100034</v>
      </c>
      <c r="H1705" s="16">
        <f t="shared" ca="1" si="29"/>
        <v>2357</v>
      </c>
    </row>
    <row r="1706" spans="4:8" ht="15" thickBot="1" x14ac:dyDescent="0.35">
      <c r="D1706" s="20">
        <v>2702</v>
      </c>
      <c r="E1706" s="20">
        <v>5150</v>
      </c>
      <c r="F1706" s="20">
        <v>5050</v>
      </c>
      <c r="G1706" s="20">
        <v>0.49524592686834978</v>
      </c>
      <c r="H1706" s="16">
        <f t="shared" ca="1" si="29"/>
        <v>113</v>
      </c>
    </row>
    <row r="1707" spans="4:8" ht="15" thickBot="1" x14ac:dyDescent="0.35">
      <c r="D1707" s="20">
        <v>748</v>
      </c>
      <c r="E1707" s="20">
        <v>550</v>
      </c>
      <c r="F1707" s="20">
        <v>1450</v>
      </c>
      <c r="G1707" s="20">
        <v>0.30179598859797246</v>
      </c>
      <c r="H1707" s="16">
        <f t="shared" ca="1" si="29"/>
        <v>1370</v>
      </c>
    </row>
    <row r="1708" spans="4:8" ht="15" thickBot="1" x14ac:dyDescent="0.35">
      <c r="D1708" s="20">
        <v>1389</v>
      </c>
      <c r="E1708" s="20">
        <v>1050</v>
      </c>
      <c r="F1708" s="20">
        <v>2650</v>
      </c>
      <c r="G1708" s="20">
        <v>0.3511047156575266</v>
      </c>
      <c r="H1708" s="16">
        <f t="shared" ca="1" si="29"/>
        <v>2475</v>
      </c>
    </row>
    <row r="1709" spans="4:8" ht="15" thickBot="1" x14ac:dyDescent="0.35">
      <c r="D1709" s="20">
        <v>1436</v>
      </c>
      <c r="E1709" s="20">
        <v>450</v>
      </c>
      <c r="F1709" s="20">
        <v>2750</v>
      </c>
      <c r="G1709" s="20">
        <v>0.35520355591505992</v>
      </c>
      <c r="H1709" s="16">
        <f t="shared" ca="1" si="29"/>
        <v>2639</v>
      </c>
    </row>
    <row r="1710" spans="4:8" ht="15" thickBot="1" x14ac:dyDescent="0.35">
      <c r="D1710" s="20">
        <v>2</v>
      </c>
      <c r="E1710" s="20">
        <v>150</v>
      </c>
      <c r="F1710" s="20">
        <v>50</v>
      </c>
      <c r="G1710" s="20">
        <v>0.1112502035115665</v>
      </c>
      <c r="H1710" s="16">
        <f t="shared" ca="1" si="29"/>
        <v>2361</v>
      </c>
    </row>
    <row r="1711" spans="4:8" ht="15" thickBot="1" x14ac:dyDescent="0.35">
      <c r="D1711" s="20">
        <v>565</v>
      </c>
      <c r="E1711" s="20">
        <v>3450</v>
      </c>
      <c r="F1711" s="20">
        <v>1050</v>
      </c>
      <c r="G1711" s="20">
        <v>0.28525843280232649</v>
      </c>
      <c r="H1711" s="16">
        <f t="shared" ca="1" si="29"/>
        <v>710</v>
      </c>
    </row>
    <row r="1712" spans="4:8" ht="15" thickBot="1" x14ac:dyDescent="0.35">
      <c r="D1712" s="20">
        <v>4</v>
      </c>
      <c r="E1712" s="20">
        <v>350</v>
      </c>
      <c r="F1712" s="20">
        <v>50</v>
      </c>
      <c r="G1712" s="20">
        <v>0.12590685831845214</v>
      </c>
      <c r="H1712" s="16">
        <f t="shared" ca="1" si="29"/>
        <v>2443</v>
      </c>
    </row>
    <row r="1713" spans="4:8" ht="15" thickBot="1" x14ac:dyDescent="0.35">
      <c r="D1713" s="20">
        <v>1617</v>
      </c>
      <c r="E1713" s="20">
        <v>2650</v>
      </c>
      <c r="F1713" s="20">
        <v>3050</v>
      </c>
      <c r="G1713" s="20">
        <v>0.36820686769592176</v>
      </c>
      <c r="H1713" s="16">
        <f t="shared" ca="1" si="29"/>
        <v>2446</v>
      </c>
    </row>
    <row r="1714" spans="4:8" ht="15" thickBot="1" x14ac:dyDescent="0.35">
      <c r="D1714" s="20">
        <v>2561</v>
      </c>
      <c r="E1714" s="20">
        <v>1650</v>
      </c>
      <c r="F1714" s="20">
        <v>4850</v>
      </c>
      <c r="G1714" s="20">
        <v>0.45777964186601661</v>
      </c>
      <c r="H1714" s="16">
        <f t="shared" ca="1" si="29"/>
        <v>1878</v>
      </c>
    </row>
    <row r="1715" spans="4:8" ht="15" thickBot="1" x14ac:dyDescent="0.35">
      <c r="D1715" s="20">
        <v>1226</v>
      </c>
      <c r="E1715" s="20">
        <v>650</v>
      </c>
      <c r="F1715" s="20">
        <v>2350</v>
      </c>
      <c r="G1715" s="20">
        <v>0.33983117708294741</v>
      </c>
      <c r="H1715" s="16">
        <f t="shared" ca="1" si="29"/>
        <v>1871</v>
      </c>
    </row>
    <row r="1716" spans="4:8" ht="15" thickBot="1" x14ac:dyDescent="0.35">
      <c r="D1716" s="20">
        <v>1700</v>
      </c>
      <c r="E1716" s="20">
        <v>350</v>
      </c>
      <c r="F1716" s="20">
        <v>3250</v>
      </c>
      <c r="G1716" s="20">
        <v>0.37428558495200687</v>
      </c>
      <c r="H1716" s="16">
        <f t="shared" ca="1" si="29"/>
        <v>2089</v>
      </c>
    </row>
    <row r="1717" spans="4:8" ht="15" thickBot="1" x14ac:dyDescent="0.35">
      <c r="D1717" s="20">
        <v>321</v>
      </c>
      <c r="E1717" s="20">
        <v>250</v>
      </c>
      <c r="F1717" s="20">
        <v>650</v>
      </c>
      <c r="G1717" s="20">
        <v>0.2571197413124155</v>
      </c>
      <c r="H1717" s="16">
        <f t="shared" ca="1" si="29"/>
        <v>1356</v>
      </c>
    </row>
    <row r="1718" spans="4:8" ht="15" thickBot="1" x14ac:dyDescent="0.35">
      <c r="D1718" s="20">
        <v>2248</v>
      </c>
      <c r="E1718" s="20">
        <v>2150</v>
      </c>
      <c r="F1718" s="20">
        <v>4250</v>
      </c>
      <c r="G1718" s="20">
        <v>0.42011933518623173</v>
      </c>
      <c r="H1718" s="16">
        <f t="shared" ca="1" si="29"/>
        <v>2406</v>
      </c>
    </row>
    <row r="1719" spans="4:8" ht="15" thickBot="1" x14ac:dyDescent="0.35">
      <c r="D1719" s="20">
        <v>842</v>
      </c>
      <c r="E1719" s="20">
        <v>4650</v>
      </c>
      <c r="F1719" s="20">
        <v>1550</v>
      </c>
      <c r="G1719" s="20">
        <v>0.3096524673397944</v>
      </c>
      <c r="H1719" s="16">
        <f t="shared" ca="1" si="29"/>
        <v>1486</v>
      </c>
    </row>
    <row r="1720" spans="4:8" ht="15" thickBot="1" x14ac:dyDescent="0.35">
      <c r="D1720" s="20">
        <v>1784</v>
      </c>
      <c r="E1720" s="20">
        <v>3450</v>
      </c>
      <c r="F1720" s="20">
        <v>3350</v>
      </c>
      <c r="G1720" s="20">
        <v>0.37962005065119198</v>
      </c>
      <c r="H1720" s="16">
        <f t="shared" ca="1" si="29"/>
        <v>2459</v>
      </c>
    </row>
    <row r="1721" spans="4:8" ht="15" thickBot="1" x14ac:dyDescent="0.35">
      <c r="D1721" s="20">
        <v>944</v>
      </c>
      <c r="E1721" s="47">
        <v>4250</v>
      </c>
      <c r="F1721" s="47">
        <v>1750</v>
      </c>
      <c r="G1721" s="20">
        <v>0.31805584268870435</v>
      </c>
      <c r="H1721" s="16">
        <f t="shared" ca="1" si="29"/>
        <v>1829</v>
      </c>
    </row>
    <row r="1722" spans="4:8" ht="15" thickBot="1" x14ac:dyDescent="0.35">
      <c r="D1722" s="20">
        <v>2754</v>
      </c>
      <c r="E1722" s="45">
        <v>5050</v>
      </c>
      <c r="F1722" s="45">
        <v>5150</v>
      </c>
      <c r="G1722" s="20">
        <v>0.52377615184586934</v>
      </c>
      <c r="H1722" s="16">
        <f t="shared" ca="1" si="29"/>
        <v>2765</v>
      </c>
    </row>
    <row r="1723" spans="4:8" ht="15" thickBot="1" x14ac:dyDescent="0.35">
      <c r="D1723" s="20">
        <v>2243</v>
      </c>
      <c r="E1723" s="44">
        <v>1650</v>
      </c>
      <c r="F1723" s="44">
        <v>4250</v>
      </c>
      <c r="G1723" s="20">
        <v>0.41958296321599997</v>
      </c>
      <c r="H1723" s="16">
        <f t="shared" ca="1" si="29"/>
        <v>1747</v>
      </c>
    </row>
    <row r="1724" spans="4:8" ht="15" thickBot="1" x14ac:dyDescent="0.35">
      <c r="D1724" s="20">
        <v>206</v>
      </c>
      <c r="E1724" s="20">
        <v>4650</v>
      </c>
      <c r="F1724" s="20">
        <v>350</v>
      </c>
      <c r="G1724" s="20">
        <v>0.2371883480996152</v>
      </c>
      <c r="H1724" s="16">
        <f t="shared" ca="1" si="29"/>
        <v>1747</v>
      </c>
    </row>
    <row r="1725" spans="4:8" ht="15" thickBot="1" x14ac:dyDescent="0.35">
      <c r="D1725" s="20">
        <v>1581</v>
      </c>
      <c r="E1725" s="20">
        <v>4350</v>
      </c>
      <c r="F1725" s="20">
        <v>2950</v>
      </c>
      <c r="G1725" s="20">
        <v>0.36538098171895333</v>
      </c>
      <c r="H1725" s="16">
        <f t="shared" ca="1" si="29"/>
        <v>1578</v>
      </c>
    </row>
    <row r="1726" spans="4:8" ht="15" thickBot="1" x14ac:dyDescent="0.35">
      <c r="D1726" s="20">
        <v>2198</v>
      </c>
      <c r="E1726" s="20">
        <v>2450</v>
      </c>
      <c r="F1726" s="20">
        <v>4150</v>
      </c>
      <c r="G1726" s="20">
        <v>0.41472050830935336</v>
      </c>
      <c r="H1726" s="16">
        <f t="shared" ca="1" si="29"/>
        <v>2412</v>
      </c>
    </row>
    <row r="1727" spans="4:8" ht="15" thickBot="1" x14ac:dyDescent="0.35">
      <c r="D1727" s="20">
        <v>302</v>
      </c>
      <c r="E1727" s="20">
        <v>3650</v>
      </c>
      <c r="F1727" s="20">
        <v>550</v>
      </c>
      <c r="G1727" s="20">
        <v>0.25353262541784072</v>
      </c>
      <c r="H1727" s="16">
        <f t="shared" ca="1" si="29"/>
        <v>1624</v>
      </c>
    </row>
    <row r="1728" spans="4:8" ht="15" thickBot="1" x14ac:dyDescent="0.35">
      <c r="D1728" s="20">
        <v>1251</v>
      </c>
      <c r="E1728" s="47">
        <v>3150</v>
      </c>
      <c r="F1728" s="47">
        <v>2350</v>
      </c>
      <c r="G1728" s="20">
        <v>0.34146086560557076</v>
      </c>
      <c r="H1728" s="16">
        <f t="shared" ca="1" si="29"/>
        <v>1958</v>
      </c>
    </row>
    <row r="1729" spans="4:8" ht="15" thickBot="1" x14ac:dyDescent="0.35">
      <c r="D1729" s="20">
        <v>2376</v>
      </c>
      <c r="E1729" s="20">
        <v>4350</v>
      </c>
      <c r="F1729" s="20">
        <v>4450</v>
      </c>
      <c r="G1729" s="20">
        <v>0.43224334808517917</v>
      </c>
      <c r="H1729" s="16">
        <f t="shared" ca="1" si="29"/>
        <v>318</v>
      </c>
    </row>
    <row r="1730" spans="4:8" ht="15" thickBot="1" x14ac:dyDescent="0.35">
      <c r="D1730" s="20">
        <v>1097</v>
      </c>
      <c r="E1730" s="20">
        <v>3650</v>
      </c>
      <c r="F1730" s="20">
        <v>2050</v>
      </c>
      <c r="G1730" s="20">
        <v>0.3301208367604711</v>
      </c>
      <c r="H1730" s="16">
        <f t="shared" ca="1" si="29"/>
        <v>2160</v>
      </c>
    </row>
    <row r="1731" spans="4:8" ht="15" thickBot="1" x14ac:dyDescent="0.35">
      <c r="D1731" s="20">
        <v>597</v>
      </c>
      <c r="E1731" s="20">
        <v>1350</v>
      </c>
      <c r="F1731" s="20">
        <v>1150</v>
      </c>
      <c r="G1731" s="20">
        <v>0.28877185218671225</v>
      </c>
      <c r="H1731" s="16">
        <f t="shared" ca="1" si="29"/>
        <v>2588</v>
      </c>
    </row>
    <row r="1732" spans="4:8" ht="15" thickBot="1" x14ac:dyDescent="0.35">
      <c r="D1732" s="20">
        <v>925</v>
      </c>
      <c r="E1732" s="20">
        <v>2350</v>
      </c>
      <c r="F1732" s="20">
        <v>1750</v>
      </c>
      <c r="G1732" s="20">
        <v>0.31642676481275067</v>
      </c>
      <c r="H1732" s="16">
        <f t="shared" ca="1" si="29"/>
        <v>2340</v>
      </c>
    </row>
    <row r="1733" spans="4:8" ht="15" thickBot="1" x14ac:dyDescent="0.35">
      <c r="D1733" s="20">
        <v>1441</v>
      </c>
      <c r="E1733" s="20">
        <v>950</v>
      </c>
      <c r="F1733" s="20">
        <v>2750</v>
      </c>
      <c r="G1733" s="20">
        <v>0.35535514241911897</v>
      </c>
      <c r="H1733" s="16">
        <f t="shared" ca="1" si="29"/>
        <v>1740</v>
      </c>
    </row>
    <row r="1734" spans="4:8" ht="15" thickBot="1" x14ac:dyDescent="0.35">
      <c r="D1734" s="20">
        <v>318</v>
      </c>
      <c r="E1734" s="20">
        <v>5250</v>
      </c>
      <c r="F1734" s="20">
        <v>550</v>
      </c>
      <c r="G1734" s="20">
        <v>0.25671112495547788</v>
      </c>
      <c r="H1734" s="16">
        <f t="shared" ca="1" si="29"/>
        <v>1215</v>
      </c>
    </row>
    <row r="1735" spans="4:8" ht="15" thickBot="1" x14ac:dyDescent="0.35">
      <c r="D1735" s="20">
        <v>2108</v>
      </c>
      <c r="E1735" s="47">
        <v>4050</v>
      </c>
      <c r="F1735" s="47">
        <v>3950</v>
      </c>
      <c r="G1735" s="20">
        <v>0.40705166967670509</v>
      </c>
      <c r="H1735" s="16">
        <f t="shared" ref="H1735:H1798" ca="1" si="30">RANDBETWEEN(1,2788)</f>
        <v>2305</v>
      </c>
    </row>
    <row r="1736" spans="4:8" ht="15" thickBot="1" x14ac:dyDescent="0.35">
      <c r="D1736" s="20">
        <v>926</v>
      </c>
      <c r="E1736" s="20">
        <v>2450</v>
      </c>
      <c r="F1736" s="20">
        <v>1750</v>
      </c>
      <c r="G1736" s="20">
        <v>0.31661268976430923</v>
      </c>
      <c r="H1736" s="16">
        <f t="shared" ca="1" si="30"/>
        <v>1097</v>
      </c>
    </row>
    <row r="1737" spans="4:8" ht="15" thickBot="1" x14ac:dyDescent="0.35">
      <c r="D1737" s="20">
        <v>1899</v>
      </c>
      <c r="E1737" s="20">
        <v>4350</v>
      </c>
      <c r="F1737" s="20">
        <v>3550</v>
      </c>
      <c r="G1737" s="20">
        <v>0.38835615213524843</v>
      </c>
      <c r="H1737" s="16">
        <f t="shared" ca="1" si="30"/>
        <v>1621</v>
      </c>
    </row>
    <row r="1738" spans="4:8" ht="15" thickBot="1" x14ac:dyDescent="0.35">
      <c r="D1738" s="20">
        <v>2670</v>
      </c>
      <c r="E1738" s="20">
        <v>1950</v>
      </c>
      <c r="F1738" s="20">
        <v>5050</v>
      </c>
      <c r="G1738" s="20">
        <v>0.48443723807165107</v>
      </c>
      <c r="H1738" s="16">
        <f t="shared" ca="1" si="30"/>
        <v>2470</v>
      </c>
    </row>
    <row r="1739" spans="4:8" ht="15" thickBot="1" x14ac:dyDescent="0.35">
      <c r="D1739" s="20">
        <v>350</v>
      </c>
      <c r="E1739" s="20">
        <v>3150</v>
      </c>
      <c r="F1739" s="20">
        <v>650</v>
      </c>
      <c r="G1739" s="20">
        <v>0.26100502749285187</v>
      </c>
      <c r="H1739" s="16">
        <f t="shared" ca="1" si="30"/>
        <v>2561</v>
      </c>
    </row>
    <row r="1740" spans="4:8" ht="15" thickBot="1" x14ac:dyDescent="0.35">
      <c r="D1740" s="20">
        <v>1224</v>
      </c>
      <c r="E1740" s="20">
        <v>450</v>
      </c>
      <c r="F1740" s="20">
        <v>2350</v>
      </c>
      <c r="G1740" s="20">
        <v>0.33978486399651459</v>
      </c>
      <c r="H1740" s="16">
        <f t="shared" ca="1" si="30"/>
        <v>1131</v>
      </c>
    </row>
    <row r="1741" spans="4:8" ht="15" thickBot="1" x14ac:dyDescent="0.35">
      <c r="D1741" s="20">
        <v>1796</v>
      </c>
      <c r="E1741" s="20">
        <v>4650</v>
      </c>
      <c r="F1741" s="20">
        <v>3350</v>
      </c>
      <c r="G1741" s="20">
        <v>0.38075449726506827</v>
      </c>
      <c r="H1741" s="16">
        <f t="shared" ca="1" si="30"/>
        <v>1711</v>
      </c>
    </row>
    <row r="1742" spans="4:8" ht="15" thickBot="1" x14ac:dyDescent="0.35">
      <c r="D1742" s="20">
        <v>1525</v>
      </c>
      <c r="E1742" s="20">
        <v>4050</v>
      </c>
      <c r="F1742" s="20">
        <v>2850</v>
      </c>
      <c r="G1742" s="20">
        <v>0.36160305026875356</v>
      </c>
      <c r="H1742" s="16">
        <f t="shared" ca="1" si="30"/>
        <v>2359</v>
      </c>
    </row>
    <row r="1743" spans="4:8" ht="15" thickBot="1" x14ac:dyDescent="0.35">
      <c r="D1743" s="20">
        <v>1595</v>
      </c>
      <c r="E1743" s="20">
        <v>450</v>
      </c>
      <c r="F1743" s="20">
        <v>3050</v>
      </c>
      <c r="G1743" s="20">
        <v>0.36651452038694515</v>
      </c>
      <c r="H1743" s="16">
        <f t="shared" ca="1" si="30"/>
        <v>2190</v>
      </c>
    </row>
    <row r="1744" spans="4:8" ht="15" thickBot="1" x14ac:dyDescent="0.35">
      <c r="D1744" s="20">
        <v>2097</v>
      </c>
      <c r="E1744" s="20">
        <v>2950</v>
      </c>
      <c r="F1744" s="20">
        <v>3950</v>
      </c>
      <c r="G1744" s="20">
        <v>0.40515701612024912</v>
      </c>
      <c r="H1744" s="16">
        <f t="shared" ca="1" si="30"/>
        <v>1339</v>
      </c>
    </row>
    <row r="1745" spans="4:8" ht="15" thickBot="1" x14ac:dyDescent="0.35">
      <c r="D1745" s="20">
        <v>598</v>
      </c>
      <c r="E1745" s="20">
        <v>1450</v>
      </c>
      <c r="F1745" s="20">
        <v>1150</v>
      </c>
      <c r="G1745" s="20">
        <v>0.28890868317505347</v>
      </c>
      <c r="H1745" s="16">
        <f t="shared" ca="1" si="30"/>
        <v>1357</v>
      </c>
    </row>
    <row r="1746" spans="4:8" ht="15" thickBot="1" x14ac:dyDescent="0.35">
      <c r="D1746" s="20">
        <v>511</v>
      </c>
      <c r="E1746" s="20">
        <v>3350</v>
      </c>
      <c r="F1746" s="20">
        <v>950</v>
      </c>
      <c r="G1746" s="20">
        <v>0.2798330416764947</v>
      </c>
      <c r="H1746" s="16">
        <f t="shared" ca="1" si="30"/>
        <v>193</v>
      </c>
    </row>
    <row r="1747" spans="4:8" ht="15" thickBot="1" x14ac:dyDescent="0.35">
      <c r="D1747" s="20">
        <v>1649</v>
      </c>
      <c r="E1747" s="20">
        <v>550</v>
      </c>
      <c r="F1747" s="20">
        <v>3150</v>
      </c>
      <c r="G1747" s="20">
        <v>0.37005181822076816</v>
      </c>
      <c r="H1747" s="16">
        <f t="shared" ca="1" si="30"/>
        <v>916</v>
      </c>
    </row>
    <row r="1748" spans="4:8" ht="15" thickBot="1" x14ac:dyDescent="0.35">
      <c r="D1748" s="20">
        <v>176</v>
      </c>
      <c r="E1748" s="20">
        <v>1650</v>
      </c>
      <c r="F1748" s="20">
        <v>350</v>
      </c>
      <c r="G1748" s="20">
        <v>0.22817666257529506</v>
      </c>
      <c r="H1748" s="16">
        <f t="shared" ca="1" si="30"/>
        <v>2388</v>
      </c>
    </row>
    <row r="1749" spans="4:8" ht="15" thickBot="1" x14ac:dyDescent="0.35">
      <c r="D1749" s="20">
        <v>829</v>
      </c>
      <c r="E1749" s="20">
        <v>3350</v>
      </c>
      <c r="F1749" s="20">
        <v>1550</v>
      </c>
      <c r="G1749" s="20">
        <v>0.30867802615766077</v>
      </c>
      <c r="H1749" s="16">
        <f t="shared" ca="1" si="30"/>
        <v>2785</v>
      </c>
    </row>
    <row r="1750" spans="4:8" ht="15" thickBot="1" x14ac:dyDescent="0.35">
      <c r="D1750" s="20">
        <v>452</v>
      </c>
      <c r="E1750" s="20">
        <v>2750</v>
      </c>
      <c r="F1750" s="20">
        <v>850</v>
      </c>
      <c r="G1750" s="20">
        <v>0.27375450312071753</v>
      </c>
      <c r="H1750" s="16">
        <f t="shared" ca="1" si="30"/>
        <v>1838</v>
      </c>
    </row>
    <row r="1751" spans="4:8" ht="15" thickBot="1" x14ac:dyDescent="0.35">
      <c r="D1751" s="20">
        <v>2203</v>
      </c>
      <c r="E1751" s="20">
        <v>2950</v>
      </c>
      <c r="F1751" s="20">
        <v>4150</v>
      </c>
      <c r="G1751" s="20">
        <v>0.41496582576590013</v>
      </c>
      <c r="H1751" s="16">
        <f t="shared" ca="1" si="30"/>
        <v>2196</v>
      </c>
    </row>
    <row r="1752" spans="4:8" ht="15" thickBot="1" x14ac:dyDescent="0.35">
      <c r="D1752" s="20">
        <v>2129</v>
      </c>
      <c r="E1752" s="20">
        <v>850</v>
      </c>
      <c r="F1752" s="20">
        <v>4050</v>
      </c>
      <c r="G1752" s="20">
        <v>0.40854659758723677</v>
      </c>
      <c r="H1752" s="16">
        <f t="shared" ca="1" si="30"/>
        <v>597</v>
      </c>
    </row>
    <row r="1753" spans="4:8" ht="15" thickBot="1" x14ac:dyDescent="0.35">
      <c r="D1753" s="20">
        <v>2572</v>
      </c>
      <c r="E1753" s="20">
        <v>2750</v>
      </c>
      <c r="F1753" s="20">
        <v>4850</v>
      </c>
      <c r="G1753" s="20">
        <v>0.46037436454727632</v>
      </c>
      <c r="H1753" s="16">
        <f t="shared" ca="1" si="30"/>
        <v>932</v>
      </c>
    </row>
    <row r="1754" spans="4:8" ht="15" thickBot="1" x14ac:dyDescent="0.35">
      <c r="D1754" s="20">
        <v>1634</v>
      </c>
      <c r="E1754" s="45">
        <v>4350</v>
      </c>
      <c r="F1754" s="45">
        <v>3050</v>
      </c>
      <c r="G1754" s="20">
        <v>0.36916144707977538</v>
      </c>
      <c r="H1754" s="16">
        <f t="shared" ca="1" si="30"/>
        <v>2764</v>
      </c>
    </row>
    <row r="1755" spans="4:8" ht="15" thickBot="1" x14ac:dyDescent="0.35">
      <c r="D1755" s="20">
        <v>781</v>
      </c>
      <c r="E1755" s="20">
        <v>3850</v>
      </c>
      <c r="F1755" s="20">
        <v>1450</v>
      </c>
      <c r="G1755" s="20">
        <v>0.30504776805954253</v>
      </c>
      <c r="H1755" s="16">
        <f t="shared" ca="1" si="30"/>
        <v>1825</v>
      </c>
    </row>
    <row r="1756" spans="4:8" ht="15" thickBot="1" x14ac:dyDescent="0.35">
      <c r="D1756" s="20">
        <v>89</v>
      </c>
      <c r="E1756" s="20">
        <v>3550</v>
      </c>
      <c r="F1756" s="20">
        <v>150</v>
      </c>
      <c r="G1756" s="20">
        <v>0.20754153819525373</v>
      </c>
      <c r="H1756" s="16">
        <f t="shared" ca="1" si="30"/>
        <v>2417</v>
      </c>
    </row>
    <row r="1757" spans="4:8" ht="15" thickBot="1" x14ac:dyDescent="0.35">
      <c r="D1757" s="20">
        <v>2195</v>
      </c>
      <c r="E1757" s="20">
        <v>2150</v>
      </c>
      <c r="F1757" s="20">
        <v>4150</v>
      </c>
      <c r="G1757" s="20">
        <v>0.41454285430147897</v>
      </c>
      <c r="H1757" s="16">
        <f t="shared" ca="1" si="30"/>
        <v>604</v>
      </c>
    </row>
    <row r="1758" spans="4:8" ht="15" thickBot="1" x14ac:dyDescent="0.35">
      <c r="D1758" s="20">
        <v>201</v>
      </c>
      <c r="E1758" s="20">
        <v>4150</v>
      </c>
      <c r="F1758" s="20">
        <v>350</v>
      </c>
      <c r="G1758" s="20">
        <v>0.2353209607171543</v>
      </c>
      <c r="H1758" s="16">
        <f t="shared" ca="1" si="30"/>
        <v>1890</v>
      </c>
    </row>
    <row r="1759" spans="4:8" ht="15" thickBot="1" x14ac:dyDescent="0.35">
      <c r="D1759" s="20">
        <v>1313</v>
      </c>
      <c r="E1759" s="43">
        <v>4050</v>
      </c>
      <c r="F1759" s="43">
        <v>2450</v>
      </c>
      <c r="G1759" s="20">
        <v>0.34654354885530581</v>
      </c>
      <c r="H1759" s="16">
        <f t="shared" ca="1" si="30"/>
        <v>737</v>
      </c>
    </row>
    <row r="1760" spans="4:8" ht="15" thickBot="1" x14ac:dyDescent="0.35">
      <c r="D1760" s="20">
        <v>520</v>
      </c>
      <c r="E1760" s="44">
        <v>4250</v>
      </c>
      <c r="F1760" s="44">
        <v>950</v>
      </c>
      <c r="G1760" s="20">
        <v>0.28070973352686945</v>
      </c>
      <c r="H1760" s="16">
        <f t="shared" ca="1" si="30"/>
        <v>2568</v>
      </c>
    </row>
    <row r="1761" spans="4:8" ht="15" thickBot="1" x14ac:dyDescent="0.35">
      <c r="D1761" s="20">
        <v>1366</v>
      </c>
      <c r="E1761" s="20">
        <v>4050</v>
      </c>
      <c r="F1761" s="20">
        <v>2550</v>
      </c>
      <c r="G1761" s="20">
        <v>0.34964356116519563</v>
      </c>
      <c r="H1761" s="16">
        <f t="shared" ca="1" si="30"/>
        <v>2471</v>
      </c>
    </row>
    <row r="1762" spans="4:8" ht="15" thickBot="1" x14ac:dyDescent="0.35">
      <c r="D1762" s="20">
        <v>1640</v>
      </c>
      <c r="E1762" s="44">
        <v>4950</v>
      </c>
      <c r="F1762" s="44">
        <v>3050</v>
      </c>
      <c r="G1762" s="20">
        <v>0.36972443777902281</v>
      </c>
      <c r="H1762" s="16">
        <f t="shared" ca="1" si="30"/>
        <v>1811</v>
      </c>
    </row>
    <row r="1763" spans="4:8" ht="15" thickBot="1" x14ac:dyDescent="0.35">
      <c r="D1763" s="20">
        <v>1853</v>
      </c>
      <c r="E1763" s="20">
        <v>5050</v>
      </c>
      <c r="F1763" s="20">
        <v>3450</v>
      </c>
      <c r="G1763" s="20">
        <v>0.38486752069562591</v>
      </c>
      <c r="H1763" s="16">
        <f t="shared" ca="1" si="30"/>
        <v>859</v>
      </c>
    </row>
    <row r="1764" spans="4:8" ht="15" thickBot="1" x14ac:dyDescent="0.35">
      <c r="D1764" s="20">
        <v>266</v>
      </c>
      <c r="E1764" s="20">
        <v>50</v>
      </c>
      <c r="F1764" s="20">
        <v>550</v>
      </c>
      <c r="G1764" s="20">
        <v>0.2481978430327636</v>
      </c>
      <c r="H1764" s="16">
        <f t="shared" ca="1" si="30"/>
        <v>281</v>
      </c>
    </row>
    <row r="1765" spans="4:8" ht="15" thickBot="1" x14ac:dyDescent="0.35">
      <c r="D1765" s="20">
        <v>1623</v>
      </c>
      <c r="E1765" s="20">
        <v>3250</v>
      </c>
      <c r="F1765" s="20">
        <v>3050</v>
      </c>
      <c r="G1765" s="20">
        <v>0.36844214274557485</v>
      </c>
      <c r="H1765" s="16">
        <f t="shared" ca="1" si="30"/>
        <v>2253</v>
      </c>
    </row>
    <row r="1766" spans="4:8" ht="15" thickBot="1" x14ac:dyDescent="0.35">
      <c r="D1766" s="20">
        <v>102</v>
      </c>
      <c r="E1766" s="47">
        <v>4850</v>
      </c>
      <c r="F1766" s="47">
        <v>150</v>
      </c>
      <c r="G1766" s="20">
        <v>0.21149444533659376</v>
      </c>
      <c r="H1766" s="16">
        <f t="shared" ca="1" si="30"/>
        <v>126</v>
      </c>
    </row>
    <row r="1767" spans="4:8" ht="15" thickBot="1" x14ac:dyDescent="0.35">
      <c r="D1767" s="20">
        <v>2285</v>
      </c>
      <c r="E1767" s="20">
        <v>550</v>
      </c>
      <c r="F1767" s="20">
        <v>4350</v>
      </c>
      <c r="G1767" s="20">
        <v>0.42419217656063957</v>
      </c>
      <c r="H1767" s="16">
        <f t="shared" ca="1" si="30"/>
        <v>161</v>
      </c>
    </row>
    <row r="1768" spans="4:8" ht="15" thickBot="1" x14ac:dyDescent="0.35">
      <c r="D1768" s="20">
        <v>852</v>
      </c>
      <c r="E1768" s="20">
        <v>350</v>
      </c>
      <c r="F1768" s="20">
        <v>1650</v>
      </c>
      <c r="G1768" s="20">
        <v>0.31048966661138483</v>
      </c>
      <c r="H1768" s="16">
        <f t="shared" ca="1" si="30"/>
        <v>583</v>
      </c>
    </row>
    <row r="1769" spans="4:8" ht="15" thickBot="1" x14ac:dyDescent="0.35">
      <c r="D1769" s="20">
        <v>1338</v>
      </c>
      <c r="E1769" s="20">
        <v>1250</v>
      </c>
      <c r="F1769" s="20">
        <v>2550</v>
      </c>
      <c r="G1769" s="20">
        <v>0.34838235132618406</v>
      </c>
      <c r="H1769" s="16">
        <f t="shared" ca="1" si="30"/>
        <v>872</v>
      </c>
    </row>
    <row r="1770" spans="4:8" ht="15" thickBot="1" x14ac:dyDescent="0.35">
      <c r="D1770" s="20">
        <v>2462</v>
      </c>
      <c r="E1770" s="47">
        <v>2350</v>
      </c>
      <c r="F1770" s="47">
        <v>4650</v>
      </c>
      <c r="G1770" s="20">
        <v>0.44218969033745059</v>
      </c>
      <c r="H1770" s="16">
        <f t="shared" ca="1" si="30"/>
        <v>2045</v>
      </c>
    </row>
    <row r="1771" spans="4:8" ht="15" thickBot="1" x14ac:dyDescent="0.35">
      <c r="D1771" s="20">
        <v>2528</v>
      </c>
      <c r="E1771" s="45">
        <v>3650</v>
      </c>
      <c r="F1771" s="45">
        <v>4750</v>
      </c>
      <c r="G1771" s="20">
        <v>0.45073757212103116</v>
      </c>
      <c r="H1771" s="16">
        <f t="shared" ca="1" si="30"/>
        <v>117</v>
      </c>
    </row>
    <row r="1772" spans="4:8" ht="15" thickBot="1" x14ac:dyDescent="0.35">
      <c r="D1772" s="20">
        <v>892</v>
      </c>
      <c r="E1772" s="20">
        <v>4350</v>
      </c>
      <c r="F1772" s="20">
        <v>1650</v>
      </c>
      <c r="G1772" s="20">
        <v>0.31353255424808546</v>
      </c>
      <c r="H1772" s="16">
        <f t="shared" ca="1" si="30"/>
        <v>1771</v>
      </c>
    </row>
    <row r="1773" spans="4:8" ht="15" thickBot="1" x14ac:dyDescent="0.35">
      <c r="D1773" s="20">
        <v>1072</v>
      </c>
      <c r="E1773" s="20">
        <v>1150</v>
      </c>
      <c r="F1773" s="20">
        <v>2050</v>
      </c>
      <c r="G1773" s="20">
        <v>0.32800888479859197</v>
      </c>
      <c r="H1773" s="16">
        <f t="shared" ca="1" si="30"/>
        <v>518</v>
      </c>
    </row>
    <row r="1774" spans="4:8" ht="15" thickBot="1" x14ac:dyDescent="0.35">
      <c r="D1774" s="20">
        <v>74</v>
      </c>
      <c r="E1774" s="20">
        <v>2050</v>
      </c>
      <c r="F1774" s="20">
        <v>150</v>
      </c>
      <c r="G1774" s="20">
        <v>0.19964729124876207</v>
      </c>
      <c r="H1774" s="16">
        <f t="shared" ca="1" si="30"/>
        <v>2528</v>
      </c>
    </row>
    <row r="1775" spans="4:8" ht="15" thickBot="1" x14ac:dyDescent="0.35">
      <c r="D1775" s="20">
        <v>1025</v>
      </c>
      <c r="E1775" s="20">
        <v>1750</v>
      </c>
      <c r="F1775" s="20">
        <v>1950</v>
      </c>
      <c r="G1775" s="20">
        <v>0.32396148950076814</v>
      </c>
      <c r="H1775" s="16">
        <f t="shared" ca="1" si="30"/>
        <v>1496</v>
      </c>
    </row>
    <row r="1776" spans="4:8" ht="15" thickBot="1" x14ac:dyDescent="0.35">
      <c r="D1776" s="20">
        <v>415</v>
      </c>
      <c r="E1776" s="20">
        <v>4350</v>
      </c>
      <c r="F1776" s="20">
        <v>750</v>
      </c>
      <c r="G1776" s="20">
        <v>0.26974741646518702</v>
      </c>
      <c r="H1776" s="16">
        <f t="shared" ca="1" si="30"/>
        <v>2245</v>
      </c>
    </row>
    <row r="1777" spans="4:8" ht="15" thickBot="1" x14ac:dyDescent="0.35">
      <c r="D1777" s="20">
        <v>2015</v>
      </c>
      <c r="E1777" s="20">
        <v>50</v>
      </c>
      <c r="F1777" s="20">
        <v>3850</v>
      </c>
      <c r="G1777" s="20">
        <v>0.39686888535605575</v>
      </c>
      <c r="H1777" s="16">
        <f t="shared" ca="1" si="30"/>
        <v>2094</v>
      </c>
    </row>
    <row r="1778" spans="4:8" ht="15" thickBot="1" x14ac:dyDescent="0.35">
      <c r="D1778" s="20">
        <v>1452</v>
      </c>
      <c r="E1778" s="20">
        <v>2050</v>
      </c>
      <c r="F1778" s="20">
        <v>2750</v>
      </c>
      <c r="G1778" s="20">
        <v>0.35599649051127064</v>
      </c>
      <c r="H1778" s="16">
        <f t="shared" ca="1" si="30"/>
        <v>2266</v>
      </c>
    </row>
    <row r="1779" spans="4:8" ht="15" thickBot="1" x14ac:dyDescent="0.35">
      <c r="D1779" s="20">
        <v>180</v>
      </c>
      <c r="E1779" s="20">
        <v>2050</v>
      </c>
      <c r="F1779" s="20">
        <v>350</v>
      </c>
      <c r="G1779" s="20">
        <v>0.22906353427969961</v>
      </c>
      <c r="H1779" s="16">
        <f t="shared" ca="1" si="30"/>
        <v>111</v>
      </c>
    </row>
    <row r="1780" spans="4:8" ht="15" thickBot="1" x14ac:dyDescent="0.35">
      <c r="D1780" s="20">
        <v>2224</v>
      </c>
      <c r="E1780" s="44">
        <v>5050</v>
      </c>
      <c r="F1780" s="44">
        <v>4150</v>
      </c>
      <c r="G1780" s="20">
        <v>0.41794019673126809</v>
      </c>
      <c r="H1780" s="16">
        <f t="shared" ca="1" si="30"/>
        <v>1245</v>
      </c>
    </row>
    <row r="1781" spans="4:8" ht="15" thickBot="1" x14ac:dyDescent="0.35">
      <c r="D1781" s="20">
        <v>649</v>
      </c>
      <c r="E1781" s="20">
        <v>1250</v>
      </c>
      <c r="F1781" s="20">
        <v>1250</v>
      </c>
      <c r="G1781" s="20">
        <v>0.29337590934214935</v>
      </c>
      <c r="H1781" s="16">
        <f t="shared" ca="1" si="30"/>
        <v>1015</v>
      </c>
    </row>
    <row r="1782" spans="4:8" ht="15" thickBot="1" x14ac:dyDescent="0.35">
      <c r="D1782" s="20">
        <v>2521</v>
      </c>
      <c r="E1782" s="20">
        <v>2950</v>
      </c>
      <c r="F1782" s="20">
        <v>4750</v>
      </c>
      <c r="G1782" s="20">
        <v>0.44989223254378108</v>
      </c>
      <c r="H1782" s="16">
        <f t="shared" ca="1" si="30"/>
        <v>1835</v>
      </c>
    </row>
    <row r="1783" spans="4:8" ht="15" thickBot="1" x14ac:dyDescent="0.35">
      <c r="D1783" s="20">
        <v>1859</v>
      </c>
      <c r="E1783" s="20">
        <v>350</v>
      </c>
      <c r="F1783" s="20">
        <v>3550</v>
      </c>
      <c r="G1783" s="20">
        <v>0.38539701268520155</v>
      </c>
      <c r="H1783" s="16">
        <f t="shared" ca="1" si="30"/>
        <v>2206</v>
      </c>
    </row>
    <row r="1784" spans="4:8" ht="15" thickBot="1" x14ac:dyDescent="0.35">
      <c r="D1784" s="20">
        <v>1519</v>
      </c>
      <c r="E1784" s="20">
        <v>3450</v>
      </c>
      <c r="F1784" s="20">
        <v>2850</v>
      </c>
      <c r="G1784" s="20">
        <v>0.36117517452897163</v>
      </c>
      <c r="H1784" s="16">
        <f t="shared" ca="1" si="30"/>
        <v>1509</v>
      </c>
    </row>
    <row r="1785" spans="4:8" ht="15" thickBot="1" x14ac:dyDescent="0.35">
      <c r="D1785" s="20">
        <v>368</v>
      </c>
      <c r="E1785" s="20">
        <v>4950</v>
      </c>
      <c r="F1785" s="20">
        <v>650</v>
      </c>
      <c r="G1785" s="20">
        <v>0.26333851057374658</v>
      </c>
      <c r="H1785" s="16">
        <f t="shared" ca="1" si="30"/>
        <v>1298</v>
      </c>
    </row>
    <row r="1786" spans="4:8" ht="15" thickBot="1" x14ac:dyDescent="0.35">
      <c r="D1786" s="20">
        <v>2455</v>
      </c>
      <c r="E1786" s="48">
        <v>1650</v>
      </c>
      <c r="F1786" s="48">
        <v>4650</v>
      </c>
      <c r="G1786" s="20">
        <v>0.44118717832453269</v>
      </c>
      <c r="H1786" s="16">
        <f t="shared" ca="1" si="30"/>
        <v>251</v>
      </c>
    </row>
    <row r="1787" spans="4:8" ht="15" thickBot="1" x14ac:dyDescent="0.35">
      <c r="D1787" s="20">
        <v>2068</v>
      </c>
      <c r="E1787" s="20">
        <v>50</v>
      </c>
      <c r="F1787" s="20">
        <v>3950</v>
      </c>
      <c r="G1787" s="20">
        <v>0.40253384566525635</v>
      </c>
      <c r="H1787" s="16">
        <f t="shared" ca="1" si="30"/>
        <v>1466</v>
      </c>
    </row>
    <row r="1788" spans="4:8" ht="15" thickBot="1" x14ac:dyDescent="0.35">
      <c r="D1788" s="20">
        <v>2409</v>
      </c>
      <c r="E1788" s="20">
        <v>2350</v>
      </c>
      <c r="F1788" s="20">
        <v>4550</v>
      </c>
      <c r="G1788" s="20">
        <v>0.43572530094347195</v>
      </c>
      <c r="H1788" s="16">
        <f t="shared" ca="1" si="30"/>
        <v>88</v>
      </c>
    </row>
    <row r="1789" spans="4:8" ht="15" thickBot="1" x14ac:dyDescent="0.35">
      <c r="D1789" s="20">
        <v>1898</v>
      </c>
      <c r="E1789" s="20">
        <v>4250</v>
      </c>
      <c r="F1789" s="20">
        <v>3550</v>
      </c>
      <c r="G1789" s="20">
        <v>0.38832963891572808</v>
      </c>
      <c r="H1789" s="16">
        <f t="shared" ca="1" si="30"/>
        <v>2407</v>
      </c>
    </row>
    <row r="1790" spans="4:8" ht="15" thickBot="1" x14ac:dyDescent="0.35">
      <c r="D1790" s="20">
        <v>1068</v>
      </c>
      <c r="E1790" s="20">
        <v>750</v>
      </c>
      <c r="F1790" s="20">
        <v>2050</v>
      </c>
      <c r="G1790" s="20">
        <v>0.32777727520864602</v>
      </c>
      <c r="H1790" s="16">
        <f t="shared" ca="1" si="30"/>
        <v>1715</v>
      </c>
    </row>
    <row r="1791" spans="4:8" ht="15" thickBot="1" x14ac:dyDescent="0.35">
      <c r="D1791" s="20">
        <v>882</v>
      </c>
      <c r="E1791" s="20">
        <v>3350</v>
      </c>
      <c r="F1791" s="20">
        <v>1650</v>
      </c>
      <c r="G1791" s="20">
        <v>0.31289741689740957</v>
      </c>
      <c r="H1791" s="16">
        <f t="shared" ca="1" si="30"/>
        <v>1954</v>
      </c>
    </row>
    <row r="1792" spans="4:8" ht="15" thickBot="1" x14ac:dyDescent="0.35">
      <c r="D1792" s="20">
        <v>2148</v>
      </c>
      <c r="E1792" s="20">
        <v>2750</v>
      </c>
      <c r="F1792" s="20">
        <v>4050</v>
      </c>
      <c r="G1792" s="20">
        <v>0.41023790918246156</v>
      </c>
      <c r="H1792" s="16">
        <f t="shared" ca="1" si="30"/>
        <v>437</v>
      </c>
    </row>
    <row r="1793" spans="4:8" ht="15" thickBot="1" x14ac:dyDescent="0.35">
      <c r="D1793" s="20">
        <v>1298</v>
      </c>
      <c r="E1793" s="20">
        <v>2550</v>
      </c>
      <c r="F1793" s="20">
        <v>2450</v>
      </c>
      <c r="G1793" s="20">
        <v>0.345630839146087</v>
      </c>
      <c r="H1793" s="16">
        <f t="shared" ca="1" si="30"/>
        <v>2551</v>
      </c>
    </row>
    <row r="1794" spans="4:8" ht="15" thickBot="1" x14ac:dyDescent="0.35">
      <c r="D1794" s="20">
        <v>1321</v>
      </c>
      <c r="E1794" s="20">
        <v>4850</v>
      </c>
      <c r="F1794" s="20">
        <v>2450</v>
      </c>
      <c r="G1794" s="20">
        <v>0.34731101440522394</v>
      </c>
      <c r="H1794" s="16">
        <f t="shared" ca="1" si="30"/>
        <v>993</v>
      </c>
    </row>
    <row r="1795" spans="4:8" ht="15" thickBot="1" x14ac:dyDescent="0.35">
      <c r="D1795" s="20">
        <v>1429</v>
      </c>
      <c r="E1795" s="20">
        <v>5050</v>
      </c>
      <c r="F1795" s="20">
        <v>2650</v>
      </c>
      <c r="G1795" s="20">
        <v>0.35503610552484444</v>
      </c>
      <c r="H1795" s="16">
        <f t="shared" ca="1" si="30"/>
        <v>1565</v>
      </c>
    </row>
    <row r="1796" spans="4:8" ht="15" thickBot="1" x14ac:dyDescent="0.35">
      <c r="D1796" s="20">
        <v>839</v>
      </c>
      <c r="E1796" s="20">
        <v>4350</v>
      </c>
      <c r="F1796" s="20">
        <v>1550</v>
      </c>
      <c r="G1796" s="20">
        <v>0.30932095662731923</v>
      </c>
      <c r="H1796" s="16">
        <f t="shared" ca="1" si="30"/>
        <v>1561</v>
      </c>
    </row>
    <row r="1797" spans="4:8" ht="15" thickBot="1" x14ac:dyDescent="0.35">
      <c r="D1797" s="20">
        <v>2001</v>
      </c>
      <c r="E1797" s="20">
        <v>3950</v>
      </c>
      <c r="F1797" s="20">
        <v>3750</v>
      </c>
      <c r="G1797" s="20">
        <v>0.39573231312946089</v>
      </c>
      <c r="H1797" s="16">
        <f t="shared" ca="1" si="30"/>
        <v>828</v>
      </c>
    </row>
    <row r="1798" spans="4:8" ht="15" thickBot="1" x14ac:dyDescent="0.35">
      <c r="D1798" s="20">
        <v>2315</v>
      </c>
      <c r="E1798" s="20">
        <v>3550</v>
      </c>
      <c r="F1798" s="20">
        <v>4350</v>
      </c>
      <c r="G1798" s="20">
        <v>0.42606798977939719</v>
      </c>
      <c r="H1798" s="16">
        <f t="shared" ca="1" si="30"/>
        <v>196</v>
      </c>
    </row>
    <row r="1799" spans="4:8" ht="15" thickBot="1" x14ac:dyDescent="0.35">
      <c r="D1799" s="20">
        <v>2525</v>
      </c>
      <c r="E1799" s="20">
        <v>3350</v>
      </c>
      <c r="F1799" s="20">
        <v>4750</v>
      </c>
      <c r="G1799" s="20">
        <v>0.45019639407529255</v>
      </c>
      <c r="H1799" s="16">
        <f t="shared" ref="H1799:H1862" ca="1" si="31">RANDBETWEEN(1,2788)</f>
        <v>2491</v>
      </c>
    </row>
    <row r="1800" spans="4:8" ht="15" thickBot="1" x14ac:dyDescent="0.35">
      <c r="D1800" s="20">
        <v>1430</v>
      </c>
      <c r="E1800" s="43">
        <v>5150</v>
      </c>
      <c r="F1800" s="43">
        <v>2650</v>
      </c>
      <c r="G1800" s="20">
        <v>0.35506871238082216</v>
      </c>
      <c r="H1800" s="16">
        <f t="shared" ca="1" si="31"/>
        <v>192</v>
      </c>
    </row>
    <row r="1801" spans="4:8" ht="15" thickBot="1" x14ac:dyDescent="0.35">
      <c r="D1801" s="20">
        <v>1686</v>
      </c>
      <c r="E1801" s="20">
        <v>4250</v>
      </c>
      <c r="F1801" s="20">
        <v>3150</v>
      </c>
      <c r="G1801" s="20">
        <v>0.37316610109239134</v>
      </c>
      <c r="H1801" s="16">
        <f t="shared" ca="1" si="31"/>
        <v>1398</v>
      </c>
    </row>
    <row r="1802" spans="4:8" ht="15" thickBot="1" x14ac:dyDescent="0.35">
      <c r="D1802" s="20">
        <v>236</v>
      </c>
      <c r="E1802" s="20">
        <v>2350</v>
      </c>
      <c r="F1802" s="20">
        <v>450</v>
      </c>
      <c r="G1802" s="20">
        <v>0.24320621590159255</v>
      </c>
      <c r="H1802" s="16">
        <f t="shared" ca="1" si="31"/>
        <v>353</v>
      </c>
    </row>
    <row r="1803" spans="4:8" ht="15" thickBot="1" x14ac:dyDescent="0.35">
      <c r="D1803" s="20">
        <v>395</v>
      </c>
      <c r="E1803" s="20">
        <v>2350</v>
      </c>
      <c r="F1803" s="20">
        <v>750</v>
      </c>
      <c r="G1803" s="20">
        <v>0.26669707175878826</v>
      </c>
      <c r="H1803" s="16">
        <f t="shared" ca="1" si="31"/>
        <v>310</v>
      </c>
    </row>
    <row r="1804" spans="4:8" ht="15" thickBot="1" x14ac:dyDescent="0.35">
      <c r="D1804" s="20">
        <v>2712</v>
      </c>
      <c r="E1804" s="20">
        <v>850</v>
      </c>
      <c r="F1804" s="20">
        <v>5150</v>
      </c>
      <c r="G1804" s="20">
        <v>0.49919310772274061</v>
      </c>
      <c r="H1804" s="16">
        <f t="shared" ca="1" si="31"/>
        <v>1597</v>
      </c>
    </row>
    <row r="1805" spans="4:8" ht="15" thickBot="1" x14ac:dyDescent="0.35">
      <c r="D1805" s="20">
        <v>2313</v>
      </c>
      <c r="E1805" s="20">
        <v>3350</v>
      </c>
      <c r="F1805" s="20">
        <v>4350</v>
      </c>
      <c r="G1805" s="20">
        <v>0.42605951006144949</v>
      </c>
      <c r="H1805" s="16">
        <f t="shared" ca="1" si="31"/>
        <v>819</v>
      </c>
    </row>
    <row r="1806" spans="4:8" ht="15" thickBot="1" x14ac:dyDescent="0.35">
      <c r="D1806" s="20">
        <v>1620</v>
      </c>
      <c r="E1806" s="20">
        <v>2950</v>
      </c>
      <c r="F1806" s="20">
        <v>3050</v>
      </c>
      <c r="G1806" s="20">
        <v>0.36835263580166933</v>
      </c>
      <c r="H1806" s="16">
        <f t="shared" ca="1" si="31"/>
        <v>2647</v>
      </c>
    </row>
    <row r="1807" spans="4:8" ht="15" thickBot="1" x14ac:dyDescent="0.35">
      <c r="D1807" s="20">
        <v>1786</v>
      </c>
      <c r="E1807" s="20">
        <v>3650</v>
      </c>
      <c r="F1807" s="20">
        <v>3350</v>
      </c>
      <c r="G1807" s="20">
        <v>0.38003348281346883</v>
      </c>
      <c r="H1807" s="16">
        <f t="shared" ca="1" si="31"/>
        <v>1489</v>
      </c>
    </row>
    <row r="1808" spans="4:8" ht="15" thickBot="1" x14ac:dyDescent="0.35">
      <c r="D1808" s="20">
        <v>296</v>
      </c>
      <c r="E1808" s="48">
        <v>3050</v>
      </c>
      <c r="F1808" s="48">
        <v>550</v>
      </c>
      <c r="G1808" s="20">
        <v>0.25251737933609797</v>
      </c>
      <c r="H1808" s="16">
        <f t="shared" ca="1" si="31"/>
        <v>1833</v>
      </c>
    </row>
    <row r="1809" spans="4:8" ht="15" thickBot="1" x14ac:dyDescent="0.35">
      <c r="D1809" s="20">
        <v>2003</v>
      </c>
      <c r="E1809" s="20">
        <v>4150</v>
      </c>
      <c r="F1809" s="20">
        <v>3750</v>
      </c>
      <c r="G1809" s="20">
        <v>0.39592640430754367</v>
      </c>
      <c r="H1809" s="16">
        <f t="shared" ca="1" si="31"/>
        <v>307</v>
      </c>
    </row>
    <row r="1810" spans="4:8" ht="15" thickBot="1" x14ac:dyDescent="0.35">
      <c r="D1810" s="20">
        <v>1805</v>
      </c>
      <c r="E1810" s="44">
        <v>250</v>
      </c>
      <c r="F1810" s="44">
        <v>3450</v>
      </c>
      <c r="G1810" s="20">
        <v>0.38119985299628639</v>
      </c>
      <c r="H1810" s="16">
        <f t="shared" ca="1" si="31"/>
        <v>1641</v>
      </c>
    </row>
    <row r="1811" spans="4:8" ht="15" thickBot="1" x14ac:dyDescent="0.35">
      <c r="D1811" s="20">
        <v>2786</v>
      </c>
      <c r="E1811" s="20">
        <v>2950</v>
      </c>
      <c r="F1811" s="20">
        <v>5250</v>
      </c>
      <c r="G1811" s="20">
        <v>0.56657218467718184</v>
      </c>
      <c r="H1811" s="16">
        <f t="shared" ca="1" si="31"/>
        <v>787</v>
      </c>
    </row>
    <row r="1812" spans="4:8" ht="15" thickBot="1" x14ac:dyDescent="0.35">
      <c r="D1812" s="20">
        <v>1851</v>
      </c>
      <c r="E1812" s="20">
        <v>4850</v>
      </c>
      <c r="F1812" s="20">
        <v>3450</v>
      </c>
      <c r="G1812" s="20">
        <v>0.38463205611831458</v>
      </c>
      <c r="H1812" s="16">
        <f t="shared" ca="1" si="31"/>
        <v>2514</v>
      </c>
    </row>
    <row r="1813" spans="4:8" ht="15" thickBot="1" x14ac:dyDescent="0.35">
      <c r="D1813" s="20">
        <v>1910</v>
      </c>
      <c r="E1813" s="20">
        <v>150</v>
      </c>
      <c r="F1813" s="20">
        <v>3650</v>
      </c>
      <c r="G1813" s="20">
        <v>0.38885315104810625</v>
      </c>
      <c r="H1813" s="16">
        <f t="shared" ca="1" si="31"/>
        <v>1556</v>
      </c>
    </row>
    <row r="1814" spans="4:8" ht="15" thickBot="1" x14ac:dyDescent="0.35">
      <c r="D1814" s="20">
        <v>1629</v>
      </c>
      <c r="E1814" s="20">
        <v>3850</v>
      </c>
      <c r="F1814" s="20">
        <v>3050</v>
      </c>
      <c r="G1814" s="20">
        <v>0.36876534645845316</v>
      </c>
      <c r="H1814" s="16">
        <f t="shared" ca="1" si="31"/>
        <v>370</v>
      </c>
    </row>
    <row r="1815" spans="4:8" ht="15" thickBot="1" x14ac:dyDescent="0.35">
      <c r="D1815" s="20">
        <v>795</v>
      </c>
      <c r="E1815" s="20">
        <v>5250</v>
      </c>
      <c r="F1815" s="20">
        <v>1450</v>
      </c>
      <c r="G1815" s="20">
        <v>0.30623966327416319</v>
      </c>
      <c r="H1815" s="16">
        <f t="shared" ca="1" si="31"/>
        <v>1379</v>
      </c>
    </row>
    <row r="1816" spans="4:8" ht="15" thickBot="1" x14ac:dyDescent="0.35">
      <c r="D1816" s="20">
        <v>244</v>
      </c>
      <c r="E1816" s="20">
        <v>3150</v>
      </c>
      <c r="F1816" s="20">
        <v>450</v>
      </c>
      <c r="G1816" s="20">
        <v>0.24428830270843854</v>
      </c>
      <c r="H1816" s="16">
        <f t="shared" ca="1" si="31"/>
        <v>2507</v>
      </c>
    </row>
    <row r="1817" spans="4:8" ht="15" thickBot="1" x14ac:dyDescent="0.35">
      <c r="D1817" s="20">
        <v>581</v>
      </c>
      <c r="E1817" s="20">
        <v>5050</v>
      </c>
      <c r="F1817" s="20">
        <v>1050</v>
      </c>
      <c r="G1817" s="20">
        <v>0.28686943285803923</v>
      </c>
      <c r="H1817" s="16">
        <f t="shared" ca="1" si="31"/>
        <v>631</v>
      </c>
    </row>
    <row r="1818" spans="4:8" ht="15" thickBot="1" x14ac:dyDescent="0.35">
      <c r="D1818" s="20">
        <v>2278</v>
      </c>
      <c r="E1818" s="20">
        <v>5150</v>
      </c>
      <c r="F1818" s="20">
        <v>4250</v>
      </c>
      <c r="G1818" s="20">
        <v>0.42338330204554253</v>
      </c>
      <c r="H1818" s="16">
        <f t="shared" ca="1" si="31"/>
        <v>1815</v>
      </c>
    </row>
    <row r="1819" spans="4:8" ht="15" thickBot="1" x14ac:dyDescent="0.35">
      <c r="D1819" s="20">
        <v>875</v>
      </c>
      <c r="E1819" s="20">
        <v>2650</v>
      </c>
      <c r="F1819" s="20">
        <v>1650</v>
      </c>
      <c r="G1819" s="20">
        <v>0.31254569284839706</v>
      </c>
      <c r="H1819" s="16">
        <f t="shared" ca="1" si="31"/>
        <v>1627</v>
      </c>
    </row>
    <row r="1820" spans="4:8" ht="15" thickBot="1" x14ac:dyDescent="0.35">
      <c r="D1820" s="20">
        <v>54</v>
      </c>
      <c r="E1820" s="20">
        <v>50</v>
      </c>
      <c r="F1820" s="20">
        <v>150</v>
      </c>
      <c r="G1820" s="20">
        <v>0.18935104815442416</v>
      </c>
      <c r="H1820" s="16">
        <f t="shared" ca="1" si="31"/>
        <v>50</v>
      </c>
    </row>
    <row r="1821" spans="4:8" ht="15" thickBot="1" x14ac:dyDescent="0.35">
      <c r="D1821" s="20">
        <v>1844</v>
      </c>
      <c r="E1821" s="20">
        <v>4150</v>
      </c>
      <c r="F1821" s="20">
        <v>3450</v>
      </c>
      <c r="G1821" s="20">
        <v>0.38423877352282965</v>
      </c>
      <c r="H1821" s="16">
        <f t="shared" ca="1" si="31"/>
        <v>1872</v>
      </c>
    </row>
    <row r="1822" spans="4:8" ht="15" thickBot="1" x14ac:dyDescent="0.35">
      <c r="D1822" s="20">
        <v>1308</v>
      </c>
      <c r="E1822" s="44">
        <v>3550</v>
      </c>
      <c r="F1822" s="44">
        <v>2450</v>
      </c>
      <c r="G1822" s="20">
        <v>0.34619028870355589</v>
      </c>
      <c r="H1822" s="16">
        <f t="shared" ca="1" si="31"/>
        <v>25</v>
      </c>
    </row>
    <row r="1823" spans="4:8" ht="15" thickBot="1" x14ac:dyDescent="0.35">
      <c r="D1823" s="20">
        <v>1842</v>
      </c>
      <c r="E1823" s="20">
        <v>3950</v>
      </c>
      <c r="F1823" s="20">
        <v>3450</v>
      </c>
      <c r="G1823" s="20">
        <v>0.3841235171500802</v>
      </c>
      <c r="H1823" s="16">
        <f t="shared" ca="1" si="31"/>
        <v>1681</v>
      </c>
    </row>
    <row r="1824" spans="4:8" ht="15" thickBot="1" x14ac:dyDescent="0.35">
      <c r="D1824" s="20">
        <v>2322</v>
      </c>
      <c r="E1824" s="20">
        <v>4250</v>
      </c>
      <c r="F1824" s="20">
        <v>4350</v>
      </c>
      <c r="G1824" s="20">
        <v>0.42686966110482477</v>
      </c>
      <c r="H1824" s="16">
        <f t="shared" ca="1" si="31"/>
        <v>2710</v>
      </c>
    </row>
    <row r="1825" spans="4:8" ht="15" thickBot="1" x14ac:dyDescent="0.35">
      <c r="D1825" s="20">
        <v>907</v>
      </c>
      <c r="E1825" s="20">
        <v>550</v>
      </c>
      <c r="F1825" s="20">
        <v>1750</v>
      </c>
      <c r="G1825" s="20">
        <v>0.31486367506056945</v>
      </c>
      <c r="H1825" s="16">
        <f t="shared" ca="1" si="31"/>
        <v>631</v>
      </c>
    </row>
    <row r="1826" spans="4:8" ht="15" thickBot="1" x14ac:dyDescent="0.35">
      <c r="D1826" s="20">
        <v>2341</v>
      </c>
      <c r="E1826" s="20">
        <v>850</v>
      </c>
      <c r="F1826" s="20">
        <v>4450</v>
      </c>
      <c r="G1826" s="20">
        <v>0.42931937042032198</v>
      </c>
      <c r="H1826" s="16">
        <f t="shared" ca="1" si="31"/>
        <v>2724</v>
      </c>
    </row>
    <row r="1827" spans="4:8" ht="15" thickBot="1" x14ac:dyDescent="0.35">
      <c r="D1827" s="20">
        <v>2655</v>
      </c>
      <c r="E1827" s="20">
        <v>450</v>
      </c>
      <c r="F1827" s="20">
        <v>5050</v>
      </c>
      <c r="G1827" s="20">
        <v>0.47902087338812743</v>
      </c>
      <c r="H1827" s="16">
        <f t="shared" ca="1" si="31"/>
        <v>2680</v>
      </c>
    </row>
    <row r="1828" spans="4:8" ht="15" thickBot="1" x14ac:dyDescent="0.35">
      <c r="D1828" s="20">
        <v>1934</v>
      </c>
      <c r="E1828" s="20">
        <v>2550</v>
      </c>
      <c r="F1828" s="20">
        <v>3650</v>
      </c>
      <c r="G1828" s="20">
        <v>0.39025125085241796</v>
      </c>
      <c r="H1828" s="16">
        <f t="shared" ca="1" si="31"/>
        <v>1895</v>
      </c>
    </row>
    <row r="1829" spans="4:8" ht="15" thickBot="1" x14ac:dyDescent="0.35">
      <c r="D1829" s="20">
        <v>1917</v>
      </c>
      <c r="E1829" s="20">
        <v>850</v>
      </c>
      <c r="F1829" s="20">
        <v>3650</v>
      </c>
      <c r="G1829" s="20">
        <v>0.38930431791325559</v>
      </c>
      <c r="H1829" s="16">
        <f t="shared" ca="1" si="31"/>
        <v>136</v>
      </c>
    </row>
    <row r="1830" spans="4:8" ht="15" thickBot="1" x14ac:dyDescent="0.35">
      <c r="D1830" s="20">
        <v>2778</v>
      </c>
      <c r="E1830" s="20">
        <v>2150</v>
      </c>
      <c r="F1830" s="20">
        <v>5250</v>
      </c>
      <c r="G1830" s="20">
        <v>0.54745936041539012</v>
      </c>
      <c r="H1830" s="16">
        <f t="shared" ca="1" si="31"/>
        <v>2094</v>
      </c>
    </row>
    <row r="1831" spans="4:8" ht="15" thickBot="1" x14ac:dyDescent="0.35">
      <c r="D1831" s="20">
        <v>664</v>
      </c>
      <c r="E1831" s="20">
        <v>2750</v>
      </c>
      <c r="F1831" s="20">
        <v>1250</v>
      </c>
      <c r="G1831" s="20">
        <v>0.29562180169640967</v>
      </c>
      <c r="H1831" s="16">
        <f t="shared" ca="1" si="31"/>
        <v>897</v>
      </c>
    </row>
    <row r="1832" spans="4:8" ht="15" thickBot="1" x14ac:dyDescent="0.35">
      <c r="D1832" s="20">
        <v>2127</v>
      </c>
      <c r="E1832" s="20">
        <v>650</v>
      </c>
      <c r="F1832" s="20">
        <v>4050</v>
      </c>
      <c r="G1832" s="20">
        <v>0.40850694472732779</v>
      </c>
      <c r="H1832" s="16">
        <f t="shared" ca="1" si="31"/>
        <v>628</v>
      </c>
    </row>
    <row r="1833" spans="4:8" ht="15" thickBot="1" x14ac:dyDescent="0.35">
      <c r="D1833" s="20">
        <v>1007</v>
      </c>
      <c r="E1833" s="20">
        <v>5250</v>
      </c>
      <c r="F1833" s="20">
        <v>1850</v>
      </c>
      <c r="G1833" s="20">
        <v>0.32277917498506314</v>
      </c>
      <c r="H1833" s="16">
        <f t="shared" ca="1" si="31"/>
        <v>1298</v>
      </c>
    </row>
    <row r="1834" spans="4:8" ht="15" thickBot="1" x14ac:dyDescent="0.35">
      <c r="D1834" s="20">
        <v>2280</v>
      </c>
      <c r="E1834" s="20">
        <v>50</v>
      </c>
      <c r="F1834" s="20">
        <v>4350</v>
      </c>
      <c r="G1834" s="20">
        <v>0.42367402931518722</v>
      </c>
      <c r="H1834" s="16">
        <f t="shared" ca="1" si="31"/>
        <v>2349</v>
      </c>
    </row>
    <row r="1835" spans="4:8" ht="15" thickBot="1" x14ac:dyDescent="0.35">
      <c r="D1835" s="20">
        <v>673</v>
      </c>
      <c r="E1835" s="20">
        <v>3650</v>
      </c>
      <c r="F1835" s="20">
        <v>1250</v>
      </c>
      <c r="G1835" s="20">
        <v>0.2960658287915926</v>
      </c>
      <c r="H1835" s="16">
        <f t="shared" ca="1" si="31"/>
        <v>512</v>
      </c>
    </row>
    <row r="1836" spans="4:8" ht="15" thickBot="1" x14ac:dyDescent="0.35">
      <c r="D1836" s="20">
        <v>703</v>
      </c>
      <c r="E1836" s="20">
        <v>1350</v>
      </c>
      <c r="F1836" s="20">
        <v>1350</v>
      </c>
      <c r="G1836" s="20">
        <v>0.29871062880205762</v>
      </c>
      <c r="H1836" s="16">
        <f t="shared" ca="1" si="31"/>
        <v>922</v>
      </c>
    </row>
    <row r="1837" spans="4:8" ht="15" thickBot="1" x14ac:dyDescent="0.35">
      <c r="D1837" s="20">
        <v>32</v>
      </c>
      <c r="E1837" s="20">
        <v>3150</v>
      </c>
      <c r="F1837" s="20">
        <v>50</v>
      </c>
      <c r="G1837" s="20">
        <v>0.1762212340414146</v>
      </c>
      <c r="H1837" s="16">
        <f t="shared" ca="1" si="31"/>
        <v>1978</v>
      </c>
    </row>
    <row r="1838" spans="4:8" ht="15" thickBot="1" x14ac:dyDescent="0.35">
      <c r="D1838" s="20">
        <v>1312</v>
      </c>
      <c r="E1838" s="20">
        <v>3950</v>
      </c>
      <c r="F1838" s="20">
        <v>2450</v>
      </c>
      <c r="G1838" s="20">
        <v>0.34653533330980896</v>
      </c>
      <c r="H1838" s="16">
        <f t="shared" ca="1" si="31"/>
        <v>418</v>
      </c>
    </row>
    <row r="1839" spans="4:8" ht="15" thickBot="1" x14ac:dyDescent="0.35">
      <c r="D1839" s="20">
        <v>679</v>
      </c>
      <c r="E1839" s="20">
        <v>4250</v>
      </c>
      <c r="F1839" s="20">
        <v>1250</v>
      </c>
      <c r="G1839" s="20">
        <v>0.29637095375072353</v>
      </c>
      <c r="H1839" s="16">
        <f t="shared" ca="1" si="31"/>
        <v>1358</v>
      </c>
    </row>
    <row r="1840" spans="4:8" ht="15" thickBot="1" x14ac:dyDescent="0.35">
      <c r="D1840" s="20">
        <v>1674</v>
      </c>
      <c r="E1840" s="20">
        <v>3050</v>
      </c>
      <c r="F1840" s="20">
        <v>3150</v>
      </c>
      <c r="G1840" s="20">
        <v>0.37180606301200547</v>
      </c>
      <c r="H1840" s="16">
        <f t="shared" ca="1" si="31"/>
        <v>1069</v>
      </c>
    </row>
    <row r="1841" spans="4:8" ht="15" thickBot="1" x14ac:dyDescent="0.35">
      <c r="D1841" s="20">
        <v>42</v>
      </c>
      <c r="E1841" s="20">
        <v>4150</v>
      </c>
      <c r="F1841" s="20">
        <v>50</v>
      </c>
      <c r="G1841" s="20">
        <v>0.17946229125682392</v>
      </c>
      <c r="H1841" s="16">
        <f t="shared" ca="1" si="31"/>
        <v>1379</v>
      </c>
    </row>
    <row r="1842" spans="4:8" ht="15" thickBot="1" x14ac:dyDescent="0.35">
      <c r="D1842" s="20">
        <v>1115</v>
      </c>
      <c r="E1842" s="20">
        <v>150</v>
      </c>
      <c r="F1842" s="20">
        <v>2150</v>
      </c>
      <c r="G1842" s="20">
        <v>0.33124662304821295</v>
      </c>
      <c r="H1842" s="16">
        <f t="shared" ca="1" si="31"/>
        <v>2242</v>
      </c>
    </row>
    <row r="1843" spans="4:8" ht="15" thickBot="1" x14ac:dyDescent="0.35">
      <c r="D1843" s="20">
        <v>556</v>
      </c>
      <c r="E1843" s="20">
        <v>2550</v>
      </c>
      <c r="F1843" s="20">
        <v>1050</v>
      </c>
      <c r="G1843" s="20">
        <v>0.28435222910566754</v>
      </c>
      <c r="H1843" s="16">
        <f t="shared" ca="1" si="31"/>
        <v>2587</v>
      </c>
    </row>
    <row r="1844" spans="4:8" ht="15" thickBot="1" x14ac:dyDescent="0.35">
      <c r="D1844" s="20">
        <v>1813</v>
      </c>
      <c r="E1844" s="20">
        <v>1050</v>
      </c>
      <c r="F1844" s="20">
        <v>3450</v>
      </c>
      <c r="G1844" s="20">
        <v>0.38168762248338295</v>
      </c>
      <c r="H1844" s="16">
        <f t="shared" ca="1" si="31"/>
        <v>2534</v>
      </c>
    </row>
    <row r="1845" spans="4:8" ht="15" thickBot="1" x14ac:dyDescent="0.35">
      <c r="D1845" s="20">
        <v>637</v>
      </c>
      <c r="E1845" s="20">
        <v>50</v>
      </c>
      <c r="F1845" s="20">
        <v>1250</v>
      </c>
      <c r="G1845" s="20">
        <v>0.2921864682256422</v>
      </c>
      <c r="H1845" s="16">
        <f t="shared" ca="1" si="31"/>
        <v>1738</v>
      </c>
    </row>
    <row r="1846" spans="4:8" ht="15" thickBot="1" x14ac:dyDescent="0.35">
      <c r="D1846" s="20">
        <v>207</v>
      </c>
      <c r="E1846" s="20">
        <v>4750</v>
      </c>
      <c r="F1846" s="20">
        <v>350</v>
      </c>
      <c r="G1846" s="20">
        <v>0.23732515764097811</v>
      </c>
      <c r="H1846" s="16">
        <f t="shared" ca="1" si="31"/>
        <v>176</v>
      </c>
    </row>
    <row r="1847" spans="4:8" ht="15" thickBot="1" x14ac:dyDescent="0.35">
      <c r="D1847" s="20">
        <v>740</v>
      </c>
      <c r="E1847" s="20">
        <v>5050</v>
      </c>
      <c r="F1847" s="20">
        <v>1350</v>
      </c>
      <c r="G1847" s="20">
        <v>0.30128498588539626</v>
      </c>
      <c r="H1847" s="16">
        <f t="shared" ca="1" si="31"/>
        <v>1567</v>
      </c>
    </row>
    <row r="1848" spans="4:8" ht="15" thickBot="1" x14ac:dyDescent="0.35">
      <c r="D1848" s="20">
        <v>1065</v>
      </c>
      <c r="E1848" s="20">
        <v>450</v>
      </c>
      <c r="F1848" s="20">
        <v>2050</v>
      </c>
      <c r="G1848" s="20">
        <v>0.3276817407021006</v>
      </c>
      <c r="H1848" s="16">
        <f t="shared" ca="1" si="31"/>
        <v>2472</v>
      </c>
    </row>
    <row r="1849" spans="4:8" ht="15" thickBot="1" x14ac:dyDescent="0.35">
      <c r="D1849" s="20">
        <v>1129</v>
      </c>
      <c r="E1849" s="20">
        <v>1550</v>
      </c>
      <c r="F1849" s="20">
        <v>2150</v>
      </c>
      <c r="G1849" s="20">
        <v>0.33265210714413318</v>
      </c>
      <c r="H1849" s="16">
        <f t="shared" ca="1" si="31"/>
        <v>1951</v>
      </c>
    </row>
    <row r="1850" spans="4:8" ht="15" thickBot="1" x14ac:dyDescent="0.35">
      <c r="D1850" s="20">
        <v>2365</v>
      </c>
      <c r="E1850" s="45">
        <v>3250</v>
      </c>
      <c r="F1850" s="45">
        <v>4450</v>
      </c>
      <c r="G1850" s="20">
        <v>0.43112706037576642</v>
      </c>
      <c r="H1850" s="16">
        <f t="shared" ca="1" si="31"/>
        <v>1393</v>
      </c>
    </row>
    <row r="1851" spans="4:8" ht="15" thickBot="1" x14ac:dyDescent="0.35">
      <c r="D1851" s="20">
        <v>2024</v>
      </c>
      <c r="E1851" s="20">
        <v>950</v>
      </c>
      <c r="F1851" s="20">
        <v>3850</v>
      </c>
      <c r="G1851" s="20">
        <v>0.3974258922063415</v>
      </c>
      <c r="H1851" s="16">
        <f t="shared" ca="1" si="31"/>
        <v>2748</v>
      </c>
    </row>
    <row r="1852" spans="4:8" ht="15" thickBot="1" x14ac:dyDescent="0.35">
      <c r="D1852" s="20">
        <v>526</v>
      </c>
      <c r="E1852" s="20">
        <v>4850</v>
      </c>
      <c r="F1852" s="20">
        <v>950</v>
      </c>
      <c r="G1852" s="20">
        <v>0.28120906808046003</v>
      </c>
      <c r="H1852" s="16">
        <f t="shared" ca="1" si="31"/>
        <v>824</v>
      </c>
    </row>
    <row r="1853" spans="4:8" ht="15" thickBot="1" x14ac:dyDescent="0.35">
      <c r="D1853" s="20">
        <v>1991</v>
      </c>
      <c r="E1853" s="20">
        <v>2950</v>
      </c>
      <c r="F1853" s="20">
        <v>3750</v>
      </c>
      <c r="G1853" s="20">
        <v>0.394976276327553</v>
      </c>
      <c r="H1853" s="16">
        <f t="shared" ca="1" si="31"/>
        <v>2006</v>
      </c>
    </row>
    <row r="1854" spans="4:8" ht="15" thickBot="1" x14ac:dyDescent="0.35">
      <c r="D1854" s="20">
        <v>2412</v>
      </c>
      <c r="E1854" s="47">
        <v>2650</v>
      </c>
      <c r="F1854" s="47">
        <v>4550</v>
      </c>
      <c r="G1854" s="20">
        <v>0.43624489323504034</v>
      </c>
      <c r="H1854" s="16">
        <f t="shared" ca="1" si="31"/>
        <v>1957</v>
      </c>
    </row>
    <row r="1855" spans="4:8" ht="15" thickBot="1" x14ac:dyDescent="0.35">
      <c r="D1855" s="20">
        <v>469</v>
      </c>
      <c r="E1855" s="20">
        <v>4450</v>
      </c>
      <c r="F1855" s="20">
        <v>850</v>
      </c>
      <c r="G1855" s="20">
        <v>0.27598870069631837</v>
      </c>
      <c r="H1855" s="16">
        <f t="shared" ca="1" si="31"/>
        <v>402</v>
      </c>
    </row>
    <row r="1856" spans="4:8" ht="15" thickBot="1" x14ac:dyDescent="0.35">
      <c r="D1856" s="20">
        <v>1379</v>
      </c>
      <c r="E1856" s="20">
        <v>50</v>
      </c>
      <c r="F1856" s="20">
        <v>2650</v>
      </c>
      <c r="G1856" s="20">
        <v>0.35012190729888709</v>
      </c>
      <c r="H1856" s="16">
        <f t="shared" ca="1" si="31"/>
        <v>2687</v>
      </c>
    </row>
    <row r="1857" spans="4:8" ht="15" thickBot="1" x14ac:dyDescent="0.35">
      <c r="D1857" s="20">
        <v>2069</v>
      </c>
      <c r="E1857" s="20">
        <v>150</v>
      </c>
      <c r="F1857" s="20">
        <v>3950</v>
      </c>
      <c r="G1857" s="20">
        <v>0.4026532488659722</v>
      </c>
      <c r="H1857" s="16">
        <f t="shared" ca="1" si="31"/>
        <v>820</v>
      </c>
    </row>
    <row r="1858" spans="4:8" ht="15" thickBot="1" x14ac:dyDescent="0.35">
      <c r="D1858" s="20">
        <v>370</v>
      </c>
      <c r="E1858" s="20">
        <v>5150</v>
      </c>
      <c r="F1858" s="20">
        <v>650</v>
      </c>
      <c r="G1858" s="20">
        <v>0.26397399150635281</v>
      </c>
      <c r="H1858" s="16">
        <f t="shared" ca="1" si="31"/>
        <v>1348</v>
      </c>
    </row>
    <row r="1859" spans="4:8" ht="15" thickBot="1" x14ac:dyDescent="0.35">
      <c r="D1859" s="20">
        <v>654</v>
      </c>
      <c r="E1859" s="20">
        <v>1750</v>
      </c>
      <c r="F1859" s="20">
        <v>1250</v>
      </c>
      <c r="G1859" s="20">
        <v>0.2943359117931269</v>
      </c>
      <c r="H1859" s="16">
        <f t="shared" ca="1" si="31"/>
        <v>231</v>
      </c>
    </row>
    <row r="1860" spans="4:8" ht="15" thickBot="1" x14ac:dyDescent="0.35">
      <c r="D1860" s="20">
        <v>258</v>
      </c>
      <c r="E1860" s="20">
        <v>4550</v>
      </c>
      <c r="F1860" s="20">
        <v>450</v>
      </c>
      <c r="G1860" s="20">
        <v>0.24653253939398789</v>
      </c>
      <c r="H1860" s="16">
        <f t="shared" ca="1" si="31"/>
        <v>1668</v>
      </c>
    </row>
    <row r="1861" spans="4:8" ht="15" thickBot="1" x14ac:dyDescent="0.35">
      <c r="D1861" s="20">
        <v>1790</v>
      </c>
      <c r="E1861" s="20">
        <v>4050</v>
      </c>
      <c r="F1861" s="20">
        <v>3350</v>
      </c>
      <c r="G1861" s="20">
        <v>0.38020189246178576</v>
      </c>
      <c r="H1861" s="16">
        <f t="shared" ca="1" si="31"/>
        <v>531</v>
      </c>
    </row>
    <row r="1862" spans="4:8" ht="15" thickBot="1" x14ac:dyDescent="0.35">
      <c r="D1862" s="20">
        <v>639</v>
      </c>
      <c r="E1862" s="20">
        <v>250</v>
      </c>
      <c r="F1862" s="20">
        <v>1250</v>
      </c>
      <c r="G1862" s="20">
        <v>0.29228868117248019</v>
      </c>
      <c r="H1862" s="16">
        <f t="shared" ca="1" si="31"/>
        <v>2562</v>
      </c>
    </row>
    <row r="1863" spans="4:8" ht="15" thickBot="1" x14ac:dyDescent="0.35">
      <c r="D1863" s="20">
        <v>2184</v>
      </c>
      <c r="E1863" s="20">
        <v>1050</v>
      </c>
      <c r="F1863" s="20">
        <v>4150</v>
      </c>
      <c r="G1863" s="20">
        <v>0.41360827940843731</v>
      </c>
      <c r="H1863" s="16">
        <f t="shared" ref="H1863:H1926" ca="1" si="32">RANDBETWEEN(1,2788)</f>
        <v>97</v>
      </c>
    </row>
    <row r="1864" spans="4:8" ht="15" thickBot="1" x14ac:dyDescent="0.35">
      <c r="D1864" s="20">
        <v>2460</v>
      </c>
      <c r="E1864" s="20">
        <v>2150</v>
      </c>
      <c r="F1864" s="20">
        <v>4650</v>
      </c>
      <c r="G1864" s="20">
        <v>0.4421452847304409</v>
      </c>
      <c r="H1864" s="16">
        <f t="shared" ca="1" si="32"/>
        <v>889</v>
      </c>
    </row>
    <row r="1865" spans="4:8" ht="15" thickBot="1" x14ac:dyDescent="0.35">
      <c r="D1865" s="20">
        <v>786</v>
      </c>
      <c r="E1865" s="20">
        <v>4350</v>
      </c>
      <c r="F1865" s="20">
        <v>1450</v>
      </c>
      <c r="G1865" s="20">
        <v>0.30552931142599621</v>
      </c>
      <c r="H1865" s="16">
        <f t="shared" ca="1" si="32"/>
        <v>771</v>
      </c>
    </row>
    <row r="1866" spans="4:8" ht="15" thickBot="1" x14ac:dyDescent="0.35">
      <c r="D1866" s="20">
        <v>809</v>
      </c>
      <c r="E1866" s="20">
        <v>1350</v>
      </c>
      <c r="F1866" s="20">
        <v>1550</v>
      </c>
      <c r="G1866" s="20">
        <v>0.3072772175808004</v>
      </c>
      <c r="H1866" s="16">
        <f t="shared" ca="1" si="32"/>
        <v>212</v>
      </c>
    </row>
    <row r="1867" spans="4:8" ht="15" thickBot="1" x14ac:dyDescent="0.35">
      <c r="D1867" s="20">
        <v>874</v>
      </c>
      <c r="E1867" s="20">
        <v>2550</v>
      </c>
      <c r="F1867" s="20">
        <v>1650</v>
      </c>
      <c r="G1867" s="20">
        <v>0.31230676435001775</v>
      </c>
      <c r="H1867" s="16">
        <f t="shared" ca="1" si="32"/>
        <v>473</v>
      </c>
    </row>
    <row r="1868" spans="4:8" ht="15" thickBot="1" x14ac:dyDescent="0.35">
      <c r="D1868" s="20">
        <v>2237</v>
      </c>
      <c r="E1868" s="20">
        <v>1050</v>
      </c>
      <c r="F1868" s="20">
        <v>4250</v>
      </c>
      <c r="G1868" s="20">
        <v>0.41902738837398368</v>
      </c>
      <c r="H1868" s="16">
        <f t="shared" ca="1" si="32"/>
        <v>334</v>
      </c>
    </row>
    <row r="1869" spans="4:8" ht="15" thickBot="1" x14ac:dyDescent="0.35">
      <c r="D1869" s="20">
        <v>1678</v>
      </c>
      <c r="E1869" s="20">
        <v>3450</v>
      </c>
      <c r="F1869" s="20">
        <v>3150</v>
      </c>
      <c r="G1869" s="20">
        <v>0.37231068264364436</v>
      </c>
      <c r="H1869" s="16">
        <f t="shared" ca="1" si="32"/>
        <v>1907</v>
      </c>
    </row>
    <row r="1870" spans="4:8" ht="15" thickBot="1" x14ac:dyDescent="0.35">
      <c r="D1870" s="20">
        <v>1994</v>
      </c>
      <c r="E1870" s="20">
        <v>3250</v>
      </c>
      <c r="F1870" s="20">
        <v>3750</v>
      </c>
      <c r="G1870" s="20">
        <v>0.39515902355467203</v>
      </c>
      <c r="H1870" s="16">
        <f t="shared" ca="1" si="32"/>
        <v>1339</v>
      </c>
    </row>
    <row r="1871" spans="4:8" ht="15" thickBot="1" x14ac:dyDescent="0.35">
      <c r="D1871" s="20">
        <v>2535</v>
      </c>
      <c r="E1871" s="20">
        <v>4350</v>
      </c>
      <c r="F1871" s="20">
        <v>4750</v>
      </c>
      <c r="G1871" s="20">
        <v>0.45304610349204222</v>
      </c>
      <c r="H1871" s="16">
        <f t="shared" ca="1" si="32"/>
        <v>2615</v>
      </c>
    </row>
    <row r="1872" spans="4:8" ht="15" thickBot="1" x14ac:dyDescent="0.35">
      <c r="D1872" s="20">
        <v>101</v>
      </c>
      <c r="E1872" s="20">
        <v>4750</v>
      </c>
      <c r="F1872" s="20">
        <v>150</v>
      </c>
      <c r="G1872" s="20">
        <v>0.21137393500593149</v>
      </c>
      <c r="H1872" s="16">
        <f t="shared" ca="1" si="32"/>
        <v>812</v>
      </c>
    </row>
    <row r="1873" spans="4:8" ht="15" thickBot="1" x14ac:dyDescent="0.35">
      <c r="D1873" s="20">
        <v>536</v>
      </c>
      <c r="E1873" s="20">
        <v>550</v>
      </c>
      <c r="F1873" s="20">
        <v>1050</v>
      </c>
      <c r="G1873" s="20">
        <v>0.2820004600177034</v>
      </c>
      <c r="H1873" s="16">
        <f t="shared" ca="1" si="32"/>
        <v>1436</v>
      </c>
    </row>
    <row r="1874" spans="4:8" ht="15" thickBot="1" x14ac:dyDescent="0.35">
      <c r="D1874" s="20">
        <v>2542</v>
      </c>
      <c r="E1874" s="20">
        <v>5050</v>
      </c>
      <c r="F1874" s="20">
        <v>4750</v>
      </c>
      <c r="G1874" s="20">
        <v>0.45385291250364279</v>
      </c>
      <c r="H1874" s="16">
        <f t="shared" ca="1" si="32"/>
        <v>2170</v>
      </c>
    </row>
    <row r="1875" spans="4:8" ht="15" thickBot="1" x14ac:dyDescent="0.35">
      <c r="D1875" s="20">
        <v>420</v>
      </c>
      <c r="E1875" s="20">
        <v>4850</v>
      </c>
      <c r="F1875" s="20">
        <v>750</v>
      </c>
      <c r="G1875" s="20">
        <v>0.27000473930789493</v>
      </c>
      <c r="H1875" s="16">
        <f t="shared" ca="1" si="32"/>
        <v>2057</v>
      </c>
    </row>
    <row r="1876" spans="4:8" ht="15" thickBot="1" x14ac:dyDescent="0.35">
      <c r="D1876" s="20">
        <v>1884</v>
      </c>
      <c r="E1876" s="20">
        <v>2850</v>
      </c>
      <c r="F1876" s="20">
        <v>3550</v>
      </c>
      <c r="G1876" s="20">
        <v>0.38745237625290274</v>
      </c>
      <c r="H1876" s="16">
        <f t="shared" ca="1" si="32"/>
        <v>327</v>
      </c>
    </row>
    <row r="1877" spans="4:8" ht="15" thickBot="1" x14ac:dyDescent="0.35">
      <c r="D1877" s="20">
        <v>217</v>
      </c>
      <c r="E1877" s="20">
        <v>450</v>
      </c>
      <c r="F1877" s="20">
        <v>450</v>
      </c>
      <c r="G1877" s="20">
        <v>0.23925929723918954</v>
      </c>
      <c r="H1877" s="16">
        <f t="shared" ca="1" si="32"/>
        <v>1174</v>
      </c>
    </row>
    <row r="1878" spans="4:8" ht="15" thickBot="1" x14ac:dyDescent="0.35">
      <c r="D1878" s="20">
        <v>1213</v>
      </c>
      <c r="E1878" s="20">
        <v>4650</v>
      </c>
      <c r="F1878" s="20">
        <v>2250</v>
      </c>
      <c r="G1878" s="20">
        <v>0.33878394488990105</v>
      </c>
      <c r="H1878" s="16">
        <f t="shared" ca="1" si="32"/>
        <v>2314</v>
      </c>
    </row>
    <row r="1879" spans="4:8" ht="15" thickBot="1" x14ac:dyDescent="0.35">
      <c r="D1879" s="20">
        <v>187</v>
      </c>
      <c r="E1879" s="20">
        <v>2750</v>
      </c>
      <c r="F1879" s="20">
        <v>350</v>
      </c>
      <c r="G1879" s="20">
        <v>0.2308615781032004</v>
      </c>
      <c r="H1879" s="16">
        <f t="shared" ca="1" si="32"/>
        <v>2481</v>
      </c>
    </row>
    <row r="1880" spans="4:8" ht="15" thickBot="1" x14ac:dyDescent="0.35">
      <c r="D1880" s="20">
        <v>2171</v>
      </c>
      <c r="E1880" s="20">
        <v>5050</v>
      </c>
      <c r="F1880" s="20">
        <v>4050</v>
      </c>
      <c r="G1880" s="20">
        <v>0.41222237117526644</v>
      </c>
      <c r="H1880" s="16">
        <f t="shared" ca="1" si="32"/>
        <v>1801</v>
      </c>
    </row>
    <row r="1881" spans="4:8" ht="15" thickBot="1" x14ac:dyDescent="0.35">
      <c r="D1881" s="20">
        <v>261</v>
      </c>
      <c r="E1881" s="20">
        <v>4850</v>
      </c>
      <c r="F1881" s="20">
        <v>450</v>
      </c>
      <c r="G1881" s="20">
        <v>0.24739780295925712</v>
      </c>
      <c r="H1881" s="16">
        <f t="shared" ca="1" si="32"/>
        <v>2749</v>
      </c>
    </row>
    <row r="1882" spans="4:8" ht="15" thickBot="1" x14ac:dyDescent="0.35">
      <c r="D1882" s="20">
        <v>860</v>
      </c>
      <c r="E1882" s="45">
        <v>1150</v>
      </c>
      <c r="F1882" s="45">
        <v>1650</v>
      </c>
      <c r="G1882" s="20">
        <v>0.31097611349355586</v>
      </c>
      <c r="H1882" s="16">
        <f t="shared" ca="1" si="32"/>
        <v>1555</v>
      </c>
    </row>
    <row r="1883" spans="4:8" ht="15" thickBot="1" x14ac:dyDescent="0.35">
      <c r="D1883" s="20">
        <v>769</v>
      </c>
      <c r="E1883" s="20">
        <v>2650</v>
      </c>
      <c r="F1883" s="20">
        <v>1450</v>
      </c>
      <c r="G1883" s="20">
        <v>0.30367320864477831</v>
      </c>
      <c r="H1883" s="16">
        <f t="shared" ca="1" si="32"/>
        <v>625</v>
      </c>
    </row>
    <row r="1884" spans="4:8" ht="15" thickBot="1" x14ac:dyDescent="0.35">
      <c r="D1884" s="20">
        <v>1791</v>
      </c>
      <c r="E1884" s="20">
        <v>4150</v>
      </c>
      <c r="F1884" s="20">
        <v>3350</v>
      </c>
      <c r="G1884" s="20">
        <v>0.38044290386613872</v>
      </c>
      <c r="H1884" s="16">
        <f t="shared" ca="1" si="32"/>
        <v>619</v>
      </c>
    </row>
    <row r="1885" spans="4:8" ht="15" thickBot="1" x14ac:dyDescent="0.35">
      <c r="D1885" s="20">
        <v>2432</v>
      </c>
      <c r="E1885" s="20">
        <v>4650</v>
      </c>
      <c r="F1885" s="20">
        <v>4550</v>
      </c>
      <c r="G1885" s="20">
        <v>0.43841128644769367</v>
      </c>
      <c r="H1885" s="16">
        <f t="shared" ca="1" si="32"/>
        <v>2561</v>
      </c>
    </row>
    <row r="1886" spans="4:8" ht="15" thickBot="1" x14ac:dyDescent="0.35">
      <c r="D1886" s="20">
        <v>488</v>
      </c>
      <c r="E1886" s="20">
        <v>1050</v>
      </c>
      <c r="F1886" s="20">
        <v>950</v>
      </c>
      <c r="G1886" s="20">
        <v>0.27748177076464969</v>
      </c>
      <c r="H1886" s="16">
        <f t="shared" ca="1" si="32"/>
        <v>1455</v>
      </c>
    </row>
    <row r="1887" spans="4:8" ht="15" thickBot="1" x14ac:dyDescent="0.35">
      <c r="D1887" s="20">
        <v>1268</v>
      </c>
      <c r="E1887" s="20">
        <v>4850</v>
      </c>
      <c r="F1887" s="20">
        <v>2350</v>
      </c>
      <c r="G1887" s="20">
        <v>0.34329480246493393</v>
      </c>
      <c r="H1887" s="16">
        <f t="shared" ca="1" si="32"/>
        <v>2251</v>
      </c>
    </row>
    <row r="1888" spans="4:8" ht="15" thickBot="1" x14ac:dyDescent="0.35">
      <c r="D1888" s="20">
        <v>805</v>
      </c>
      <c r="E1888" s="44">
        <v>950</v>
      </c>
      <c r="F1888" s="44">
        <v>1550</v>
      </c>
      <c r="G1888" s="20">
        <v>0.306886708018897</v>
      </c>
      <c r="H1888" s="16">
        <f t="shared" ca="1" si="32"/>
        <v>2113</v>
      </c>
    </row>
    <row r="1889" spans="4:8" ht="15" thickBot="1" x14ac:dyDescent="0.35">
      <c r="D1889" s="20">
        <v>699</v>
      </c>
      <c r="E1889" s="20">
        <v>950</v>
      </c>
      <c r="F1889" s="20">
        <v>1350</v>
      </c>
      <c r="G1889" s="20">
        <v>0.29853134143955973</v>
      </c>
      <c r="H1889" s="16">
        <f t="shared" ca="1" si="32"/>
        <v>1514</v>
      </c>
    </row>
    <row r="1890" spans="4:8" ht="15" thickBot="1" x14ac:dyDescent="0.35">
      <c r="D1890" s="20">
        <v>2359</v>
      </c>
      <c r="E1890" s="20">
        <v>2650</v>
      </c>
      <c r="F1890" s="20">
        <v>4450</v>
      </c>
      <c r="G1890" s="20">
        <v>0.43071284206408955</v>
      </c>
      <c r="H1890" s="16">
        <f t="shared" ca="1" si="32"/>
        <v>2277</v>
      </c>
    </row>
    <row r="1891" spans="4:8" ht="15" thickBot="1" x14ac:dyDescent="0.35">
      <c r="D1891" s="20">
        <v>949</v>
      </c>
      <c r="E1891" s="20">
        <v>4750</v>
      </c>
      <c r="F1891" s="20">
        <v>1750</v>
      </c>
      <c r="G1891" s="20">
        <v>0.31834637668769827</v>
      </c>
      <c r="H1891" s="16">
        <f t="shared" ca="1" si="32"/>
        <v>983</v>
      </c>
    </row>
    <row r="1892" spans="4:8" ht="15" thickBot="1" x14ac:dyDescent="0.35">
      <c r="D1892" s="20">
        <v>2080</v>
      </c>
      <c r="E1892" s="20">
        <v>1250</v>
      </c>
      <c r="F1892" s="20">
        <v>3950</v>
      </c>
      <c r="G1892" s="20">
        <v>0.40354500084173595</v>
      </c>
      <c r="H1892" s="16">
        <f t="shared" ca="1" si="32"/>
        <v>2425</v>
      </c>
    </row>
    <row r="1893" spans="4:8" ht="15" thickBot="1" x14ac:dyDescent="0.35">
      <c r="D1893" s="20">
        <v>2558</v>
      </c>
      <c r="E1893" s="20">
        <v>1350</v>
      </c>
      <c r="F1893" s="20">
        <v>4850</v>
      </c>
      <c r="G1893" s="20">
        <v>0.45686215795788643</v>
      </c>
      <c r="H1893" s="16">
        <f t="shared" ca="1" si="32"/>
        <v>2541</v>
      </c>
    </row>
    <row r="1894" spans="4:8" ht="15" thickBot="1" x14ac:dyDescent="0.35">
      <c r="D1894" s="20">
        <v>1156</v>
      </c>
      <c r="E1894" s="20">
        <v>4250</v>
      </c>
      <c r="F1894" s="20">
        <v>2150</v>
      </c>
      <c r="G1894" s="20">
        <v>0.33454768087662595</v>
      </c>
      <c r="H1894" s="16">
        <f t="shared" ca="1" si="32"/>
        <v>38</v>
      </c>
    </row>
    <row r="1895" spans="4:8" ht="15" thickBot="1" x14ac:dyDescent="0.35">
      <c r="D1895" s="20">
        <v>2573</v>
      </c>
      <c r="E1895" s="20">
        <v>2850</v>
      </c>
      <c r="F1895" s="20">
        <v>4850</v>
      </c>
      <c r="G1895" s="20">
        <v>0.46060906501360099</v>
      </c>
      <c r="H1895" s="16">
        <f t="shared" ca="1" si="32"/>
        <v>1772</v>
      </c>
    </row>
    <row r="1896" spans="4:8" ht="15" thickBot="1" x14ac:dyDescent="0.35">
      <c r="D1896" s="20">
        <v>2435</v>
      </c>
      <c r="E1896" s="20">
        <v>4950</v>
      </c>
      <c r="F1896" s="20">
        <v>4550</v>
      </c>
      <c r="G1896" s="20">
        <v>0.43854203340326969</v>
      </c>
      <c r="H1896" s="16">
        <f t="shared" ca="1" si="32"/>
        <v>652</v>
      </c>
    </row>
    <row r="1897" spans="4:8" ht="15" thickBot="1" x14ac:dyDescent="0.35">
      <c r="D1897" s="20">
        <v>982</v>
      </c>
      <c r="E1897" s="20">
        <v>2750</v>
      </c>
      <c r="F1897" s="20">
        <v>1850</v>
      </c>
      <c r="G1897" s="20">
        <v>0.32079841903957257</v>
      </c>
      <c r="H1897" s="16">
        <f t="shared" ca="1" si="32"/>
        <v>117</v>
      </c>
    </row>
    <row r="1898" spans="4:8" ht="15" thickBot="1" x14ac:dyDescent="0.35">
      <c r="D1898" s="20">
        <v>2218</v>
      </c>
      <c r="E1898" s="20">
        <v>4450</v>
      </c>
      <c r="F1898" s="20">
        <v>4150</v>
      </c>
      <c r="G1898" s="20">
        <v>0.41637735104310691</v>
      </c>
      <c r="H1898" s="16">
        <f t="shared" ca="1" si="32"/>
        <v>1226</v>
      </c>
    </row>
    <row r="1899" spans="4:8" ht="15" thickBot="1" x14ac:dyDescent="0.35">
      <c r="D1899" s="20">
        <v>1240</v>
      </c>
      <c r="E1899" s="48">
        <v>2050</v>
      </c>
      <c r="F1899" s="48">
        <v>2350</v>
      </c>
      <c r="G1899" s="20">
        <v>0.34079816041647887</v>
      </c>
      <c r="H1899" s="16">
        <f t="shared" ca="1" si="32"/>
        <v>2198</v>
      </c>
    </row>
    <row r="1900" spans="4:8" ht="15" thickBot="1" x14ac:dyDescent="0.35">
      <c r="D1900" s="20">
        <v>1797</v>
      </c>
      <c r="E1900" s="20">
        <v>4750</v>
      </c>
      <c r="F1900" s="20">
        <v>3350</v>
      </c>
      <c r="G1900" s="20">
        <v>0.38083083084254754</v>
      </c>
      <c r="H1900" s="16">
        <f t="shared" ca="1" si="32"/>
        <v>968</v>
      </c>
    </row>
    <row r="1901" spans="4:8" ht="15" thickBot="1" x14ac:dyDescent="0.35">
      <c r="D1901" s="20">
        <v>2578</v>
      </c>
      <c r="E1901" s="20">
        <v>3350</v>
      </c>
      <c r="F1901" s="20">
        <v>4850</v>
      </c>
      <c r="G1901" s="20">
        <v>0.46113484234371754</v>
      </c>
      <c r="H1901" s="16">
        <f t="shared" ca="1" si="32"/>
        <v>268</v>
      </c>
    </row>
    <row r="1902" spans="4:8" ht="15" thickBot="1" x14ac:dyDescent="0.35">
      <c r="D1902" s="20">
        <v>1024</v>
      </c>
      <c r="E1902" s="43">
        <v>1650</v>
      </c>
      <c r="F1902" s="43">
        <v>1950</v>
      </c>
      <c r="G1902" s="20">
        <v>0.32395398764875522</v>
      </c>
      <c r="H1902" s="16">
        <f t="shared" ca="1" si="32"/>
        <v>1244</v>
      </c>
    </row>
    <row r="1903" spans="4:8" ht="15" thickBot="1" x14ac:dyDescent="0.35">
      <c r="D1903" s="20">
        <v>2377</v>
      </c>
      <c r="E1903" s="20">
        <v>4450</v>
      </c>
      <c r="F1903" s="20">
        <v>4450</v>
      </c>
      <c r="G1903" s="20">
        <v>0.4322943756129039</v>
      </c>
      <c r="H1903" s="16">
        <f t="shared" ca="1" si="32"/>
        <v>305</v>
      </c>
    </row>
    <row r="1904" spans="4:8" ht="15" thickBot="1" x14ac:dyDescent="0.35">
      <c r="D1904" s="20">
        <v>461</v>
      </c>
      <c r="E1904" s="44">
        <v>3650</v>
      </c>
      <c r="F1904" s="44">
        <v>850</v>
      </c>
      <c r="G1904" s="20">
        <v>0.27499357725323714</v>
      </c>
      <c r="H1904" s="16">
        <f t="shared" ca="1" si="32"/>
        <v>1142</v>
      </c>
    </row>
    <row r="1905" spans="4:8" ht="15" thickBot="1" x14ac:dyDescent="0.35">
      <c r="D1905" s="20">
        <v>960</v>
      </c>
      <c r="E1905" s="20">
        <v>550</v>
      </c>
      <c r="F1905" s="20">
        <v>1850</v>
      </c>
      <c r="G1905" s="20">
        <v>0.31929483769736594</v>
      </c>
      <c r="H1905" s="16">
        <f t="shared" ca="1" si="32"/>
        <v>1962</v>
      </c>
    </row>
    <row r="1906" spans="4:8" ht="15" thickBot="1" x14ac:dyDescent="0.35">
      <c r="D1906" s="20">
        <v>2358</v>
      </c>
      <c r="E1906" s="20">
        <v>2550</v>
      </c>
      <c r="F1906" s="20">
        <v>4450</v>
      </c>
      <c r="G1906" s="20">
        <v>0.43070053660165392</v>
      </c>
      <c r="H1906" s="16">
        <f t="shared" ca="1" si="32"/>
        <v>1963</v>
      </c>
    </row>
    <row r="1907" spans="4:8" ht="15" thickBot="1" x14ac:dyDescent="0.35">
      <c r="D1907" s="20">
        <v>2518</v>
      </c>
      <c r="E1907" s="20">
        <v>2650</v>
      </c>
      <c r="F1907" s="20">
        <v>4750</v>
      </c>
      <c r="G1907" s="20">
        <v>0.44967456119826427</v>
      </c>
      <c r="H1907" s="16">
        <f t="shared" ca="1" si="32"/>
        <v>1198</v>
      </c>
    </row>
    <row r="1908" spans="4:8" ht="15" thickBot="1" x14ac:dyDescent="0.35">
      <c r="D1908" s="20">
        <v>2123</v>
      </c>
      <c r="E1908" s="45">
        <v>250</v>
      </c>
      <c r="F1908" s="45">
        <v>4050</v>
      </c>
      <c r="G1908" s="20">
        <v>0.40829314571458747</v>
      </c>
      <c r="H1908" s="16">
        <f t="shared" ca="1" si="32"/>
        <v>205</v>
      </c>
    </row>
    <row r="1909" spans="4:8" ht="15" thickBot="1" x14ac:dyDescent="0.35">
      <c r="D1909" s="20">
        <v>2445</v>
      </c>
      <c r="E1909" s="47">
        <v>650</v>
      </c>
      <c r="F1909" s="47">
        <v>4650</v>
      </c>
      <c r="G1909" s="20">
        <v>0.44040656591062272</v>
      </c>
      <c r="H1909" s="16">
        <f t="shared" ca="1" si="32"/>
        <v>1013</v>
      </c>
    </row>
    <row r="1910" spans="4:8" ht="15" thickBot="1" x14ac:dyDescent="0.35">
      <c r="D1910" s="20">
        <v>2596</v>
      </c>
      <c r="E1910" s="20">
        <v>5150</v>
      </c>
      <c r="F1910" s="20">
        <v>4850</v>
      </c>
      <c r="G1910" s="20">
        <v>0.46510885681459396</v>
      </c>
      <c r="H1910" s="16">
        <f t="shared" ca="1" si="32"/>
        <v>339</v>
      </c>
    </row>
    <row r="1911" spans="4:8" ht="15" thickBot="1" x14ac:dyDescent="0.35">
      <c r="D1911" s="20">
        <v>618</v>
      </c>
      <c r="E1911" s="44">
        <v>3450</v>
      </c>
      <c r="F1911" s="44">
        <v>1150</v>
      </c>
      <c r="G1911" s="20">
        <v>0.29028840178866488</v>
      </c>
      <c r="H1911" s="16">
        <f t="shared" ca="1" si="32"/>
        <v>1901</v>
      </c>
    </row>
    <row r="1912" spans="4:8" ht="15" thickBot="1" x14ac:dyDescent="0.35">
      <c r="D1912" s="20">
        <v>382</v>
      </c>
      <c r="E1912" s="20">
        <v>1050</v>
      </c>
      <c r="F1912" s="20">
        <v>750</v>
      </c>
      <c r="G1912" s="20">
        <v>0.265341961318874</v>
      </c>
      <c r="H1912" s="16">
        <f t="shared" ca="1" si="32"/>
        <v>1947</v>
      </c>
    </row>
    <row r="1913" spans="4:8" ht="15" thickBot="1" x14ac:dyDescent="0.35">
      <c r="D1913" s="20">
        <v>1131</v>
      </c>
      <c r="E1913" s="20">
        <v>1750</v>
      </c>
      <c r="F1913" s="20">
        <v>2150</v>
      </c>
      <c r="G1913" s="20">
        <v>0.3328261832705745</v>
      </c>
      <c r="H1913" s="16">
        <f t="shared" ca="1" si="32"/>
        <v>1837</v>
      </c>
    </row>
    <row r="1914" spans="4:8" ht="15" thickBot="1" x14ac:dyDescent="0.35">
      <c r="D1914" s="20">
        <v>2340</v>
      </c>
      <c r="E1914" s="20">
        <v>750</v>
      </c>
      <c r="F1914" s="20">
        <v>4450</v>
      </c>
      <c r="G1914" s="20">
        <v>0.42928967447030947</v>
      </c>
      <c r="H1914" s="16">
        <f t="shared" ca="1" si="32"/>
        <v>2342</v>
      </c>
    </row>
    <row r="1915" spans="4:8" ht="15" thickBot="1" x14ac:dyDescent="0.35">
      <c r="D1915" s="20">
        <v>2033</v>
      </c>
      <c r="E1915" s="20">
        <v>1850</v>
      </c>
      <c r="F1915" s="20">
        <v>3850</v>
      </c>
      <c r="G1915" s="20">
        <v>0.39802318769956091</v>
      </c>
      <c r="H1915" s="16">
        <f t="shared" ca="1" si="32"/>
        <v>2705</v>
      </c>
    </row>
    <row r="1916" spans="4:8" ht="15" thickBot="1" x14ac:dyDescent="0.35">
      <c r="D1916" s="20">
        <v>1627</v>
      </c>
      <c r="E1916" s="20">
        <v>3650</v>
      </c>
      <c r="F1916" s="20">
        <v>3050</v>
      </c>
      <c r="G1916" s="20">
        <v>0.36869044460368322</v>
      </c>
      <c r="H1916" s="16">
        <f t="shared" ca="1" si="32"/>
        <v>2557</v>
      </c>
    </row>
    <row r="1917" spans="4:8" ht="15" thickBot="1" x14ac:dyDescent="0.35">
      <c r="D1917" s="20">
        <v>2645</v>
      </c>
      <c r="E1917" s="20">
        <v>4750</v>
      </c>
      <c r="F1917" s="20">
        <v>4950</v>
      </c>
      <c r="G1917" s="20">
        <v>0.47510635641148746</v>
      </c>
      <c r="H1917" s="16">
        <f t="shared" ca="1" si="32"/>
        <v>433</v>
      </c>
    </row>
    <row r="1918" spans="4:8" ht="15" thickBot="1" x14ac:dyDescent="0.35">
      <c r="D1918" s="20">
        <v>606</v>
      </c>
      <c r="E1918" s="20">
        <v>2250</v>
      </c>
      <c r="F1918" s="20">
        <v>1150</v>
      </c>
      <c r="G1918" s="20">
        <v>0.28933367494418544</v>
      </c>
      <c r="H1918" s="16">
        <f t="shared" ca="1" si="32"/>
        <v>2722</v>
      </c>
    </row>
    <row r="1919" spans="4:8" ht="15" thickBot="1" x14ac:dyDescent="0.35">
      <c r="D1919" s="20">
        <v>2623</v>
      </c>
      <c r="E1919" s="43">
        <v>2550</v>
      </c>
      <c r="F1919" s="43">
        <v>4950</v>
      </c>
      <c r="G1919" s="20">
        <v>0.46990484290945428</v>
      </c>
      <c r="H1919" s="16">
        <f t="shared" ca="1" si="32"/>
        <v>1519</v>
      </c>
    </row>
    <row r="1920" spans="4:8" ht="15" thickBot="1" x14ac:dyDescent="0.35">
      <c r="D1920" s="20">
        <v>2505</v>
      </c>
      <c r="E1920" s="20">
        <v>1350</v>
      </c>
      <c r="F1920" s="20">
        <v>4750</v>
      </c>
      <c r="G1920" s="20">
        <v>0.44823190168236493</v>
      </c>
      <c r="H1920" s="16">
        <f t="shared" ca="1" si="32"/>
        <v>41</v>
      </c>
    </row>
    <row r="1921" spans="4:8" ht="15" thickBot="1" x14ac:dyDescent="0.35">
      <c r="D1921" s="20">
        <v>278</v>
      </c>
      <c r="E1921" s="20">
        <v>1250</v>
      </c>
      <c r="F1921" s="20">
        <v>550</v>
      </c>
      <c r="G1921" s="20">
        <v>0.24984861589097856</v>
      </c>
      <c r="H1921" s="16">
        <f t="shared" ca="1" si="32"/>
        <v>2711</v>
      </c>
    </row>
    <row r="1922" spans="4:8" ht="15" thickBot="1" x14ac:dyDescent="0.35">
      <c r="D1922" s="20">
        <v>1780</v>
      </c>
      <c r="E1922" s="20">
        <v>3050</v>
      </c>
      <c r="F1922" s="20">
        <v>3350</v>
      </c>
      <c r="G1922" s="20">
        <v>0.37939529075211992</v>
      </c>
      <c r="H1922" s="16">
        <f t="shared" ca="1" si="32"/>
        <v>2774</v>
      </c>
    </row>
    <row r="1923" spans="4:8" ht="15" thickBot="1" x14ac:dyDescent="0.35">
      <c r="D1923" s="20">
        <v>2320</v>
      </c>
      <c r="E1923" s="20">
        <v>4050</v>
      </c>
      <c r="F1923" s="20">
        <v>4350</v>
      </c>
      <c r="G1923" s="20">
        <v>0.42649585232641068</v>
      </c>
      <c r="H1923" s="16">
        <f t="shared" ca="1" si="32"/>
        <v>647</v>
      </c>
    </row>
    <row r="1924" spans="4:8" ht="15" thickBot="1" x14ac:dyDescent="0.35">
      <c r="D1924" s="20">
        <v>2241</v>
      </c>
      <c r="E1924" s="48">
        <v>1450</v>
      </c>
      <c r="F1924" s="48">
        <v>4250</v>
      </c>
      <c r="G1924" s="20">
        <v>0.41934113009031537</v>
      </c>
      <c r="H1924" s="16">
        <f t="shared" ca="1" si="32"/>
        <v>915</v>
      </c>
    </row>
    <row r="1925" spans="4:8" ht="15" thickBot="1" x14ac:dyDescent="0.35">
      <c r="D1925" s="20">
        <v>1850</v>
      </c>
      <c r="E1925" s="20">
        <v>4750</v>
      </c>
      <c r="F1925" s="20">
        <v>3450</v>
      </c>
      <c r="G1925" s="20">
        <v>0.38462311138941846</v>
      </c>
      <c r="H1925" s="16">
        <f t="shared" ca="1" si="32"/>
        <v>1953</v>
      </c>
    </row>
    <row r="1926" spans="4:8" ht="15" thickBot="1" x14ac:dyDescent="0.35">
      <c r="D1926" s="20">
        <v>2589</v>
      </c>
      <c r="E1926" s="20">
        <v>4450</v>
      </c>
      <c r="F1926" s="20">
        <v>4850</v>
      </c>
      <c r="G1926" s="20">
        <v>0.46423097488596121</v>
      </c>
      <c r="H1926" s="16">
        <f t="shared" ca="1" si="32"/>
        <v>187</v>
      </c>
    </row>
    <row r="1927" spans="4:8" ht="15" thickBot="1" x14ac:dyDescent="0.35">
      <c r="D1927" s="20">
        <v>1621</v>
      </c>
      <c r="E1927" s="20">
        <v>3050</v>
      </c>
      <c r="F1927" s="20">
        <v>3050</v>
      </c>
      <c r="G1927" s="20">
        <v>0.36836380628143039</v>
      </c>
      <c r="H1927" s="16">
        <f t="shared" ref="H1927:H1990" ca="1" si="33">RANDBETWEEN(1,2788)</f>
        <v>230</v>
      </c>
    </row>
    <row r="1928" spans="4:8" ht="15" thickBot="1" x14ac:dyDescent="0.35">
      <c r="D1928" s="20">
        <v>615</v>
      </c>
      <c r="E1928" s="20">
        <v>3150</v>
      </c>
      <c r="F1928" s="20">
        <v>1150</v>
      </c>
      <c r="G1928" s="20">
        <v>0.28994214226898274</v>
      </c>
      <c r="H1928" s="16">
        <f t="shared" ca="1" si="33"/>
        <v>2071</v>
      </c>
    </row>
    <row r="1929" spans="4:8" ht="15" thickBot="1" x14ac:dyDescent="0.35">
      <c r="D1929" s="20">
        <v>120</v>
      </c>
      <c r="E1929" s="20">
        <v>1350</v>
      </c>
      <c r="F1929" s="20">
        <v>250</v>
      </c>
      <c r="G1929" s="20">
        <v>0.21567884843178994</v>
      </c>
      <c r="H1929" s="16">
        <f t="shared" ca="1" si="33"/>
        <v>251</v>
      </c>
    </row>
    <row r="1930" spans="4:8" ht="15" thickBot="1" x14ac:dyDescent="0.35">
      <c r="D1930" s="20">
        <v>1503</v>
      </c>
      <c r="E1930" s="20">
        <v>1850</v>
      </c>
      <c r="F1930" s="20">
        <v>2850</v>
      </c>
      <c r="G1930" s="20">
        <v>0.36021284676872334</v>
      </c>
      <c r="H1930" s="16">
        <f t="shared" ca="1" si="33"/>
        <v>2597</v>
      </c>
    </row>
    <row r="1931" spans="4:8" ht="15" thickBot="1" x14ac:dyDescent="0.35">
      <c r="D1931" s="20">
        <v>422</v>
      </c>
      <c r="E1931" s="20">
        <v>5050</v>
      </c>
      <c r="F1931" s="20">
        <v>750</v>
      </c>
      <c r="G1931" s="20">
        <v>0.2702013925550425</v>
      </c>
      <c r="H1931" s="16">
        <f t="shared" ca="1" si="33"/>
        <v>750</v>
      </c>
    </row>
    <row r="1932" spans="4:8" ht="15" thickBot="1" x14ac:dyDescent="0.35">
      <c r="D1932" s="20">
        <v>1639</v>
      </c>
      <c r="E1932" s="20">
        <v>4850</v>
      </c>
      <c r="F1932" s="20">
        <v>3050</v>
      </c>
      <c r="G1932" s="20">
        <v>0.36966227117760025</v>
      </c>
      <c r="H1932" s="16">
        <f t="shared" ca="1" si="33"/>
        <v>21</v>
      </c>
    </row>
    <row r="1933" spans="4:8" ht="15" thickBot="1" x14ac:dyDescent="0.35">
      <c r="D1933" s="20">
        <v>113</v>
      </c>
      <c r="E1933" s="20">
        <v>650</v>
      </c>
      <c r="F1933" s="20">
        <v>250</v>
      </c>
      <c r="G1933" s="20">
        <v>0.21418070426914976</v>
      </c>
      <c r="H1933" s="16">
        <f t="shared" ca="1" si="33"/>
        <v>2076</v>
      </c>
    </row>
    <row r="1934" spans="4:8" ht="15" thickBot="1" x14ac:dyDescent="0.35">
      <c r="D1934" s="20">
        <v>2116</v>
      </c>
      <c r="E1934" s="20">
        <v>4850</v>
      </c>
      <c r="F1934" s="20">
        <v>3950</v>
      </c>
      <c r="G1934" s="20">
        <v>0.40787465506729276</v>
      </c>
      <c r="H1934" s="16">
        <f t="shared" ca="1" si="33"/>
        <v>837</v>
      </c>
    </row>
    <row r="1935" spans="4:8" ht="15" thickBot="1" x14ac:dyDescent="0.35">
      <c r="D1935" s="20">
        <v>837</v>
      </c>
      <c r="E1935" s="20">
        <v>4150</v>
      </c>
      <c r="F1935" s="20">
        <v>1550</v>
      </c>
      <c r="G1935" s="20">
        <v>0.3092264261017752</v>
      </c>
      <c r="H1935" s="16">
        <f t="shared" ca="1" si="33"/>
        <v>360</v>
      </c>
    </row>
    <row r="1936" spans="4:8" ht="15" thickBot="1" x14ac:dyDescent="0.35">
      <c r="D1936" s="20">
        <v>2342</v>
      </c>
      <c r="E1936" s="47">
        <v>950</v>
      </c>
      <c r="F1936" s="47">
        <v>4450</v>
      </c>
      <c r="G1936" s="20">
        <v>0.42936363612220058</v>
      </c>
      <c r="H1936" s="16">
        <f t="shared" ca="1" si="33"/>
        <v>1560</v>
      </c>
    </row>
    <row r="1937" spans="4:8" ht="15" thickBot="1" x14ac:dyDescent="0.35">
      <c r="D1937" s="20">
        <v>2693</v>
      </c>
      <c r="E1937" s="20">
        <v>4250</v>
      </c>
      <c r="F1937" s="20">
        <v>5050</v>
      </c>
      <c r="G1937" s="20">
        <v>0.49136660754835126</v>
      </c>
      <c r="H1937" s="16">
        <f t="shared" ca="1" si="33"/>
        <v>262</v>
      </c>
    </row>
    <row r="1938" spans="4:8" ht="15" thickBot="1" x14ac:dyDescent="0.35">
      <c r="D1938" s="20">
        <v>1318</v>
      </c>
      <c r="E1938" s="20">
        <v>4550</v>
      </c>
      <c r="F1938" s="20">
        <v>2450</v>
      </c>
      <c r="G1938" s="20">
        <v>0.34688595176418213</v>
      </c>
      <c r="H1938" s="16">
        <f t="shared" ca="1" si="33"/>
        <v>2031</v>
      </c>
    </row>
    <row r="1939" spans="4:8" ht="15" thickBot="1" x14ac:dyDescent="0.35">
      <c r="D1939" s="20">
        <v>715</v>
      </c>
      <c r="E1939" s="20">
        <v>2550</v>
      </c>
      <c r="F1939" s="20">
        <v>1350</v>
      </c>
      <c r="G1939" s="20">
        <v>0.29933729600008374</v>
      </c>
      <c r="H1939" s="16">
        <f t="shared" ca="1" si="33"/>
        <v>367</v>
      </c>
    </row>
    <row r="1940" spans="4:8" ht="15" thickBot="1" x14ac:dyDescent="0.35">
      <c r="D1940" s="20">
        <v>2451</v>
      </c>
      <c r="E1940" s="20">
        <v>1250</v>
      </c>
      <c r="F1940" s="20">
        <v>4650</v>
      </c>
      <c r="G1940" s="20">
        <v>0.44085868329814587</v>
      </c>
      <c r="H1940" s="16">
        <f t="shared" ca="1" si="33"/>
        <v>1269</v>
      </c>
    </row>
    <row r="1941" spans="4:8" ht="15" thickBot="1" x14ac:dyDescent="0.35">
      <c r="D1941" s="20">
        <v>2678</v>
      </c>
      <c r="E1941" s="20">
        <v>2750</v>
      </c>
      <c r="F1941" s="20">
        <v>5050</v>
      </c>
      <c r="G1941" s="20">
        <v>0.48582484533737091</v>
      </c>
      <c r="H1941" s="16">
        <f t="shared" ca="1" si="33"/>
        <v>2567</v>
      </c>
    </row>
    <row r="1942" spans="4:8" ht="15" thickBot="1" x14ac:dyDescent="0.35">
      <c r="D1942" s="20">
        <v>1127</v>
      </c>
      <c r="E1942" s="20">
        <v>1350</v>
      </c>
      <c r="F1942" s="20">
        <v>2150</v>
      </c>
      <c r="G1942" s="20">
        <v>0.33253530353555316</v>
      </c>
      <c r="H1942" s="16">
        <f t="shared" ca="1" si="33"/>
        <v>1619</v>
      </c>
    </row>
    <row r="1943" spans="4:8" ht="15" thickBot="1" x14ac:dyDescent="0.35">
      <c r="D1943" s="20">
        <v>116</v>
      </c>
      <c r="E1943" s="43">
        <v>950</v>
      </c>
      <c r="F1943" s="43">
        <v>250</v>
      </c>
      <c r="G1943" s="20">
        <v>0.21500308748251779</v>
      </c>
      <c r="H1943" s="16">
        <f t="shared" ca="1" si="33"/>
        <v>394</v>
      </c>
    </row>
    <row r="1944" spans="4:8" ht="15" thickBot="1" x14ac:dyDescent="0.35">
      <c r="D1944" s="20">
        <v>2163</v>
      </c>
      <c r="E1944" s="20">
        <v>4250</v>
      </c>
      <c r="F1944" s="20">
        <v>4050</v>
      </c>
      <c r="G1944" s="20">
        <v>0.41139174288973851</v>
      </c>
      <c r="H1944" s="16">
        <f t="shared" ca="1" si="33"/>
        <v>1465</v>
      </c>
    </row>
    <row r="1945" spans="4:8" ht="15" thickBot="1" x14ac:dyDescent="0.35">
      <c r="D1945" s="20">
        <v>895</v>
      </c>
      <c r="E1945" s="20">
        <v>4650</v>
      </c>
      <c r="F1945" s="20">
        <v>1650</v>
      </c>
      <c r="G1945" s="20">
        <v>0.31388602108692309</v>
      </c>
      <c r="H1945" s="16">
        <f t="shared" ca="1" si="33"/>
        <v>1912</v>
      </c>
    </row>
    <row r="1946" spans="4:8" ht="15" thickBot="1" x14ac:dyDescent="0.35">
      <c r="D1946" s="20">
        <v>2660</v>
      </c>
      <c r="E1946" s="43">
        <v>950</v>
      </c>
      <c r="F1946" s="43">
        <v>5050</v>
      </c>
      <c r="G1946" s="20">
        <v>0.47994381572177269</v>
      </c>
      <c r="H1946" s="16">
        <f t="shared" ca="1" si="33"/>
        <v>2698</v>
      </c>
    </row>
    <row r="1947" spans="4:8" ht="15" thickBot="1" x14ac:dyDescent="0.35">
      <c r="D1947" s="20">
        <v>2710</v>
      </c>
      <c r="E1947" s="20">
        <v>650</v>
      </c>
      <c r="F1947" s="20">
        <v>5150</v>
      </c>
      <c r="G1947" s="20">
        <v>0.49824153359165357</v>
      </c>
      <c r="H1947" s="16">
        <f t="shared" ca="1" si="33"/>
        <v>2179</v>
      </c>
    </row>
    <row r="1948" spans="4:8" ht="15" thickBot="1" x14ac:dyDescent="0.35">
      <c r="D1948" s="20">
        <v>995</v>
      </c>
      <c r="E1948" s="20">
        <v>4050</v>
      </c>
      <c r="F1948" s="20">
        <v>1850</v>
      </c>
      <c r="G1948" s="20">
        <v>0.32187910362414046</v>
      </c>
      <c r="H1948" s="16">
        <f t="shared" ca="1" si="33"/>
        <v>1603</v>
      </c>
    </row>
    <row r="1949" spans="4:8" ht="15" thickBot="1" x14ac:dyDescent="0.35">
      <c r="D1949" s="20">
        <v>1303</v>
      </c>
      <c r="E1949" s="20">
        <v>3050</v>
      </c>
      <c r="F1949" s="20">
        <v>2450</v>
      </c>
      <c r="G1949" s="20">
        <v>0.34580779959295882</v>
      </c>
      <c r="H1949" s="16">
        <f t="shared" ca="1" si="33"/>
        <v>942</v>
      </c>
    </row>
    <row r="1950" spans="4:8" ht="15" thickBot="1" x14ac:dyDescent="0.35">
      <c r="D1950" s="20">
        <v>1088</v>
      </c>
      <c r="E1950" s="20">
        <v>2750</v>
      </c>
      <c r="F1950" s="20">
        <v>2050</v>
      </c>
      <c r="G1950" s="20">
        <v>0.32966073754019071</v>
      </c>
      <c r="H1950" s="16">
        <f t="shared" ca="1" si="33"/>
        <v>203</v>
      </c>
    </row>
    <row r="1951" spans="4:8" ht="15" thickBot="1" x14ac:dyDescent="0.35">
      <c r="D1951" s="20">
        <v>2695</v>
      </c>
      <c r="E1951" s="20">
        <v>4450</v>
      </c>
      <c r="F1951" s="20">
        <v>5050</v>
      </c>
      <c r="G1951" s="20">
        <v>0.49183322205102764</v>
      </c>
      <c r="H1951" s="16">
        <f t="shared" ca="1" si="33"/>
        <v>2409</v>
      </c>
    </row>
    <row r="1952" spans="4:8" ht="15" thickBot="1" x14ac:dyDescent="0.35">
      <c r="D1952" s="20">
        <v>1921</v>
      </c>
      <c r="E1952" s="20">
        <v>1250</v>
      </c>
      <c r="F1952" s="20">
        <v>3650</v>
      </c>
      <c r="G1952" s="20">
        <v>0.38954187711267479</v>
      </c>
      <c r="H1952" s="16">
        <f t="shared" ca="1" si="33"/>
        <v>1351</v>
      </c>
    </row>
    <row r="1953" spans="4:8" ht="15" thickBot="1" x14ac:dyDescent="0.35">
      <c r="D1953" s="20">
        <v>656</v>
      </c>
      <c r="E1953" s="20">
        <v>1950</v>
      </c>
      <c r="F1953" s="20">
        <v>1250</v>
      </c>
      <c r="G1953" s="20">
        <v>0.29458821497007087</v>
      </c>
      <c r="H1953" s="16">
        <f t="shared" ca="1" si="33"/>
        <v>2284</v>
      </c>
    </row>
    <row r="1954" spans="4:8" ht="15" thickBot="1" x14ac:dyDescent="0.35">
      <c r="D1954" s="20">
        <v>641</v>
      </c>
      <c r="E1954" s="20">
        <v>450</v>
      </c>
      <c r="F1954" s="20">
        <v>1250</v>
      </c>
      <c r="G1954" s="20">
        <v>0.29266487280466469</v>
      </c>
      <c r="H1954" s="16">
        <f t="shared" ca="1" si="33"/>
        <v>2414</v>
      </c>
    </row>
    <row r="1955" spans="4:8" ht="15" thickBot="1" x14ac:dyDescent="0.35">
      <c r="D1955" s="20">
        <v>423</v>
      </c>
      <c r="E1955" s="20">
        <v>5150</v>
      </c>
      <c r="F1955" s="20">
        <v>750</v>
      </c>
      <c r="G1955" s="20">
        <v>0.27022633207157476</v>
      </c>
      <c r="H1955" s="16">
        <f t="shared" ca="1" si="33"/>
        <v>1709</v>
      </c>
    </row>
    <row r="1956" spans="4:8" ht="15" thickBot="1" x14ac:dyDescent="0.35">
      <c r="D1956" s="20">
        <v>1625</v>
      </c>
      <c r="E1956" s="20">
        <v>3450</v>
      </c>
      <c r="F1956" s="20">
        <v>3050</v>
      </c>
      <c r="G1956" s="20">
        <v>0.36855935759266356</v>
      </c>
      <c r="H1956" s="16">
        <f t="shared" ca="1" si="33"/>
        <v>2767</v>
      </c>
    </row>
    <row r="1957" spans="4:8" ht="15" thickBot="1" x14ac:dyDescent="0.35">
      <c r="D1957" s="20">
        <v>1467</v>
      </c>
      <c r="E1957" s="20">
        <v>3550</v>
      </c>
      <c r="F1957" s="20">
        <v>2750</v>
      </c>
      <c r="G1957" s="20">
        <v>0.35714018884715909</v>
      </c>
      <c r="H1957" s="16">
        <f t="shared" ca="1" si="33"/>
        <v>2778</v>
      </c>
    </row>
    <row r="1958" spans="4:8" ht="15" thickBot="1" x14ac:dyDescent="0.35">
      <c r="D1958" s="20">
        <v>2216</v>
      </c>
      <c r="E1958" s="20">
        <v>4250</v>
      </c>
      <c r="F1958" s="20">
        <v>4150</v>
      </c>
      <c r="G1958" s="20">
        <v>0.41629977660088757</v>
      </c>
      <c r="H1958" s="16">
        <f t="shared" ca="1" si="33"/>
        <v>1618</v>
      </c>
    </row>
    <row r="1959" spans="4:8" ht="15" thickBot="1" x14ac:dyDescent="0.35">
      <c r="D1959" s="20">
        <v>297</v>
      </c>
      <c r="E1959" s="20">
        <v>3150</v>
      </c>
      <c r="F1959" s="20">
        <v>550</v>
      </c>
      <c r="G1959" s="20">
        <v>0.25267000019632391</v>
      </c>
      <c r="H1959" s="16">
        <f t="shared" ca="1" si="33"/>
        <v>1157</v>
      </c>
    </row>
    <row r="1960" spans="4:8" ht="15" thickBot="1" x14ac:dyDescent="0.35">
      <c r="D1960" s="20">
        <v>2076</v>
      </c>
      <c r="E1960" s="20">
        <v>850</v>
      </c>
      <c r="F1960" s="20">
        <v>3950</v>
      </c>
      <c r="G1960" s="20">
        <v>0.40329477608671832</v>
      </c>
      <c r="H1960" s="16">
        <f t="shared" ca="1" si="33"/>
        <v>755</v>
      </c>
    </row>
    <row r="1961" spans="4:8" ht="15" thickBot="1" x14ac:dyDescent="0.35">
      <c r="D1961" s="20">
        <v>1138</v>
      </c>
      <c r="E1961" s="43">
        <v>2450</v>
      </c>
      <c r="F1961" s="43">
        <v>2150</v>
      </c>
      <c r="G1961" s="20">
        <v>0.33335958488904205</v>
      </c>
      <c r="H1961" s="16">
        <f t="shared" ca="1" si="33"/>
        <v>1474</v>
      </c>
    </row>
    <row r="1962" spans="4:8" ht="15" thickBot="1" x14ac:dyDescent="0.35">
      <c r="D1962" s="20">
        <v>39</v>
      </c>
      <c r="E1962" s="43">
        <v>3850</v>
      </c>
      <c r="F1962" s="43">
        <v>50</v>
      </c>
      <c r="G1962" s="20">
        <v>0.17869179821590234</v>
      </c>
      <c r="H1962" s="16">
        <f t="shared" ca="1" si="33"/>
        <v>1680</v>
      </c>
    </row>
    <row r="1963" spans="4:8" ht="15" thickBot="1" x14ac:dyDescent="0.35">
      <c r="D1963" s="20">
        <v>2272</v>
      </c>
      <c r="E1963" s="43">
        <v>4550</v>
      </c>
      <c r="F1963" s="43">
        <v>4250</v>
      </c>
      <c r="G1963" s="20">
        <v>0.4223068037039106</v>
      </c>
      <c r="H1963" s="16">
        <f t="shared" ca="1" si="33"/>
        <v>1022</v>
      </c>
    </row>
    <row r="1964" spans="4:8" ht="15" thickBot="1" x14ac:dyDescent="0.35">
      <c r="D1964" s="20">
        <v>2246</v>
      </c>
      <c r="E1964" s="45">
        <v>1950</v>
      </c>
      <c r="F1964" s="45">
        <v>4250</v>
      </c>
      <c r="G1964" s="20">
        <v>0.41993280932023858</v>
      </c>
      <c r="H1964" s="16">
        <f t="shared" ca="1" si="33"/>
        <v>1715</v>
      </c>
    </row>
    <row r="1965" spans="4:8" ht="15" thickBot="1" x14ac:dyDescent="0.35">
      <c r="D1965" s="20">
        <v>770</v>
      </c>
      <c r="E1965" s="20">
        <v>2750</v>
      </c>
      <c r="F1965" s="20">
        <v>1450</v>
      </c>
      <c r="G1965" s="20">
        <v>0.30385402568123698</v>
      </c>
      <c r="H1965" s="16">
        <f t="shared" ca="1" si="33"/>
        <v>2221</v>
      </c>
    </row>
    <row r="1966" spans="4:8" ht="15" thickBot="1" x14ac:dyDescent="0.35">
      <c r="D1966" s="20">
        <v>700</v>
      </c>
      <c r="E1966" s="45">
        <v>1050</v>
      </c>
      <c r="F1966" s="45">
        <v>1350</v>
      </c>
      <c r="G1966" s="20">
        <v>0.29854553977596537</v>
      </c>
      <c r="H1966" s="16">
        <f t="shared" ca="1" si="33"/>
        <v>736</v>
      </c>
    </row>
    <row r="1967" spans="4:8" ht="15" thickBot="1" x14ac:dyDescent="0.35">
      <c r="D1967" s="20">
        <v>354</v>
      </c>
      <c r="E1967" s="20">
        <v>3550</v>
      </c>
      <c r="F1967" s="20">
        <v>650</v>
      </c>
      <c r="G1967" s="20">
        <v>0.26155630545805558</v>
      </c>
      <c r="H1967" s="16">
        <f t="shared" ca="1" si="33"/>
        <v>2384</v>
      </c>
    </row>
    <row r="1968" spans="4:8" ht="15" thickBot="1" x14ac:dyDescent="0.35">
      <c r="D1968" s="20">
        <v>2553</v>
      </c>
      <c r="E1968" s="20">
        <v>850</v>
      </c>
      <c r="F1968" s="20">
        <v>4850</v>
      </c>
      <c r="G1968" s="20">
        <v>0.45605175117886942</v>
      </c>
      <c r="H1968" s="16">
        <f t="shared" ca="1" si="33"/>
        <v>583</v>
      </c>
    </row>
    <row r="1969" spans="4:8" ht="15" thickBot="1" x14ac:dyDescent="0.35">
      <c r="D1969" s="20">
        <v>738</v>
      </c>
      <c r="E1969" s="20">
        <v>4850</v>
      </c>
      <c r="F1969" s="20">
        <v>1350</v>
      </c>
      <c r="G1969" s="20">
        <v>0.30121612022891142</v>
      </c>
      <c r="H1969" s="16">
        <f t="shared" ca="1" si="33"/>
        <v>20</v>
      </c>
    </row>
    <row r="1970" spans="4:8" ht="15" thickBot="1" x14ac:dyDescent="0.35">
      <c r="D1970" s="20">
        <v>1206</v>
      </c>
      <c r="E1970" s="20">
        <v>3950</v>
      </c>
      <c r="F1970" s="20">
        <v>2250</v>
      </c>
      <c r="G1970" s="20">
        <v>0.33793337525537764</v>
      </c>
      <c r="H1970" s="16">
        <f t="shared" ca="1" si="33"/>
        <v>1012</v>
      </c>
    </row>
    <row r="1971" spans="4:8" ht="15" thickBot="1" x14ac:dyDescent="0.35">
      <c r="D1971" s="20">
        <v>1653</v>
      </c>
      <c r="E1971" s="20">
        <v>950</v>
      </c>
      <c r="F1971" s="20">
        <v>3150</v>
      </c>
      <c r="G1971" s="20">
        <v>0.3704290884793609</v>
      </c>
      <c r="H1971" s="16">
        <f t="shared" ca="1" si="33"/>
        <v>170</v>
      </c>
    </row>
    <row r="1972" spans="4:8" ht="15" thickBot="1" x14ac:dyDescent="0.35">
      <c r="D1972" s="20">
        <v>2785</v>
      </c>
      <c r="E1972" s="20">
        <v>2850</v>
      </c>
      <c r="F1972" s="20">
        <v>5250</v>
      </c>
      <c r="G1972" s="20">
        <v>0.56211112658231721</v>
      </c>
      <c r="H1972" s="16">
        <f t="shared" ca="1" si="33"/>
        <v>1153</v>
      </c>
    </row>
    <row r="1973" spans="4:8" ht="15" thickBot="1" x14ac:dyDescent="0.35">
      <c r="D1973" s="20">
        <v>1822</v>
      </c>
      <c r="E1973" s="20">
        <v>1950</v>
      </c>
      <c r="F1973" s="20">
        <v>3450</v>
      </c>
      <c r="G1973" s="20">
        <v>0.38225587206427869</v>
      </c>
      <c r="H1973" s="16">
        <f t="shared" ca="1" si="33"/>
        <v>750</v>
      </c>
    </row>
    <row r="1974" spans="4:8" ht="15" thickBot="1" x14ac:dyDescent="0.35">
      <c r="D1974" s="20">
        <v>2090</v>
      </c>
      <c r="E1974" s="20">
        <v>2250</v>
      </c>
      <c r="F1974" s="20">
        <v>3950</v>
      </c>
      <c r="G1974" s="20">
        <v>0.40428227628150309</v>
      </c>
      <c r="H1974" s="16">
        <f t="shared" ca="1" si="33"/>
        <v>2060</v>
      </c>
    </row>
    <row r="1975" spans="4:8" ht="15" thickBot="1" x14ac:dyDescent="0.35">
      <c r="D1975" s="20">
        <v>973</v>
      </c>
      <c r="E1975" s="20">
        <v>1850</v>
      </c>
      <c r="F1975" s="20">
        <v>1850</v>
      </c>
      <c r="G1975" s="20">
        <v>0.32023498930832694</v>
      </c>
      <c r="H1975" s="16">
        <f t="shared" ca="1" si="33"/>
        <v>1887</v>
      </c>
    </row>
    <row r="1976" spans="4:8" ht="15" thickBot="1" x14ac:dyDescent="0.35">
      <c r="D1976" s="20">
        <v>1078</v>
      </c>
      <c r="E1976" s="20">
        <v>1750</v>
      </c>
      <c r="F1976" s="20">
        <v>2050</v>
      </c>
      <c r="G1976" s="20">
        <v>0.32872718277417107</v>
      </c>
      <c r="H1976" s="16">
        <f t="shared" ca="1" si="33"/>
        <v>2324</v>
      </c>
    </row>
    <row r="1977" spans="4:8" ht="15" thickBot="1" x14ac:dyDescent="0.35">
      <c r="D1977" s="20">
        <v>671</v>
      </c>
      <c r="E1977" s="20">
        <v>3450</v>
      </c>
      <c r="F1977" s="20">
        <v>1250</v>
      </c>
      <c r="G1977" s="20">
        <v>0.29595774921353768</v>
      </c>
      <c r="H1977" s="16">
        <f t="shared" ca="1" si="33"/>
        <v>2162</v>
      </c>
    </row>
    <row r="1978" spans="4:8" ht="15" thickBot="1" x14ac:dyDescent="0.35">
      <c r="D1978" s="20">
        <v>1057</v>
      </c>
      <c r="E1978" s="20">
        <v>4950</v>
      </c>
      <c r="F1978" s="20">
        <v>1950</v>
      </c>
      <c r="G1978" s="20">
        <v>0.32697579422284706</v>
      </c>
      <c r="H1978" s="16">
        <f t="shared" ca="1" si="33"/>
        <v>1805</v>
      </c>
    </row>
    <row r="1979" spans="4:8" ht="15" thickBot="1" x14ac:dyDescent="0.35">
      <c r="D1979" s="20">
        <v>2777</v>
      </c>
      <c r="E1979" s="20">
        <v>2050</v>
      </c>
      <c r="F1979" s="20">
        <v>5250</v>
      </c>
      <c r="G1979" s="20">
        <v>0.5464302386702492</v>
      </c>
      <c r="H1979" s="16">
        <f t="shared" ca="1" si="33"/>
        <v>2664</v>
      </c>
    </row>
    <row r="1980" spans="4:8" ht="15" thickBot="1" x14ac:dyDescent="0.35">
      <c r="D1980" s="20">
        <v>2156</v>
      </c>
      <c r="E1980" s="45">
        <v>3550</v>
      </c>
      <c r="F1980" s="45">
        <v>4050</v>
      </c>
      <c r="G1980" s="20">
        <v>0.41067395634621495</v>
      </c>
      <c r="H1980" s="16">
        <f t="shared" ca="1" si="33"/>
        <v>1614</v>
      </c>
    </row>
    <row r="1981" spans="4:8" ht="15" thickBot="1" x14ac:dyDescent="0.35">
      <c r="D1981" s="20">
        <v>2732</v>
      </c>
      <c r="E1981" s="45">
        <v>2850</v>
      </c>
      <c r="F1981" s="45">
        <v>5150</v>
      </c>
      <c r="G1981" s="20">
        <v>0.50718452344474652</v>
      </c>
      <c r="H1981" s="16">
        <f t="shared" ca="1" si="33"/>
        <v>2051</v>
      </c>
    </row>
    <row r="1982" spans="4:8" ht="15" thickBot="1" x14ac:dyDescent="0.35">
      <c r="D1982" s="20">
        <v>2636</v>
      </c>
      <c r="E1982" s="20">
        <v>3850</v>
      </c>
      <c r="F1982" s="20">
        <v>4950</v>
      </c>
      <c r="G1982" s="20">
        <v>0.47297268075869353</v>
      </c>
      <c r="H1982" s="16">
        <f t="shared" ca="1" si="33"/>
        <v>1830</v>
      </c>
    </row>
    <row r="1983" spans="4:8" ht="15" thickBot="1" x14ac:dyDescent="0.35">
      <c r="D1983" s="20">
        <v>863</v>
      </c>
      <c r="E1983" s="20">
        <v>1450</v>
      </c>
      <c r="F1983" s="20">
        <v>1650</v>
      </c>
      <c r="G1983" s="20">
        <v>0.31136039529026482</v>
      </c>
      <c r="H1983" s="16">
        <f t="shared" ca="1" si="33"/>
        <v>2504</v>
      </c>
    </row>
    <row r="1984" spans="4:8" ht="15" thickBot="1" x14ac:dyDescent="0.35">
      <c r="D1984" s="20">
        <v>2228</v>
      </c>
      <c r="E1984" s="20">
        <v>150</v>
      </c>
      <c r="F1984" s="20">
        <v>4250</v>
      </c>
      <c r="G1984" s="20">
        <v>0.41839754464425549</v>
      </c>
      <c r="H1984" s="16">
        <f t="shared" ca="1" si="33"/>
        <v>333</v>
      </c>
    </row>
    <row r="1985" spans="4:8" ht="15" thickBot="1" x14ac:dyDescent="0.35">
      <c r="D1985" s="20">
        <v>1145</v>
      </c>
      <c r="E1985" s="20">
        <v>3150</v>
      </c>
      <c r="F1985" s="20">
        <v>2150</v>
      </c>
      <c r="G1985" s="20">
        <v>0.33388775327221587</v>
      </c>
      <c r="H1985" s="16">
        <f t="shared" ca="1" si="33"/>
        <v>2470</v>
      </c>
    </row>
    <row r="1986" spans="4:8" ht="15" thickBot="1" x14ac:dyDescent="0.35">
      <c r="D1986" s="20">
        <v>505</v>
      </c>
      <c r="E1986" s="20">
        <v>2750</v>
      </c>
      <c r="F1986" s="20">
        <v>950</v>
      </c>
      <c r="G1986" s="20">
        <v>0.27916201420063441</v>
      </c>
      <c r="H1986" s="16">
        <f t="shared" ca="1" si="33"/>
        <v>2736</v>
      </c>
    </row>
    <row r="1987" spans="4:8" ht="15" thickBot="1" x14ac:dyDescent="0.35">
      <c r="D1987" s="20">
        <v>2640</v>
      </c>
      <c r="E1987" s="20">
        <v>4250</v>
      </c>
      <c r="F1987" s="20">
        <v>4950</v>
      </c>
      <c r="G1987" s="20">
        <v>0.47395412139838022</v>
      </c>
      <c r="H1987" s="16">
        <f t="shared" ca="1" si="33"/>
        <v>2699</v>
      </c>
    </row>
    <row r="1988" spans="4:8" ht="15" thickBot="1" x14ac:dyDescent="0.35">
      <c r="D1988" s="20">
        <v>2020</v>
      </c>
      <c r="E1988" s="20">
        <v>550</v>
      </c>
      <c r="F1988" s="20">
        <v>3850</v>
      </c>
      <c r="G1988" s="20">
        <v>0.39721184065077014</v>
      </c>
      <c r="H1988" s="16">
        <f t="shared" ca="1" si="33"/>
        <v>199</v>
      </c>
    </row>
    <row r="1989" spans="4:8" ht="15" thickBot="1" x14ac:dyDescent="0.35">
      <c r="D1989" s="20">
        <v>1817</v>
      </c>
      <c r="E1989" s="20">
        <v>1450</v>
      </c>
      <c r="F1989" s="20">
        <v>3450</v>
      </c>
      <c r="G1989" s="20">
        <v>0.38188263097401259</v>
      </c>
      <c r="H1989" s="16">
        <f t="shared" ca="1" si="33"/>
        <v>1796</v>
      </c>
    </row>
    <row r="1990" spans="4:8" ht="15" thickBot="1" x14ac:dyDescent="0.35">
      <c r="D1990" s="20">
        <v>760</v>
      </c>
      <c r="E1990" s="20">
        <v>1750</v>
      </c>
      <c r="F1990" s="20">
        <v>1450</v>
      </c>
      <c r="G1990" s="20">
        <v>0.30292763032081055</v>
      </c>
      <c r="H1990" s="16">
        <f t="shared" ca="1" si="33"/>
        <v>1037</v>
      </c>
    </row>
    <row r="1991" spans="4:8" ht="15" thickBot="1" x14ac:dyDescent="0.35">
      <c r="D1991" s="20">
        <v>1113</v>
      </c>
      <c r="E1991" s="20">
        <v>5250</v>
      </c>
      <c r="F1991" s="20">
        <v>2050</v>
      </c>
      <c r="G1991" s="20">
        <v>0.33120686530506532</v>
      </c>
      <c r="H1991" s="16">
        <f t="shared" ref="H1991:H2054" ca="1" si="34">RANDBETWEEN(1,2788)</f>
        <v>1583</v>
      </c>
    </row>
    <row r="1992" spans="4:8" ht="15" thickBot="1" x14ac:dyDescent="0.35">
      <c r="D1992" s="20">
        <v>1947</v>
      </c>
      <c r="E1992" s="20">
        <v>3850</v>
      </c>
      <c r="F1992" s="20">
        <v>3650</v>
      </c>
      <c r="G1992" s="20">
        <v>0.39153724890174568</v>
      </c>
      <c r="H1992" s="16">
        <f t="shared" ca="1" si="34"/>
        <v>2316</v>
      </c>
    </row>
    <row r="1993" spans="4:8" ht="15" thickBot="1" x14ac:dyDescent="0.35">
      <c r="D1993" s="20">
        <v>9</v>
      </c>
      <c r="E1993" s="20">
        <v>850</v>
      </c>
      <c r="F1993" s="20">
        <v>50</v>
      </c>
      <c r="G1993" s="20">
        <v>0.13802602553761273</v>
      </c>
      <c r="H1993" s="16">
        <f t="shared" ca="1" si="34"/>
        <v>362</v>
      </c>
    </row>
    <row r="1994" spans="4:8" ht="15" thickBot="1" x14ac:dyDescent="0.35">
      <c r="D1994" s="20">
        <v>2182</v>
      </c>
      <c r="E1994" s="20">
        <v>850</v>
      </c>
      <c r="F1994" s="20">
        <v>4150</v>
      </c>
      <c r="G1994" s="20">
        <v>0.41345024373691691</v>
      </c>
      <c r="H1994" s="16">
        <f t="shared" ca="1" si="34"/>
        <v>81</v>
      </c>
    </row>
    <row r="1995" spans="4:8" ht="15" thickBot="1" x14ac:dyDescent="0.35">
      <c r="D1995" s="20">
        <v>2721</v>
      </c>
      <c r="E1995" s="20">
        <v>1750</v>
      </c>
      <c r="F1995" s="20">
        <v>5150</v>
      </c>
      <c r="G1995" s="20">
        <v>0.50266525085194391</v>
      </c>
      <c r="H1995" s="16">
        <f t="shared" ca="1" si="34"/>
        <v>651</v>
      </c>
    </row>
    <row r="1996" spans="4:8" ht="15" thickBot="1" x14ac:dyDescent="0.35">
      <c r="D1996" s="20">
        <v>1086</v>
      </c>
      <c r="E1996" s="20">
        <v>2550</v>
      </c>
      <c r="F1996" s="20">
        <v>2050</v>
      </c>
      <c r="G1996" s="20">
        <v>0.32935591627386346</v>
      </c>
      <c r="H1996" s="16">
        <f t="shared" ca="1" si="34"/>
        <v>347</v>
      </c>
    </row>
    <row r="1997" spans="4:8" ht="15" thickBot="1" x14ac:dyDescent="0.35">
      <c r="D1997" s="20">
        <v>993</v>
      </c>
      <c r="E1997" s="20">
        <v>3850</v>
      </c>
      <c r="F1997" s="20">
        <v>1850</v>
      </c>
      <c r="G1997" s="20">
        <v>0.32169517563247296</v>
      </c>
      <c r="H1997" s="16">
        <f t="shared" ca="1" si="34"/>
        <v>1984</v>
      </c>
    </row>
    <row r="1998" spans="4:8" ht="15" thickBot="1" x14ac:dyDescent="0.35">
      <c r="D1998" s="20">
        <v>1861</v>
      </c>
      <c r="E1998" s="20">
        <v>550</v>
      </c>
      <c r="F1998" s="20">
        <v>3550</v>
      </c>
      <c r="G1998" s="20">
        <v>0.38569616796565787</v>
      </c>
      <c r="H1998" s="16">
        <f t="shared" ca="1" si="34"/>
        <v>116</v>
      </c>
    </row>
    <row r="1999" spans="4:8" ht="15" thickBot="1" x14ac:dyDescent="0.35">
      <c r="D1999" s="20">
        <v>85</v>
      </c>
      <c r="E1999" s="20">
        <v>3150</v>
      </c>
      <c r="F1999" s="20">
        <v>150</v>
      </c>
      <c r="G1999" s="20">
        <v>0.20476728550487383</v>
      </c>
      <c r="H1999" s="16">
        <f t="shared" ca="1" si="34"/>
        <v>593</v>
      </c>
    </row>
    <row r="2000" spans="4:8" ht="15" thickBot="1" x14ac:dyDescent="0.35">
      <c r="D2000" s="20">
        <v>1631</v>
      </c>
      <c r="E2000" s="20">
        <v>4050</v>
      </c>
      <c r="F2000" s="20">
        <v>3050</v>
      </c>
      <c r="G2000" s="20">
        <v>0.36895777838629318</v>
      </c>
      <c r="H2000" s="16">
        <f t="shared" ca="1" si="34"/>
        <v>2607</v>
      </c>
    </row>
    <row r="2001" spans="4:8" ht="15" thickBot="1" x14ac:dyDescent="0.35">
      <c r="D2001" s="20">
        <v>2098</v>
      </c>
      <c r="E2001" s="20">
        <v>3050</v>
      </c>
      <c r="F2001" s="20">
        <v>3950</v>
      </c>
      <c r="G2001" s="20">
        <v>0.40540493928075683</v>
      </c>
      <c r="H2001" s="16">
        <f t="shared" ca="1" si="34"/>
        <v>2308</v>
      </c>
    </row>
    <row r="2002" spans="4:8" ht="15" thickBot="1" x14ac:dyDescent="0.35">
      <c r="D2002" s="20">
        <v>1228</v>
      </c>
      <c r="E2002" s="20">
        <v>850</v>
      </c>
      <c r="F2002" s="20">
        <v>2350</v>
      </c>
      <c r="G2002" s="20">
        <v>0.33987913607028436</v>
      </c>
      <c r="H2002" s="16">
        <f t="shared" ca="1" si="34"/>
        <v>2631</v>
      </c>
    </row>
    <row r="2003" spans="4:8" ht="15" thickBot="1" x14ac:dyDescent="0.35">
      <c r="D2003" s="20">
        <v>623</v>
      </c>
      <c r="E2003" s="20">
        <v>3950</v>
      </c>
      <c r="F2003" s="20">
        <v>1150</v>
      </c>
      <c r="G2003" s="20">
        <v>0.29075896876765006</v>
      </c>
      <c r="H2003" s="16">
        <f t="shared" ca="1" si="34"/>
        <v>2078</v>
      </c>
    </row>
    <row r="2004" spans="4:8" ht="15" thickBot="1" x14ac:dyDescent="0.35">
      <c r="D2004" s="20">
        <v>396</v>
      </c>
      <c r="E2004" s="20">
        <v>2450</v>
      </c>
      <c r="F2004" s="20">
        <v>750</v>
      </c>
      <c r="G2004" s="20">
        <v>0.26684888180490923</v>
      </c>
      <c r="H2004" s="16">
        <f t="shared" ca="1" si="34"/>
        <v>1716</v>
      </c>
    </row>
    <row r="2005" spans="4:8" ht="15" thickBot="1" x14ac:dyDescent="0.35">
      <c r="D2005" s="20">
        <v>1707</v>
      </c>
      <c r="E2005" s="20">
        <v>1050</v>
      </c>
      <c r="F2005" s="20">
        <v>3250</v>
      </c>
      <c r="G2005" s="20">
        <v>0.37519800256843633</v>
      </c>
      <c r="H2005" s="16">
        <f t="shared" ca="1" si="34"/>
        <v>2275</v>
      </c>
    </row>
    <row r="2006" spans="4:8" ht="15" thickBot="1" x14ac:dyDescent="0.35">
      <c r="D2006" s="20">
        <v>2264</v>
      </c>
      <c r="E2006" s="20">
        <v>3750</v>
      </c>
      <c r="F2006" s="20">
        <v>4250</v>
      </c>
      <c r="G2006" s="20">
        <v>0.42157880654377849</v>
      </c>
      <c r="H2006" s="16">
        <f t="shared" ca="1" si="34"/>
        <v>2604</v>
      </c>
    </row>
    <row r="2007" spans="4:8" ht="15" thickBot="1" x14ac:dyDescent="0.35">
      <c r="D2007" s="20">
        <v>2252</v>
      </c>
      <c r="E2007" s="20">
        <v>2550</v>
      </c>
      <c r="F2007" s="20">
        <v>4250</v>
      </c>
      <c r="G2007" s="20">
        <v>0.42062320760898897</v>
      </c>
      <c r="H2007" s="16">
        <f t="shared" ca="1" si="34"/>
        <v>87</v>
      </c>
    </row>
    <row r="2008" spans="4:8" ht="15" thickBot="1" x14ac:dyDescent="0.35">
      <c r="D2008" s="20">
        <v>2668</v>
      </c>
      <c r="E2008" s="20">
        <v>1750</v>
      </c>
      <c r="F2008" s="20">
        <v>5050</v>
      </c>
      <c r="G2008" s="20">
        <v>0.48410664140017801</v>
      </c>
      <c r="H2008" s="16">
        <f t="shared" ca="1" si="34"/>
        <v>257</v>
      </c>
    </row>
    <row r="2009" spans="4:8" ht="15" thickBot="1" x14ac:dyDescent="0.35">
      <c r="D2009" s="20">
        <v>1437</v>
      </c>
      <c r="E2009" s="20">
        <v>550</v>
      </c>
      <c r="F2009" s="20">
        <v>2750</v>
      </c>
      <c r="G2009" s="20">
        <v>0.35525934513525703</v>
      </c>
      <c r="H2009" s="16">
        <f t="shared" ca="1" si="34"/>
        <v>741</v>
      </c>
    </row>
    <row r="2010" spans="4:8" ht="15" thickBot="1" x14ac:dyDescent="0.35">
      <c r="D2010" s="20">
        <v>387</v>
      </c>
      <c r="E2010" s="48">
        <v>1550</v>
      </c>
      <c r="F2010" s="48">
        <v>750</v>
      </c>
      <c r="G2010" s="20">
        <v>0.26604163825770888</v>
      </c>
      <c r="H2010" s="16">
        <f t="shared" ca="1" si="34"/>
        <v>1577</v>
      </c>
    </row>
    <row r="2011" spans="4:8" ht="15" thickBot="1" x14ac:dyDescent="0.35">
      <c r="D2011" s="20">
        <v>373</v>
      </c>
      <c r="E2011" s="20">
        <v>150</v>
      </c>
      <c r="F2011" s="20">
        <v>750</v>
      </c>
      <c r="G2011" s="20">
        <v>0.26428811211805969</v>
      </c>
      <c r="H2011" s="16">
        <f t="shared" ca="1" si="34"/>
        <v>201</v>
      </c>
    </row>
    <row r="2012" spans="4:8" ht="15" thickBot="1" x14ac:dyDescent="0.35">
      <c r="D2012" s="20">
        <v>141</v>
      </c>
      <c r="E2012" s="20">
        <v>3450</v>
      </c>
      <c r="F2012" s="20">
        <v>250</v>
      </c>
      <c r="G2012" s="20">
        <v>0.22071499037683287</v>
      </c>
      <c r="H2012" s="16">
        <f t="shared" ca="1" si="34"/>
        <v>920</v>
      </c>
    </row>
    <row r="2013" spans="4:8" ht="15" thickBot="1" x14ac:dyDescent="0.35">
      <c r="D2013" s="20">
        <v>2491</v>
      </c>
      <c r="E2013" s="20">
        <v>5250</v>
      </c>
      <c r="F2013" s="20">
        <v>4650</v>
      </c>
      <c r="G2013" s="20">
        <v>0.44653043761058597</v>
      </c>
      <c r="H2013" s="16">
        <f t="shared" ca="1" si="34"/>
        <v>438</v>
      </c>
    </row>
    <row r="2014" spans="4:8" ht="15" thickBot="1" x14ac:dyDescent="0.35">
      <c r="D2014" s="20">
        <v>1600</v>
      </c>
      <c r="E2014" s="20">
        <v>950</v>
      </c>
      <c r="F2014" s="20">
        <v>3050</v>
      </c>
      <c r="G2014" s="20">
        <v>0.36681049776347735</v>
      </c>
      <c r="H2014" s="16">
        <f t="shared" ca="1" si="34"/>
        <v>1797</v>
      </c>
    </row>
    <row r="2015" spans="4:8" ht="15" thickBot="1" x14ac:dyDescent="0.35">
      <c r="D2015" s="20">
        <v>858</v>
      </c>
      <c r="E2015" s="20">
        <v>950</v>
      </c>
      <c r="F2015" s="20">
        <v>1650</v>
      </c>
      <c r="G2015" s="20">
        <v>0.31087809106901726</v>
      </c>
      <c r="H2015" s="16">
        <f t="shared" ca="1" si="34"/>
        <v>548</v>
      </c>
    </row>
    <row r="2016" spans="4:8" ht="15" thickBot="1" x14ac:dyDescent="0.35">
      <c r="D2016" s="20">
        <v>1177</v>
      </c>
      <c r="E2016" s="20">
        <v>1050</v>
      </c>
      <c r="F2016" s="20">
        <v>2250</v>
      </c>
      <c r="G2016" s="20">
        <v>0.33636117939899141</v>
      </c>
      <c r="H2016" s="16">
        <f t="shared" ca="1" si="34"/>
        <v>782</v>
      </c>
    </row>
    <row r="2017" spans="4:8" ht="15" thickBot="1" x14ac:dyDescent="0.35">
      <c r="D2017" s="20">
        <v>2118</v>
      </c>
      <c r="E2017" s="20">
        <v>5050</v>
      </c>
      <c r="F2017" s="20">
        <v>3950</v>
      </c>
      <c r="G2017" s="20">
        <v>0.40799019922058077</v>
      </c>
      <c r="H2017" s="16">
        <f t="shared" ca="1" si="34"/>
        <v>2077</v>
      </c>
    </row>
    <row r="2018" spans="4:8" ht="15" thickBot="1" x14ac:dyDescent="0.35">
      <c r="D2018" s="20">
        <v>1451</v>
      </c>
      <c r="E2018" s="20">
        <v>1950</v>
      </c>
      <c r="F2018" s="20">
        <v>2750</v>
      </c>
      <c r="G2018" s="20">
        <v>0.35597310797874132</v>
      </c>
      <c r="H2018" s="16">
        <f t="shared" ca="1" si="34"/>
        <v>2372</v>
      </c>
    </row>
    <row r="2019" spans="4:8" ht="15" thickBot="1" x14ac:dyDescent="0.35">
      <c r="D2019" s="20">
        <v>477</v>
      </c>
      <c r="E2019" s="20">
        <v>5250</v>
      </c>
      <c r="F2019" s="20">
        <v>850</v>
      </c>
      <c r="G2019" s="20">
        <v>0.27645321848280308</v>
      </c>
      <c r="H2019" s="16">
        <f t="shared" ca="1" si="34"/>
        <v>620</v>
      </c>
    </row>
    <row r="2020" spans="4:8" ht="15" thickBot="1" x14ac:dyDescent="0.35">
      <c r="D2020" s="20">
        <v>662</v>
      </c>
      <c r="E2020" s="20">
        <v>2550</v>
      </c>
      <c r="F2020" s="20">
        <v>1250</v>
      </c>
      <c r="G2020" s="20">
        <v>0.29543597316033859</v>
      </c>
      <c r="H2020" s="16">
        <f t="shared" ca="1" si="34"/>
        <v>2457</v>
      </c>
    </row>
    <row r="2021" spans="4:8" ht="15" thickBot="1" x14ac:dyDescent="0.35">
      <c r="D2021" s="20">
        <v>2160</v>
      </c>
      <c r="E2021" s="20">
        <v>3950</v>
      </c>
      <c r="F2021" s="20">
        <v>4050</v>
      </c>
      <c r="G2021" s="20">
        <v>0.41126653741516861</v>
      </c>
      <c r="H2021" s="16">
        <f t="shared" ca="1" si="34"/>
        <v>1220</v>
      </c>
    </row>
    <row r="2022" spans="4:8" ht="15" thickBot="1" x14ac:dyDescent="0.35">
      <c r="D2022" s="20">
        <v>100</v>
      </c>
      <c r="E2022" s="20">
        <v>4650</v>
      </c>
      <c r="F2022" s="20">
        <v>150</v>
      </c>
      <c r="G2022" s="20">
        <v>0.21111069157877727</v>
      </c>
      <c r="H2022" s="16">
        <f t="shared" ca="1" si="34"/>
        <v>2014</v>
      </c>
    </row>
    <row r="2023" spans="4:8" ht="15" thickBot="1" x14ac:dyDescent="0.35">
      <c r="D2023" s="20">
        <v>1186</v>
      </c>
      <c r="E2023" s="20">
        <v>1950</v>
      </c>
      <c r="F2023" s="20">
        <v>2250</v>
      </c>
      <c r="G2023" s="20">
        <v>0.33702498294018368</v>
      </c>
      <c r="H2023" s="16">
        <f t="shared" ca="1" si="34"/>
        <v>392</v>
      </c>
    </row>
    <row r="2024" spans="4:8" ht="15" thickBot="1" x14ac:dyDescent="0.35">
      <c r="D2024" s="20">
        <v>1325</v>
      </c>
      <c r="E2024" s="20">
        <v>5250</v>
      </c>
      <c r="F2024" s="20">
        <v>2450</v>
      </c>
      <c r="G2024" s="20">
        <v>0.34749208869485171</v>
      </c>
      <c r="H2024" s="16">
        <f t="shared" ca="1" si="34"/>
        <v>1214</v>
      </c>
    </row>
    <row r="2025" spans="4:8" ht="15" thickBot="1" x14ac:dyDescent="0.35">
      <c r="D2025" s="20">
        <v>1528</v>
      </c>
      <c r="E2025" s="20">
        <v>4350</v>
      </c>
      <c r="F2025" s="20">
        <v>2850</v>
      </c>
      <c r="G2025" s="20">
        <v>0.36168878309218327</v>
      </c>
      <c r="H2025" s="16">
        <f t="shared" ca="1" si="34"/>
        <v>54</v>
      </c>
    </row>
    <row r="2026" spans="4:8" ht="15" thickBot="1" x14ac:dyDescent="0.35">
      <c r="D2026" s="20">
        <v>394</v>
      </c>
      <c r="E2026" s="20">
        <v>2250</v>
      </c>
      <c r="F2026" s="20">
        <v>750</v>
      </c>
      <c r="G2026" s="20">
        <v>0.26659741864469499</v>
      </c>
      <c r="H2026" s="16">
        <f t="shared" ca="1" si="34"/>
        <v>2455</v>
      </c>
    </row>
    <row r="2027" spans="4:8" ht="15" thickBot="1" x14ac:dyDescent="0.35">
      <c r="D2027" s="20">
        <v>1202</v>
      </c>
      <c r="E2027" s="20">
        <v>3550</v>
      </c>
      <c r="F2027" s="20">
        <v>2250</v>
      </c>
      <c r="G2027" s="20">
        <v>0.3378425293763454</v>
      </c>
      <c r="H2027" s="16">
        <f t="shared" ca="1" si="34"/>
        <v>2618</v>
      </c>
    </row>
    <row r="2028" spans="4:8" ht="15" thickBot="1" x14ac:dyDescent="0.35">
      <c r="D2028" s="20">
        <v>2711</v>
      </c>
      <c r="E2028" s="20">
        <v>750</v>
      </c>
      <c r="F2028" s="20">
        <v>5150</v>
      </c>
      <c r="G2028" s="20">
        <v>0.49855726128739819</v>
      </c>
      <c r="H2028" s="16">
        <f t="shared" ca="1" si="34"/>
        <v>97</v>
      </c>
    </row>
    <row r="2029" spans="4:8" ht="15" thickBot="1" x14ac:dyDescent="0.35">
      <c r="D2029" s="20">
        <v>2484</v>
      </c>
      <c r="E2029" s="20">
        <v>4550</v>
      </c>
      <c r="F2029" s="20">
        <v>4650</v>
      </c>
      <c r="G2029" s="20">
        <v>0.44552701093922925</v>
      </c>
      <c r="H2029" s="16">
        <f t="shared" ca="1" si="34"/>
        <v>1556</v>
      </c>
    </row>
    <row r="2030" spans="4:8" ht="15" thickBot="1" x14ac:dyDescent="0.35">
      <c r="D2030" s="20">
        <v>159</v>
      </c>
      <c r="E2030" s="20">
        <v>5250</v>
      </c>
      <c r="F2030" s="20">
        <v>250</v>
      </c>
      <c r="G2030" s="20">
        <v>0.22412714576107234</v>
      </c>
      <c r="H2030" s="16">
        <f t="shared" ca="1" si="34"/>
        <v>2493</v>
      </c>
    </row>
    <row r="2031" spans="4:8" ht="15" thickBot="1" x14ac:dyDescent="0.35">
      <c r="D2031" s="20">
        <v>2162</v>
      </c>
      <c r="E2031" s="20">
        <v>4150</v>
      </c>
      <c r="F2031" s="20">
        <v>4050</v>
      </c>
      <c r="G2031" s="20">
        <v>0.41132105849400152</v>
      </c>
      <c r="H2031" s="16">
        <f t="shared" ca="1" si="34"/>
        <v>43</v>
      </c>
    </row>
    <row r="2032" spans="4:8" ht="15" thickBot="1" x14ac:dyDescent="0.35">
      <c r="D2032" s="20">
        <v>1284</v>
      </c>
      <c r="E2032" s="48">
        <v>1150</v>
      </c>
      <c r="F2032" s="48">
        <v>2450</v>
      </c>
      <c r="G2032" s="20">
        <v>0.34458285202170752</v>
      </c>
      <c r="H2032" s="16">
        <f t="shared" ca="1" si="34"/>
        <v>2387</v>
      </c>
    </row>
    <row r="2033" spans="4:8" ht="15" thickBot="1" x14ac:dyDescent="0.35">
      <c r="D2033" s="20">
        <v>164</v>
      </c>
      <c r="E2033" s="20">
        <v>450</v>
      </c>
      <c r="F2033" s="20">
        <v>350</v>
      </c>
      <c r="G2033" s="20">
        <v>0.22529297243944849</v>
      </c>
      <c r="H2033" s="16">
        <f t="shared" ca="1" si="34"/>
        <v>1865</v>
      </c>
    </row>
    <row r="2034" spans="4:8" ht="15" thickBot="1" x14ac:dyDescent="0.35">
      <c r="D2034" s="20">
        <v>323</v>
      </c>
      <c r="E2034" s="20">
        <v>450</v>
      </c>
      <c r="F2034" s="20">
        <v>650</v>
      </c>
      <c r="G2034" s="20">
        <v>0.2573280598880941</v>
      </c>
      <c r="H2034" s="16">
        <f t="shared" ca="1" si="34"/>
        <v>886</v>
      </c>
    </row>
    <row r="2035" spans="4:8" ht="15" thickBot="1" x14ac:dyDescent="0.35">
      <c r="D2035" s="20">
        <v>262</v>
      </c>
      <c r="E2035" s="20">
        <v>4950</v>
      </c>
      <c r="F2035" s="20">
        <v>450</v>
      </c>
      <c r="G2035" s="20">
        <v>0.24744935954777442</v>
      </c>
      <c r="H2035" s="16">
        <f t="shared" ca="1" si="34"/>
        <v>1584</v>
      </c>
    </row>
    <row r="2036" spans="4:8" ht="15" thickBot="1" x14ac:dyDescent="0.35">
      <c r="D2036" s="20">
        <v>509</v>
      </c>
      <c r="E2036" s="20">
        <v>3150</v>
      </c>
      <c r="F2036" s="20">
        <v>950</v>
      </c>
      <c r="G2036" s="20">
        <v>0.2797010889841392</v>
      </c>
      <c r="H2036" s="16">
        <f t="shared" ca="1" si="34"/>
        <v>761</v>
      </c>
    </row>
    <row r="2037" spans="4:8" ht="15" thickBot="1" x14ac:dyDescent="0.35">
      <c r="D2037" s="20">
        <v>2297</v>
      </c>
      <c r="E2037" s="20">
        <v>1750</v>
      </c>
      <c r="F2037" s="20">
        <v>4350</v>
      </c>
      <c r="G2037" s="20">
        <v>0.42516677799234281</v>
      </c>
      <c r="H2037" s="16">
        <f t="shared" ca="1" si="34"/>
        <v>2720</v>
      </c>
    </row>
    <row r="2038" spans="4:8" ht="15" thickBot="1" x14ac:dyDescent="0.35">
      <c r="D2038" s="20">
        <v>1965</v>
      </c>
      <c r="E2038" s="20">
        <v>350</v>
      </c>
      <c r="F2038" s="20">
        <v>3750</v>
      </c>
      <c r="G2038" s="20">
        <v>0.39342803916551927</v>
      </c>
      <c r="H2038" s="16">
        <f t="shared" ca="1" si="34"/>
        <v>2034</v>
      </c>
    </row>
    <row r="2039" spans="4:8" ht="15" thickBot="1" x14ac:dyDescent="0.35">
      <c r="D2039" s="20">
        <v>1368</v>
      </c>
      <c r="E2039" s="20">
        <v>4250</v>
      </c>
      <c r="F2039" s="20">
        <v>2550</v>
      </c>
      <c r="G2039" s="20">
        <v>0.34981095908348814</v>
      </c>
      <c r="H2039" s="16">
        <f t="shared" ca="1" si="34"/>
        <v>197</v>
      </c>
    </row>
    <row r="2040" spans="4:8" ht="15" thickBot="1" x14ac:dyDescent="0.35">
      <c r="D2040" s="20">
        <v>545</v>
      </c>
      <c r="E2040" s="20">
        <v>1450</v>
      </c>
      <c r="F2040" s="20">
        <v>1050</v>
      </c>
      <c r="G2040" s="20">
        <v>0.28295931249905693</v>
      </c>
      <c r="H2040" s="16">
        <f t="shared" ca="1" si="34"/>
        <v>1658</v>
      </c>
    </row>
    <row r="2041" spans="4:8" ht="15" thickBot="1" x14ac:dyDescent="0.35">
      <c r="D2041" s="20">
        <v>188</v>
      </c>
      <c r="E2041" s="20">
        <v>2850</v>
      </c>
      <c r="F2041" s="20">
        <v>350</v>
      </c>
      <c r="G2041" s="20">
        <v>0.23106315432512584</v>
      </c>
      <c r="H2041" s="16">
        <f t="shared" ca="1" si="34"/>
        <v>686</v>
      </c>
    </row>
    <row r="2042" spans="4:8" ht="15" thickBot="1" x14ac:dyDescent="0.35">
      <c r="D2042" s="20">
        <v>1486</v>
      </c>
      <c r="E2042" s="20">
        <v>150</v>
      </c>
      <c r="F2042" s="20">
        <v>2850</v>
      </c>
      <c r="G2042" s="20">
        <v>0.35877327578303453</v>
      </c>
      <c r="H2042" s="16">
        <f t="shared" ca="1" si="34"/>
        <v>2547</v>
      </c>
    </row>
    <row r="2043" spans="4:8" ht="15" thickBot="1" x14ac:dyDescent="0.35">
      <c r="D2043" s="20">
        <v>2364</v>
      </c>
      <c r="E2043" s="20">
        <v>3150</v>
      </c>
      <c r="F2043" s="20">
        <v>4450</v>
      </c>
      <c r="G2043" s="20">
        <v>0.43110253840935242</v>
      </c>
      <c r="H2043" s="16">
        <f t="shared" ca="1" si="34"/>
        <v>616</v>
      </c>
    </row>
    <row r="2044" spans="4:8" ht="15" thickBot="1" x14ac:dyDescent="0.35">
      <c r="D2044" s="20">
        <v>1522</v>
      </c>
      <c r="E2044" s="20">
        <v>3750</v>
      </c>
      <c r="F2044" s="20">
        <v>2850</v>
      </c>
      <c r="G2044" s="20">
        <v>0.36133583493773141</v>
      </c>
      <c r="H2044" s="16">
        <f t="shared" ca="1" si="34"/>
        <v>845</v>
      </c>
    </row>
    <row r="2045" spans="4:8" ht="15" thickBot="1" x14ac:dyDescent="0.35">
      <c r="D2045" s="20">
        <v>1583</v>
      </c>
      <c r="E2045" s="20">
        <v>4550</v>
      </c>
      <c r="F2045" s="20">
        <v>2950</v>
      </c>
      <c r="G2045" s="20">
        <v>0.36592745894249229</v>
      </c>
      <c r="H2045" s="16">
        <f t="shared" ca="1" si="34"/>
        <v>1201</v>
      </c>
    </row>
    <row r="2046" spans="4:8" ht="15" thickBot="1" x14ac:dyDescent="0.35">
      <c r="D2046" s="20">
        <v>1469</v>
      </c>
      <c r="E2046" s="20">
        <v>3750</v>
      </c>
      <c r="F2046" s="20">
        <v>2750</v>
      </c>
      <c r="G2046" s="20">
        <v>0.35720867379275462</v>
      </c>
      <c r="H2046" s="16">
        <f t="shared" ca="1" si="34"/>
        <v>338</v>
      </c>
    </row>
    <row r="2047" spans="4:8" ht="15" thickBot="1" x14ac:dyDescent="0.35">
      <c r="D2047" s="20">
        <v>1766</v>
      </c>
      <c r="E2047" s="20">
        <v>1650</v>
      </c>
      <c r="F2047" s="20">
        <v>3350</v>
      </c>
      <c r="G2047" s="20">
        <v>0.37856139843296077</v>
      </c>
      <c r="H2047" s="16">
        <f t="shared" ca="1" si="34"/>
        <v>737</v>
      </c>
    </row>
    <row r="2048" spans="4:8" ht="15" thickBot="1" x14ac:dyDescent="0.35">
      <c r="D2048" s="20">
        <v>2059</v>
      </c>
      <c r="E2048" s="20">
        <v>4450</v>
      </c>
      <c r="F2048" s="20">
        <v>3850</v>
      </c>
      <c r="G2048" s="20">
        <v>0.40143522303291129</v>
      </c>
      <c r="H2048" s="16">
        <f t="shared" ca="1" si="34"/>
        <v>2131</v>
      </c>
    </row>
    <row r="2049" spans="4:8" ht="15" thickBot="1" x14ac:dyDescent="0.35">
      <c r="D2049" s="20">
        <v>2607</v>
      </c>
      <c r="E2049" s="20">
        <v>950</v>
      </c>
      <c r="F2049" s="20">
        <v>4950</v>
      </c>
      <c r="G2049" s="20">
        <v>0.46690567392442028</v>
      </c>
      <c r="H2049" s="16">
        <f t="shared" ca="1" si="34"/>
        <v>27</v>
      </c>
    </row>
    <row r="2050" spans="4:8" ht="15" thickBot="1" x14ac:dyDescent="0.35">
      <c r="D2050" s="20">
        <v>968</v>
      </c>
      <c r="E2050" s="20">
        <v>1350</v>
      </c>
      <c r="F2050" s="20">
        <v>1850</v>
      </c>
      <c r="G2050" s="20">
        <v>0.3196974120538098</v>
      </c>
      <c r="H2050" s="16">
        <f t="shared" ca="1" si="34"/>
        <v>295</v>
      </c>
    </row>
    <row r="2051" spans="4:8" ht="15" thickBot="1" x14ac:dyDescent="0.35">
      <c r="D2051" s="20">
        <v>1103</v>
      </c>
      <c r="E2051" s="20">
        <v>4250</v>
      </c>
      <c r="F2051" s="20">
        <v>2050</v>
      </c>
      <c r="G2051" s="20">
        <v>0.33033116310552496</v>
      </c>
      <c r="H2051" s="16">
        <f t="shared" ca="1" si="34"/>
        <v>132</v>
      </c>
    </row>
    <row r="2052" spans="4:8" ht="15" thickBot="1" x14ac:dyDescent="0.35">
      <c r="D2052" s="20">
        <v>2056</v>
      </c>
      <c r="E2052" s="20">
        <v>4150</v>
      </c>
      <c r="F2052" s="20">
        <v>3850</v>
      </c>
      <c r="G2052" s="20">
        <v>0.40040967586272169</v>
      </c>
      <c r="H2052" s="16">
        <f t="shared" ca="1" si="34"/>
        <v>2272</v>
      </c>
    </row>
    <row r="2053" spans="4:8" ht="15" thickBot="1" x14ac:dyDescent="0.35">
      <c r="D2053" s="20">
        <v>1788</v>
      </c>
      <c r="E2053" s="20">
        <v>3850</v>
      </c>
      <c r="F2053" s="20">
        <v>3350</v>
      </c>
      <c r="G2053" s="20">
        <v>0.38005679013612753</v>
      </c>
      <c r="H2053" s="16">
        <f t="shared" ca="1" si="34"/>
        <v>1289</v>
      </c>
    </row>
    <row r="2054" spans="4:8" ht="15" thickBot="1" x14ac:dyDescent="0.35">
      <c r="D2054" s="20">
        <v>252</v>
      </c>
      <c r="E2054" s="20">
        <v>3950</v>
      </c>
      <c r="F2054" s="20">
        <v>450</v>
      </c>
      <c r="G2054" s="20">
        <v>0.24534228432352106</v>
      </c>
      <c r="H2054" s="16">
        <f t="shared" ca="1" si="34"/>
        <v>989</v>
      </c>
    </row>
    <row r="2055" spans="4:8" ht="15" thickBot="1" x14ac:dyDescent="0.35">
      <c r="D2055" s="20">
        <v>2251</v>
      </c>
      <c r="E2055" s="20">
        <v>2450</v>
      </c>
      <c r="F2055" s="20">
        <v>4250</v>
      </c>
      <c r="G2055" s="20">
        <v>0.42047195014193239</v>
      </c>
      <c r="H2055" s="16">
        <f t="shared" ref="H2055:H2118" ca="1" si="35">RANDBETWEEN(1,2788)</f>
        <v>2636</v>
      </c>
    </row>
    <row r="2056" spans="4:8" ht="15" thickBot="1" x14ac:dyDescent="0.35">
      <c r="D2056" s="20">
        <v>1112</v>
      </c>
      <c r="E2056" s="48">
        <v>5150</v>
      </c>
      <c r="F2056" s="48">
        <v>2050</v>
      </c>
      <c r="G2056" s="20">
        <v>0.3311907125650253</v>
      </c>
      <c r="H2056" s="16">
        <f t="shared" ca="1" si="35"/>
        <v>1638</v>
      </c>
    </row>
    <row r="2057" spans="4:8" ht="15" thickBot="1" x14ac:dyDescent="0.35">
      <c r="D2057" s="20">
        <v>1663</v>
      </c>
      <c r="E2057" s="20">
        <v>1950</v>
      </c>
      <c r="F2057" s="20">
        <v>3150</v>
      </c>
      <c r="G2057" s="20">
        <v>0.37118196457980834</v>
      </c>
      <c r="H2057" s="16">
        <f t="shared" ca="1" si="35"/>
        <v>2407</v>
      </c>
    </row>
    <row r="2058" spans="4:8" ht="15" thickBot="1" x14ac:dyDescent="0.35">
      <c r="D2058" s="20">
        <v>555</v>
      </c>
      <c r="E2058" s="20">
        <v>2450</v>
      </c>
      <c r="F2058" s="20">
        <v>1050</v>
      </c>
      <c r="G2058" s="20">
        <v>0.28431768974935123</v>
      </c>
      <c r="H2058" s="16">
        <f t="shared" ca="1" si="35"/>
        <v>2046</v>
      </c>
    </row>
    <row r="2059" spans="4:8" ht="15" thickBot="1" x14ac:dyDescent="0.35">
      <c r="D2059" s="20">
        <v>2602</v>
      </c>
      <c r="E2059" s="20">
        <v>450</v>
      </c>
      <c r="F2059" s="20">
        <v>4950</v>
      </c>
      <c r="G2059" s="20">
        <v>0.46561288805260981</v>
      </c>
      <c r="H2059" s="16">
        <f t="shared" ca="1" si="35"/>
        <v>1329</v>
      </c>
    </row>
    <row r="2060" spans="4:8" ht="15" thickBot="1" x14ac:dyDescent="0.35">
      <c r="D2060" s="20">
        <v>2758</v>
      </c>
      <c r="E2060" s="20">
        <v>150</v>
      </c>
      <c r="F2060" s="20">
        <v>5250</v>
      </c>
      <c r="G2060" s="20">
        <v>0.52586517012693901</v>
      </c>
      <c r="H2060" s="16">
        <f t="shared" ca="1" si="35"/>
        <v>1340</v>
      </c>
    </row>
    <row r="2061" spans="4:8" ht="15" thickBot="1" x14ac:dyDescent="0.35">
      <c r="D2061" s="20">
        <v>1367</v>
      </c>
      <c r="E2061" s="20">
        <v>4150</v>
      </c>
      <c r="F2061" s="20">
        <v>2550</v>
      </c>
      <c r="G2061" s="20">
        <v>0.34977764803121092</v>
      </c>
      <c r="H2061" s="16">
        <f t="shared" ca="1" si="35"/>
        <v>2267</v>
      </c>
    </row>
    <row r="2062" spans="4:8" ht="15" thickBot="1" x14ac:dyDescent="0.35">
      <c r="D2062" s="20">
        <v>2458</v>
      </c>
      <c r="E2062" s="20">
        <v>1950</v>
      </c>
      <c r="F2062" s="20">
        <v>4650</v>
      </c>
      <c r="G2062" s="20">
        <v>0.44204545462870121</v>
      </c>
      <c r="H2062" s="16">
        <f t="shared" ca="1" si="35"/>
        <v>1399</v>
      </c>
    </row>
    <row r="2063" spans="4:8" ht="15" thickBot="1" x14ac:dyDescent="0.35">
      <c r="D2063" s="20">
        <v>1404</v>
      </c>
      <c r="E2063" s="20">
        <v>2550</v>
      </c>
      <c r="F2063" s="20">
        <v>2650</v>
      </c>
      <c r="G2063" s="20">
        <v>0.35296117767525342</v>
      </c>
      <c r="H2063" s="16">
        <f t="shared" ca="1" si="35"/>
        <v>2600</v>
      </c>
    </row>
    <row r="2064" spans="4:8" ht="15" thickBot="1" x14ac:dyDescent="0.35">
      <c r="D2064" s="20">
        <v>650</v>
      </c>
      <c r="E2064" s="20">
        <v>1350</v>
      </c>
      <c r="F2064" s="20">
        <v>1250</v>
      </c>
      <c r="G2064" s="20">
        <v>0.29355663929622927</v>
      </c>
      <c r="H2064" s="16">
        <f t="shared" ca="1" si="35"/>
        <v>1096</v>
      </c>
    </row>
    <row r="2065" spans="4:8" ht="15" thickBot="1" x14ac:dyDescent="0.35">
      <c r="D2065" s="20">
        <v>871</v>
      </c>
      <c r="E2065" s="20">
        <v>2250</v>
      </c>
      <c r="F2065" s="20">
        <v>1650</v>
      </c>
      <c r="G2065" s="20">
        <v>0.31209910634178439</v>
      </c>
      <c r="H2065" s="16">
        <f t="shared" ca="1" si="35"/>
        <v>367</v>
      </c>
    </row>
    <row r="2066" spans="4:8" ht="15" thickBot="1" x14ac:dyDescent="0.35">
      <c r="D2066" s="20">
        <v>2771</v>
      </c>
      <c r="E2066" s="20">
        <v>1450</v>
      </c>
      <c r="F2066" s="20">
        <v>5250</v>
      </c>
      <c r="G2066" s="20">
        <v>0.53705875080809717</v>
      </c>
      <c r="H2066" s="16">
        <f t="shared" ca="1" si="35"/>
        <v>1483</v>
      </c>
    </row>
    <row r="2067" spans="4:8" ht="15" thickBot="1" x14ac:dyDescent="0.35">
      <c r="D2067" s="20">
        <v>1682</v>
      </c>
      <c r="E2067" s="20">
        <v>3850</v>
      </c>
      <c r="F2067" s="20">
        <v>3150</v>
      </c>
      <c r="G2067" s="20">
        <v>0.37292673106680935</v>
      </c>
      <c r="H2067" s="16">
        <f t="shared" ca="1" si="35"/>
        <v>2387</v>
      </c>
    </row>
    <row r="2068" spans="4:8" ht="15" thickBot="1" x14ac:dyDescent="0.35">
      <c r="D2068" s="20">
        <v>2110</v>
      </c>
      <c r="E2068" s="20">
        <v>4250</v>
      </c>
      <c r="F2068" s="20">
        <v>3950</v>
      </c>
      <c r="G2068" s="20">
        <v>0.40717157264489756</v>
      </c>
      <c r="H2068" s="16">
        <f t="shared" ca="1" si="35"/>
        <v>1973</v>
      </c>
    </row>
    <row r="2069" spans="4:8" ht="15" thickBot="1" x14ac:dyDescent="0.35">
      <c r="D2069" s="20">
        <v>2411</v>
      </c>
      <c r="E2069" s="20">
        <v>2550</v>
      </c>
      <c r="F2069" s="20">
        <v>4550</v>
      </c>
      <c r="G2069" s="20">
        <v>0.43585441136515513</v>
      </c>
      <c r="H2069" s="16">
        <f t="shared" ca="1" si="35"/>
        <v>391</v>
      </c>
    </row>
    <row r="2070" spans="4:8" ht="15" thickBot="1" x14ac:dyDescent="0.35">
      <c r="D2070" s="20">
        <v>2367</v>
      </c>
      <c r="E2070" s="20">
        <v>3450</v>
      </c>
      <c r="F2070" s="20">
        <v>4450</v>
      </c>
      <c r="G2070" s="20">
        <v>0.43115317975811918</v>
      </c>
      <c r="H2070" s="16">
        <f t="shared" ca="1" si="35"/>
        <v>209</v>
      </c>
    </row>
    <row r="2071" spans="4:8" ht="15" thickBot="1" x14ac:dyDescent="0.35">
      <c r="D2071" s="20">
        <v>427</v>
      </c>
      <c r="E2071" s="45">
        <v>250</v>
      </c>
      <c r="F2071" s="45">
        <v>850</v>
      </c>
      <c r="G2071" s="20">
        <v>0.27074410326497095</v>
      </c>
      <c r="H2071" s="16">
        <f t="shared" ca="1" si="35"/>
        <v>248</v>
      </c>
    </row>
    <row r="2072" spans="4:8" ht="15" thickBot="1" x14ac:dyDescent="0.35">
      <c r="D2072" s="20">
        <v>161</v>
      </c>
      <c r="E2072" s="20">
        <v>150</v>
      </c>
      <c r="F2072" s="20">
        <v>350</v>
      </c>
      <c r="G2072" s="20">
        <v>0.22434932550937131</v>
      </c>
      <c r="H2072" s="16">
        <f t="shared" ca="1" si="35"/>
        <v>1100</v>
      </c>
    </row>
    <row r="2073" spans="4:8" ht="15" thickBot="1" x14ac:dyDescent="0.35">
      <c r="D2073" s="20">
        <v>1306</v>
      </c>
      <c r="E2073" s="20">
        <v>3350</v>
      </c>
      <c r="F2073" s="20">
        <v>2450</v>
      </c>
      <c r="G2073" s="20">
        <v>0.34604835815148588</v>
      </c>
      <c r="H2073" s="16">
        <f t="shared" ca="1" si="35"/>
        <v>2410</v>
      </c>
    </row>
    <row r="2074" spans="4:8" ht="15" thickBot="1" x14ac:dyDescent="0.35">
      <c r="D2074" s="20">
        <v>2139</v>
      </c>
      <c r="E2074" s="20">
        <v>1850</v>
      </c>
      <c r="F2074" s="20">
        <v>4050</v>
      </c>
      <c r="G2074" s="20">
        <v>0.40941279799389618</v>
      </c>
      <c r="H2074" s="16">
        <f t="shared" ca="1" si="35"/>
        <v>467</v>
      </c>
    </row>
    <row r="2075" spans="4:8" ht="15" thickBot="1" x14ac:dyDescent="0.35">
      <c r="D2075" s="20">
        <v>711</v>
      </c>
      <c r="E2075" s="20">
        <v>2150</v>
      </c>
      <c r="F2075" s="20">
        <v>1350</v>
      </c>
      <c r="G2075" s="20">
        <v>0.29915376331032928</v>
      </c>
      <c r="H2075" s="16">
        <f t="shared" ca="1" si="35"/>
        <v>323</v>
      </c>
    </row>
    <row r="2076" spans="4:8" ht="15" thickBot="1" x14ac:dyDescent="0.35">
      <c r="D2076" s="20">
        <v>2689</v>
      </c>
      <c r="E2076" s="20">
        <v>3850</v>
      </c>
      <c r="F2076" s="20">
        <v>5050</v>
      </c>
      <c r="G2076" s="20">
        <v>0.48877537546363237</v>
      </c>
      <c r="H2076" s="16">
        <f t="shared" ca="1" si="35"/>
        <v>2394</v>
      </c>
    </row>
    <row r="2077" spans="4:8" ht="15" thickBot="1" x14ac:dyDescent="0.35">
      <c r="D2077" s="20">
        <v>731</v>
      </c>
      <c r="E2077" s="44">
        <v>4150</v>
      </c>
      <c r="F2077" s="44">
        <v>1350</v>
      </c>
      <c r="G2077" s="20">
        <v>0.30036525947362946</v>
      </c>
      <c r="H2077" s="16">
        <f t="shared" ca="1" si="35"/>
        <v>1257</v>
      </c>
    </row>
    <row r="2078" spans="4:8" ht="15" thickBot="1" x14ac:dyDescent="0.35">
      <c r="D2078" s="20">
        <v>2646</v>
      </c>
      <c r="E2078" s="20">
        <v>4850</v>
      </c>
      <c r="F2078" s="20">
        <v>4950</v>
      </c>
      <c r="G2078" s="20">
        <v>0.47522339414828374</v>
      </c>
      <c r="H2078" s="16">
        <f t="shared" ca="1" si="35"/>
        <v>1241</v>
      </c>
    </row>
    <row r="2079" spans="4:8" ht="15" thickBot="1" x14ac:dyDescent="0.35">
      <c r="D2079" s="20">
        <v>1852</v>
      </c>
      <c r="E2079" s="20">
        <v>4950</v>
      </c>
      <c r="F2079" s="20">
        <v>3450</v>
      </c>
      <c r="G2079" s="20">
        <v>0.38465354393520629</v>
      </c>
      <c r="H2079" s="16">
        <f t="shared" ca="1" si="35"/>
        <v>1895</v>
      </c>
    </row>
    <row r="2080" spans="4:8" ht="15" thickBot="1" x14ac:dyDescent="0.35">
      <c r="D2080" s="20">
        <v>2610</v>
      </c>
      <c r="E2080" s="20">
        <v>1250</v>
      </c>
      <c r="F2080" s="20">
        <v>4950</v>
      </c>
      <c r="G2080" s="20">
        <v>0.46744249169736046</v>
      </c>
      <c r="H2080" s="16">
        <f t="shared" ca="1" si="35"/>
        <v>1974</v>
      </c>
    </row>
    <row r="2081" spans="4:8" ht="15" thickBot="1" x14ac:dyDescent="0.35">
      <c r="D2081" s="20">
        <v>2443</v>
      </c>
      <c r="E2081" s="20">
        <v>450</v>
      </c>
      <c r="F2081" s="20">
        <v>4650</v>
      </c>
      <c r="G2081" s="20">
        <v>0.44002797063933718</v>
      </c>
      <c r="H2081" s="16">
        <f t="shared" ca="1" si="35"/>
        <v>1537</v>
      </c>
    </row>
    <row r="2082" spans="4:8" ht="15" thickBot="1" x14ac:dyDescent="0.35">
      <c r="D2082" s="20">
        <v>1105</v>
      </c>
      <c r="E2082" s="20">
        <v>4450</v>
      </c>
      <c r="F2082" s="20">
        <v>2050</v>
      </c>
      <c r="G2082" s="20">
        <v>0.33040209275405658</v>
      </c>
      <c r="H2082" s="16">
        <f t="shared" ca="1" si="35"/>
        <v>2406</v>
      </c>
    </row>
    <row r="2083" spans="4:8" ht="15" thickBot="1" x14ac:dyDescent="0.35">
      <c r="D2083" s="20">
        <v>741</v>
      </c>
      <c r="E2083" s="20">
        <v>5150</v>
      </c>
      <c r="F2083" s="20">
        <v>1350</v>
      </c>
      <c r="G2083" s="20">
        <v>0.3013903080044445</v>
      </c>
      <c r="H2083" s="16">
        <f t="shared" ca="1" si="35"/>
        <v>501</v>
      </c>
    </row>
    <row r="2084" spans="4:8" ht="15" thickBot="1" x14ac:dyDescent="0.35">
      <c r="D2084" s="20">
        <v>181</v>
      </c>
      <c r="E2084" s="20">
        <v>2150</v>
      </c>
      <c r="F2084" s="20">
        <v>350</v>
      </c>
      <c r="G2084" s="20">
        <v>0.22922358475958859</v>
      </c>
      <c r="H2084" s="16">
        <f t="shared" ca="1" si="35"/>
        <v>427</v>
      </c>
    </row>
    <row r="2085" spans="4:8" ht="15" thickBot="1" x14ac:dyDescent="0.35">
      <c r="D2085" s="20">
        <v>1420</v>
      </c>
      <c r="E2085" s="20">
        <v>4150</v>
      </c>
      <c r="F2085" s="20">
        <v>2650</v>
      </c>
      <c r="G2085" s="20">
        <v>0.35439162081612557</v>
      </c>
      <c r="H2085" s="16">
        <f t="shared" ca="1" si="35"/>
        <v>542</v>
      </c>
    </row>
    <row r="2086" spans="4:8" ht="15" thickBot="1" x14ac:dyDescent="0.35">
      <c r="D2086" s="20">
        <v>214</v>
      </c>
      <c r="E2086" s="20">
        <v>150</v>
      </c>
      <c r="F2086" s="20">
        <v>450</v>
      </c>
      <c r="G2086" s="20">
        <v>0.23901353073733256</v>
      </c>
      <c r="H2086" s="16">
        <f t="shared" ca="1" si="35"/>
        <v>790</v>
      </c>
    </row>
    <row r="2087" spans="4:8" ht="15" thickBot="1" x14ac:dyDescent="0.35">
      <c r="D2087" s="20">
        <v>2577</v>
      </c>
      <c r="E2087" s="48">
        <v>3250</v>
      </c>
      <c r="F2087" s="48">
        <v>4850</v>
      </c>
      <c r="G2087" s="20">
        <v>0.46108934769426391</v>
      </c>
      <c r="H2087" s="16">
        <f t="shared" ca="1" si="35"/>
        <v>1984</v>
      </c>
    </row>
    <row r="2088" spans="4:8" ht="15" thickBot="1" x14ac:dyDescent="0.35">
      <c r="D2088" s="20">
        <v>1006</v>
      </c>
      <c r="E2088" s="20">
        <v>5150</v>
      </c>
      <c r="F2088" s="20">
        <v>1850</v>
      </c>
      <c r="G2088" s="20">
        <v>0.32275691932896811</v>
      </c>
      <c r="H2088" s="16">
        <f t="shared" ca="1" si="35"/>
        <v>2255</v>
      </c>
    </row>
    <row r="2089" spans="4:8" ht="15" thickBot="1" x14ac:dyDescent="0.35">
      <c r="D2089" s="20">
        <v>2437</v>
      </c>
      <c r="E2089" s="20">
        <v>5150</v>
      </c>
      <c r="F2089" s="20">
        <v>4550</v>
      </c>
      <c r="G2089" s="20">
        <v>0.4386392452072444</v>
      </c>
      <c r="H2089" s="16">
        <f t="shared" ca="1" si="35"/>
        <v>1750</v>
      </c>
    </row>
    <row r="2090" spans="4:8" ht="15" thickBot="1" x14ac:dyDescent="0.35">
      <c r="D2090" s="20">
        <v>2446</v>
      </c>
      <c r="E2090" s="20">
        <v>750</v>
      </c>
      <c r="F2090" s="20">
        <v>4650</v>
      </c>
      <c r="G2090" s="20">
        <v>0.44043407450077848</v>
      </c>
      <c r="H2090" s="16">
        <f t="shared" ca="1" si="35"/>
        <v>2154</v>
      </c>
    </row>
    <row r="2091" spans="4:8" ht="15" thickBot="1" x14ac:dyDescent="0.35">
      <c r="D2091" s="20">
        <v>2289</v>
      </c>
      <c r="E2091" s="20">
        <v>950</v>
      </c>
      <c r="F2091" s="20">
        <v>4350</v>
      </c>
      <c r="G2091" s="20">
        <v>0.42466466829251059</v>
      </c>
      <c r="H2091" s="16">
        <f t="shared" ca="1" si="35"/>
        <v>2584</v>
      </c>
    </row>
    <row r="2092" spans="4:8" ht="15" thickBot="1" x14ac:dyDescent="0.35">
      <c r="D2092" s="20">
        <v>687</v>
      </c>
      <c r="E2092" s="20">
        <v>5050</v>
      </c>
      <c r="F2092" s="20">
        <v>1250</v>
      </c>
      <c r="G2092" s="20">
        <v>0.29686023734140143</v>
      </c>
      <c r="H2092" s="16">
        <f t="shared" ca="1" si="35"/>
        <v>268</v>
      </c>
    </row>
    <row r="2093" spans="4:8" ht="15" thickBot="1" x14ac:dyDescent="0.35">
      <c r="D2093" s="20">
        <v>1703</v>
      </c>
      <c r="E2093" s="20">
        <v>650</v>
      </c>
      <c r="F2093" s="20">
        <v>3250</v>
      </c>
      <c r="G2093" s="20">
        <v>0.37441223113479538</v>
      </c>
      <c r="H2093" s="16">
        <f t="shared" ca="1" si="35"/>
        <v>1383</v>
      </c>
    </row>
    <row r="2094" spans="4:8" ht="15" thickBot="1" x14ac:dyDescent="0.35">
      <c r="D2094" s="20">
        <v>1880</v>
      </c>
      <c r="E2094" s="20">
        <v>2450</v>
      </c>
      <c r="F2094" s="20">
        <v>3550</v>
      </c>
      <c r="G2094" s="20">
        <v>0.3869334181571325</v>
      </c>
      <c r="H2094" s="16">
        <f t="shared" ca="1" si="35"/>
        <v>293</v>
      </c>
    </row>
    <row r="2095" spans="4:8" ht="15" thickBot="1" x14ac:dyDescent="0.35">
      <c r="D2095" s="20">
        <v>311</v>
      </c>
      <c r="E2095" s="20">
        <v>4550</v>
      </c>
      <c r="F2095" s="20">
        <v>550</v>
      </c>
      <c r="G2095" s="20">
        <v>0.25494544526622975</v>
      </c>
      <c r="H2095" s="16">
        <f t="shared" ca="1" si="35"/>
        <v>255</v>
      </c>
    </row>
    <row r="2096" spans="4:8" ht="15" thickBot="1" x14ac:dyDescent="0.35">
      <c r="D2096" s="20">
        <v>1769</v>
      </c>
      <c r="E2096" s="20">
        <v>1950</v>
      </c>
      <c r="F2096" s="20">
        <v>3350</v>
      </c>
      <c r="G2096" s="20">
        <v>0.37871610840495556</v>
      </c>
      <c r="H2096" s="16">
        <f t="shared" ca="1" si="35"/>
        <v>159</v>
      </c>
    </row>
    <row r="2097" spans="4:8" ht="15" thickBot="1" x14ac:dyDescent="0.35">
      <c r="D2097" s="20">
        <v>2025</v>
      </c>
      <c r="E2097" s="20">
        <v>1050</v>
      </c>
      <c r="F2097" s="20">
        <v>3850</v>
      </c>
      <c r="G2097" s="20">
        <v>0.3975368806244885</v>
      </c>
      <c r="H2097" s="16">
        <f t="shared" ca="1" si="35"/>
        <v>2493</v>
      </c>
    </row>
    <row r="2098" spans="4:8" ht="15" thickBot="1" x14ac:dyDescent="0.35">
      <c r="D2098" s="20">
        <v>125</v>
      </c>
      <c r="E2098" s="20">
        <v>1850</v>
      </c>
      <c r="F2098" s="20">
        <v>250</v>
      </c>
      <c r="G2098" s="20">
        <v>0.21785404169222117</v>
      </c>
      <c r="H2098" s="16">
        <f t="shared" ca="1" si="35"/>
        <v>533</v>
      </c>
    </row>
    <row r="2099" spans="4:8" ht="15" thickBot="1" x14ac:dyDescent="0.35">
      <c r="D2099" s="20">
        <v>508</v>
      </c>
      <c r="E2099" s="20">
        <v>3050</v>
      </c>
      <c r="F2099" s="20">
        <v>950</v>
      </c>
      <c r="G2099" s="20">
        <v>0.27965438867868531</v>
      </c>
      <c r="H2099" s="16">
        <f t="shared" ca="1" si="35"/>
        <v>2531</v>
      </c>
    </row>
    <row r="2100" spans="4:8" ht="15" thickBot="1" x14ac:dyDescent="0.35">
      <c r="D2100" s="20">
        <v>765</v>
      </c>
      <c r="E2100" s="20">
        <v>2250</v>
      </c>
      <c r="F2100" s="20">
        <v>1450</v>
      </c>
      <c r="G2100" s="20">
        <v>0.30326773595647677</v>
      </c>
      <c r="H2100" s="16">
        <f t="shared" ca="1" si="35"/>
        <v>1739</v>
      </c>
    </row>
    <row r="2101" spans="4:8" ht="15" thickBot="1" x14ac:dyDescent="0.35">
      <c r="D2101" s="20">
        <v>1117</v>
      </c>
      <c r="E2101" s="20">
        <v>350</v>
      </c>
      <c r="F2101" s="20">
        <v>2150</v>
      </c>
      <c r="G2101" s="20">
        <v>0.33137722877524373</v>
      </c>
      <c r="H2101" s="16">
        <f t="shared" ca="1" si="35"/>
        <v>2652</v>
      </c>
    </row>
    <row r="2102" spans="4:8" ht="15" thickBot="1" x14ac:dyDescent="0.35">
      <c r="D2102" s="20">
        <v>195</v>
      </c>
      <c r="E2102" s="20">
        <v>3550</v>
      </c>
      <c r="F2102" s="20">
        <v>350</v>
      </c>
      <c r="G2102" s="20">
        <v>0.23434460403866414</v>
      </c>
      <c r="H2102" s="16">
        <f t="shared" ca="1" si="35"/>
        <v>1731</v>
      </c>
    </row>
    <row r="2103" spans="4:8" ht="15" thickBot="1" x14ac:dyDescent="0.35">
      <c r="D2103" s="20">
        <v>929</v>
      </c>
      <c r="E2103" s="47">
        <v>2750</v>
      </c>
      <c r="F2103" s="47">
        <v>1750</v>
      </c>
      <c r="G2103" s="20">
        <v>0.31700019035835147</v>
      </c>
      <c r="H2103" s="16">
        <f t="shared" ca="1" si="35"/>
        <v>435</v>
      </c>
    </row>
    <row r="2104" spans="4:8" ht="15" thickBot="1" x14ac:dyDescent="0.35">
      <c r="D2104" s="20">
        <v>2442</v>
      </c>
      <c r="E2104" s="20">
        <v>350</v>
      </c>
      <c r="F2104" s="20">
        <v>4650</v>
      </c>
      <c r="G2104" s="20">
        <v>0.43979362758240681</v>
      </c>
      <c r="H2104" s="16">
        <f t="shared" ca="1" si="35"/>
        <v>412</v>
      </c>
    </row>
    <row r="2105" spans="4:8" ht="15" thickBot="1" x14ac:dyDescent="0.35">
      <c r="D2105" s="20">
        <v>1688</v>
      </c>
      <c r="E2105" s="20">
        <v>4450</v>
      </c>
      <c r="F2105" s="20">
        <v>3150</v>
      </c>
      <c r="G2105" s="20">
        <v>0.37325623234245087</v>
      </c>
      <c r="H2105" s="16">
        <f t="shared" ca="1" si="35"/>
        <v>745</v>
      </c>
    </row>
    <row r="2106" spans="4:8" ht="15" thickBot="1" x14ac:dyDescent="0.35">
      <c r="D2106" s="20">
        <v>2664</v>
      </c>
      <c r="E2106" s="20">
        <v>1350</v>
      </c>
      <c r="F2106" s="20">
        <v>5050</v>
      </c>
      <c r="G2106" s="20">
        <v>0.48259288979726445</v>
      </c>
      <c r="H2106" s="16">
        <f t="shared" ca="1" si="35"/>
        <v>69</v>
      </c>
    </row>
    <row r="2107" spans="4:8" ht="15" thickBot="1" x14ac:dyDescent="0.35">
      <c r="D2107" s="20">
        <v>1498</v>
      </c>
      <c r="E2107" s="20">
        <v>1350</v>
      </c>
      <c r="F2107" s="20">
        <v>2850</v>
      </c>
      <c r="G2107" s="20">
        <v>0.3595913363877869</v>
      </c>
      <c r="H2107" s="16">
        <f t="shared" ca="1" si="35"/>
        <v>1498</v>
      </c>
    </row>
    <row r="2108" spans="4:8" ht="15" thickBot="1" x14ac:dyDescent="0.35">
      <c r="D2108" s="20">
        <v>1863</v>
      </c>
      <c r="E2108" s="48">
        <v>750</v>
      </c>
      <c r="F2108" s="48">
        <v>3550</v>
      </c>
      <c r="G2108" s="20">
        <v>0.38575653803364585</v>
      </c>
      <c r="H2108" s="16">
        <f t="shared" ca="1" si="35"/>
        <v>1108</v>
      </c>
    </row>
    <row r="2109" spans="4:8" ht="15" thickBot="1" x14ac:dyDescent="0.35">
      <c r="D2109" s="20">
        <v>1363</v>
      </c>
      <c r="E2109" s="20">
        <v>3750</v>
      </c>
      <c r="F2109" s="20">
        <v>2550</v>
      </c>
      <c r="G2109" s="20">
        <v>0.34947212120955662</v>
      </c>
      <c r="H2109" s="16">
        <f t="shared" ca="1" si="35"/>
        <v>2171</v>
      </c>
    </row>
    <row r="2110" spans="4:8" ht="15" thickBot="1" x14ac:dyDescent="0.35">
      <c r="D2110" s="20">
        <v>1147</v>
      </c>
      <c r="E2110" s="20">
        <v>3350</v>
      </c>
      <c r="F2110" s="20">
        <v>2150</v>
      </c>
      <c r="G2110" s="20">
        <v>0.3339680507193768</v>
      </c>
      <c r="H2110" s="16">
        <f t="shared" ca="1" si="35"/>
        <v>1209</v>
      </c>
    </row>
    <row r="2111" spans="4:8" ht="15" thickBot="1" x14ac:dyDescent="0.35">
      <c r="D2111" s="20">
        <v>2540</v>
      </c>
      <c r="E2111" s="20">
        <v>4850</v>
      </c>
      <c r="F2111" s="20">
        <v>4750</v>
      </c>
      <c r="G2111" s="20">
        <v>0.45366224130450405</v>
      </c>
      <c r="H2111" s="16">
        <f t="shared" ca="1" si="35"/>
        <v>1259</v>
      </c>
    </row>
    <row r="2112" spans="4:8" ht="15" thickBot="1" x14ac:dyDescent="0.35">
      <c r="D2112" s="20">
        <v>335</v>
      </c>
      <c r="E2112" s="20">
        <v>1650</v>
      </c>
      <c r="F2112" s="20">
        <v>650</v>
      </c>
      <c r="G2112" s="20">
        <v>0.2592924055714711</v>
      </c>
      <c r="H2112" s="16">
        <f t="shared" ca="1" si="35"/>
        <v>1725</v>
      </c>
    </row>
    <row r="2113" spans="4:8" ht="15" thickBot="1" x14ac:dyDescent="0.35">
      <c r="D2113" s="20">
        <v>2734</v>
      </c>
      <c r="E2113" s="20">
        <v>3050</v>
      </c>
      <c r="F2113" s="20">
        <v>5150</v>
      </c>
      <c r="G2113" s="20">
        <v>0.5106681509235157</v>
      </c>
      <c r="H2113" s="16">
        <f t="shared" ca="1" si="35"/>
        <v>1238</v>
      </c>
    </row>
    <row r="2114" spans="4:8" ht="15" thickBot="1" x14ac:dyDescent="0.35">
      <c r="D2114" s="20">
        <v>1391</v>
      </c>
      <c r="E2114" s="20">
        <v>1250</v>
      </c>
      <c r="F2114" s="20">
        <v>2650</v>
      </c>
      <c r="G2114" s="20">
        <v>0.35117372179140788</v>
      </c>
      <c r="H2114" s="16">
        <f t="shared" ca="1" si="35"/>
        <v>1639</v>
      </c>
    </row>
    <row r="2115" spans="4:8" ht="15" thickBot="1" x14ac:dyDescent="0.35">
      <c r="D2115" s="20">
        <v>362</v>
      </c>
      <c r="E2115" s="20">
        <v>4350</v>
      </c>
      <c r="F2115" s="20">
        <v>650</v>
      </c>
      <c r="G2115" s="20">
        <v>0.26225268079117592</v>
      </c>
      <c r="H2115" s="16">
        <f t="shared" ca="1" si="35"/>
        <v>294</v>
      </c>
    </row>
    <row r="2116" spans="4:8" ht="15" thickBot="1" x14ac:dyDescent="0.35">
      <c r="D2116" s="20">
        <v>2082</v>
      </c>
      <c r="E2116" s="20">
        <v>1450</v>
      </c>
      <c r="F2116" s="20">
        <v>3950</v>
      </c>
      <c r="G2116" s="20">
        <v>0.40366037524250481</v>
      </c>
      <c r="H2116" s="16">
        <f t="shared" ca="1" si="35"/>
        <v>1441</v>
      </c>
    </row>
    <row r="2117" spans="4:8" ht="15" thickBot="1" x14ac:dyDescent="0.35">
      <c r="D2117" s="20">
        <v>617</v>
      </c>
      <c r="E2117" s="20">
        <v>3350</v>
      </c>
      <c r="F2117" s="20">
        <v>1150</v>
      </c>
      <c r="G2117" s="20">
        <v>0.29016530819571695</v>
      </c>
      <c r="H2117" s="16">
        <f t="shared" ca="1" si="35"/>
        <v>950</v>
      </c>
    </row>
    <row r="2118" spans="4:8" ht="15" thickBot="1" x14ac:dyDescent="0.35">
      <c r="D2118" s="20">
        <v>908</v>
      </c>
      <c r="E2118" s="20">
        <v>650</v>
      </c>
      <c r="F2118" s="20">
        <v>1750</v>
      </c>
      <c r="G2118" s="20">
        <v>0.31492241036544161</v>
      </c>
      <c r="H2118" s="16">
        <f t="shared" ca="1" si="35"/>
        <v>2152</v>
      </c>
    </row>
    <row r="2119" spans="4:8" ht="15" thickBot="1" x14ac:dyDescent="0.35">
      <c r="D2119" s="20">
        <v>2155</v>
      </c>
      <c r="E2119" s="20">
        <v>3450</v>
      </c>
      <c r="F2119" s="20">
        <v>4050</v>
      </c>
      <c r="G2119" s="20">
        <v>0.41061405948554131</v>
      </c>
      <c r="H2119" s="16">
        <f t="shared" ref="H2119:H2182" ca="1" si="36">RANDBETWEEN(1,2788)</f>
        <v>379</v>
      </c>
    </row>
    <row r="2120" spans="4:8" ht="15" thickBot="1" x14ac:dyDescent="0.35">
      <c r="D2120" s="20">
        <v>2472</v>
      </c>
      <c r="E2120" s="20">
        <v>3350</v>
      </c>
      <c r="F2120" s="20">
        <v>4650</v>
      </c>
      <c r="G2120" s="20">
        <v>0.44343740471591442</v>
      </c>
      <c r="H2120" s="16">
        <f t="shared" ca="1" si="36"/>
        <v>2528</v>
      </c>
    </row>
    <row r="2121" spans="4:8" ht="15" thickBot="1" x14ac:dyDescent="0.35">
      <c r="D2121" s="20">
        <v>2730</v>
      </c>
      <c r="E2121" s="20">
        <v>2650</v>
      </c>
      <c r="F2121" s="20">
        <v>5150</v>
      </c>
      <c r="G2121" s="20">
        <v>0.50658779712998336</v>
      </c>
      <c r="H2121" s="16">
        <f t="shared" ca="1" si="36"/>
        <v>826</v>
      </c>
    </row>
    <row r="2122" spans="4:8" ht="15" thickBot="1" x14ac:dyDescent="0.35">
      <c r="D2122" s="20">
        <v>1521</v>
      </c>
      <c r="E2122" s="48">
        <v>3650</v>
      </c>
      <c r="F2122" s="48">
        <v>2850</v>
      </c>
      <c r="G2122" s="20">
        <v>0.36131667002384088</v>
      </c>
      <c r="H2122" s="16">
        <f t="shared" ca="1" si="36"/>
        <v>1807</v>
      </c>
    </row>
    <row r="2123" spans="4:8" ht="15" thickBot="1" x14ac:dyDescent="0.35">
      <c r="D2123" s="20">
        <v>1635</v>
      </c>
      <c r="E2123" s="20">
        <v>4450</v>
      </c>
      <c r="F2123" s="20">
        <v>3050</v>
      </c>
      <c r="G2123" s="20">
        <v>0.36923881707862671</v>
      </c>
      <c r="H2123" s="16">
        <f t="shared" ca="1" si="36"/>
        <v>2109</v>
      </c>
    </row>
    <row r="2124" spans="4:8" ht="15" thickBot="1" x14ac:dyDescent="0.35">
      <c r="D2124" s="20">
        <v>138</v>
      </c>
      <c r="E2124" s="20">
        <v>3150</v>
      </c>
      <c r="F2124" s="20">
        <v>250</v>
      </c>
      <c r="G2124" s="20">
        <v>0.21976447316664088</v>
      </c>
      <c r="H2124" s="16">
        <f t="shared" ca="1" si="36"/>
        <v>2550</v>
      </c>
    </row>
    <row r="2125" spans="4:8" ht="15" thickBot="1" x14ac:dyDescent="0.35">
      <c r="D2125" s="20">
        <v>1680</v>
      </c>
      <c r="E2125" s="20">
        <v>3650</v>
      </c>
      <c r="F2125" s="20">
        <v>3150</v>
      </c>
      <c r="G2125" s="20">
        <v>0.3725971399644864</v>
      </c>
      <c r="H2125" s="16">
        <f t="shared" ca="1" si="36"/>
        <v>2441</v>
      </c>
    </row>
    <row r="2126" spans="4:8" ht="15" thickBot="1" x14ac:dyDescent="0.35">
      <c r="D2126" s="20">
        <v>1187</v>
      </c>
      <c r="E2126" s="20">
        <v>2050</v>
      </c>
      <c r="F2126" s="20">
        <v>2250</v>
      </c>
      <c r="G2126" s="20">
        <v>0.33704779815281521</v>
      </c>
      <c r="H2126" s="16">
        <f t="shared" ca="1" si="36"/>
        <v>413</v>
      </c>
    </row>
    <row r="2127" spans="4:8" ht="15" thickBot="1" x14ac:dyDescent="0.35">
      <c r="D2127" s="20">
        <v>1516</v>
      </c>
      <c r="E2127" s="20">
        <v>3150</v>
      </c>
      <c r="F2127" s="20">
        <v>2850</v>
      </c>
      <c r="G2127" s="20">
        <v>0.36097968272150593</v>
      </c>
      <c r="H2127" s="16">
        <f t="shared" ca="1" si="36"/>
        <v>1458</v>
      </c>
    </row>
    <row r="2128" spans="4:8" ht="15" thickBot="1" x14ac:dyDescent="0.35">
      <c r="D2128" s="20">
        <v>611</v>
      </c>
      <c r="E2128" s="20">
        <v>2750</v>
      </c>
      <c r="F2128" s="20">
        <v>1150</v>
      </c>
      <c r="G2128" s="20">
        <v>0.28958442902209436</v>
      </c>
      <c r="H2128" s="16">
        <f t="shared" ca="1" si="36"/>
        <v>2394</v>
      </c>
    </row>
    <row r="2129" spans="4:8" ht="15" thickBot="1" x14ac:dyDescent="0.35">
      <c r="D2129" s="20">
        <v>226</v>
      </c>
      <c r="E2129" s="20">
        <v>1350</v>
      </c>
      <c r="F2129" s="20">
        <v>450</v>
      </c>
      <c r="G2129" s="20">
        <v>0.24106804991883518</v>
      </c>
      <c r="H2129" s="16">
        <f t="shared" ca="1" si="36"/>
        <v>2034</v>
      </c>
    </row>
    <row r="2130" spans="4:8" ht="15" thickBot="1" x14ac:dyDescent="0.35">
      <c r="D2130" s="20">
        <v>47</v>
      </c>
      <c r="E2130" s="20">
        <v>4650</v>
      </c>
      <c r="F2130" s="20">
        <v>50</v>
      </c>
      <c r="G2130" s="20">
        <v>0.18126467606398355</v>
      </c>
      <c r="H2130" s="16">
        <f t="shared" ca="1" si="36"/>
        <v>984</v>
      </c>
    </row>
    <row r="2131" spans="4:8" ht="15" thickBot="1" x14ac:dyDescent="0.35">
      <c r="D2131" s="20">
        <v>938</v>
      </c>
      <c r="E2131" s="20">
        <v>3650</v>
      </c>
      <c r="F2131" s="20">
        <v>1750</v>
      </c>
      <c r="G2131" s="20">
        <v>0.31737983098104772</v>
      </c>
      <c r="H2131" s="16">
        <f t="shared" ca="1" si="36"/>
        <v>2603</v>
      </c>
    </row>
    <row r="2132" spans="4:8" ht="15" thickBot="1" x14ac:dyDescent="0.35">
      <c r="D2132" s="20">
        <v>889</v>
      </c>
      <c r="E2132" s="20">
        <v>4050</v>
      </c>
      <c r="F2132" s="20">
        <v>1650</v>
      </c>
      <c r="G2132" s="20">
        <v>0.3134429125337389</v>
      </c>
      <c r="H2132" s="16">
        <f t="shared" ca="1" si="36"/>
        <v>1724</v>
      </c>
    </row>
    <row r="2133" spans="4:8" ht="15" thickBot="1" x14ac:dyDescent="0.35">
      <c r="D2133" s="20">
        <v>299</v>
      </c>
      <c r="E2133" s="20">
        <v>3350</v>
      </c>
      <c r="F2133" s="20">
        <v>550</v>
      </c>
      <c r="G2133" s="20">
        <v>0.25283887699846924</v>
      </c>
      <c r="H2133" s="16">
        <f t="shared" ca="1" si="36"/>
        <v>684</v>
      </c>
    </row>
    <row r="2134" spans="4:8" ht="15" thickBot="1" x14ac:dyDescent="0.35">
      <c r="D2134" s="20">
        <v>483</v>
      </c>
      <c r="E2134" s="20">
        <v>550</v>
      </c>
      <c r="F2134" s="20">
        <v>950</v>
      </c>
      <c r="G2134" s="20">
        <v>0.2769021705650786</v>
      </c>
      <c r="H2134" s="16">
        <f t="shared" ca="1" si="36"/>
        <v>1549</v>
      </c>
    </row>
    <row r="2135" spans="4:8" ht="15" thickBot="1" x14ac:dyDescent="0.35">
      <c r="D2135" s="20">
        <v>945</v>
      </c>
      <c r="E2135" s="20">
        <v>4350</v>
      </c>
      <c r="F2135" s="20">
        <v>1750</v>
      </c>
      <c r="G2135" s="20">
        <v>0.31822016456377877</v>
      </c>
      <c r="H2135" s="16">
        <f t="shared" ca="1" si="36"/>
        <v>468</v>
      </c>
    </row>
    <row r="2136" spans="4:8" ht="15" thickBot="1" x14ac:dyDescent="0.35">
      <c r="D2136" s="20">
        <v>2782</v>
      </c>
      <c r="E2136" s="20">
        <v>2550</v>
      </c>
      <c r="F2136" s="20">
        <v>5250</v>
      </c>
      <c r="G2136" s="20">
        <v>0.55806653648497373</v>
      </c>
      <c r="H2136" s="16">
        <f t="shared" ca="1" si="36"/>
        <v>2176</v>
      </c>
    </row>
    <row r="2137" spans="4:8" ht="15" thickBot="1" x14ac:dyDescent="0.35">
      <c r="D2137" s="20">
        <v>337</v>
      </c>
      <c r="E2137" s="20">
        <v>1850</v>
      </c>
      <c r="F2137" s="20">
        <v>650</v>
      </c>
      <c r="G2137" s="20">
        <v>0.25960523953509773</v>
      </c>
      <c r="H2137" s="16">
        <f t="shared" ca="1" si="36"/>
        <v>1165</v>
      </c>
    </row>
    <row r="2138" spans="4:8" ht="15" thickBot="1" x14ac:dyDescent="0.35">
      <c r="D2138" s="20">
        <v>2238</v>
      </c>
      <c r="E2138" s="20">
        <v>1150</v>
      </c>
      <c r="F2138" s="20">
        <v>4250</v>
      </c>
      <c r="G2138" s="20">
        <v>0.41913676306383973</v>
      </c>
      <c r="H2138" s="16">
        <f t="shared" ca="1" si="36"/>
        <v>1112</v>
      </c>
    </row>
    <row r="2139" spans="4:8" ht="15" thickBot="1" x14ac:dyDescent="0.35">
      <c r="D2139" s="20">
        <v>1753</v>
      </c>
      <c r="E2139" s="20">
        <v>350</v>
      </c>
      <c r="F2139" s="20">
        <v>3350</v>
      </c>
      <c r="G2139" s="20">
        <v>0.37781874434267654</v>
      </c>
      <c r="H2139" s="16">
        <f t="shared" ca="1" si="36"/>
        <v>1707</v>
      </c>
    </row>
    <row r="2140" spans="4:8" ht="15" thickBot="1" x14ac:dyDescent="0.35">
      <c r="D2140" s="20">
        <v>1532</v>
      </c>
      <c r="E2140" s="20">
        <v>4750</v>
      </c>
      <c r="F2140" s="20">
        <v>2850</v>
      </c>
      <c r="G2140" s="20">
        <v>0.36192904568816769</v>
      </c>
      <c r="H2140" s="16">
        <f t="shared" ca="1" si="36"/>
        <v>180</v>
      </c>
    </row>
    <row r="2141" spans="4:8" ht="15" thickBot="1" x14ac:dyDescent="0.35">
      <c r="D2141" s="20">
        <v>2742</v>
      </c>
      <c r="E2141" s="20">
        <v>3850</v>
      </c>
      <c r="F2141" s="20">
        <v>5150</v>
      </c>
      <c r="G2141" s="20">
        <v>0.51295313844944279</v>
      </c>
      <c r="H2141" s="16">
        <f t="shared" ca="1" si="36"/>
        <v>2458</v>
      </c>
    </row>
    <row r="2142" spans="4:8" ht="15" thickBot="1" x14ac:dyDescent="0.35">
      <c r="D2142" s="20">
        <v>14</v>
      </c>
      <c r="E2142" s="20">
        <v>1350</v>
      </c>
      <c r="F2142" s="20">
        <v>50</v>
      </c>
      <c r="G2142" s="20">
        <v>0.14784838709499887</v>
      </c>
      <c r="H2142" s="16">
        <f t="shared" ca="1" si="36"/>
        <v>1113</v>
      </c>
    </row>
    <row r="2143" spans="4:8" ht="15" thickBot="1" x14ac:dyDescent="0.35">
      <c r="D2143" s="20">
        <v>2579</v>
      </c>
      <c r="E2143" s="20">
        <v>3450</v>
      </c>
      <c r="F2143" s="20">
        <v>4850</v>
      </c>
      <c r="G2143" s="20">
        <v>0.46218460746938239</v>
      </c>
      <c r="H2143" s="16">
        <f t="shared" ca="1" si="36"/>
        <v>886</v>
      </c>
    </row>
    <row r="2144" spans="4:8" ht="15" thickBot="1" x14ac:dyDescent="0.35">
      <c r="D2144" s="20">
        <v>680</v>
      </c>
      <c r="E2144" s="20">
        <v>4350</v>
      </c>
      <c r="F2144" s="20">
        <v>1250</v>
      </c>
      <c r="G2144" s="20">
        <v>0.29655111361564013</v>
      </c>
      <c r="H2144" s="16">
        <f t="shared" ca="1" si="36"/>
        <v>1627</v>
      </c>
    </row>
    <row r="2145" spans="4:8" ht="15" thickBot="1" x14ac:dyDescent="0.35">
      <c r="D2145" s="20">
        <v>1214</v>
      </c>
      <c r="E2145" s="20">
        <v>4750</v>
      </c>
      <c r="F2145" s="20">
        <v>2250</v>
      </c>
      <c r="G2145" s="20">
        <v>0.33880968179177245</v>
      </c>
      <c r="H2145" s="16">
        <f t="shared" ca="1" si="36"/>
        <v>2374</v>
      </c>
    </row>
    <row r="2146" spans="4:8" ht="15" thickBot="1" x14ac:dyDescent="0.35">
      <c r="D2146" s="20">
        <v>1020</v>
      </c>
      <c r="E2146" s="20">
        <v>1250</v>
      </c>
      <c r="F2146" s="20">
        <v>1950</v>
      </c>
      <c r="G2146" s="20">
        <v>0.32360818778280043</v>
      </c>
      <c r="H2146" s="16">
        <f t="shared" ca="1" si="36"/>
        <v>290</v>
      </c>
    </row>
    <row r="2147" spans="4:8" ht="15" thickBot="1" x14ac:dyDescent="0.35">
      <c r="D2147" s="20">
        <v>1825</v>
      </c>
      <c r="E2147" s="20">
        <v>2250</v>
      </c>
      <c r="F2147" s="20">
        <v>3450</v>
      </c>
      <c r="G2147" s="20">
        <v>0.38248675244076558</v>
      </c>
      <c r="H2147" s="16">
        <f t="shared" ca="1" si="36"/>
        <v>224</v>
      </c>
    </row>
    <row r="2148" spans="4:8" ht="15" thickBot="1" x14ac:dyDescent="0.35">
      <c r="D2148" s="20">
        <v>2605</v>
      </c>
      <c r="E2148" s="20">
        <v>750</v>
      </c>
      <c r="F2148" s="20">
        <v>4950</v>
      </c>
      <c r="G2148" s="20">
        <v>0.46600190543021647</v>
      </c>
      <c r="H2148" s="16">
        <f t="shared" ca="1" si="36"/>
        <v>2107</v>
      </c>
    </row>
    <row r="2149" spans="4:8" ht="15" thickBot="1" x14ac:dyDescent="0.35">
      <c r="D2149" s="20">
        <v>1475</v>
      </c>
      <c r="E2149" s="20">
        <v>4350</v>
      </c>
      <c r="F2149" s="20">
        <v>2750</v>
      </c>
      <c r="G2149" s="20">
        <v>0.35809765594276416</v>
      </c>
      <c r="H2149" s="16">
        <f t="shared" ca="1" si="36"/>
        <v>1917</v>
      </c>
    </row>
    <row r="2150" spans="4:8" ht="15" thickBot="1" x14ac:dyDescent="0.35">
      <c r="D2150" s="20">
        <v>339</v>
      </c>
      <c r="E2150" s="20">
        <v>2050</v>
      </c>
      <c r="F2150" s="20">
        <v>650</v>
      </c>
      <c r="G2150" s="20">
        <v>0.2597906694433062</v>
      </c>
      <c r="H2150" s="16">
        <f t="shared" ca="1" si="36"/>
        <v>2506</v>
      </c>
    </row>
    <row r="2151" spans="4:8" ht="15" thickBot="1" x14ac:dyDescent="0.35">
      <c r="D2151" s="20">
        <v>953</v>
      </c>
      <c r="E2151" s="20">
        <v>5150</v>
      </c>
      <c r="F2151" s="20">
        <v>1750</v>
      </c>
      <c r="G2151" s="20">
        <v>0.3183857728311113</v>
      </c>
      <c r="H2151" s="16">
        <f t="shared" ca="1" si="36"/>
        <v>1340</v>
      </c>
    </row>
    <row r="2152" spans="4:8" ht="15" thickBot="1" x14ac:dyDescent="0.35">
      <c r="D2152" s="20">
        <v>2321</v>
      </c>
      <c r="E2152" s="20">
        <v>4150</v>
      </c>
      <c r="F2152" s="20">
        <v>4350</v>
      </c>
      <c r="G2152" s="20">
        <v>0.42674071915368439</v>
      </c>
      <c r="H2152" s="16">
        <f t="shared" ca="1" si="36"/>
        <v>2444</v>
      </c>
    </row>
    <row r="2153" spans="4:8" ht="15" thickBot="1" x14ac:dyDescent="0.35">
      <c r="D2153" s="20">
        <v>1802</v>
      </c>
      <c r="E2153" s="20">
        <v>5250</v>
      </c>
      <c r="F2153" s="20">
        <v>3350</v>
      </c>
      <c r="G2153" s="20">
        <v>0.38093438424590714</v>
      </c>
      <c r="H2153" s="16">
        <f t="shared" ca="1" si="36"/>
        <v>869</v>
      </c>
    </row>
    <row r="2154" spans="4:8" ht="15" thickBot="1" x14ac:dyDescent="0.35">
      <c r="D2154" s="20">
        <v>2107</v>
      </c>
      <c r="E2154" s="47">
        <v>3950</v>
      </c>
      <c r="F2154" s="47">
        <v>3950</v>
      </c>
      <c r="G2154" s="20">
        <v>0.40699405846870407</v>
      </c>
      <c r="H2154" s="16">
        <f t="shared" ca="1" si="36"/>
        <v>1714</v>
      </c>
    </row>
    <row r="2155" spans="4:8" ht="15" thickBot="1" x14ac:dyDescent="0.35">
      <c r="D2155" s="20">
        <v>1860</v>
      </c>
      <c r="E2155" s="43">
        <v>450</v>
      </c>
      <c r="F2155" s="43">
        <v>3550</v>
      </c>
      <c r="G2155" s="20">
        <v>0.38563691539202527</v>
      </c>
      <c r="H2155" s="16">
        <f t="shared" ca="1" si="36"/>
        <v>288</v>
      </c>
    </row>
    <row r="2156" spans="4:8" ht="15" thickBot="1" x14ac:dyDescent="0.35">
      <c r="D2156" s="20">
        <v>2549</v>
      </c>
      <c r="E2156" s="20">
        <v>450</v>
      </c>
      <c r="F2156" s="20">
        <v>4850</v>
      </c>
      <c r="G2156" s="20">
        <v>0.45542175058755746</v>
      </c>
      <c r="H2156" s="16">
        <f t="shared" ca="1" si="36"/>
        <v>1245</v>
      </c>
    </row>
    <row r="2157" spans="4:8" ht="15" thickBot="1" x14ac:dyDescent="0.35">
      <c r="D2157" s="20">
        <v>2764</v>
      </c>
      <c r="E2157" s="47">
        <v>750</v>
      </c>
      <c r="F2157" s="47">
        <v>5250</v>
      </c>
      <c r="G2157" s="20">
        <v>0.52744579172802064</v>
      </c>
      <c r="H2157" s="16">
        <f t="shared" ca="1" si="36"/>
        <v>2273</v>
      </c>
    </row>
    <row r="2158" spans="4:8" ht="15" thickBot="1" x14ac:dyDescent="0.35">
      <c r="D2158" s="20">
        <v>2482</v>
      </c>
      <c r="E2158" s="20">
        <v>4350</v>
      </c>
      <c r="F2158" s="20">
        <v>4650</v>
      </c>
      <c r="G2158" s="20">
        <v>0.44524187985647534</v>
      </c>
      <c r="H2158" s="16">
        <f t="shared" ca="1" si="36"/>
        <v>2721</v>
      </c>
    </row>
    <row r="2159" spans="4:8" ht="15" thickBot="1" x14ac:dyDescent="0.35">
      <c r="D2159" s="20">
        <v>2255</v>
      </c>
      <c r="E2159" s="20">
        <v>2850</v>
      </c>
      <c r="F2159" s="20">
        <v>4250</v>
      </c>
      <c r="G2159" s="20">
        <v>0.42072603198512104</v>
      </c>
      <c r="H2159" s="16">
        <f t="shared" ca="1" si="36"/>
        <v>1276</v>
      </c>
    </row>
    <row r="2160" spans="4:8" ht="15" thickBot="1" x14ac:dyDescent="0.35">
      <c r="D2160" s="20">
        <v>2717</v>
      </c>
      <c r="E2160" s="20">
        <v>1350</v>
      </c>
      <c r="F2160" s="20">
        <v>5150</v>
      </c>
      <c r="G2160" s="20">
        <v>0.50147212048917433</v>
      </c>
      <c r="H2160" s="16">
        <f t="shared" ca="1" si="36"/>
        <v>653</v>
      </c>
    </row>
    <row r="2161" spans="4:8" ht="15" thickBot="1" x14ac:dyDescent="0.35">
      <c r="D2161" s="20">
        <v>1815</v>
      </c>
      <c r="E2161" s="20">
        <v>1250</v>
      </c>
      <c r="F2161" s="20">
        <v>3450</v>
      </c>
      <c r="G2161" s="20">
        <v>0.38176989661486116</v>
      </c>
      <c r="H2161" s="16">
        <f t="shared" ca="1" si="36"/>
        <v>253</v>
      </c>
    </row>
    <row r="2162" spans="4:8" ht="15" thickBot="1" x14ac:dyDescent="0.35">
      <c r="D2162" s="20">
        <v>1536</v>
      </c>
      <c r="E2162" s="20">
        <v>5150</v>
      </c>
      <c r="F2162" s="20">
        <v>2850</v>
      </c>
      <c r="G2162" s="20">
        <v>0.36255832098499957</v>
      </c>
      <c r="H2162" s="16">
        <f t="shared" ca="1" si="36"/>
        <v>1610</v>
      </c>
    </row>
    <row r="2163" spans="4:8" ht="15" thickBot="1" x14ac:dyDescent="0.35">
      <c r="D2163" s="20">
        <v>2592</v>
      </c>
      <c r="E2163" s="20">
        <v>4750</v>
      </c>
      <c r="F2163" s="20">
        <v>4850</v>
      </c>
      <c r="G2163" s="20">
        <v>0.46449007516112761</v>
      </c>
      <c r="H2163" s="16">
        <f t="shared" ca="1" si="36"/>
        <v>2715</v>
      </c>
    </row>
    <row r="2164" spans="4:8" ht="15" thickBot="1" x14ac:dyDescent="0.35">
      <c r="D2164" s="20">
        <v>774</v>
      </c>
      <c r="E2164" s="20">
        <v>3150</v>
      </c>
      <c r="F2164" s="20">
        <v>1450</v>
      </c>
      <c r="G2164" s="20">
        <v>0.30431237803379518</v>
      </c>
      <c r="H2164" s="16">
        <f t="shared" ca="1" si="36"/>
        <v>378</v>
      </c>
    </row>
    <row r="2165" spans="4:8" ht="15" thickBot="1" x14ac:dyDescent="0.35">
      <c r="D2165" s="20">
        <v>2071</v>
      </c>
      <c r="E2165" s="20">
        <v>350</v>
      </c>
      <c r="F2165" s="20">
        <v>3950</v>
      </c>
      <c r="G2165" s="20">
        <v>0.40287455963151914</v>
      </c>
      <c r="H2165" s="16">
        <f t="shared" ca="1" si="36"/>
        <v>1440</v>
      </c>
    </row>
    <row r="2166" spans="4:8" ht="15" thickBot="1" x14ac:dyDescent="0.35">
      <c r="D2166" s="20">
        <v>1641</v>
      </c>
      <c r="E2166" s="20">
        <v>5050</v>
      </c>
      <c r="F2166" s="20">
        <v>3050</v>
      </c>
      <c r="G2166" s="20">
        <v>0.36978380740542616</v>
      </c>
      <c r="H2166" s="16">
        <f t="shared" ca="1" si="36"/>
        <v>1190</v>
      </c>
    </row>
    <row r="2167" spans="4:8" ht="15" thickBot="1" x14ac:dyDescent="0.35">
      <c r="D2167" s="20">
        <v>2665</v>
      </c>
      <c r="E2167" s="20">
        <v>1450</v>
      </c>
      <c r="F2167" s="20">
        <v>5050</v>
      </c>
      <c r="G2167" s="20">
        <v>0.48269433870681849</v>
      </c>
      <c r="H2167" s="16">
        <f t="shared" ca="1" si="36"/>
        <v>2174</v>
      </c>
    </row>
    <row r="2168" spans="4:8" ht="15" thickBot="1" x14ac:dyDescent="0.35">
      <c r="D2168" s="20">
        <v>1054</v>
      </c>
      <c r="E2168" s="20">
        <v>4650</v>
      </c>
      <c r="F2168" s="20">
        <v>1950</v>
      </c>
      <c r="G2168" s="20">
        <v>0.32686222426676603</v>
      </c>
      <c r="H2168" s="16">
        <f t="shared" ca="1" si="36"/>
        <v>2081</v>
      </c>
    </row>
    <row r="2169" spans="4:8" ht="15" thickBot="1" x14ac:dyDescent="0.35">
      <c r="D2169" s="20">
        <v>160</v>
      </c>
      <c r="E2169" s="20">
        <v>50</v>
      </c>
      <c r="F2169" s="20">
        <v>350</v>
      </c>
      <c r="G2169" s="20">
        <v>0.22422268049810745</v>
      </c>
      <c r="H2169" s="16">
        <f t="shared" ca="1" si="36"/>
        <v>1516</v>
      </c>
    </row>
    <row r="2170" spans="4:8" ht="15" thickBot="1" x14ac:dyDescent="0.35">
      <c r="D2170" s="20">
        <v>1134</v>
      </c>
      <c r="E2170" s="20">
        <v>2050</v>
      </c>
      <c r="F2170" s="20">
        <v>2150</v>
      </c>
      <c r="G2170" s="20">
        <v>0.33308311911174165</v>
      </c>
      <c r="H2170" s="16">
        <f t="shared" ca="1" si="36"/>
        <v>391</v>
      </c>
    </row>
    <row r="2171" spans="4:8" ht="15" thickBot="1" x14ac:dyDescent="0.35">
      <c r="D2171" s="20">
        <v>1513</v>
      </c>
      <c r="E2171" s="20">
        <v>2850</v>
      </c>
      <c r="F2171" s="20">
        <v>2850</v>
      </c>
      <c r="G2171" s="20">
        <v>0.36095026645830669</v>
      </c>
      <c r="H2171" s="16">
        <f t="shared" ca="1" si="36"/>
        <v>2240</v>
      </c>
    </row>
    <row r="2172" spans="4:8" ht="15" thickBot="1" x14ac:dyDescent="0.35">
      <c r="D2172" s="20">
        <v>684</v>
      </c>
      <c r="E2172" s="20">
        <v>4750</v>
      </c>
      <c r="F2172" s="20">
        <v>1250</v>
      </c>
      <c r="G2172" s="20">
        <v>0.29663463906914578</v>
      </c>
      <c r="H2172" s="16">
        <f t="shared" ca="1" si="36"/>
        <v>2448</v>
      </c>
    </row>
    <row r="2173" spans="4:8" ht="15" thickBot="1" x14ac:dyDescent="0.35">
      <c r="D2173" s="20">
        <v>828</v>
      </c>
      <c r="E2173" s="45">
        <v>3250</v>
      </c>
      <c r="F2173" s="45">
        <v>1550</v>
      </c>
      <c r="G2173" s="20">
        <v>0.30863888459395705</v>
      </c>
      <c r="H2173" s="16">
        <f t="shared" ca="1" si="36"/>
        <v>1850</v>
      </c>
    </row>
    <row r="2174" spans="4:8" ht="15" thickBot="1" x14ac:dyDescent="0.35">
      <c r="D2174" s="20">
        <v>2511</v>
      </c>
      <c r="E2174" s="20">
        <v>1950</v>
      </c>
      <c r="F2174" s="20">
        <v>4750</v>
      </c>
      <c r="G2174" s="20">
        <v>0.44884399208017739</v>
      </c>
      <c r="H2174" s="16">
        <f t="shared" ca="1" si="36"/>
        <v>122</v>
      </c>
    </row>
    <row r="2175" spans="4:8" ht="15" thickBot="1" x14ac:dyDescent="0.35">
      <c r="D2175" s="20">
        <v>2334</v>
      </c>
      <c r="E2175" s="47">
        <v>150</v>
      </c>
      <c r="F2175" s="47">
        <v>4450</v>
      </c>
      <c r="G2175" s="20">
        <v>0.42868966323852392</v>
      </c>
      <c r="H2175" s="16">
        <f t="shared" ca="1" si="36"/>
        <v>675</v>
      </c>
    </row>
    <row r="2176" spans="4:8" ht="15" thickBot="1" x14ac:dyDescent="0.35">
      <c r="D2176" s="20">
        <v>2463</v>
      </c>
      <c r="E2176" s="20">
        <v>2450</v>
      </c>
      <c r="F2176" s="20">
        <v>4650</v>
      </c>
      <c r="G2176" s="20">
        <v>0.44220032489430544</v>
      </c>
      <c r="H2176" s="16">
        <f t="shared" ca="1" si="36"/>
        <v>686</v>
      </c>
    </row>
    <row r="2177" spans="4:8" ht="15" thickBot="1" x14ac:dyDescent="0.35">
      <c r="D2177" s="20">
        <v>841</v>
      </c>
      <c r="E2177" s="20">
        <v>4550</v>
      </c>
      <c r="F2177" s="20">
        <v>1550</v>
      </c>
      <c r="G2177" s="20">
        <v>0.30965028011533385</v>
      </c>
      <c r="H2177" s="16">
        <f t="shared" ca="1" si="36"/>
        <v>178</v>
      </c>
    </row>
    <row r="2178" spans="4:8" ht="15" thickBot="1" x14ac:dyDescent="0.35">
      <c r="D2178" s="20">
        <v>2052</v>
      </c>
      <c r="E2178" s="20">
        <v>3750</v>
      </c>
      <c r="F2178" s="20">
        <v>3850</v>
      </c>
      <c r="G2178" s="20">
        <v>0.3998541919475066</v>
      </c>
      <c r="H2178" s="16">
        <f t="shared" ca="1" si="36"/>
        <v>315</v>
      </c>
    </row>
    <row r="2179" spans="4:8" ht="15" thickBot="1" x14ac:dyDescent="0.35">
      <c r="D2179" s="20">
        <v>1875</v>
      </c>
      <c r="E2179" s="20">
        <v>1950</v>
      </c>
      <c r="F2179" s="20">
        <v>3550</v>
      </c>
      <c r="G2179" s="20">
        <v>0.38653100960049475</v>
      </c>
      <c r="H2179" s="16">
        <f t="shared" ca="1" si="36"/>
        <v>2188</v>
      </c>
    </row>
    <row r="2180" spans="4:8" ht="15" thickBot="1" x14ac:dyDescent="0.35">
      <c r="D2180" s="20">
        <v>309</v>
      </c>
      <c r="E2180" s="20">
        <v>4350</v>
      </c>
      <c r="F2180" s="20">
        <v>550</v>
      </c>
      <c r="G2180" s="20">
        <v>0.25458856438488398</v>
      </c>
      <c r="H2180" s="16">
        <f t="shared" ca="1" si="36"/>
        <v>1521</v>
      </c>
    </row>
    <row r="2181" spans="4:8" ht="15" thickBot="1" x14ac:dyDescent="0.35">
      <c r="D2181" s="20">
        <v>772</v>
      </c>
      <c r="E2181" s="20">
        <v>2950</v>
      </c>
      <c r="F2181" s="20">
        <v>1450</v>
      </c>
      <c r="G2181" s="20">
        <v>0.30406107284511941</v>
      </c>
      <c r="H2181" s="16">
        <f t="shared" ca="1" si="36"/>
        <v>2028</v>
      </c>
    </row>
    <row r="2182" spans="4:8" ht="15" thickBot="1" x14ac:dyDescent="0.35">
      <c r="D2182" s="20">
        <v>1194</v>
      </c>
      <c r="E2182" s="20">
        <v>2750</v>
      </c>
      <c r="F2182" s="20">
        <v>2250</v>
      </c>
      <c r="G2182" s="20">
        <v>0.33735714889940521</v>
      </c>
      <c r="H2182" s="16">
        <f t="shared" ca="1" si="36"/>
        <v>215</v>
      </c>
    </row>
    <row r="2183" spans="4:8" ht="15" thickBot="1" x14ac:dyDescent="0.35">
      <c r="D2183" s="20">
        <v>1332</v>
      </c>
      <c r="E2183" s="20">
        <v>650</v>
      </c>
      <c r="F2183" s="20">
        <v>2550</v>
      </c>
      <c r="G2183" s="20">
        <v>0.3479690527029794</v>
      </c>
      <c r="H2183" s="16">
        <f t="shared" ref="H2183:H2246" ca="1" si="37">RANDBETWEEN(1,2788)</f>
        <v>536</v>
      </c>
    </row>
    <row r="2184" spans="4:8" ht="15" thickBot="1" x14ac:dyDescent="0.35">
      <c r="D2184" s="20">
        <v>1770</v>
      </c>
      <c r="E2184" s="20">
        <v>2050</v>
      </c>
      <c r="F2184" s="20">
        <v>3350</v>
      </c>
      <c r="G2184" s="20">
        <v>0.37874361458909628</v>
      </c>
      <c r="H2184" s="16">
        <f t="shared" ca="1" si="37"/>
        <v>22</v>
      </c>
    </row>
    <row r="2185" spans="4:8" ht="15" thickBot="1" x14ac:dyDescent="0.35">
      <c r="D2185" s="20">
        <v>739</v>
      </c>
      <c r="E2185" s="20">
        <v>4950</v>
      </c>
      <c r="F2185" s="20">
        <v>1350</v>
      </c>
      <c r="G2185" s="20">
        <v>0.30124602511069692</v>
      </c>
      <c r="H2185" s="16">
        <f t="shared" ca="1" si="37"/>
        <v>1681</v>
      </c>
    </row>
    <row r="2186" spans="4:8" ht="15" thickBot="1" x14ac:dyDescent="0.35">
      <c r="D2186" s="20">
        <v>1371</v>
      </c>
      <c r="E2186" s="20">
        <v>4550</v>
      </c>
      <c r="F2186" s="20">
        <v>2550</v>
      </c>
      <c r="G2186" s="20">
        <v>0.34986438530427816</v>
      </c>
      <c r="H2186" s="16">
        <f t="shared" ca="1" si="37"/>
        <v>2749</v>
      </c>
    </row>
    <row r="2187" spans="4:8" ht="15" thickBot="1" x14ac:dyDescent="0.35">
      <c r="D2187" s="20">
        <v>2720</v>
      </c>
      <c r="E2187" s="44">
        <v>1650</v>
      </c>
      <c r="F2187" s="44">
        <v>5150</v>
      </c>
      <c r="G2187" s="20">
        <v>0.50254815900557792</v>
      </c>
      <c r="H2187" s="16">
        <f t="shared" ca="1" si="37"/>
        <v>511</v>
      </c>
    </row>
    <row r="2188" spans="4:8" ht="15" thickBot="1" x14ac:dyDescent="0.35">
      <c r="D2188" s="20">
        <v>2466</v>
      </c>
      <c r="E2188" s="20">
        <v>2750</v>
      </c>
      <c r="F2188" s="20">
        <v>4650</v>
      </c>
      <c r="G2188" s="20">
        <v>0.44265605516703294</v>
      </c>
      <c r="H2188" s="16">
        <f t="shared" ca="1" si="37"/>
        <v>2075</v>
      </c>
    </row>
    <row r="2189" spans="4:8" ht="15" thickBot="1" x14ac:dyDescent="0.35">
      <c r="D2189" s="20">
        <v>2554</v>
      </c>
      <c r="E2189" s="20">
        <v>950</v>
      </c>
      <c r="F2189" s="20">
        <v>4850</v>
      </c>
      <c r="G2189" s="20">
        <v>0.4563409055575528</v>
      </c>
      <c r="H2189" s="16">
        <f t="shared" ca="1" si="37"/>
        <v>1162</v>
      </c>
    </row>
    <row r="2190" spans="4:8" ht="15" thickBot="1" x14ac:dyDescent="0.35">
      <c r="D2190" s="20">
        <v>2569</v>
      </c>
      <c r="E2190" s="20">
        <v>2450</v>
      </c>
      <c r="F2190" s="20">
        <v>4850</v>
      </c>
      <c r="G2190" s="20">
        <v>0.45983262490775711</v>
      </c>
      <c r="H2190" s="16">
        <f t="shared" ca="1" si="37"/>
        <v>308</v>
      </c>
    </row>
    <row r="2191" spans="4:8" ht="15" thickBot="1" x14ac:dyDescent="0.35">
      <c r="D2191" s="20">
        <v>418</v>
      </c>
      <c r="E2191" s="20">
        <v>4650</v>
      </c>
      <c r="F2191" s="20">
        <v>750</v>
      </c>
      <c r="G2191" s="20">
        <v>0.26993582040216502</v>
      </c>
      <c r="H2191" s="16">
        <f t="shared" ca="1" si="37"/>
        <v>2634</v>
      </c>
    </row>
    <row r="2192" spans="4:8" ht="15" thickBot="1" x14ac:dyDescent="0.35">
      <c r="D2192" s="20">
        <v>65</v>
      </c>
      <c r="E2192" s="20">
        <v>1150</v>
      </c>
      <c r="F2192" s="20">
        <v>150</v>
      </c>
      <c r="G2192" s="20">
        <v>0.19529688431158737</v>
      </c>
      <c r="H2192" s="16">
        <f t="shared" ca="1" si="37"/>
        <v>1876</v>
      </c>
    </row>
    <row r="2193" spans="4:8" ht="15" thickBot="1" x14ac:dyDescent="0.35">
      <c r="D2193" s="20">
        <v>1918</v>
      </c>
      <c r="E2193" s="20">
        <v>950</v>
      </c>
      <c r="F2193" s="20">
        <v>3650</v>
      </c>
      <c r="G2193" s="20">
        <v>0.38938996635989331</v>
      </c>
      <c r="H2193" s="16">
        <f t="shared" ca="1" si="37"/>
        <v>2475</v>
      </c>
    </row>
    <row r="2194" spans="4:8" ht="15" thickBot="1" x14ac:dyDescent="0.35">
      <c r="D2194" s="20">
        <v>2277</v>
      </c>
      <c r="E2194" s="20">
        <v>5050</v>
      </c>
      <c r="F2194" s="20">
        <v>4250</v>
      </c>
      <c r="G2194" s="20">
        <v>0.42319656294833669</v>
      </c>
      <c r="H2194" s="16">
        <f t="shared" ca="1" si="37"/>
        <v>190</v>
      </c>
    </row>
    <row r="2195" spans="4:8" ht="15" thickBot="1" x14ac:dyDescent="0.35">
      <c r="D2195" s="20">
        <v>272</v>
      </c>
      <c r="E2195" s="20">
        <v>650</v>
      </c>
      <c r="F2195" s="20">
        <v>550</v>
      </c>
      <c r="G2195" s="20">
        <v>0.24931512890203655</v>
      </c>
      <c r="H2195" s="16">
        <f t="shared" ca="1" si="37"/>
        <v>1795</v>
      </c>
    </row>
    <row r="2196" spans="4:8" ht="15" thickBot="1" x14ac:dyDescent="0.35">
      <c r="D2196" s="20">
        <v>1376</v>
      </c>
      <c r="E2196" s="47">
        <v>5050</v>
      </c>
      <c r="F2196" s="47">
        <v>2550</v>
      </c>
      <c r="G2196" s="20">
        <v>0.35002143558698601</v>
      </c>
      <c r="H2196" s="16">
        <f t="shared" ca="1" si="37"/>
        <v>1511</v>
      </c>
    </row>
    <row r="2197" spans="4:8" ht="15" thickBot="1" x14ac:dyDescent="0.35">
      <c r="D2197" s="20">
        <v>1985</v>
      </c>
      <c r="E2197" s="20">
        <v>2350</v>
      </c>
      <c r="F2197" s="20">
        <v>3750</v>
      </c>
      <c r="G2197" s="20">
        <v>0.39473534005968791</v>
      </c>
      <c r="H2197" s="16">
        <f t="shared" ca="1" si="37"/>
        <v>2365</v>
      </c>
    </row>
    <row r="2198" spans="4:8" ht="15" thickBot="1" x14ac:dyDescent="0.35">
      <c r="D2198" s="20">
        <v>2425</v>
      </c>
      <c r="E2198" s="20">
        <v>3950</v>
      </c>
      <c r="F2198" s="20">
        <v>4550</v>
      </c>
      <c r="G2198" s="20">
        <v>0.43790338114937477</v>
      </c>
      <c r="H2198" s="16">
        <f t="shared" ca="1" si="37"/>
        <v>2667</v>
      </c>
    </row>
    <row r="2199" spans="4:8" ht="15" thickBot="1" x14ac:dyDescent="0.35">
      <c r="D2199" s="20">
        <v>243</v>
      </c>
      <c r="E2199" s="20">
        <v>3050</v>
      </c>
      <c r="F2199" s="20">
        <v>450</v>
      </c>
      <c r="G2199" s="20">
        <v>0.24427841737336572</v>
      </c>
      <c r="H2199" s="16">
        <f t="shared" ca="1" si="37"/>
        <v>2066</v>
      </c>
    </row>
    <row r="2200" spans="4:8" ht="15" thickBot="1" x14ac:dyDescent="0.35">
      <c r="D2200" s="20">
        <v>2739</v>
      </c>
      <c r="E2200" s="20">
        <v>3550</v>
      </c>
      <c r="F2200" s="20">
        <v>5150</v>
      </c>
      <c r="G2200" s="20">
        <v>0.51219814610849568</v>
      </c>
      <c r="H2200" s="16">
        <f t="shared" ca="1" si="37"/>
        <v>450</v>
      </c>
    </row>
    <row r="2201" spans="4:8" ht="15" thickBot="1" x14ac:dyDescent="0.35">
      <c r="D2201" s="20">
        <v>312</v>
      </c>
      <c r="E2201" s="45">
        <v>4650</v>
      </c>
      <c r="F2201" s="45">
        <v>550</v>
      </c>
      <c r="G2201" s="20">
        <v>0.25496634205304508</v>
      </c>
      <c r="H2201" s="16">
        <f t="shared" ca="1" si="37"/>
        <v>2132</v>
      </c>
    </row>
    <row r="2202" spans="4:8" ht="15" thickBot="1" x14ac:dyDescent="0.35">
      <c r="D2202" s="20">
        <v>2073</v>
      </c>
      <c r="E2202" s="20">
        <v>550</v>
      </c>
      <c r="F2202" s="20">
        <v>3950</v>
      </c>
      <c r="G2202" s="20">
        <v>0.40297134430652493</v>
      </c>
      <c r="H2202" s="16">
        <f t="shared" ca="1" si="37"/>
        <v>1777</v>
      </c>
    </row>
    <row r="2203" spans="4:8" ht="15" thickBot="1" x14ac:dyDescent="0.35">
      <c r="D2203" s="20">
        <v>720</v>
      </c>
      <c r="E2203" s="20">
        <v>3050</v>
      </c>
      <c r="F2203" s="20">
        <v>1350</v>
      </c>
      <c r="G2203" s="20">
        <v>0.29964599211241427</v>
      </c>
      <c r="H2203" s="16">
        <f t="shared" ca="1" si="37"/>
        <v>156</v>
      </c>
    </row>
    <row r="2204" spans="4:8" ht="15" thickBot="1" x14ac:dyDescent="0.35">
      <c r="D2204" s="20">
        <v>119</v>
      </c>
      <c r="E2204" s="20">
        <v>1250</v>
      </c>
      <c r="F2204" s="20">
        <v>250</v>
      </c>
      <c r="G2204" s="20">
        <v>0.21534427945745177</v>
      </c>
      <c r="H2204" s="16">
        <f t="shared" ca="1" si="37"/>
        <v>1881</v>
      </c>
    </row>
    <row r="2205" spans="4:8" ht="15" thickBot="1" x14ac:dyDescent="0.35">
      <c r="D2205" s="20">
        <v>1400</v>
      </c>
      <c r="E2205" s="20">
        <v>2150</v>
      </c>
      <c r="F2205" s="20">
        <v>2650</v>
      </c>
      <c r="G2205" s="20">
        <v>0.35244727286113658</v>
      </c>
      <c r="H2205" s="16">
        <f t="shared" ca="1" si="37"/>
        <v>622</v>
      </c>
    </row>
    <row r="2206" spans="4:8" ht="15" thickBot="1" x14ac:dyDescent="0.35">
      <c r="D2206" s="20">
        <v>417</v>
      </c>
      <c r="E2206" s="20">
        <v>4550</v>
      </c>
      <c r="F2206" s="20">
        <v>750</v>
      </c>
      <c r="G2206" s="20">
        <v>0.26986151731694602</v>
      </c>
      <c r="H2206" s="16">
        <f t="shared" ca="1" si="37"/>
        <v>805</v>
      </c>
    </row>
    <row r="2207" spans="4:8" ht="15" thickBot="1" x14ac:dyDescent="0.35">
      <c r="D2207" s="20">
        <v>521</v>
      </c>
      <c r="E2207" s="43">
        <v>4350</v>
      </c>
      <c r="F2207" s="43">
        <v>950</v>
      </c>
      <c r="G2207" s="20">
        <v>0.28074288024376115</v>
      </c>
      <c r="H2207" s="16">
        <f t="shared" ca="1" si="37"/>
        <v>2151</v>
      </c>
    </row>
    <row r="2208" spans="4:8" ht="15" thickBot="1" x14ac:dyDescent="0.35">
      <c r="D2208" s="20">
        <v>633</v>
      </c>
      <c r="E2208" s="44">
        <v>4950</v>
      </c>
      <c r="F2208" s="44">
        <v>1150</v>
      </c>
      <c r="G2208" s="20">
        <v>0.29167338838880402</v>
      </c>
      <c r="H2208" s="16">
        <f t="shared" ca="1" si="37"/>
        <v>1031</v>
      </c>
    </row>
    <row r="2209" spans="4:8" ht="15" thickBot="1" x14ac:dyDescent="0.35">
      <c r="D2209" s="20">
        <v>2615</v>
      </c>
      <c r="E2209" s="20">
        <v>1750</v>
      </c>
      <c r="F2209" s="20">
        <v>4950</v>
      </c>
      <c r="G2209" s="20">
        <v>0.46832697448626631</v>
      </c>
      <c r="H2209" s="16">
        <f t="shared" ca="1" si="37"/>
        <v>882</v>
      </c>
    </row>
    <row r="2210" spans="4:8" ht="15" thickBot="1" x14ac:dyDescent="0.35">
      <c r="D2210" s="20">
        <v>2677</v>
      </c>
      <c r="E2210" s="43">
        <v>2650</v>
      </c>
      <c r="F2210" s="43">
        <v>5050</v>
      </c>
      <c r="G2210" s="20">
        <v>0.48557004475904436</v>
      </c>
      <c r="H2210" s="16">
        <f t="shared" ca="1" si="37"/>
        <v>103</v>
      </c>
    </row>
    <row r="2211" spans="4:8" ht="15" thickBot="1" x14ac:dyDescent="0.35">
      <c r="D2211" s="20">
        <v>66</v>
      </c>
      <c r="E2211" s="20">
        <v>1250</v>
      </c>
      <c r="F2211" s="20">
        <v>150</v>
      </c>
      <c r="G2211" s="20">
        <v>0.19589970457971506</v>
      </c>
      <c r="H2211" s="16">
        <f t="shared" ca="1" si="37"/>
        <v>2121</v>
      </c>
    </row>
    <row r="2212" spans="4:8" ht="15" thickBot="1" x14ac:dyDescent="0.35">
      <c r="D2212" s="20">
        <v>17</v>
      </c>
      <c r="E2212" s="20">
        <v>1650</v>
      </c>
      <c r="F2212" s="20">
        <v>50</v>
      </c>
      <c r="G2212" s="20">
        <v>0.15456921600332038</v>
      </c>
      <c r="H2212" s="16">
        <f t="shared" ca="1" si="37"/>
        <v>1640</v>
      </c>
    </row>
    <row r="2213" spans="4:8" ht="15" thickBot="1" x14ac:dyDescent="0.35">
      <c r="D2213" s="20">
        <v>407</v>
      </c>
      <c r="E2213" s="20">
        <v>3550</v>
      </c>
      <c r="F2213" s="20">
        <v>750</v>
      </c>
      <c r="G2213" s="20">
        <v>0.26832951065252725</v>
      </c>
      <c r="H2213" s="16">
        <f t="shared" ca="1" si="37"/>
        <v>201</v>
      </c>
    </row>
    <row r="2214" spans="4:8" ht="15" thickBot="1" x14ac:dyDescent="0.35">
      <c r="D2214" s="20">
        <v>1660</v>
      </c>
      <c r="E2214" s="20">
        <v>1650</v>
      </c>
      <c r="F2214" s="20">
        <v>3150</v>
      </c>
      <c r="G2214" s="20">
        <v>0.37085836362185831</v>
      </c>
      <c r="H2214" s="16">
        <f t="shared" ca="1" si="37"/>
        <v>420</v>
      </c>
    </row>
    <row r="2215" spans="4:8" ht="15" thickBot="1" x14ac:dyDescent="0.35">
      <c r="D2215" s="20">
        <v>2265</v>
      </c>
      <c r="E2215" s="20">
        <v>3850</v>
      </c>
      <c r="F2215" s="20">
        <v>4250</v>
      </c>
      <c r="G2215" s="20">
        <v>0.42169112041444717</v>
      </c>
      <c r="H2215" s="16">
        <f t="shared" ca="1" si="37"/>
        <v>136</v>
      </c>
    </row>
    <row r="2216" spans="4:8" ht="15" thickBot="1" x14ac:dyDescent="0.35">
      <c r="D2216" s="20">
        <v>816</v>
      </c>
      <c r="E2216" s="20">
        <v>2050</v>
      </c>
      <c r="F2216" s="20">
        <v>1550</v>
      </c>
      <c r="G2216" s="20">
        <v>0.30795729655848098</v>
      </c>
      <c r="H2216" s="16">
        <f t="shared" ca="1" si="37"/>
        <v>967</v>
      </c>
    </row>
    <row r="2217" spans="4:8" ht="15" thickBot="1" x14ac:dyDescent="0.35">
      <c r="D2217" s="20">
        <v>15</v>
      </c>
      <c r="E2217" s="20">
        <v>1450</v>
      </c>
      <c r="F2217" s="20">
        <v>50</v>
      </c>
      <c r="G2217" s="20">
        <v>0.14812267408034199</v>
      </c>
      <c r="H2217" s="16">
        <f t="shared" ca="1" si="37"/>
        <v>2164</v>
      </c>
    </row>
    <row r="2218" spans="4:8" ht="15" thickBot="1" x14ac:dyDescent="0.35">
      <c r="D2218" s="20">
        <v>2724</v>
      </c>
      <c r="E2218" s="45">
        <v>2050</v>
      </c>
      <c r="F2218" s="45">
        <v>5150</v>
      </c>
      <c r="G2218" s="20">
        <v>0.5032947403349155</v>
      </c>
      <c r="H2218" s="16">
        <f t="shared" ca="1" si="37"/>
        <v>560</v>
      </c>
    </row>
    <row r="2219" spans="4:8" ht="15" thickBot="1" x14ac:dyDescent="0.35">
      <c r="D2219" s="20">
        <v>761</v>
      </c>
      <c r="E2219" s="20">
        <v>1850</v>
      </c>
      <c r="F2219" s="20">
        <v>1450</v>
      </c>
      <c r="G2219" s="20">
        <v>0.30292892320651565</v>
      </c>
      <c r="H2219" s="16">
        <f t="shared" ca="1" si="37"/>
        <v>1146</v>
      </c>
    </row>
    <row r="2220" spans="4:8" ht="15" thickBot="1" x14ac:dyDescent="0.35">
      <c r="D2220" s="20">
        <v>2731</v>
      </c>
      <c r="E2220" s="20">
        <v>2750</v>
      </c>
      <c r="F2220" s="20">
        <v>5150</v>
      </c>
      <c r="G2220" s="20">
        <v>0.50659820643112563</v>
      </c>
      <c r="H2220" s="16">
        <f t="shared" ca="1" si="37"/>
        <v>801</v>
      </c>
    </row>
    <row r="2221" spans="4:8" ht="15" thickBot="1" x14ac:dyDescent="0.35">
      <c r="D2221" s="20">
        <v>428</v>
      </c>
      <c r="E2221" s="20">
        <v>350</v>
      </c>
      <c r="F2221" s="20">
        <v>850</v>
      </c>
      <c r="G2221" s="20">
        <v>0.27082374120218089</v>
      </c>
      <c r="H2221" s="16">
        <f t="shared" ca="1" si="37"/>
        <v>2688</v>
      </c>
    </row>
    <row r="2222" spans="4:8" ht="15" thickBot="1" x14ac:dyDescent="0.35">
      <c r="D2222" s="20">
        <v>518</v>
      </c>
      <c r="E2222" s="20">
        <v>4050</v>
      </c>
      <c r="F2222" s="20">
        <v>950</v>
      </c>
      <c r="G2222" s="20">
        <v>0.28046376766836945</v>
      </c>
      <c r="H2222" s="16">
        <f t="shared" ca="1" si="37"/>
        <v>2376</v>
      </c>
    </row>
    <row r="2223" spans="4:8" ht="15" thickBot="1" x14ac:dyDescent="0.35">
      <c r="D2223" s="20">
        <v>2065</v>
      </c>
      <c r="E2223" s="20">
        <v>5050</v>
      </c>
      <c r="F2223" s="20">
        <v>3850</v>
      </c>
      <c r="G2223" s="20">
        <v>0.40222361345574076</v>
      </c>
      <c r="H2223" s="16">
        <f t="shared" ca="1" si="37"/>
        <v>1343</v>
      </c>
    </row>
    <row r="2224" spans="4:8" ht="15" thickBot="1" x14ac:dyDescent="0.35">
      <c r="D2224" s="20">
        <v>610</v>
      </c>
      <c r="E2224" s="20">
        <v>2650</v>
      </c>
      <c r="F2224" s="20">
        <v>1150</v>
      </c>
      <c r="G2224" s="20">
        <v>0.28950707458030334</v>
      </c>
      <c r="H2224" s="16">
        <f t="shared" ca="1" si="37"/>
        <v>1920</v>
      </c>
    </row>
    <row r="2225" spans="4:8" ht="15" thickBot="1" x14ac:dyDescent="0.35">
      <c r="D2225" s="20">
        <v>723</v>
      </c>
      <c r="E2225" s="20">
        <v>3350</v>
      </c>
      <c r="F2225" s="20">
        <v>1350</v>
      </c>
      <c r="G2225" s="20">
        <v>0.29981334938405868</v>
      </c>
      <c r="H2225" s="16">
        <f t="shared" ca="1" si="37"/>
        <v>1022</v>
      </c>
    </row>
    <row r="2226" spans="4:8" ht="15" thickBot="1" x14ac:dyDescent="0.35">
      <c r="D2226" s="20">
        <v>1591</v>
      </c>
      <c r="E2226" s="20">
        <v>50</v>
      </c>
      <c r="F2226" s="20">
        <v>3050</v>
      </c>
      <c r="G2226" s="20">
        <v>0.36633776801734952</v>
      </c>
      <c r="H2226" s="16">
        <f t="shared" ca="1" si="37"/>
        <v>2449</v>
      </c>
    </row>
    <row r="2227" spans="4:8" ht="15" thickBot="1" x14ac:dyDescent="0.35">
      <c r="D2227" s="20">
        <v>608</v>
      </c>
      <c r="E2227" s="20">
        <v>2450</v>
      </c>
      <c r="F2227" s="20">
        <v>1150</v>
      </c>
      <c r="G2227" s="20">
        <v>0.28945288263269869</v>
      </c>
      <c r="H2227" s="16">
        <f t="shared" ca="1" si="37"/>
        <v>1726</v>
      </c>
    </row>
    <row r="2228" spans="4:8" ht="15" thickBot="1" x14ac:dyDescent="0.35">
      <c r="D2228" s="20">
        <v>447</v>
      </c>
      <c r="E2228" s="20">
        <v>2250</v>
      </c>
      <c r="F2228" s="20">
        <v>850</v>
      </c>
      <c r="G2228" s="20">
        <v>0.27309496796258487</v>
      </c>
      <c r="H2228" s="16">
        <f t="shared" ca="1" si="37"/>
        <v>1837</v>
      </c>
    </row>
    <row r="2229" spans="4:8" ht="15" thickBot="1" x14ac:dyDescent="0.35">
      <c r="D2229" s="20">
        <v>316</v>
      </c>
      <c r="E2229" s="20">
        <v>5050</v>
      </c>
      <c r="F2229" s="20">
        <v>550</v>
      </c>
      <c r="G2229" s="20">
        <v>0.25586161320618961</v>
      </c>
      <c r="H2229" s="16">
        <f t="shared" ca="1" si="37"/>
        <v>1122</v>
      </c>
    </row>
    <row r="2230" spans="4:8" ht="15" thickBot="1" x14ac:dyDescent="0.35">
      <c r="D2230" s="20">
        <v>1647</v>
      </c>
      <c r="E2230" s="20">
        <v>350</v>
      </c>
      <c r="F2230" s="20">
        <v>3150</v>
      </c>
      <c r="G2230" s="20">
        <v>0.37003213367242371</v>
      </c>
      <c r="H2230" s="16">
        <f t="shared" ca="1" si="37"/>
        <v>198</v>
      </c>
    </row>
    <row r="2231" spans="4:8" ht="15" thickBot="1" x14ac:dyDescent="0.35">
      <c r="D2231" s="20">
        <v>2254</v>
      </c>
      <c r="E2231" s="45">
        <v>2750</v>
      </c>
      <c r="F2231" s="45">
        <v>4250</v>
      </c>
      <c r="G2231" s="20">
        <v>0.4206600253513329</v>
      </c>
      <c r="H2231" s="16">
        <f t="shared" ca="1" si="37"/>
        <v>1005</v>
      </c>
    </row>
    <row r="2232" spans="4:8" ht="15" thickBot="1" x14ac:dyDescent="0.35">
      <c r="D2232" s="20">
        <v>1685</v>
      </c>
      <c r="E2232" s="20">
        <v>4150</v>
      </c>
      <c r="F2232" s="20">
        <v>3150</v>
      </c>
      <c r="G2232" s="20">
        <v>0.37316552808992282</v>
      </c>
      <c r="H2232" s="16">
        <f t="shared" ca="1" si="37"/>
        <v>1677</v>
      </c>
    </row>
    <row r="2233" spans="4:8" ht="15" thickBot="1" x14ac:dyDescent="0.35">
      <c r="D2233" s="20">
        <v>2475</v>
      </c>
      <c r="E2233" s="20">
        <v>3650</v>
      </c>
      <c r="F2233" s="20">
        <v>4650</v>
      </c>
      <c r="G2233" s="20">
        <v>0.44373446811026385</v>
      </c>
      <c r="H2233" s="16">
        <f t="shared" ca="1" si="37"/>
        <v>1537</v>
      </c>
    </row>
    <row r="2234" spans="4:8" ht="15" thickBot="1" x14ac:dyDescent="0.35">
      <c r="D2234" s="20">
        <v>734</v>
      </c>
      <c r="E2234" s="20">
        <v>4450</v>
      </c>
      <c r="F2234" s="20">
        <v>1350</v>
      </c>
      <c r="G2234" s="20">
        <v>0.30088663779719804</v>
      </c>
      <c r="H2234" s="16">
        <f t="shared" ca="1" si="37"/>
        <v>1262</v>
      </c>
    </row>
    <row r="2235" spans="4:8" ht="15" thickBot="1" x14ac:dyDescent="0.35">
      <c r="D2235" s="20">
        <v>1566</v>
      </c>
      <c r="E2235" s="20">
        <v>2850</v>
      </c>
      <c r="F2235" s="20">
        <v>2950</v>
      </c>
      <c r="G2235" s="20">
        <v>0.36449082926166615</v>
      </c>
      <c r="H2235" s="16">
        <f t="shared" ca="1" si="37"/>
        <v>841</v>
      </c>
    </row>
    <row r="2236" spans="4:8" ht="15" thickBot="1" x14ac:dyDescent="0.35">
      <c r="D2236" s="20">
        <v>2310</v>
      </c>
      <c r="E2236" s="20">
        <v>3050</v>
      </c>
      <c r="F2236" s="20">
        <v>4350</v>
      </c>
      <c r="G2236" s="20">
        <v>0.42584249449347622</v>
      </c>
      <c r="H2236" s="16">
        <f t="shared" ca="1" si="37"/>
        <v>1923</v>
      </c>
    </row>
    <row r="2237" spans="4:8" ht="15" thickBot="1" x14ac:dyDescent="0.35">
      <c r="D2237" s="20">
        <v>1833</v>
      </c>
      <c r="E2237" s="20">
        <v>3050</v>
      </c>
      <c r="F2237" s="20">
        <v>3450</v>
      </c>
      <c r="G2237" s="20">
        <v>0.38327805256197911</v>
      </c>
      <c r="H2237" s="16">
        <f t="shared" ca="1" si="37"/>
        <v>791</v>
      </c>
    </row>
    <row r="2238" spans="4:8" ht="15" thickBot="1" x14ac:dyDescent="0.35">
      <c r="D2238" s="20">
        <v>411</v>
      </c>
      <c r="E2238" s="20">
        <v>3950</v>
      </c>
      <c r="F2238" s="20">
        <v>750</v>
      </c>
      <c r="G2238" s="20">
        <v>0.26894324274437731</v>
      </c>
      <c r="H2238" s="16">
        <f t="shared" ca="1" si="37"/>
        <v>2195</v>
      </c>
    </row>
    <row r="2239" spans="4:8" ht="15" thickBot="1" x14ac:dyDescent="0.35">
      <c r="D2239" s="20">
        <v>1496</v>
      </c>
      <c r="E2239" s="20">
        <v>1150</v>
      </c>
      <c r="F2239" s="20">
        <v>2850</v>
      </c>
      <c r="G2239" s="20">
        <v>0.35956759413398154</v>
      </c>
      <c r="H2239" s="16">
        <f t="shared" ca="1" si="37"/>
        <v>2735</v>
      </c>
    </row>
    <row r="2240" spans="4:8" ht="15" thickBot="1" x14ac:dyDescent="0.35">
      <c r="D2240" s="20">
        <v>1045</v>
      </c>
      <c r="E2240" s="20">
        <v>3750</v>
      </c>
      <c r="F2240" s="20">
        <v>1950</v>
      </c>
      <c r="G2240" s="20">
        <v>0.32617138098819015</v>
      </c>
      <c r="H2240" s="16">
        <f t="shared" ca="1" si="37"/>
        <v>585</v>
      </c>
    </row>
    <row r="2241" spans="4:8" ht="15" thickBot="1" x14ac:dyDescent="0.35">
      <c r="D2241" s="20">
        <v>1676</v>
      </c>
      <c r="E2241" s="20">
        <v>3250</v>
      </c>
      <c r="F2241" s="20">
        <v>3150</v>
      </c>
      <c r="G2241" s="20">
        <v>0.37205517468908711</v>
      </c>
      <c r="H2241" s="16">
        <f t="shared" ca="1" si="37"/>
        <v>524</v>
      </c>
    </row>
    <row r="2242" spans="4:8" ht="15" thickBot="1" x14ac:dyDescent="0.35">
      <c r="D2242" s="20">
        <v>1614</v>
      </c>
      <c r="E2242" s="20">
        <v>2350</v>
      </c>
      <c r="F2242" s="20">
        <v>3050</v>
      </c>
      <c r="G2242" s="20">
        <v>0.36793838334085249</v>
      </c>
      <c r="H2242" s="16">
        <f t="shared" ca="1" si="37"/>
        <v>801</v>
      </c>
    </row>
    <row r="2243" spans="4:8" ht="15" thickBot="1" x14ac:dyDescent="0.35">
      <c r="D2243" s="20">
        <v>1502</v>
      </c>
      <c r="E2243" s="20">
        <v>1750</v>
      </c>
      <c r="F2243" s="20">
        <v>2850</v>
      </c>
      <c r="G2243" s="20">
        <v>0.36021276609029135</v>
      </c>
      <c r="H2243" s="16">
        <f t="shared" ca="1" si="37"/>
        <v>2696</v>
      </c>
    </row>
    <row r="2244" spans="4:8" ht="15" thickBot="1" x14ac:dyDescent="0.35">
      <c r="D2244" s="20">
        <v>1250</v>
      </c>
      <c r="E2244" s="20">
        <v>3050</v>
      </c>
      <c r="F2244" s="20">
        <v>2350</v>
      </c>
      <c r="G2244" s="20">
        <v>0.3414552325456548</v>
      </c>
      <c r="H2244" s="16">
        <f t="shared" ca="1" si="37"/>
        <v>915</v>
      </c>
    </row>
    <row r="2245" spans="4:8" ht="15" thickBot="1" x14ac:dyDescent="0.35">
      <c r="D2245" s="20">
        <v>941</v>
      </c>
      <c r="E2245" s="20">
        <v>3950</v>
      </c>
      <c r="F2245" s="20">
        <v>1750</v>
      </c>
      <c r="G2245" s="20">
        <v>0.31776807533018403</v>
      </c>
      <c r="H2245" s="16">
        <f t="shared" ca="1" si="37"/>
        <v>1426</v>
      </c>
    </row>
    <row r="2246" spans="4:8" ht="15" thickBot="1" x14ac:dyDescent="0.35">
      <c r="D2246" s="20">
        <v>1952</v>
      </c>
      <c r="E2246" s="20">
        <v>4350</v>
      </c>
      <c r="F2246" s="20">
        <v>3650</v>
      </c>
      <c r="G2246" s="20">
        <v>0.39180668325474893</v>
      </c>
      <c r="H2246" s="16">
        <f t="shared" ca="1" si="37"/>
        <v>377</v>
      </c>
    </row>
    <row r="2247" spans="4:8" ht="15" thickBot="1" x14ac:dyDescent="0.35">
      <c r="D2247" s="20">
        <v>1402</v>
      </c>
      <c r="E2247" s="20">
        <v>2350</v>
      </c>
      <c r="F2247" s="20">
        <v>2650</v>
      </c>
      <c r="G2247" s="20">
        <v>0.35288940372018651</v>
      </c>
      <c r="H2247" s="16">
        <f t="shared" ref="H2247:H2310" ca="1" si="38">RANDBETWEEN(1,2788)</f>
        <v>2510</v>
      </c>
    </row>
    <row r="2248" spans="4:8" ht="15" thickBot="1" x14ac:dyDescent="0.35">
      <c r="D2248" s="20">
        <v>1945</v>
      </c>
      <c r="E2248" s="20">
        <v>3650</v>
      </c>
      <c r="F2248" s="20">
        <v>3650</v>
      </c>
      <c r="G2248" s="20">
        <v>0.39128314008469817</v>
      </c>
      <c r="H2248" s="16">
        <f t="shared" ca="1" si="38"/>
        <v>1339</v>
      </c>
    </row>
    <row r="2249" spans="4:8" ht="15" thickBot="1" x14ac:dyDescent="0.35">
      <c r="D2249" s="20">
        <v>1461</v>
      </c>
      <c r="E2249" s="20">
        <v>2950</v>
      </c>
      <c r="F2249" s="20">
        <v>2750</v>
      </c>
      <c r="G2249" s="20">
        <v>0.35663056303432517</v>
      </c>
      <c r="H2249" s="16">
        <f t="shared" ca="1" si="38"/>
        <v>1128</v>
      </c>
    </row>
    <row r="2250" spans="4:8" ht="15" thickBot="1" x14ac:dyDescent="0.35">
      <c r="D2250" s="20">
        <v>1267</v>
      </c>
      <c r="E2250" s="20">
        <v>4750</v>
      </c>
      <c r="F2250" s="20">
        <v>2350</v>
      </c>
      <c r="G2250" s="20">
        <v>0.34326945920345725</v>
      </c>
      <c r="H2250" s="16">
        <f t="shared" ca="1" si="38"/>
        <v>1342</v>
      </c>
    </row>
    <row r="2251" spans="4:8" ht="15" thickBot="1" x14ac:dyDescent="0.35">
      <c r="D2251" s="20">
        <v>2323</v>
      </c>
      <c r="E2251" s="20">
        <v>4350</v>
      </c>
      <c r="F2251" s="20">
        <v>4350</v>
      </c>
      <c r="G2251" s="20">
        <v>0.42690332093606848</v>
      </c>
      <c r="H2251" s="16">
        <f t="shared" ca="1" si="38"/>
        <v>1053</v>
      </c>
    </row>
    <row r="2252" spans="4:8" ht="15" thickBot="1" x14ac:dyDescent="0.35">
      <c r="D2252" s="20">
        <v>67</v>
      </c>
      <c r="E2252" s="20">
        <v>1350</v>
      </c>
      <c r="F2252" s="20">
        <v>150</v>
      </c>
      <c r="G2252" s="20">
        <v>0.19651643446712808</v>
      </c>
      <c r="H2252" s="16">
        <f t="shared" ca="1" si="38"/>
        <v>2341</v>
      </c>
    </row>
    <row r="2253" spans="4:8" ht="15" thickBot="1" x14ac:dyDescent="0.35">
      <c r="D2253" s="20">
        <v>2375</v>
      </c>
      <c r="E2253" s="20">
        <v>4250</v>
      </c>
      <c r="F2253" s="20">
        <v>4450</v>
      </c>
      <c r="G2253" s="20">
        <v>0.43223494004191898</v>
      </c>
      <c r="H2253" s="16">
        <f t="shared" ca="1" si="38"/>
        <v>1822</v>
      </c>
    </row>
    <row r="2254" spans="4:8" ht="15" thickBot="1" x14ac:dyDescent="0.35">
      <c r="D2254" s="20">
        <v>2609</v>
      </c>
      <c r="E2254" s="20">
        <v>1150</v>
      </c>
      <c r="F2254" s="20">
        <v>4950</v>
      </c>
      <c r="G2254" s="20">
        <v>0.46698225940593741</v>
      </c>
      <c r="H2254" s="16">
        <f t="shared" ca="1" si="38"/>
        <v>2174</v>
      </c>
    </row>
    <row r="2255" spans="4:8" ht="15" thickBot="1" x14ac:dyDescent="0.35">
      <c r="D2255" s="20">
        <v>284</v>
      </c>
      <c r="E2255" s="20">
        <v>1850</v>
      </c>
      <c r="F2255" s="20">
        <v>550</v>
      </c>
      <c r="G2255" s="20">
        <v>0.25044535073153579</v>
      </c>
      <c r="H2255" s="16">
        <f t="shared" ca="1" si="38"/>
        <v>320</v>
      </c>
    </row>
    <row r="2256" spans="4:8" ht="15" thickBot="1" x14ac:dyDescent="0.35">
      <c r="D2256" s="20">
        <v>2122</v>
      </c>
      <c r="E2256" s="48">
        <v>150</v>
      </c>
      <c r="F2256" s="48">
        <v>4050</v>
      </c>
      <c r="G2256" s="20">
        <v>0.40829189868619897</v>
      </c>
      <c r="H2256" s="16">
        <f t="shared" ca="1" si="38"/>
        <v>2491</v>
      </c>
    </row>
    <row r="2257" spans="4:8" ht="15" thickBot="1" x14ac:dyDescent="0.35">
      <c r="D2257" s="20">
        <v>1657</v>
      </c>
      <c r="E2257" s="20">
        <v>1350</v>
      </c>
      <c r="F2257" s="20">
        <v>3150</v>
      </c>
      <c r="G2257" s="20">
        <v>0.37066116902285579</v>
      </c>
      <c r="H2257" s="16">
        <f t="shared" ca="1" si="38"/>
        <v>1985</v>
      </c>
    </row>
    <row r="2258" spans="4:8" ht="15" thickBot="1" x14ac:dyDescent="0.35">
      <c r="D2258" s="20">
        <v>82</v>
      </c>
      <c r="E2258" s="20">
        <v>2850</v>
      </c>
      <c r="F2258" s="20">
        <v>150</v>
      </c>
      <c r="G2258" s="20">
        <v>0.20272188264602814</v>
      </c>
      <c r="H2258" s="16">
        <f t="shared" ca="1" si="38"/>
        <v>1704</v>
      </c>
    </row>
    <row r="2259" spans="4:8" ht="15" thickBot="1" x14ac:dyDescent="0.35">
      <c r="D2259" s="20">
        <v>2533</v>
      </c>
      <c r="E2259" s="20">
        <v>4150</v>
      </c>
      <c r="F2259" s="20">
        <v>4750</v>
      </c>
      <c r="G2259" s="20">
        <v>0.45200701060906401</v>
      </c>
      <c r="H2259" s="16">
        <f t="shared" ca="1" si="38"/>
        <v>444</v>
      </c>
    </row>
    <row r="2260" spans="4:8" ht="15" thickBot="1" x14ac:dyDescent="0.35">
      <c r="D2260" s="20">
        <v>1487</v>
      </c>
      <c r="E2260" s="20">
        <v>250</v>
      </c>
      <c r="F2260" s="20">
        <v>2850</v>
      </c>
      <c r="G2260" s="20">
        <v>0.35878359223325418</v>
      </c>
      <c r="H2260" s="16">
        <f t="shared" ca="1" si="38"/>
        <v>1053</v>
      </c>
    </row>
    <row r="2261" spans="4:8" ht="15" thickBot="1" x14ac:dyDescent="0.35">
      <c r="D2261" s="20">
        <v>436</v>
      </c>
      <c r="E2261" s="20">
        <v>1150</v>
      </c>
      <c r="F2261" s="20">
        <v>850</v>
      </c>
      <c r="G2261" s="20">
        <v>0.27192707933069044</v>
      </c>
      <c r="H2261" s="16">
        <f t="shared" ca="1" si="38"/>
        <v>1335</v>
      </c>
    </row>
    <row r="2262" spans="4:8" ht="15" thickBot="1" x14ac:dyDescent="0.35">
      <c r="D2262" s="20">
        <v>408</v>
      </c>
      <c r="E2262" s="20">
        <v>3650</v>
      </c>
      <c r="F2262" s="20">
        <v>750</v>
      </c>
      <c r="G2262" s="20">
        <v>0.26840855104281447</v>
      </c>
      <c r="H2262" s="16">
        <f t="shared" ca="1" si="38"/>
        <v>1755</v>
      </c>
    </row>
    <row r="2263" spans="4:8" ht="15" thickBot="1" x14ac:dyDescent="0.35">
      <c r="D2263" s="20">
        <v>1944</v>
      </c>
      <c r="E2263" s="20">
        <v>3550</v>
      </c>
      <c r="F2263" s="20">
        <v>3650</v>
      </c>
      <c r="G2263" s="20">
        <v>0.39108400130272836</v>
      </c>
      <c r="H2263" s="16">
        <f t="shared" ca="1" si="38"/>
        <v>2438</v>
      </c>
    </row>
    <row r="2264" spans="4:8" ht="15" thickBot="1" x14ac:dyDescent="0.35">
      <c r="D2264" s="20">
        <v>2291</v>
      </c>
      <c r="E2264" s="20">
        <v>1150</v>
      </c>
      <c r="F2264" s="20">
        <v>4350</v>
      </c>
      <c r="G2264" s="20">
        <v>0.42488707418640931</v>
      </c>
      <c r="H2264" s="16">
        <f t="shared" ca="1" si="38"/>
        <v>2063</v>
      </c>
    </row>
    <row r="2265" spans="4:8" ht="15" thickBot="1" x14ac:dyDescent="0.35">
      <c r="D2265" s="20">
        <v>2158</v>
      </c>
      <c r="E2265" s="20">
        <v>3750</v>
      </c>
      <c r="F2265" s="20">
        <v>4050</v>
      </c>
      <c r="G2265" s="20">
        <v>0.41092004950012817</v>
      </c>
      <c r="H2265" s="16">
        <f t="shared" ca="1" si="38"/>
        <v>2627</v>
      </c>
    </row>
    <row r="2266" spans="4:8" ht="15" thickBot="1" x14ac:dyDescent="0.35">
      <c r="D2266" s="20">
        <v>1411</v>
      </c>
      <c r="E2266" s="20">
        <v>3250</v>
      </c>
      <c r="F2266" s="20">
        <v>2650</v>
      </c>
      <c r="G2266" s="20">
        <v>0.35342648490068213</v>
      </c>
      <c r="H2266" s="16">
        <f t="shared" ca="1" si="38"/>
        <v>2764</v>
      </c>
    </row>
    <row r="2267" spans="4:8" ht="15" thickBot="1" x14ac:dyDescent="0.35">
      <c r="D2267" s="20">
        <v>1579</v>
      </c>
      <c r="E2267" s="20">
        <v>4150</v>
      </c>
      <c r="F2267" s="20">
        <v>2950</v>
      </c>
      <c r="G2267" s="20">
        <v>0.36536669990327458</v>
      </c>
      <c r="H2267" s="16">
        <f t="shared" ca="1" si="38"/>
        <v>2153</v>
      </c>
    </row>
    <row r="2268" spans="4:8" ht="15" thickBot="1" x14ac:dyDescent="0.35">
      <c r="D2268" s="20">
        <v>257</v>
      </c>
      <c r="E2268" s="20">
        <v>4450</v>
      </c>
      <c r="F2268" s="20">
        <v>450</v>
      </c>
      <c r="G2268" s="20">
        <v>0.24633671319870198</v>
      </c>
      <c r="H2268" s="16">
        <f t="shared" ca="1" si="38"/>
        <v>656</v>
      </c>
    </row>
    <row r="2269" spans="4:8" ht="15" thickBot="1" x14ac:dyDescent="0.35">
      <c r="D2269" s="20">
        <v>352</v>
      </c>
      <c r="E2269" s="47">
        <v>3350</v>
      </c>
      <c r="F2269" s="47">
        <v>650</v>
      </c>
      <c r="G2269" s="20">
        <v>0.26148175038227478</v>
      </c>
      <c r="H2269" s="16">
        <f t="shared" ca="1" si="38"/>
        <v>2359</v>
      </c>
    </row>
    <row r="2270" spans="4:8" ht="15" thickBot="1" x14ac:dyDescent="0.35">
      <c r="D2270" s="20">
        <v>1558</v>
      </c>
      <c r="E2270" s="20">
        <v>2050</v>
      </c>
      <c r="F2270" s="20">
        <v>2950</v>
      </c>
      <c r="G2270" s="20">
        <v>0.36406449379898198</v>
      </c>
      <c r="H2270" s="16">
        <f t="shared" ca="1" si="38"/>
        <v>898</v>
      </c>
    </row>
    <row r="2271" spans="4:8" ht="15" thickBot="1" x14ac:dyDescent="0.35">
      <c r="D2271" s="20">
        <v>2755</v>
      </c>
      <c r="E2271" s="20">
        <v>5150</v>
      </c>
      <c r="F2271" s="20">
        <v>5150</v>
      </c>
      <c r="G2271" s="20">
        <v>0.5244220115690803</v>
      </c>
      <c r="H2271" s="16">
        <f t="shared" ca="1" si="38"/>
        <v>874</v>
      </c>
    </row>
    <row r="2272" spans="4:8" ht="15" thickBot="1" x14ac:dyDescent="0.35">
      <c r="D2272" s="20">
        <v>510</v>
      </c>
      <c r="E2272" s="20">
        <v>3250</v>
      </c>
      <c r="F2272" s="20">
        <v>950</v>
      </c>
      <c r="G2272" s="20">
        <v>0.27981404249335384</v>
      </c>
      <c r="H2272" s="16">
        <f t="shared" ca="1" si="38"/>
        <v>1861</v>
      </c>
    </row>
    <row r="2273" spans="4:8" ht="15" thickBot="1" x14ac:dyDescent="0.35">
      <c r="D2273" s="20">
        <v>2756</v>
      </c>
      <c r="E2273" s="20">
        <v>5250</v>
      </c>
      <c r="F2273" s="20">
        <v>5150</v>
      </c>
      <c r="G2273" s="20">
        <v>0.5254531720414144</v>
      </c>
      <c r="H2273" s="16">
        <f t="shared" ca="1" si="38"/>
        <v>2455</v>
      </c>
    </row>
    <row r="2274" spans="4:8" ht="15" thickBot="1" x14ac:dyDescent="0.35">
      <c r="D2274" s="20">
        <v>227</v>
      </c>
      <c r="E2274" s="20">
        <v>1450</v>
      </c>
      <c r="F2274" s="20">
        <v>450</v>
      </c>
      <c r="G2274" s="20">
        <v>0.24147989804469383</v>
      </c>
      <c r="H2274" s="16">
        <f t="shared" ca="1" si="38"/>
        <v>201</v>
      </c>
    </row>
    <row r="2275" spans="4:8" ht="15" thickBot="1" x14ac:dyDescent="0.35">
      <c r="D2275" s="20">
        <v>2153</v>
      </c>
      <c r="E2275" s="20">
        <v>3250</v>
      </c>
      <c r="F2275" s="20">
        <v>4050</v>
      </c>
      <c r="G2275" s="20">
        <v>0.41056527804716869</v>
      </c>
      <c r="H2275" s="16">
        <f t="shared" ca="1" si="38"/>
        <v>1433</v>
      </c>
    </row>
    <row r="2276" spans="4:8" ht="15" thickBot="1" x14ac:dyDescent="0.35">
      <c r="D2276" s="20">
        <v>1166</v>
      </c>
      <c r="E2276" s="20">
        <v>5250</v>
      </c>
      <c r="F2276" s="20">
        <v>2150</v>
      </c>
      <c r="G2276" s="20">
        <v>0.33554337800291245</v>
      </c>
      <c r="H2276" s="16">
        <f t="shared" ca="1" si="38"/>
        <v>885</v>
      </c>
    </row>
    <row r="2277" spans="4:8" ht="15" thickBot="1" x14ac:dyDescent="0.35">
      <c r="D2277" s="20">
        <v>2416</v>
      </c>
      <c r="E2277" s="20">
        <v>3050</v>
      </c>
      <c r="F2277" s="20">
        <v>4550</v>
      </c>
      <c r="G2277" s="20">
        <v>0.43724819702084883</v>
      </c>
      <c r="H2277" s="16">
        <f t="shared" ca="1" si="38"/>
        <v>1061</v>
      </c>
    </row>
    <row r="2278" spans="4:8" ht="15" thickBot="1" x14ac:dyDescent="0.35">
      <c r="D2278" s="20">
        <v>1472</v>
      </c>
      <c r="E2278" s="20">
        <v>4050</v>
      </c>
      <c r="F2278" s="20">
        <v>2750</v>
      </c>
      <c r="G2278" s="20">
        <v>0.35763006373815281</v>
      </c>
      <c r="H2278" s="16">
        <f t="shared" ca="1" si="38"/>
        <v>644</v>
      </c>
    </row>
    <row r="2279" spans="4:8" ht="15" thickBot="1" x14ac:dyDescent="0.35">
      <c r="D2279" s="20">
        <v>291</v>
      </c>
      <c r="E2279" s="20">
        <v>2550</v>
      </c>
      <c r="F2279" s="20">
        <v>550</v>
      </c>
      <c r="G2279" s="20">
        <v>0.25175393068008384</v>
      </c>
      <c r="H2279" s="16">
        <f t="shared" ca="1" si="38"/>
        <v>376</v>
      </c>
    </row>
    <row r="2280" spans="4:8" ht="15" thickBot="1" x14ac:dyDescent="0.35">
      <c r="D2280" s="20">
        <v>1684</v>
      </c>
      <c r="E2280" s="20">
        <v>4050</v>
      </c>
      <c r="F2280" s="20">
        <v>3150</v>
      </c>
      <c r="G2280" s="20">
        <v>0.37306268215354382</v>
      </c>
      <c r="H2280" s="16">
        <f t="shared" ca="1" si="38"/>
        <v>1369</v>
      </c>
    </row>
    <row r="2281" spans="4:8" ht="15" thickBot="1" x14ac:dyDescent="0.35">
      <c r="D2281" s="20">
        <v>145</v>
      </c>
      <c r="E2281" s="20">
        <v>3850</v>
      </c>
      <c r="F2281" s="20">
        <v>250</v>
      </c>
      <c r="G2281" s="20">
        <v>0.22154948402834668</v>
      </c>
      <c r="H2281" s="16">
        <f t="shared" ca="1" si="38"/>
        <v>323</v>
      </c>
    </row>
    <row r="2282" spans="4:8" ht="15" thickBot="1" x14ac:dyDescent="0.35">
      <c r="D2282" s="20">
        <v>1483</v>
      </c>
      <c r="E2282" s="20">
        <v>5150</v>
      </c>
      <c r="F2282" s="20">
        <v>2750</v>
      </c>
      <c r="G2282" s="20">
        <v>0.35850294186069531</v>
      </c>
      <c r="H2282" s="16">
        <f t="shared" ca="1" si="38"/>
        <v>250</v>
      </c>
    </row>
    <row r="2283" spans="4:8" ht="15" thickBot="1" x14ac:dyDescent="0.35">
      <c r="D2283" s="20">
        <v>1273</v>
      </c>
      <c r="E2283" s="20">
        <v>50</v>
      </c>
      <c r="F2283" s="20">
        <v>2450</v>
      </c>
      <c r="G2283" s="20">
        <v>0.34367829083788776</v>
      </c>
      <c r="H2283" s="16">
        <f t="shared" ca="1" si="38"/>
        <v>876</v>
      </c>
    </row>
    <row r="2284" spans="4:8" ht="15" thickBot="1" x14ac:dyDescent="0.35">
      <c r="D2284" s="20">
        <v>2675</v>
      </c>
      <c r="E2284" s="20">
        <v>2450</v>
      </c>
      <c r="F2284" s="20">
        <v>5050</v>
      </c>
      <c r="G2284" s="20">
        <v>0.48523603461674325</v>
      </c>
      <c r="H2284" s="16">
        <f t="shared" ca="1" si="38"/>
        <v>477</v>
      </c>
    </row>
    <row r="2285" spans="4:8" ht="15" thickBot="1" x14ac:dyDescent="0.35">
      <c r="D2285" s="20">
        <v>300</v>
      </c>
      <c r="E2285" s="20">
        <v>3450</v>
      </c>
      <c r="F2285" s="20">
        <v>550</v>
      </c>
      <c r="G2285" s="20">
        <v>0.25300971324391319</v>
      </c>
      <c r="H2285" s="16">
        <f t="shared" ca="1" si="38"/>
        <v>53</v>
      </c>
    </row>
    <row r="2286" spans="4:8" ht="15" thickBot="1" x14ac:dyDescent="0.35">
      <c r="D2286" s="20">
        <v>2345</v>
      </c>
      <c r="E2286" s="20">
        <v>1250</v>
      </c>
      <c r="F2286" s="20">
        <v>4450</v>
      </c>
      <c r="G2286" s="20">
        <v>0.42947003025290686</v>
      </c>
      <c r="H2286" s="16">
        <f t="shared" ca="1" si="38"/>
        <v>1713</v>
      </c>
    </row>
    <row r="2287" spans="4:8" ht="15" thickBot="1" x14ac:dyDescent="0.35">
      <c r="D2287" s="20">
        <v>2683</v>
      </c>
      <c r="E2287" s="20">
        <v>3250</v>
      </c>
      <c r="F2287" s="20">
        <v>5050</v>
      </c>
      <c r="G2287" s="20">
        <v>0.48693620936031795</v>
      </c>
      <c r="H2287" s="16">
        <f t="shared" ca="1" si="38"/>
        <v>650</v>
      </c>
    </row>
    <row r="2288" spans="4:8" ht="15" thickBot="1" x14ac:dyDescent="0.35">
      <c r="D2288" s="20">
        <v>1032</v>
      </c>
      <c r="E2288" s="20">
        <v>2450</v>
      </c>
      <c r="F2288" s="20">
        <v>1950</v>
      </c>
      <c r="G2288" s="20">
        <v>0.32429367075784976</v>
      </c>
      <c r="H2288" s="16">
        <f t="shared" ca="1" si="38"/>
        <v>278</v>
      </c>
    </row>
    <row r="2289" spans="4:8" ht="15" thickBot="1" x14ac:dyDescent="0.35">
      <c r="D2289" s="20">
        <v>1426</v>
      </c>
      <c r="E2289" s="20">
        <v>4750</v>
      </c>
      <c r="F2289" s="20">
        <v>2650</v>
      </c>
      <c r="G2289" s="20">
        <v>0.35463756452303852</v>
      </c>
      <c r="H2289" s="16">
        <f t="shared" ca="1" si="38"/>
        <v>1902</v>
      </c>
    </row>
    <row r="2290" spans="4:8" ht="15" thickBot="1" x14ac:dyDescent="0.35">
      <c r="D2290" s="20">
        <v>2604</v>
      </c>
      <c r="E2290" s="20">
        <v>650</v>
      </c>
      <c r="F2290" s="20">
        <v>4950</v>
      </c>
      <c r="G2290" s="20">
        <v>0.46580999215435831</v>
      </c>
      <c r="H2290" s="16">
        <f t="shared" ca="1" si="38"/>
        <v>161</v>
      </c>
    </row>
    <row r="2291" spans="4:8" ht="15" thickBot="1" x14ac:dyDescent="0.35">
      <c r="D2291" s="20">
        <v>2128</v>
      </c>
      <c r="E2291" s="20">
        <v>750</v>
      </c>
      <c r="F2291" s="20">
        <v>4050</v>
      </c>
      <c r="G2291" s="20">
        <v>0.40851935803765799</v>
      </c>
      <c r="H2291" s="16">
        <f t="shared" ca="1" si="38"/>
        <v>2031</v>
      </c>
    </row>
    <row r="2292" spans="4:8" ht="15" thickBot="1" x14ac:dyDescent="0.35">
      <c r="D2292" s="20">
        <v>2661</v>
      </c>
      <c r="E2292" s="20">
        <v>1050</v>
      </c>
      <c r="F2292" s="20">
        <v>5050</v>
      </c>
      <c r="G2292" s="20">
        <v>0.48061167002971961</v>
      </c>
      <c r="H2292" s="16">
        <f t="shared" ca="1" si="38"/>
        <v>532</v>
      </c>
    </row>
    <row r="2293" spans="4:8" ht="15" thickBot="1" x14ac:dyDescent="0.35">
      <c r="D2293" s="20">
        <v>1123</v>
      </c>
      <c r="E2293" s="20">
        <v>950</v>
      </c>
      <c r="F2293" s="20">
        <v>2150</v>
      </c>
      <c r="G2293" s="20">
        <v>0.33195779706046413</v>
      </c>
      <c r="H2293" s="16">
        <f t="shared" ca="1" si="38"/>
        <v>1359</v>
      </c>
    </row>
    <row r="2294" spans="4:8" ht="15" thickBot="1" x14ac:dyDescent="0.35">
      <c r="D2294" s="20">
        <v>831</v>
      </c>
      <c r="E2294" s="20">
        <v>3550</v>
      </c>
      <c r="F2294" s="20">
        <v>1550</v>
      </c>
      <c r="G2294" s="20">
        <v>0.30883540568922668</v>
      </c>
      <c r="H2294" s="16">
        <f t="shared" ca="1" si="38"/>
        <v>1678</v>
      </c>
    </row>
    <row r="2295" spans="4:8" ht="15" thickBot="1" x14ac:dyDescent="0.35">
      <c r="D2295" s="20">
        <v>2424</v>
      </c>
      <c r="E2295" s="20">
        <v>3850</v>
      </c>
      <c r="F2295" s="20">
        <v>4550</v>
      </c>
      <c r="G2295" s="20">
        <v>0.43789596712563628</v>
      </c>
      <c r="H2295" s="16">
        <f t="shared" ca="1" si="38"/>
        <v>1474</v>
      </c>
    </row>
    <row r="2296" spans="4:8" ht="15" thickBot="1" x14ac:dyDescent="0.35">
      <c r="D2296" s="20">
        <v>2250</v>
      </c>
      <c r="E2296" s="20">
        <v>2350</v>
      </c>
      <c r="F2296" s="20">
        <v>4250</v>
      </c>
      <c r="G2296" s="20">
        <v>0.42036970574808807</v>
      </c>
      <c r="H2296" s="16">
        <f t="shared" ca="1" si="38"/>
        <v>2603</v>
      </c>
    </row>
    <row r="2297" spans="4:8" ht="15" thickBot="1" x14ac:dyDescent="0.35">
      <c r="D2297" s="20">
        <v>1191</v>
      </c>
      <c r="E2297" s="20">
        <v>2450</v>
      </c>
      <c r="F2297" s="20">
        <v>2250</v>
      </c>
      <c r="G2297" s="20">
        <v>0.33719644834270995</v>
      </c>
      <c r="H2297" s="16">
        <f t="shared" ca="1" si="38"/>
        <v>1920</v>
      </c>
    </row>
    <row r="2298" spans="4:8" ht="15" thickBot="1" x14ac:dyDescent="0.35">
      <c r="D2298" s="20">
        <v>2205</v>
      </c>
      <c r="E2298" s="20">
        <v>3150</v>
      </c>
      <c r="F2298" s="20">
        <v>4150</v>
      </c>
      <c r="G2298" s="20">
        <v>0.41528529921701191</v>
      </c>
      <c r="H2298" s="16">
        <f t="shared" ca="1" si="38"/>
        <v>516</v>
      </c>
    </row>
    <row r="2299" spans="4:8" ht="15" thickBot="1" x14ac:dyDescent="0.35">
      <c r="D2299" s="20">
        <v>710</v>
      </c>
      <c r="E2299" s="20">
        <v>2050</v>
      </c>
      <c r="F2299" s="20">
        <v>1350</v>
      </c>
      <c r="G2299" s="20">
        <v>0.29909764937460298</v>
      </c>
      <c r="H2299" s="16">
        <f t="shared" ca="1" si="38"/>
        <v>1685</v>
      </c>
    </row>
    <row r="2300" spans="4:8" ht="15" thickBot="1" x14ac:dyDescent="0.35">
      <c r="D2300" s="20">
        <v>843</v>
      </c>
      <c r="E2300" s="20">
        <v>4750</v>
      </c>
      <c r="F2300" s="20">
        <v>1550</v>
      </c>
      <c r="G2300" s="20">
        <v>0.30966517363969942</v>
      </c>
      <c r="H2300" s="16">
        <f t="shared" ca="1" si="38"/>
        <v>2203</v>
      </c>
    </row>
    <row r="2301" spans="4:8" ht="15" thickBot="1" x14ac:dyDescent="0.35">
      <c r="D2301" s="20">
        <v>2453</v>
      </c>
      <c r="E2301" s="20">
        <v>1450</v>
      </c>
      <c r="F2301" s="20">
        <v>4650</v>
      </c>
      <c r="G2301" s="20">
        <v>0.44090692289949196</v>
      </c>
      <c r="H2301" s="16">
        <f t="shared" ca="1" si="38"/>
        <v>2608</v>
      </c>
    </row>
    <row r="2302" spans="4:8" ht="15" thickBot="1" x14ac:dyDescent="0.35">
      <c r="D2302" s="20">
        <v>157</v>
      </c>
      <c r="E2302" s="20">
        <v>5050</v>
      </c>
      <c r="F2302" s="20">
        <v>250</v>
      </c>
      <c r="G2302" s="20">
        <v>0.22366228745933212</v>
      </c>
      <c r="H2302" s="16">
        <f t="shared" ca="1" si="38"/>
        <v>206</v>
      </c>
    </row>
    <row r="2303" spans="4:8" ht="15" thickBot="1" x14ac:dyDescent="0.35">
      <c r="D2303" s="20">
        <v>2105</v>
      </c>
      <c r="E2303" s="20">
        <v>3750</v>
      </c>
      <c r="F2303" s="20">
        <v>3950</v>
      </c>
      <c r="G2303" s="20">
        <v>0.40642961200752048</v>
      </c>
      <c r="H2303" s="16">
        <f t="shared" ca="1" si="38"/>
        <v>469</v>
      </c>
    </row>
    <row r="2304" spans="4:8" ht="15" thickBot="1" x14ac:dyDescent="0.35">
      <c r="D2304" s="20">
        <v>2147</v>
      </c>
      <c r="E2304" s="20">
        <v>2650</v>
      </c>
      <c r="F2304" s="20">
        <v>4050</v>
      </c>
      <c r="G2304" s="20">
        <v>0.41022510022567182</v>
      </c>
      <c r="H2304" s="16">
        <f t="shared" ca="1" si="38"/>
        <v>2613</v>
      </c>
    </row>
    <row r="2305" spans="4:8" ht="15" thickBot="1" x14ac:dyDescent="0.35">
      <c r="D2305" s="20">
        <v>1728</v>
      </c>
      <c r="E2305" s="20">
        <v>3150</v>
      </c>
      <c r="F2305" s="20">
        <v>3250</v>
      </c>
      <c r="G2305" s="20">
        <v>0.37620114915815112</v>
      </c>
      <c r="H2305" s="16">
        <f t="shared" ca="1" si="38"/>
        <v>2518</v>
      </c>
    </row>
    <row r="2306" spans="4:8" ht="15" thickBot="1" x14ac:dyDescent="0.35">
      <c r="D2306" s="20">
        <v>763</v>
      </c>
      <c r="E2306" s="20">
        <v>2050</v>
      </c>
      <c r="F2306" s="20">
        <v>1450</v>
      </c>
      <c r="G2306" s="20">
        <v>0.30305320518450696</v>
      </c>
      <c r="H2306" s="16">
        <f t="shared" ca="1" si="38"/>
        <v>2282</v>
      </c>
    </row>
    <row r="2307" spans="4:8" ht="15" thickBot="1" x14ac:dyDescent="0.35">
      <c r="D2307" s="20">
        <v>1986</v>
      </c>
      <c r="E2307" s="20">
        <v>2450</v>
      </c>
      <c r="F2307" s="20">
        <v>3750</v>
      </c>
      <c r="G2307" s="20">
        <v>0.39474505332272058</v>
      </c>
      <c r="H2307" s="16">
        <f t="shared" ca="1" si="38"/>
        <v>476</v>
      </c>
    </row>
    <row r="2308" spans="4:8" ht="15" thickBot="1" x14ac:dyDescent="0.35">
      <c r="D2308" s="20">
        <v>2061</v>
      </c>
      <c r="E2308" s="20">
        <v>4650</v>
      </c>
      <c r="F2308" s="20">
        <v>3850</v>
      </c>
      <c r="G2308" s="20">
        <v>0.40180096079946442</v>
      </c>
      <c r="H2308" s="16">
        <f t="shared" ca="1" si="38"/>
        <v>937</v>
      </c>
    </row>
    <row r="2309" spans="4:8" ht="15" thickBot="1" x14ac:dyDescent="0.35">
      <c r="D2309" s="20">
        <v>1231</v>
      </c>
      <c r="E2309" s="20">
        <v>1150</v>
      </c>
      <c r="F2309" s="20">
        <v>2350</v>
      </c>
      <c r="G2309" s="20">
        <v>0.34025389851501192</v>
      </c>
      <c r="H2309" s="16">
        <f t="shared" ca="1" si="38"/>
        <v>64</v>
      </c>
    </row>
    <row r="2310" spans="4:8" ht="15" thickBot="1" x14ac:dyDescent="0.35">
      <c r="D2310" s="20">
        <v>575</v>
      </c>
      <c r="E2310" s="20">
        <v>4450</v>
      </c>
      <c r="F2310" s="20">
        <v>1050</v>
      </c>
      <c r="G2310" s="20">
        <v>0.28645337776124763</v>
      </c>
      <c r="H2310" s="16">
        <f t="shared" ca="1" si="38"/>
        <v>2309</v>
      </c>
    </row>
    <row r="2311" spans="4:8" ht="15" thickBot="1" x14ac:dyDescent="0.35">
      <c r="D2311" s="20">
        <v>1144</v>
      </c>
      <c r="E2311" s="20">
        <v>3050</v>
      </c>
      <c r="F2311" s="20">
        <v>2150</v>
      </c>
      <c r="G2311" s="20">
        <v>0.33375728006195643</v>
      </c>
      <c r="H2311" s="16">
        <f t="shared" ref="H2311:H2374" ca="1" si="39">RANDBETWEEN(1,2788)</f>
        <v>2160</v>
      </c>
    </row>
    <row r="2312" spans="4:8" ht="15" thickBot="1" x14ac:dyDescent="0.35">
      <c r="D2312" s="20">
        <v>1980</v>
      </c>
      <c r="E2312" s="20">
        <v>1850</v>
      </c>
      <c r="F2312" s="20">
        <v>3750</v>
      </c>
      <c r="G2312" s="20">
        <v>0.39427313257237312</v>
      </c>
      <c r="H2312" s="16">
        <f t="shared" ca="1" si="39"/>
        <v>818</v>
      </c>
    </row>
    <row r="2313" spans="4:8" ht="15" thickBot="1" x14ac:dyDescent="0.35">
      <c r="D2313" s="20">
        <v>1609</v>
      </c>
      <c r="E2313" s="20">
        <v>1850</v>
      </c>
      <c r="F2313" s="20">
        <v>3050</v>
      </c>
      <c r="G2313" s="20">
        <v>0.36756318602848603</v>
      </c>
      <c r="H2313" s="16">
        <f t="shared" ca="1" si="39"/>
        <v>1156</v>
      </c>
    </row>
    <row r="2314" spans="4:8" ht="15" thickBot="1" x14ac:dyDescent="0.35">
      <c r="D2314" s="20">
        <v>349</v>
      </c>
      <c r="E2314" s="20">
        <v>3050</v>
      </c>
      <c r="F2314" s="20">
        <v>650</v>
      </c>
      <c r="G2314" s="20">
        <v>0.26081139093506367</v>
      </c>
      <c r="H2314" s="16">
        <f t="shared" ca="1" si="39"/>
        <v>2567</v>
      </c>
    </row>
    <row r="2315" spans="4:8" ht="15" thickBot="1" x14ac:dyDescent="0.35">
      <c r="D2315" s="20">
        <v>121</v>
      </c>
      <c r="E2315" s="20">
        <v>1450</v>
      </c>
      <c r="F2315" s="20">
        <v>250</v>
      </c>
      <c r="G2315" s="20">
        <v>0.21587150988463366</v>
      </c>
      <c r="H2315" s="16">
        <f t="shared" ca="1" si="39"/>
        <v>201</v>
      </c>
    </row>
    <row r="2316" spans="4:8" ht="15" thickBot="1" x14ac:dyDescent="0.35">
      <c r="D2316" s="20">
        <v>31</v>
      </c>
      <c r="E2316" s="20">
        <v>3050</v>
      </c>
      <c r="F2316" s="20">
        <v>50</v>
      </c>
      <c r="G2316" s="20">
        <v>0.17586860715297528</v>
      </c>
      <c r="H2316" s="16">
        <f t="shared" ca="1" si="39"/>
        <v>2554</v>
      </c>
    </row>
    <row r="2317" spans="4:8" ht="15" thickBot="1" x14ac:dyDescent="0.35">
      <c r="D2317" s="20">
        <v>2253</v>
      </c>
      <c r="E2317" s="20">
        <v>2650</v>
      </c>
      <c r="F2317" s="20">
        <v>4250</v>
      </c>
      <c r="G2317" s="20">
        <v>0.4206273544036252</v>
      </c>
      <c r="H2317" s="16">
        <f t="shared" ca="1" si="39"/>
        <v>1475</v>
      </c>
    </row>
    <row r="2318" spans="4:8" ht="15" thickBot="1" x14ac:dyDescent="0.35">
      <c r="D2318" s="20">
        <v>1675</v>
      </c>
      <c r="E2318" s="20">
        <v>3150</v>
      </c>
      <c r="F2318" s="20">
        <v>3150</v>
      </c>
      <c r="G2318" s="20">
        <v>0.37204908703641221</v>
      </c>
      <c r="H2318" s="16">
        <f t="shared" ca="1" si="39"/>
        <v>623</v>
      </c>
    </row>
    <row r="2319" spans="4:8" ht="15" thickBot="1" x14ac:dyDescent="0.35">
      <c r="D2319" s="20">
        <v>1435</v>
      </c>
      <c r="E2319" s="20">
        <v>350</v>
      </c>
      <c r="F2319" s="20">
        <v>2750</v>
      </c>
      <c r="G2319" s="20">
        <v>0.3552032608019326</v>
      </c>
      <c r="H2319" s="16">
        <f t="shared" ca="1" si="39"/>
        <v>1791</v>
      </c>
    </row>
    <row r="2320" spans="4:8" ht="15" thickBot="1" x14ac:dyDescent="0.35">
      <c r="D2320" s="20">
        <v>329</v>
      </c>
      <c r="E2320" s="20">
        <v>1050</v>
      </c>
      <c r="F2320" s="20">
        <v>650</v>
      </c>
      <c r="G2320" s="20">
        <v>0.25813107723138645</v>
      </c>
      <c r="H2320" s="16">
        <f t="shared" ca="1" si="39"/>
        <v>2669</v>
      </c>
    </row>
    <row r="2321" spans="4:8" ht="15" thickBot="1" x14ac:dyDescent="0.35">
      <c r="D2321" s="20">
        <v>1580</v>
      </c>
      <c r="E2321" s="20">
        <v>4250</v>
      </c>
      <c r="F2321" s="20">
        <v>2950</v>
      </c>
      <c r="G2321" s="20">
        <v>0.3653756257591238</v>
      </c>
      <c r="H2321" s="16">
        <f t="shared" ca="1" si="39"/>
        <v>280</v>
      </c>
    </row>
    <row r="2322" spans="4:8" ht="15" thickBot="1" x14ac:dyDescent="0.35">
      <c r="D2322" s="20">
        <v>1012</v>
      </c>
      <c r="E2322" s="20">
        <v>450</v>
      </c>
      <c r="F2322" s="20">
        <v>1950</v>
      </c>
      <c r="G2322" s="20">
        <v>0.32296766597121479</v>
      </c>
      <c r="H2322" s="16">
        <f t="shared" ca="1" si="39"/>
        <v>2358</v>
      </c>
    </row>
    <row r="2323" spans="4:8" ht="15" thickBot="1" x14ac:dyDescent="0.35">
      <c r="D2323" s="20">
        <v>25</v>
      </c>
      <c r="E2323" s="20">
        <v>2450</v>
      </c>
      <c r="F2323" s="20">
        <v>50</v>
      </c>
      <c r="G2323" s="20">
        <v>0.16850348717082814</v>
      </c>
      <c r="H2323" s="16">
        <f t="shared" ca="1" si="39"/>
        <v>249</v>
      </c>
    </row>
    <row r="2324" spans="4:8" ht="15" thickBot="1" x14ac:dyDescent="0.35">
      <c r="D2324" s="20">
        <v>357</v>
      </c>
      <c r="E2324" s="20">
        <v>3850</v>
      </c>
      <c r="F2324" s="20">
        <v>650</v>
      </c>
      <c r="G2324" s="20">
        <v>0.26168042823398407</v>
      </c>
      <c r="H2324" s="16">
        <f t="shared" ca="1" si="39"/>
        <v>1259</v>
      </c>
    </row>
    <row r="2325" spans="4:8" ht="15" thickBot="1" x14ac:dyDescent="0.35">
      <c r="D2325" s="20">
        <v>2030</v>
      </c>
      <c r="E2325" s="20">
        <v>1550</v>
      </c>
      <c r="F2325" s="20">
        <v>3850</v>
      </c>
      <c r="G2325" s="20">
        <v>0.39782407931408498</v>
      </c>
      <c r="H2325" s="16">
        <f t="shared" ca="1" si="39"/>
        <v>1079</v>
      </c>
    </row>
    <row r="2326" spans="4:8" ht="15" thickBot="1" x14ac:dyDescent="0.35">
      <c r="D2326" s="20">
        <v>1556</v>
      </c>
      <c r="E2326" s="20">
        <v>1850</v>
      </c>
      <c r="F2326" s="20">
        <v>2950</v>
      </c>
      <c r="G2326" s="20">
        <v>0.36388597199112166</v>
      </c>
      <c r="H2326" s="16">
        <f t="shared" ca="1" si="39"/>
        <v>1890</v>
      </c>
    </row>
    <row r="2327" spans="4:8" ht="15" thickBot="1" x14ac:dyDescent="0.35">
      <c r="D2327" s="20">
        <v>777</v>
      </c>
      <c r="E2327" s="20">
        <v>3450</v>
      </c>
      <c r="F2327" s="20">
        <v>1450</v>
      </c>
      <c r="G2327" s="20">
        <v>0.30446850089725702</v>
      </c>
      <c r="H2327" s="16">
        <f t="shared" ca="1" si="39"/>
        <v>835</v>
      </c>
    </row>
    <row r="2328" spans="4:8" ht="15" thickBot="1" x14ac:dyDescent="0.35">
      <c r="D2328" s="20">
        <v>429</v>
      </c>
      <c r="E2328" s="47">
        <v>450</v>
      </c>
      <c r="F2328" s="47">
        <v>850</v>
      </c>
      <c r="G2328" s="20">
        <v>0.27112125680531945</v>
      </c>
      <c r="H2328" s="16">
        <f t="shared" ca="1" si="39"/>
        <v>2152</v>
      </c>
    </row>
    <row r="2329" spans="4:8" ht="15" thickBot="1" x14ac:dyDescent="0.35">
      <c r="D2329" s="20">
        <v>1749</v>
      </c>
      <c r="E2329" s="20">
        <v>5250</v>
      </c>
      <c r="F2329" s="20">
        <v>3250</v>
      </c>
      <c r="G2329" s="20">
        <v>0.37771705115795073</v>
      </c>
      <c r="H2329" s="16">
        <f t="shared" ca="1" si="39"/>
        <v>1881</v>
      </c>
    </row>
    <row r="2330" spans="4:8" ht="15" thickBot="1" x14ac:dyDescent="0.35">
      <c r="D2330" s="20">
        <v>928</v>
      </c>
      <c r="E2330" s="20">
        <v>2650</v>
      </c>
      <c r="F2330" s="20">
        <v>1750</v>
      </c>
      <c r="G2330" s="20">
        <v>0.31692863735776061</v>
      </c>
      <c r="H2330" s="16">
        <f t="shared" ca="1" si="39"/>
        <v>2155</v>
      </c>
    </row>
    <row r="2331" spans="4:8" ht="15" thickBot="1" x14ac:dyDescent="0.35">
      <c r="D2331" s="20">
        <v>2330</v>
      </c>
      <c r="E2331" s="20">
        <v>5050</v>
      </c>
      <c r="F2331" s="20">
        <v>4350</v>
      </c>
      <c r="G2331" s="20">
        <v>0.42824216674740356</v>
      </c>
      <c r="H2331" s="16">
        <f t="shared" ca="1" si="39"/>
        <v>22</v>
      </c>
    </row>
    <row r="2332" spans="4:8" ht="15" thickBot="1" x14ac:dyDescent="0.35">
      <c r="D2332" s="20">
        <v>1143</v>
      </c>
      <c r="E2332" s="20">
        <v>2950</v>
      </c>
      <c r="F2332" s="20">
        <v>2150</v>
      </c>
      <c r="G2332" s="20">
        <v>0.33373400513146956</v>
      </c>
      <c r="H2332" s="16">
        <f t="shared" ca="1" si="39"/>
        <v>1867</v>
      </c>
    </row>
    <row r="2333" spans="4:8" ht="15" thickBot="1" x14ac:dyDescent="0.35">
      <c r="D2333" s="20">
        <v>2513</v>
      </c>
      <c r="E2333" s="20">
        <v>2150</v>
      </c>
      <c r="F2333" s="20">
        <v>4750</v>
      </c>
      <c r="G2333" s="20">
        <v>0.44903239474777451</v>
      </c>
      <c r="H2333" s="16">
        <f t="shared" ca="1" si="39"/>
        <v>2599</v>
      </c>
    </row>
    <row r="2334" spans="4:8" ht="15" thickBot="1" x14ac:dyDescent="0.35">
      <c r="D2334" s="20">
        <v>835</v>
      </c>
      <c r="E2334" s="20">
        <v>3950</v>
      </c>
      <c r="F2334" s="20">
        <v>1550</v>
      </c>
      <c r="G2334" s="20">
        <v>0.30913965278594646</v>
      </c>
      <c r="H2334" s="16">
        <f t="shared" ca="1" si="39"/>
        <v>2009</v>
      </c>
    </row>
    <row r="2335" spans="4:8" ht="15" thickBot="1" x14ac:dyDescent="0.35">
      <c r="D2335" s="20">
        <v>2314</v>
      </c>
      <c r="E2335" s="20">
        <v>3450</v>
      </c>
      <c r="F2335" s="20">
        <v>4350</v>
      </c>
      <c r="G2335" s="20">
        <v>0.42606570025728968</v>
      </c>
      <c r="H2335" s="16">
        <f t="shared" ca="1" si="39"/>
        <v>870</v>
      </c>
    </row>
    <row r="2336" spans="4:8" ht="15" thickBot="1" x14ac:dyDescent="0.35">
      <c r="D2336" s="20">
        <v>1890</v>
      </c>
      <c r="E2336" s="20">
        <v>3450</v>
      </c>
      <c r="F2336" s="20">
        <v>3550</v>
      </c>
      <c r="G2336" s="20">
        <v>0.3878783603999888</v>
      </c>
      <c r="H2336" s="16">
        <f t="shared" ca="1" si="39"/>
        <v>1316</v>
      </c>
    </row>
    <row r="2337" spans="4:8" ht="15" thickBot="1" x14ac:dyDescent="0.35">
      <c r="D2337" s="20">
        <v>2526</v>
      </c>
      <c r="E2337" s="20">
        <v>3450</v>
      </c>
      <c r="F2337" s="20">
        <v>4750</v>
      </c>
      <c r="G2337" s="20">
        <v>0.4502832870650163</v>
      </c>
      <c r="H2337" s="16">
        <f t="shared" ca="1" si="39"/>
        <v>755</v>
      </c>
    </row>
    <row r="2338" spans="4:8" ht="15" thickBot="1" x14ac:dyDescent="0.35">
      <c r="D2338" s="20">
        <v>2637</v>
      </c>
      <c r="E2338" s="20">
        <v>3950</v>
      </c>
      <c r="F2338" s="20">
        <v>4950</v>
      </c>
      <c r="G2338" s="20">
        <v>0.47338825735176293</v>
      </c>
      <c r="H2338" s="16">
        <f t="shared" ca="1" si="39"/>
        <v>879</v>
      </c>
    </row>
    <row r="2339" spans="4:8" ht="15" thickBot="1" x14ac:dyDescent="0.35">
      <c r="D2339" s="20">
        <v>586</v>
      </c>
      <c r="E2339" s="44">
        <v>250</v>
      </c>
      <c r="F2339" s="44">
        <v>1150</v>
      </c>
      <c r="G2339" s="20">
        <v>0.28763195394306479</v>
      </c>
      <c r="H2339" s="16">
        <f t="shared" ca="1" si="39"/>
        <v>2190</v>
      </c>
    </row>
    <row r="2340" spans="4:8" ht="15" thickBot="1" x14ac:dyDescent="0.35">
      <c r="D2340" s="20">
        <v>1489</v>
      </c>
      <c r="E2340" s="20">
        <v>450</v>
      </c>
      <c r="F2340" s="20">
        <v>2850</v>
      </c>
      <c r="G2340" s="20">
        <v>0.35885841784853129</v>
      </c>
      <c r="H2340" s="16">
        <f t="shared" ca="1" si="39"/>
        <v>2639</v>
      </c>
    </row>
    <row r="2341" spans="4:8" ht="15" thickBot="1" x14ac:dyDescent="0.35">
      <c r="D2341" s="20">
        <v>271</v>
      </c>
      <c r="E2341" s="20">
        <v>550</v>
      </c>
      <c r="F2341" s="20">
        <v>550</v>
      </c>
      <c r="G2341" s="20">
        <v>0.24900032133945132</v>
      </c>
      <c r="H2341" s="16">
        <f t="shared" ca="1" si="39"/>
        <v>733</v>
      </c>
    </row>
    <row r="2342" spans="4:8" ht="15" thickBot="1" x14ac:dyDescent="0.35">
      <c r="D2342" s="20">
        <v>2635</v>
      </c>
      <c r="E2342" s="20">
        <v>3750</v>
      </c>
      <c r="F2342" s="20">
        <v>4950</v>
      </c>
      <c r="G2342" s="20">
        <v>0.47291435138734383</v>
      </c>
      <c r="H2342" s="16">
        <f t="shared" ca="1" si="39"/>
        <v>1551</v>
      </c>
    </row>
    <row r="2343" spans="4:8" ht="15" thickBot="1" x14ac:dyDescent="0.35">
      <c r="D2343" s="20">
        <v>2417</v>
      </c>
      <c r="E2343" s="20">
        <v>3150</v>
      </c>
      <c r="F2343" s="20">
        <v>4550</v>
      </c>
      <c r="G2343" s="20">
        <v>0.43731941857156492</v>
      </c>
      <c r="H2343" s="16">
        <f t="shared" ca="1" si="39"/>
        <v>439</v>
      </c>
    </row>
    <row r="2344" spans="4:8" ht="15" thickBot="1" x14ac:dyDescent="0.35">
      <c r="D2344" s="20">
        <v>403</v>
      </c>
      <c r="E2344" s="20">
        <v>3150</v>
      </c>
      <c r="F2344" s="20">
        <v>750</v>
      </c>
      <c r="G2344" s="20">
        <v>0.26756479201997513</v>
      </c>
      <c r="H2344" s="16">
        <f t="shared" ca="1" si="39"/>
        <v>2334</v>
      </c>
    </row>
    <row r="2345" spans="4:8" ht="15" thickBot="1" x14ac:dyDescent="0.35">
      <c r="D2345" s="20">
        <v>1195</v>
      </c>
      <c r="E2345" s="20">
        <v>2850</v>
      </c>
      <c r="F2345" s="20">
        <v>2250</v>
      </c>
      <c r="G2345" s="20">
        <v>0.33740171658116741</v>
      </c>
      <c r="H2345" s="16">
        <f t="shared" ca="1" si="39"/>
        <v>168</v>
      </c>
    </row>
    <row r="2346" spans="4:8" ht="15" thickBot="1" x14ac:dyDescent="0.35">
      <c r="D2346" s="20">
        <v>804</v>
      </c>
      <c r="E2346" s="20">
        <v>850</v>
      </c>
      <c r="F2346" s="20">
        <v>1550</v>
      </c>
      <c r="G2346" s="20">
        <v>0.30687668852353528</v>
      </c>
      <c r="H2346" s="16">
        <f t="shared" ca="1" si="39"/>
        <v>1369</v>
      </c>
    </row>
    <row r="2347" spans="4:8" ht="15" thickBot="1" x14ac:dyDescent="0.35">
      <c r="D2347" s="20">
        <v>468</v>
      </c>
      <c r="E2347" s="20">
        <v>4350</v>
      </c>
      <c r="F2347" s="20">
        <v>850</v>
      </c>
      <c r="G2347" s="20">
        <v>0.27584487133501168</v>
      </c>
      <c r="H2347" s="16">
        <f t="shared" ca="1" si="39"/>
        <v>1959</v>
      </c>
    </row>
    <row r="2348" spans="4:8" ht="15" thickBot="1" x14ac:dyDescent="0.35">
      <c r="D2348" s="20">
        <v>683</v>
      </c>
      <c r="E2348" s="20">
        <v>4650</v>
      </c>
      <c r="F2348" s="20">
        <v>1250</v>
      </c>
      <c r="G2348" s="20">
        <v>0.29661475744192456</v>
      </c>
      <c r="H2348" s="16">
        <f t="shared" ca="1" si="39"/>
        <v>11</v>
      </c>
    </row>
    <row r="2349" spans="4:8" ht="15" thickBot="1" x14ac:dyDescent="0.35">
      <c r="D2349" s="20">
        <v>1948</v>
      </c>
      <c r="E2349" s="20">
        <v>3950</v>
      </c>
      <c r="F2349" s="20">
        <v>3650</v>
      </c>
      <c r="G2349" s="20">
        <v>0.39160264158852071</v>
      </c>
      <c r="H2349" s="16">
        <f t="shared" ca="1" si="39"/>
        <v>2105</v>
      </c>
    </row>
    <row r="2350" spans="4:8" ht="15" thickBot="1" x14ac:dyDescent="0.35">
      <c r="D2350" s="20">
        <v>1946</v>
      </c>
      <c r="E2350" s="20">
        <v>3750</v>
      </c>
      <c r="F2350" s="20">
        <v>3650</v>
      </c>
      <c r="G2350" s="20">
        <v>0.39134564913365683</v>
      </c>
      <c r="H2350" s="16">
        <f t="shared" ca="1" si="39"/>
        <v>489</v>
      </c>
    </row>
    <row r="2351" spans="4:8" ht="15" thickBot="1" x14ac:dyDescent="0.35">
      <c r="D2351" s="20">
        <v>2546</v>
      </c>
      <c r="E2351" s="20">
        <v>150</v>
      </c>
      <c r="F2351" s="20">
        <v>4850</v>
      </c>
      <c r="G2351" s="20">
        <v>0.45508946149520707</v>
      </c>
      <c r="H2351" s="16">
        <f t="shared" ca="1" si="39"/>
        <v>575</v>
      </c>
    </row>
    <row r="2352" spans="4:8" ht="15" thickBot="1" x14ac:dyDescent="0.35">
      <c r="D2352" s="20">
        <v>2177</v>
      </c>
      <c r="E2352" s="20">
        <v>350</v>
      </c>
      <c r="F2352" s="20">
        <v>4150</v>
      </c>
      <c r="G2352" s="20">
        <v>0.41255551847873645</v>
      </c>
      <c r="H2352" s="16">
        <f t="shared" ca="1" si="39"/>
        <v>2521</v>
      </c>
    </row>
    <row r="2353" spans="4:8" ht="15" thickBot="1" x14ac:dyDescent="0.35">
      <c r="D2353" s="20">
        <v>891</v>
      </c>
      <c r="E2353" s="20">
        <v>4250</v>
      </c>
      <c r="F2353" s="20">
        <v>1650</v>
      </c>
      <c r="G2353" s="20">
        <v>0.3135315721073122</v>
      </c>
      <c r="H2353" s="16">
        <f t="shared" ca="1" si="39"/>
        <v>1010</v>
      </c>
    </row>
    <row r="2354" spans="4:8" ht="15" thickBot="1" x14ac:dyDescent="0.35">
      <c r="D2354" s="20">
        <v>2617</v>
      </c>
      <c r="E2354" s="20">
        <v>1950</v>
      </c>
      <c r="F2354" s="20">
        <v>4950</v>
      </c>
      <c r="G2354" s="20">
        <v>0.46877249099192991</v>
      </c>
      <c r="H2354" s="16">
        <f t="shared" ca="1" si="39"/>
        <v>1545</v>
      </c>
    </row>
    <row r="2355" spans="4:8" ht="15" thickBot="1" x14ac:dyDescent="0.35">
      <c r="D2355" s="20">
        <v>913</v>
      </c>
      <c r="E2355" s="20">
        <v>1150</v>
      </c>
      <c r="F2355" s="20">
        <v>1750</v>
      </c>
      <c r="G2355" s="20">
        <v>0.3152109561502407</v>
      </c>
      <c r="H2355" s="16">
        <f t="shared" ca="1" si="39"/>
        <v>2252</v>
      </c>
    </row>
    <row r="2356" spans="4:8" ht="15" thickBot="1" x14ac:dyDescent="0.35">
      <c r="D2356" s="20">
        <v>1736</v>
      </c>
      <c r="E2356" s="20">
        <v>3950</v>
      </c>
      <c r="F2356" s="20">
        <v>3250</v>
      </c>
      <c r="G2356" s="20">
        <v>0.37689525069260854</v>
      </c>
      <c r="H2356" s="16">
        <f t="shared" ca="1" si="39"/>
        <v>794</v>
      </c>
    </row>
    <row r="2357" spans="4:8" ht="15" thickBot="1" x14ac:dyDescent="0.35">
      <c r="D2357" s="20">
        <v>277</v>
      </c>
      <c r="E2357" s="20">
        <v>1150</v>
      </c>
      <c r="F2357" s="20">
        <v>550</v>
      </c>
      <c r="G2357" s="20">
        <v>0.24984630380820422</v>
      </c>
      <c r="H2357" s="16">
        <f t="shared" ca="1" si="39"/>
        <v>1448</v>
      </c>
    </row>
    <row r="2358" spans="4:8" ht="15" thickBot="1" x14ac:dyDescent="0.35">
      <c r="D2358" s="20">
        <v>869</v>
      </c>
      <c r="E2358" s="20">
        <v>2050</v>
      </c>
      <c r="F2358" s="20">
        <v>1650</v>
      </c>
      <c r="G2358" s="20">
        <v>0.31186497227734583</v>
      </c>
      <c r="H2358" s="16">
        <f t="shared" ca="1" si="39"/>
        <v>999</v>
      </c>
    </row>
    <row r="2359" spans="4:8" ht="15" thickBot="1" x14ac:dyDescent="0.35">
      <c r="D2359" s="20">
        <v>1047</v>
      </c>
      <c r="E2359" s="20">
        <v>3950</v>
      </c>
      <c r="F2359" s="20">
        <v>1950</v>
      </c>
      <c r="G2359" s="20">
        <v>0.32638342983373814</v>
      </c>
      <c r="H2359" s="16">
        <f t="shared" ca="1" si="39"/>
        <v>2303</v>
      </c>
    </row>
    <row r="2360" spans="4:8" ht="15" thickBot="1" x14ac:dyDescent="0.35">
      <c r="D2360" s="20">
        <v>1035</v>
      </c>
      <c r="E2360" s="20">
        <v>2750</v>
      </c>
      <c r="F2360" s="20">
        <v>1950</v>
      </c>
      <c r="G2360" s="20">
        <v>0.32466364827807287</v>
      </c>
      <c r="H2360" s="16">
        <f t="shared" ca="1" si="39"/>
        <v>1950</v>
      </c>
    </row>
    <row r="2361" spans="4:8" ht="15" thickBot="1" x14ac:dyDescent="0.35">
      <c r="D2361" s="20">
        <v>2133</v>
      </c>
      <c r="E2361" s="48">
        <v>1250</v>
      </c>
      <c r="F2361" s="48">
        <v>4050</v>
      </c>
      <c r="G2361" s="20">
        <v>0.40872467597891671</v>
      </c>
      <c r="H2361" s="16">
        <f t="shared" ca="1" si="39"/>
        <v>1547</v>
      </c>
    </row>
    <row r="2362" spans="4:8" ht="15" thickBot="1" x14ac:dyDescent="0.35">
      <c r="D2362" s="20">
        <v>2727</v>
      </c>
      <c r="E2362" s="20">
        <v>2350</v>
      </c>
      <c r="F2362" s="20">
        <v>5150</v>
      </c>
      <c r="G2362" s="20">
        <v>0.50456033801748834</v>
      </c>
      <c r="H2362" s="16">
        <f t="shared" ca="1" si="39"/>
        <v>1440</v>
      </c>
    </row>
    <row r="2363" spans="4:8" ht="15" thickBot="1" x14ac:dyDescent="0.35">
      <c r="D2363" s="20">
        <v>614</v>
      </c>
      <c r="E2363" s="20">
        <v>3050</v>
      </c>
      <c r="F2363" s="20">
        <v>1150</v>
      </c>
      <c r="G2363" s="20">
        <v>0.28976219449629115</v>
      </c>
      <c r="H2363" s="16">
        <f t="shared" ca="1" si="39"/>
        <v>945</v>
      </c>
    </row>
    <row r="2364" spans="4:8" ht="15" thickBot="1" x14ac:dyDescent="0.35">
      <c r="D2364" s="20">
        <v>2676</v>
      </c>
      <c r="E2364" s="20">
        <v>2550</v>
      </c>
      <c r="F2364" s="20">
        <v>5050</v>
      </c>
      <c r="G2364" s="20">
        <v>0.48545536332410766</v>
      </c>
      <c r="H2364" s="16">
        <f t="shared" ca="1" si="39"/>
        <v>178</v>
      </c>
    </row>
    <row r="2365" spans="4:8" ht="15" thickBot="1" x14ac:dyDescent="0.35">
      <c r="D2365" s="20">
        <v>884</v>
      </c>
      <c r="E2365" s="20">
        <v>3550</v>
      </c>
      <c r="F2365" s="20">
        <v>1650</v>
      </c>
      <c r="G2365" s="20">
        <v>0.31306316368709269</v>
      </c>
      <c r="H2365" s="16">
        <f t="shared" ca="1" si="39"/>
        <v>2203</v>
      </c>
    </row>
    <row r="2366" spans="4:8" ht="15" thickBot="1" x14ac:dyDescent="0.35">
      <c r="D2366" s="20">
        <v>1543</v>
      </c>
      <c r="E2366" s="20">
        <v>550</v>
      </c>
      <c r="F2366" s="20">
        <v>2950</v>
      </c>
      <c r="G2366" s="20">
        <v>0.36321665953297239</v>
      </c>
      <c r="H2366" s="16">
        <f t="shared" ca="1" si="39"/>
        <v>1178</v>
      </c>
    </row>
    <row r="2367" spans="4:8" ht="15" thickBot="1" x14ac:dyDescent="0.35">
      <c r="D2367" s="20">
        <v>2176</v>
      </c>
      <c r="E2367" s="20">
        <v>250</v>
      </c>
      <c r="F2367" s="20">
        <v>4150</v>
      </c>
      <c r="G2367" s="20">
        <v>0.41255122533547572</v>
      </c>
      <c r="H2367" s="16">
        <f t="shared" ca="1" si="39"/>
        <v>1727</v>
      </c>
    </row>
    <row r="2368" spans="4:8" ht="15" thickBot="1" x14ac:dyDescent="0.35">
      <c r="D2368" s="20">
        <v>1106</v>
      </c>
      <c r="E2368" s="20">
        <v>4550</v>
      </c>
      <c r="F2368" s="20">
        <v>2050</v>
      </c>
      <c r="G2368" s="20">
        <v>0.33040637359984387</v>
      </c>
      <c r="H2368" s="16">
        <f t="shared" ca="1" si="39"/>
        <v>1154</v>
      </c>
    </row>
    <row r="2369" spans="4:8" ht="15" thickBot="1" x14ac:dyDescent="0.35">
      <c r="D2369" s="20">
        <v>2094</v>
      </c>
      <c r="E2369" s="20">
        <v>2650</v>
      </c>
      <c r="F2369" s="20">
        <v>3950</v>
      </c>
      <c r="G2369" s="20">
        <v>0.40481486036828995</v>
      </c>
      <c r="H2369" s="16">
        <f t="shared" ca="1" si="39"/>
        <v>1784</v>
      </c>
    </row>
    <row r="2370" spans="4:8" ht="15" thickBot="1" x14ac:dyDescent="0.35">
      <c r="D2370" s="20">
        <v>2696</v>
      </c>
      <c r="E2370" s="20">
        <v>4550</v>
      </c>
      <c r="F2370" s="20">
        <v>5050</v>
      </c>
      <c r="G2370" s="20">
        <v>0.492169227396142</v>
      </c>
      <c r="H2370" s="16">
        <f t="shared" ca="1" si="39"/>
        <v>627</v>
      </c>
    </row>
    <row r="2371" spans="4:8" ht="15" thickBot="1" x14ac:dyDescent="0.35">
      <c r="D2371" s="20">
        <v>2100</v>
      </c>
      <c r="E2371" s="20">
        <v>3250</v>
      </c>
      <c r="F2371" s="20">
        <v>3950</v>
      </c>
      <c r="G2371" s="20">
        <v>0.40555214598308797</v>
      </c>
      <c r="H2371" s="16">
        <f t="shared" ca="1" si="39"/>
        <v>1445</v>
      </c>
    </row>
    <row r="2372" spans="4:8" ht="15" thickBot="1" x14ac:dyDescent="0.35">
      <c r="D2372" s="20">
        <v>1085</v>
      </c>
      <c r="E2372" s="20">
        <v>2450</v>
      </c>
      <c r="F2372" s="20">
        <v>2050</v>
      </c>
      <c r="G2372" s="20">
        <v>0.32926677253686604</v>
      </c>
      <c r="H2372" s="16">
        <f t="shared" ca="1" si="39"/>
        <v>144</v>
      </c>
    </row>
    <row r="2373" spans="4:8" ht="15" thickBot="1" x14ac:dyDescent="0.35">
      <c r="D2373" s="20">
        <v>1247</v>
      </c>
      <c r="E2373" s="20">
        <v>2750</v>
      </c>
      <c r="F2373" s="20">
        <v>2350</v>
      </c>
      <c r="G2373" s="20">
        <v>0.34144996712154146</v>
      </c>
      <c r="H2373" s="16">
        <f t="shared" ca="1" si="39"/>
        <v>2577</v>
      </c>
    </row>
    <row r="2374" spans="4:8" ht="15" thickBot="1" x14ac:dyDescent="0.35">
      <c r="D2374" s="20">
        <v>1909</v>
      </c>
      <c r="E2374" s="48">
        <v>50</v>
      </c>
      <c r="F2374" s="48">
        <v>3650</v>
      </c>
      <c r="G2374" s="20">
        <v>0.38882011421733759</v>
      </c>
      <c r="H2374" s="16">
        <f t="shared" ca="1" si="39"/>
        <v>2031</v>
      </c>
    </row>
    <row r="2375" spans="4:8" ht="15" thickBot="1" x14ac:dyDescent="0.35">
      <c r="D2375" s="20">
        <v>1578</v>
      </c>
      <c r="E2375" s="20">
        <v>4050</v>
      </c>
      <c r="F2375" s="20">
        <v>2950</v>
      </c>
      <c r="G2375" s="20">
        <v>0.36525108305188897</v>
      </c>
      <c r="H2375" s="16">
        <f t="shared" ref="H2375:H2438" ca="1" si="40">RANDBETWEEN(1,2788)</f>
        <v>2750</v>
      </c>
    </row>
    <row r="2376" spans="4:8" ht="15" thickBot="1" x14ac:dyDescent="0.35">
      <c r="D2376" s="20">
        <v>2434</v>
      </c>
      <c r="E2376" s="20">
        <v>4850</v>
      </c>
      <c r="F2376" s="20">
        <v>4550</v>
      </c>
      <c r="G2376" s="20">
        <v>0.43851556219749865</v>
      </c>
      <c r="H2376" s="16">
        <f t="shared" ca="1" si="40"/>
        <v>1221</v>
      </c>
    </row>
    <row r="2377" spans="4:8" ht="15" thickBot="1" x14ac:dyDescent="0.35">
      <c r="D2377" s="20">
        <v>788</v>
      </c>
      <c r="E2377" s="48">
        <v>4550</v>
      </c>
      <c r="F2377" s="48">
        <v>1450</v>
      </c>
      <c r="G2377" s="20">
        <v>0.30572320804613745</v>
      </c>
      <c r="H2377" s="16">
        <f t="shared" ca="1" si="40"/>
        <v>952</v>
      </c>
    </row>
    <row r="2378" spans="4:8" ht="15" thickBot="1" x14ac:dyDescent="0.35">
      <c r="D2378" s="20">
        <v>2627</v>
      </c>
      <c r="E2378" s="20">
        <v>2950</v>
      </c>
      <c r="F2378" s="20">
        <v>4950</v>
      </c>
      <c r="G2378" s="20">
        <v>0.4713512398096642</v>
      </c>
      <c r="H2378" s="16">
        <f t="shared" ca="1" si="40"/>
        <v>2178</v>
      </c>
    </row>
    <row r="2379" spans="4:8" ht="15" thickBot="1" x14ac:dyDescent="0.35">
      <c r="D2379" s="20">
        <v>776</v>
      </c>
      <c r="E2379" s="20">
        <v>3350</v>
      </c>
      <c r="F2379" s="20">
        <v>1450</v>
      </c>
      <c r="G2379" s="20">
        <v>0.30445641195041873</v>
      </c>
      <c r="H2379" s="16">
        <f t="shared" ca="1" si="40"/>
        <v>2355</v>
      </c>
    </row>
    <row r="2380" spans="4:8" ht="15" thickBot="1" x14ac:dyDescent="0.35">
      <c r="D2380" s="20">
        <v>2012</v>
      </c>
      <c r="E2380" s="20">
        <v>5050</v>
      </c>
      <c r="F2380" s="20">
        <v>3750</v>
      </c>
      <c r="G2380" s="20">
        <v>0.39680713951268576</v>
      </c>
      <c r="H2380" s="16">
        <f t="shared" ca="1" si="40"/>
        <v>1522</v>
      </c>
    </row>
    <row r="2381" spans="4:8" ht="15" thickBot="1" x14ac:dyDescent="0.35">
      <c r="D2381" s="20">
        <v>652</v>
      </c>
      <c r="E2381" s="20">
        <v>1550</v>
      </c>
      <c r="F2381" s="20">
        <v>1250</v>
      </c>
      <c r="G2381" s="20">
        <v>0.29388038117330728</v>
      </c>
      <c r="H2381" s="16">
        <f t="shared" ca="1" si="40"/>
        <v>451</v>
      </c>
    </row>
    <row r="2382" spans="4:8" ht="15" thickBot="1" x14ac:dyDescent="0.35">
      <c r="D2382" s="20">
        <v>866</v>
      </c>
      <c r="E2382" s="20">
        <v>1750</v>
      </c>
      <c r="F2382" s="20">
        <v>1650</v>
      </c>
      <c r="G2382" s="20">
        <v>0.31150384288935129</v>
      </c>
      <c r="H2382" s="16">
        <f t="shared" ca="1" si="40"/>
        <v>1406</v>
      </c>
    </row>
    <row r="2383" spans="4:8" ht="15" thickBot="1" x14ac:dyDescent="0.35">
      <c r="D2383" s="20">
        <v>2633</v>
      </c>
      <c r="E2383" s="20">
        <v>3550</v>
      </c>
      <c r="F2383" s="20">
        <v>4950</v>
      </c>
      <c r="G2383" s="20">
        <v>0.47249566347733213</v>
      </c>
      <c r="H2383" s="16">
        <f t="shared" ca="1" si="40"/>
        <v>462</v>
      </c>
    </row>
    <row r="2384" spans="4:8" ht="15" thickBot="1" x14ac:dyDescent="0.35">
      <c r="D2384" s="20">
        <v>1053</v>
      </c>
      <c r="E2384" s="47">
        <v>4550</v>
      </c>
      <c r="F2384" s="47">
        <v>1950</v>
      </c>
      <c r="G2384" s="20">
        <v>0.32681782853450503</v>
      </c>
      <c r="H2384" s="16">
        <f t="shared" ca="1" si="40"/>
        <v>2310</v>
      </c>
    </row>
    <row r="2385" spans="4:8" ht="15" thickBot="1" x14ac:dyDescent="0.35">
      <c r="D2385" s="20">
        <v>1165</v>
      </c>
      <c r="E2385" s="20">
        <v>5150</v>
      </c>
      <c r="F2385" s="20">
        <v>2150</v>
      </c>
      <c r="G2385" s="20">
        <v>0.33518954358551195</v>
      </c>
      <c r="H2385" s="16">
        <f t="shared" ca="1" si="40"/>
        <v>2114</v>
      </c>
    </row>
    <row r="2386" spans="4:8" ht="15" thickBot="1" x14ac:dyDescent="0.35">
      <c r="D2386" s="20">
        <v>2038</v>
      </c>
      <c r="E2386" s="43">
        <v>2350</v>
      </c>
      <c r="F2386" s="43">
        <v>3850</v>
      </c>
      <c r="G2386" s="20">
        <v>0.39823681073227951</v>
      </c>
      <c r="H2386" s="16">
        <f t="shared" ca="1" si="40"/>
        <v>1789</v>
      </c>
    </row>
    <row r="2387" spans="4:8" ht="15" thickBot="1" x14ac:dyDescent="0.35">
      <c r="D2387" s="20">
        <v>1048</v>
      </c>
      <c r="E2387" s="20">
        <v>4050</v>
      </c>
      <c r="F2387" s="20">
        <v>1950</v>
      </c>
      <c r="G2387" s="20">
        <v>0.32640172852741034</v>
      </c>
      <c r="H2387" s="16">
        <f t="shared" ca="1" si="40"/>
        <v>2711</v>
      </c>
    </row>
    <row r="2388" spans="4:8" ht="15" thickBot="1" x14ac:dyDescent="0.35">
      <c r="D2388" s="20">
        <v>514</v>
      </c>
      <c r="E2388" s="20">
        <v>3650</v>
      </c>
      <c r="F2388" s="20">
        <v>950</v>
      </c>
      <c r="G2388" s="20">
        <v>0.27991398159393061</v>
      </c>
      <c r="H2388" s="16">
        <f t="shared" ca="1" si="40"/>
        <v>1574</v>
      </c>
    </row>
    <row r="2389" spans="4:8" ht="15" thickBot="1" x14ac:dyDescent="0.35">
      <c r="D2389" s="20">
        <v>2555</v>
      </c>
      <c r="E2389" s="20">
        <v>1050</v>
      </c>
      <c r="F2389" s="20">
        <v>4850</v>
      </c>
      <c r="G2389" s="20">
        <v>0.45645476459445589</v>
      </c>
      <c r="H2389" s="16">
        <f t="shared" ca="1" si="40"/>
        <v>1604</v>
      </c>
    </row>
    <row r="2390" spans="4:8" ht="15" thickBot="1" x14ac:dyDescent="0.35">
      <c r="D2390" s="20">
        <v>1320</v>
      </c>
      <c r="E2390" s="20">
        <v>4750</v>
      </c>
      <c r="F2390" s="20">
        <v>2450</v>
      </c>
      <c r="G2390" s="20">
        <v>0.34715854409013669</v>
      </c>
      <c r="H2390" s="16">
        <f t="shared" ca="1" si="40"/>
        <v>73</v>
      </c>
    </row>
    <row r="2391" spans="4:8" ht="15" thickBot="1" x14ac:dyDescent="0.35">
      <c r="D2391" s="20">
        <v>2512</v>
      </c>
      <c r="E2391" s="45">
        <v>2050</v>
      </c>
      <c r="F2391" s="45">
        <v>4750</v>
      </c>
      <c r="G2391" s="20">
        <v>0.44892613867611886</v>
      </c>
      <c r="H2391" s="16">
        <f t="shared" ca="1" si="40"/>
        <v>330</v>
      </c>
    </row>
    <row r="2392" spans="4:8" ht="15" thickBot="1" x14ac:dyDescent="0.35">
      <c r="D2392" s="20">
        <v>590</v>
      </c>
      <c r="E2392" s="20">
        <v>650</v>
      </c>
      <c r="F2392" s="20">
        <v>1150</v>
      </c>
      <c r="G2392" s="20">
        <v>0.28801747436261027</v>
      </c>
      <c r="H2392" s="16">
        <f t="shared" ca="1" si="40"/>
        <v>2713</v>
      </c>
    </row>
    <row r="2393" spans="4:8" ht="15" thickBot="1" x14ac:dyDescent="0.35">
      <c r="D2393" s="20">
        <v>2398</v>
      </c>
      <c r="E2393" s="20">
        <v>1250</v>
      </c>
      <c r="F2393" s="20">
        <v>4550</v>
      </c>
      <c r="G2393" s="20">
        <v>0.43515952785032541</v>
      </c>
      <c r="H2393" s="16">
        <f t="shared" ca="1" si="40"/>
        <v>144</v>
      </c>
    </row>
    <row r="2394" spans="4:8" ht="15" thickBot="1" x14ac:dyDescent="0.35">
      <c r="D2394" s="20">
        <v>974</v>
      </c>
      <c r="E2394" s="20">
        <v>1950</v>
      </c>
      <c r="F2394" s="20">
        <v>1850</v>
      </c>
      <c r="G2394" s="20">
        <v>0.32024251112393648</v>
      </c>
      <c r="H2394" s="16">
        <f t="shared" ca="1" si="40"/>
        <v>1947</v>
      </c>
    </row>
    <row r="2395" spans="4:8" ht="15" thickBot="1" x14ac:dyDescent="0.35">
      <c r="D2395" s="20">
        <v>2333</v>
      </c>
      <c r="E2395" s="20">
        <v>50</v>
      </c>
      <c r="F2395" s="20">
        <v>4450</v>
      </c>
      <c r="G2395" s="20">
        <v>0.42854343925680605</v>
      </c>
      <c r="H2395" s="16">
        <f t="shared" ca="1" si="40"/>
        <v>608</v>
      </c>
    </row>
    <row r="2396" spans="4:8" ht="15" thickBot="1" x14ac:dyDescent="0.35">
      <c r="D2396" s="20">
        <v>1282</v>
      </c>
      <c r="E2396" s="20">
        <v>950</v>
      </c>
      <c r="F2396" s="20">
        <v>2450</v>
      </c>
      <c r="G2396" s="20">
        <v>0.34446669417832554</v>
      </c>
      <c r="H2396" s="16">
        <f t="shared" ca="1" si="40"/>
        <v>810</v>
      </c>
    </row>
    <row r="2397" spans="4:8" ht="15" thickBot="1" x14ac:dyDescent="0.35">
      <c r="D2397" s="20">
        <v>1011</v>
      </c>
      <c r="E2397" s="20">
        <v>350</v>
      </c>
      <c r="F2397" s="20">
        <v>1950</v>
      </c>
      <c r="G2397" s="20">
        <v>0.32296321915960319</v>
      </c>
      <c r="H2397" s="16">
        <f t="shared" ca="1" si="40"/>
        <v>1269</v>
      </c>
    </row>
    <row r="2398" spans="4:8" ht="15" thickBot="1" x14ac:dyDescent="0.35">
      <c r="D2398" s="20">
        <v>1610</v>
      </c>
      <c r="E2398" s="20">
        <v>1950</v>
      </c>
      <c r="F2398" s="20">
        <v>3050</v>
      </c>
      <c r="G2398" s="20">
        <v>0.36770245041616295</v>
      </c>
      <c r="H2398" s="16">
        <f t="shared" ca="1" si="40"/>
        <v>2493</v>
      </c>
    </row>
    <row r="2399" spans="4:8" ht="15" thickBot="1" x14ac:dyDescent="0.35">
      <c r="D2399" s="20">
        <v>849</v>
      </c>
      <c r="E2399" s="20">
        <v>50</v>
      </c>
      <c r="F2399" s="20">
        <v>1650</v>
      </c>
      <c r="G2399" s="20">
        <v>0.31031511581429</v>
      </c>
      <c r="H2399" s="16">
        <f t="shared" ca="1" si="40"/>
        <v>203</v>
      </c>
    </row>
    <row r="2400" spans="4:8" ht="15" thickBot="1" x14ac:dyDescent="0.35">
      <c r="D2400" s="20">
        <v>1314</v>
      </c>
      <c r="E2400" s="48">
        <v>4150</v>
      </c>
      <c r="F2400" s="48">
        <v>2450</v>
      </c>
      <c r="G2400" s="20">
        <v>0.34655797674087524</v>
      </c>
      <c r="H2400" s="16">
        <f t="shared" ca="1" si="40"/>
        <v>250</v>
      </c>
    </row>
    <row r="2401" spans="4:8" ht="15" thickBot="1" x14ac:dyDescent="0.35">
      <c r="D2401" s="20">
        <v>2408</v>
      </c>
      <c r="E2401" s="20">
        <v>2250</v>
      </c>
      <c r="F2401" s="20">
        <v>4550</v>
      </c>
      <c r="G2401" s="20">
        <v>0.43568789175963135</v>
      </c>
      <c r="H2401" s="16">
        <f t="shared" ca="1" si="40"/>
        <v>1151</v>
      </c>
    </row>
    <row r="2402" spans="4:8" ht="15" thickBot="1" x14ac:dyDescent="0.35">
      <c r="D2402" s="20">
        <v>1714</v>
      </c>
      <c r="E2402" s="20">
        <v>1750</v>
      </c>
      <c r="F2402" s="20">
        <v>3250</v>
      </c>
      <c r="G2402" s="20">
        <v>0.37542150698603144</v>
      </c>
      <c r="H2402" s="16">
        <f t="shared" ca="1" si="40"/>
        <v>2444</v>
      </c>
    </row>
    <row r="2403" spans="4:8" ht="15" thickBot="1" x14ac:dyDescent="0.35">
      <c r="D2403" s="20">
        <v>2438</v>
      </c>
      <c r="E2403" s="20">
        <v>5250</v>
      </c>
      <c r="F2403" s="20">
        <v>4550</v>
      </c>
      <c r="G2403" s="20">
        <v>0.43867346602690255</v>
      </c>
      <c r="H2403" s="16">
        <f t="shared" ca="1" si="40"/>
        <v>1325</v>
      </c>
    </row>
    <row r="2404" spans="4:8" ht="15" thickBot="1" x14ac:dyDescent="0.35">
      <c r="D2404" s="20">
        <v>1694</v>
      </c>
      <c r="E2404" s="20">
        <v>5050</v>
      </c>
      <c r="F2404" s="20">
        <v>3150</v>
      </c>
      <c r="G2404" s="20">
        <v>0.3737672821483588</v>
      </c>
      <c r="H2404" s="16">
        <f t="shared" ca="1" si="40"/>
        <v>731</v>
      </c>
    </row>
    <row r="2405" spans="4:8" ht="15" thickBot="1" x14ac:dyDescent="0.35">
      <c r="D2405" s="20">
        <v>2258</v>
      </c>
      <c r="E2405" s="20">
        <v>3150</v>
      </c>
      <c r="F2405" s="20">
        <v>4250</v>
      </c>
      <c r="G2405" s="20">
        <v>0.42095261696211184</v>
      </c>
      <c r="H2405" s="16">
        <f t="shared" ca="1" si="40"/>
        <v>2419</v>
      </c>
    </row>
    <row r="2406" spans="4:8" ht="15" thickBot="1" x14ac:dyDescent="0.35">
      <c r="D2406" s="20">
        <v>2761</v>
      </c>
      <c r="E2406" s="20">
        <v>450</v>
      </c>
      <c r="F2406" s="20">
        <v>5250</v>
      </c>
      <c r="G2406" s="20">
        <v>0.52653633246644471</v>
      </c>
      <c r="H2406" s="16">
        <f t="shared" ca="1" si="40"/>
        <v>1531</v>
      </c>
    </row>
    <row r="2407" spans="4:8" ht="15" thickBot="1" x14ac:dyDescent="0.35">
      <c r="D2407" s="20">
        <v>578</v>
      </c>
      <c r="E2407" s="20">
        <v>4750</v>
      </c>
      <c r="F2407" s="20">
        <v>1050</v>
      </c>
      <c r="G2407" s="20">
        <v>0.28653060337831243</v>
      </c>
      <c r="H2407" s="16">
        <f t="shared" ca="1" si="40"/>
        <v>273</v>
      </c>
    </row>
    <row r="2408" spans="4:8" ht="15" thickBot="1" x14ac:dyDescent="0.35">
      <c r="D2408" s="20">
        <v>341</v>
      </c>
      <c r="E2408" s="20">
        <v>2250</v>
      </c>
      <c r="F2408" s="20">
        <v>650</v>
      </c>
      <c r="G2408" s="20">
        <v>0.2599060382752405</v>
      </c>
      <c r="H2408" s="16">
        <f t="shared" ca="1" si="40"/>
        <v>2461</v>
      </c>
    </row>
    <row r="2409" spans="4:8" ht="15" thickBot="1" x14ac:dyDescent="0.35">
      <c r="D2409" s="20">
        <v>1022</v>
      </c>
      <c r="E2409" s="20">
        <v>1450</v>
      </c>
      <c r="F2409" s="20">
        <v>1950</v>
      </c>
      <c r="G2409" s="20">
        <v>0.32388305800229084</v>
      </c>
      <c r="H2409" s="16">
        <f t="shared" ca="1" si="40"/>
        <v>2618</v>
      </c>
    </row>
    <row r="2410" spans="4:8" ht="15" thickBot="1" x14ac:dyDescent="0.35">
      <c r="D2410" s="20">
        <v>173</v>
      </c>
      <c r="E2410" s="20">
        <v>1350</v>
      </c>
      <c r="F2410" s="20">
        <v>350</v>
      </c>
      <c r="G2410" s="20">
        <v>0.22643909474324592</v>
      </c>
      <c r="H2410" s="16">
        <f t="shared" ca="1" si="40"/>
        <v>1880</v>
      </c>
    </row>
    <row r="2411" spans="4:8" ht="15" thickBot="1" x14ac:dyDescent="0.35">
      <c r="D2411" s="20">
        <v>2185</v>
      </c>
      <c r="E2411" s="20">
        <v>1150</v>
      </c>
      <c r="F2411" s="20">
        <v>4150</v>
      </c>
      <c r="G2411" s="20">
        <v>0.41363536006944374</v>
      </c>
      <c r="H2411" s="16">
        <f t="shared" ca="1" si="40"/>
        <v>700</v>
      </c>
    </row>
    <row r="2412" spans="4:8" ht="15" thickBot="1" x14ac:dyDescent="0.35">
      <c r="D2412" s="20">
        <v>503</v>
      </c>
      <c r="E2412" s="20">
        <v>2550</v>
      </c>
      <c r="F2412" s="20">
        <v>950</v>
      </c>
      <c r="G2412" s="20">
        <v>0.27872228623247286</v>
      </c>
      <c r="H2412" s="16">
        <f t="shared" ca="1" si="40"/>
        <v>429</v>
      </c>
    </row>
    <row r="2413" spans="4:8" ht="15" thickBot="1" x14ac:dyDescent="0.35">
      <c r="D2413" s="20">
        <v>1949</v>
      </c>
      <c r="E2413" s="20">
        <v>4050</v>
      </c>
      <c r="F2413" s="20">
        <v>3650</v>
      </c>
      <c r="G2413" s="20">
        <v>0.39162841589260017</v>
      </c>
      <c r="H2413" s="16">
        <f t="shared" ca="1" si="40"/>
        <v>2238</v>
      </c>
    </row>
    <row r="2414" spans="4:8" ht="15" thickBot="1" x14ac:dyDescent="0.35">
      <c r="D2414" s="20">
        <v>1908</v>
      </c>
      <c r="E2414" s="20">
        <v>5250</v>
      </c>
      <c r="F2414" s="20">
        <v>3550</v>
      </c>
      <c r="G2414" s="20">
        <v>0.3887421038934275</v>
      </c>
      <c r="H2414" s="16">
        <f t="shared" ca="1" si="40"/>
        <v>921</v>
      </c>
    </row>
    <row r="2415" spans="4:8" ht="15" thickBot="1" x14ac:dyDescent="0.35">
      <c r="D2415" s="20">
        <v>1881</v>
      </c>
      <c r="E2415" s="20">
        <v>2550</v>
      </c>
      <c r="F2415" s="20">
        <v>3550</v>
      </c>
      <c r="G2415" s="20">
        <v>0.38701225678942353</v>
      </c>
      <c r="H2415" s="16">
        <f t="shared" ca="1" si="40"/>
        <v>945</v>
      </c>
    </row>
    <row r="2416" spans="4:8" ht="15" thickBot="1" x14ac:dyDescent="0.35">
      <c r="D2416" s="20">
        <v>12</v>
      </c>
      <c r="E2416" s="20">
        <v>1150</v>
      </c>
      <c r="F2416" s="20">
        <v>50</v>
      </c>
      <c r="G2416" s="20">
        <v>0.14268675308570217</v>
      </c>
      <c r="H2416" s="16">
        <f t="shared" ca="1" si="40"/>
        <v>55</v>
      </c>
    </row>
    <row r="2417" spans="4:8" ht="15" thickBot="1" x14ac:dyDescent="0.35">
      <c r="D2417" s="20">
        <v>696</v>
      </c>
      <c r="E2417" s="20">
        <v>650</v>
      </c>
      <c r="F2417" s="20">
        <v>1350</v>
      </c>
      <c r="G2417" s="20">
        <v>0.29820123768875473</v>
      </c>
      <c r="H2417" s="16">
        <f t="shared" ca="1" si="40"/>
        <v>144</v>
      </c>
    </row>
    <row r="2418" spans="4:8" ht="15" thickBot="1" x14ac:dyDescent="0.35">
      <c r="D2418" s="20">
        <v>1049</v>
      </c>
      <c r="E2418" s="48">
        <v>4150</v>
      </c>
      <c r="F2418" s="48">
        <v>1950</v>
      </c>
      <c r="G2418" s="20">
        <v>0.32645816340155143</v>
      </c>
      <c r="H2418" s="16">
        <f t="shared" ca="1" si="40"/>
        <v>1194</v>
      </c>
    </row>
    <row r="2419" spans="4:8" ht="15" thickBot="1" x14ac:dyDescent="0.35">
      <c r="D2419" s="20">
        <v>576</v>
      </c>
      <c r="E2419" s="20">
        <v>4550</v>
      </c>
      <c r="F2419" s="20">
        <v>1050</v>
      </c>
      <c r="G2419" s="20">
        <v>0.28646712445499384</v>
      </c>
      <c r="H2419" s="16">
        <f t="shared" ca="1" si="40"/>
        <v>1068</v>
      </c>
    </row>
    <row r="2420" spans="4:8" ht="15" thickBot="1" x14ac:dyDescent="0.35">
      <c r="D2420" s="20">
        <v>1362</v>
      </c>
      <c r="E2420" s="20">
        <v>3650</v>
      </c>
      <c r="F2420" s="20">
        <v>2550</v>
      </c>
      <c r="G2420" s="20">
        <v>0.34944896706452705</v>
      </c>
      <c r="H2420" s="16">
        <f t="shared" ca="1" si="40"/>
        <v>1145</v>
      </c>
    </row>
    <row r="2421" spans="4:8" ht="15" thickBot="1" x14ac:dyDescent="0.35">
      <c r="D2421" s="20">
        <v>378</v>
      </c>
      <c r="E2421" s="20">
        <v>650</v>
      </c>
      <c r="F2421" s="20">
        <v>750</v>
      </c>
      <c r="G2421" s="20">
        <v>0.26463122327911065</v>
      </c>
      <c r="H2421" s="16">
        <f t="shared" ca="1" si="40"/>
        <v>125</v>
      </c>
    </row>
    <row r="2422" spans="4:8" ht="15" thickBot="1" x14ac:dyDescent="0.35">
      <c r="D2422" s="20">
        <v>813</v>
      </c>
      <c r="E2422" s="20">
        <v>1750</v>
      </c>
      <c r="F2422" s="20">
        <v>1550</v>
      </c>
      <c r="G2422" s="20">
        <v>0.30768080460027597</v>
      </c>
      <c r="H2422" s="16">
        <f t="shared" ca="1" si="40"/>
        <v>2515</v>
      </c>
    </row>
    <row r="2423" spans="4:8" ht="15" thickBot="1" x14ac:dyDescent="0.35">
      <c r="D2423" s="20">
        <v>1911</v>
      </c>
      <c r="E2423" s="20">
        <v>250</v>
      </c>
      <c r="F2423" s="20">
        <v>3650</v>
      </c>
      <c r="G2423" s="20">
        <v>0.38888518235723524</v>
      </c>
      <c r="H2423" s="16">
        <f t="shared" ca="1" si="40"/>
        <v>274</v>
      </c>
    </row>
    <row r="2424" spans="4:8" ht="15" thickBot="1" x14ac:dyDescent="0.35">
      <c r="D2424" s="20">
        <v>564</v>
      </c>
      <c r="E2424" s="20">
        <v>3350</v>
      </c>
      <c r="F2424" s="20">
        <v>1050</v>
      </c>
      <c r="G2424" s="20">
        <v>0.2849839764400342</v>
      </c>
      <c r="H2424" s="16">
        <f t="shared" ca="1" si="40"/>
        <v>99</v>
      </c>
    </row>
    <row r="2425" spans="4:8" ht="15" thickBot="1" x14ac:dyDescent="0.35">
      <c r="D2425" s="20">
        <v>2168</v>
      </c>
      <c r="E2425" s="20">
        <v>4750</v>
      </c>
      <c r="F2425" s="20">
        <v>4050</v>
      </c>
      <c r="G2425" s="20">
        <v>0.41200420994517706</v>
      </c>
      <c r="H2425" s="16">
        <f t="shared" ca="1" si="40"/>
        <v>51</v>
      </c>
    </row>
    <row r="2426" spans="4:8" ht="15" thickBot="1" x14ac:dyDescent="0.35">
      <c r="D2426" s="20">
        <v>924</v>
      </c>
      <c r="E2426" s="20">
        <v>2250</v>
      </c>
      <c r="F2426" s="20">
        <v>1750</v>
      </c>
      <c r="G2426" s="20">
        <v>0.31631955528333316</v>
      </c>
      <c r="H2426" s="16">
        <f t="shared" ca="1" si="40"/>
        <v>1234</v>
      </c>
    </row>
    <row r="2427" spans="4:8" ht="15" thickBot="1" x14ac:dyDescent="0.35">
      <c r="D2427" s="20">
        <v>2536</v>
      </c>
      <c r="E2427" s="20">
        <v>4450</v>
      </c>
      <c r="F2427" s="20">
        <v>4750</v>
      </c>
      <c r="G2427" s="20">
        <v>0.453233563340801</v>
      </c>
      <c r="H2427" s="16">
        <f t="shared" ca="1" si="40"/>
        <v>1283</v>
      </c>
    </row>
    <row r="2428" spans="4:8" ht="15" thickBot="1" x14ac:dyDescent="0.35">
      <c r="D2428" s="20">
        <v>976</v>
      </c>
      <c r="E2428" s="20">
        <v>2150</v>
      </c>
      <c r="F2428" s="20">
        <v>1850</v>
      </c>
      <c r="G2428" s="20">
        <v>0.32034679645264386</v>
      </c>
      <c r="H2428" s="16">
        <f t="shared" ca="1" si="40"/>
        <v>1426</v>
      </c>
    </row>
    <row r="2429" spans="4:8" ht="15" thickBot="1" x14ac:dyDescent="0.35">
      <c r="D2429" s="20">
        <v>1962</v>
      </c>
      <c r="E2429" s="20">
        <v>50</v>
      </c>
      <c r="F2429" s="20">
        <v>3750</v>
      </c>
      <c r="G2429" s="20">
        <v>0.39297407460471639</v>
      </c>
      <c r="H2429" s="16">
        <f t="shared" ca="1" si="40"/>
        <v>1693</v>
      </c>
    </row>
    <row r="2430" spans="4:8" ht="15" thickBot="1" x14ac:dyDescent="0.35">
      <c r="D2430" s="20">
        <v>672</v>
      </c>
      <c r="E2430" s="20">
        <v>3550</v>
      </c>
      <c r="F2430" s="20">
        <v>1250</v>
      </c>
      <c r="G2430" s="20">
        <v>0.29597010806137897</v>
      </c>
      <c r="H2430" s="16">
        <f t="shared" ca="1" si="40"/>
        <v>2730</v>
      </c>
    </row>
    <row r="2431" spans="4:8" ht="15" thickBot="1" x14ac:dyDescent="0.35">
      <c r="D2431" s="20">
        <v>942</v>
      </c>
      <c r="E2431" s="20">
        <v>4050</v>
      </c>
      <c r="F2431" s="20">
        <v>1750</v>
      </c>
      <c r="G2431" s="20">
        <v>0.31782892534451995</v>
      </c>
      <c r="H2431" s="16">
        <f t="shared" ca="1" si="40"/>
        <v>1857</v>
      </c>
    </row>
    <row r="2432" spans="4:8" ht="15" thickBot="1" x14ac:dyDescent="0.35">
      <c r="D2432" s="20">
        <v>1133</v>
      </c>
      <c r="E2432" s="20">
        <v>1950</v>
      </c>
      <c r="F2432" s="20">
        <v>2150</v>
      </c>
      <c r="G2432" s="20">
        <v>0.33299009587943057</v>
      </c>
      <c r="H2432" s="16">
        <f t="shared" ca="1" si="40"/>
        <v>2762</v>
      </c>
    </row>
    <row r="2433" spans="4:8" ht="15" thickBot="1" x14ac:dyDescent="0.35">
      <c r="D2433" s="20">
        <v>838</v>
      </c>
      <c r="E2433" s="20">
        <v>4250</v>
      </c>
      <c r="F2433" s="20">
        <v>1550</v>
      </c>
      <c r="G2433" s="20">
        <v>0.30924839447577063</v>
      </c>
      <c r="H2433" s="16">
        <f t="shared" ca="1" si="40"/>
        <v>2145</v>
      </c>
    </row>
    <row r="2434" spans="4:8" ht="15" thickBot="1" x14ac:dyDescent="0.35">
      <c r="D2434" s="20">
        <v>2476</v>
      </c>
      <c r="E2434" s="20">
        <v>3750</v>
      </c>
      <c r="F2434" s="20">
        <v>4650</v>
      </c>
      <c r="G2434" s="20">
        <v>0.44412796909500885</v>
      </c>
      <c r="H2434" s="16">
        <f t="shared" ca="1" si="40"/>
        <v>1433</v>
      </c>
    </row>
    <row r="2435" spans="4:8" ht="15" thickBot="1" x14ac:dyDescent="0.35">
      <c r="D2435" s="20">
        <v>409</v>
      </c>
      <c r="E2435" s="20">
        <v>3750</v>
      </c>
      <c r="F2435" s="20">
        <v>750</v>
      </c>
      <c r="G2435" s="20">
        <v>0.26868800970145812</v>
      </c>
      <c r="H2435" s="16">
        <f t="shared" ca="1" si="40"/>
        <v>2236</v>
      </c>
    </row>
    <row r="2436" spans="4:8" ht="15" thickBot="1" x14ac:dyDescent="0.35">
      <c r="D2436" s="20">
        <v>2685</v>
      </c>
      <c r="E2436" s="20">
        <v>3450</v>
      </c>
      <c r="F2436" s="20">
        <v>5050</v>
      </c>
      <c r="G2436" s="20">
        <v>0.48767700695083605</v>
      </c>
      <c r="H2436" s="16">
        <f t="shared" ca="1" si="40"/>
        <v>2590</v>
      </c>
    </row>
    <row r="2437" spans="4:8" ht="15" thickBot="1" x14ac:dyDescent="0.35">
      <c r="D2437" s="20">
        <v>2728</v>
      </c>
      <c r="E2437" s="20">
        <v>2450</v>
      </c>
      <c r="F2437" s="20">
        <v>5150</v>
      </c>
      <c r="G2437" s="20">
        <v>0.50532259493626008</v>
      </c>
      <c r="H2437" s="16">
        <f t="shared" ca="1" si="40"/>
        <v>393</v>
      </c>
    </row>
    <row r="2438" spans="4:8" ht="15" thickBot="1" x14ac:dyDescent="0.35">
      <c r="D2438" s="20">
        <v>1762</v>
      </c>
      <c r="E2438" s="20">
        <v>1250</v>
      </c>
      <c r="F2438" s="20">
        <v>3350</v>
      </c>
      <c r="G2438" s="20">
        <v>0.37842321783138505</v>
      </c>
      <c r="H2438" s="16">
        <f t="shared" ca="1" si="40"/>
        <v>1566</v>
      </c>
    </row>
    <row r="2439" spans="4:8" ht="15" thickBot="1" x14ac:dyDescent="0.35">
      <c r="D2439" s="20">
        <v>2194</v>
      </c>
      <c r="E2439" s="20">
        <v>2050</v>
      </c>
      <c r="F2439" s="20">
        <v>4150</v>
      </c>
      <c r="G2439" s="20">
        <v>0.4145232829979022</v>
      </c>
      <c r="H2439" s="16">
        <f t="shared" ref="H2439:H2502" ca="1" si="41">RANDBETWEEN(1,2788)</f>
        <v>288</v>
      </c>
    </row>
    <row r="2440" spans="4:8" ht="15" thickBot="1" x14ac:dyDescent="0.35">
      <c r="D2440" s="20">
        <v>267</v>
      </c>
      <c r="E2440" s="47">
        <v>150</v>
      </c>
      <c r="F2440" s="47">
        <v>550</v>
      </c>
      <c r="G2440" s="20">
        <v>0.24839461955285358</v>
      </c>
      <c r="H2440" s="16">
        <f t="shared" ca="1" si="41"/>
        <v>2165</v>
      </c>
    </row>
    <row r="2441" spans="4:8" ht="15" thickBot="1" x14ac:dyDescent="0.35">
      <c r="D2441" s="20">
        <v>1095</v>
      </c>
      <c r="E2441" s="20">
        <v>3450</v>
      </c>
      <c r="F2441" s="20">
        <v>2050</v>
      </c>
      <c r="G2441" s="20">
        <v>0.33011014046399589</v>
      </c>
      <c r="H2441" s="16">
        <f t="shared" ca="1" si="41"/>
        <v>2333</v>
      </c>
    </row>
    <row r="2442" spans="4:8" ht="15" thickBot="1" x14ac:dyDescent="0.35">
      <c r="D2442" s="20">
        <v>248</v>
      </c>
      <c r="E2442" s="20">
        <v>3550</v>
      </c>
      <c r="F2442" s="20">
        <v>450</v>
      </c>
      <c r="G2442" s="20">
        <v>0.2446180631640868</v>
      </c>
      <c r="H2442" s="16">
        <f t="shared" ca="1" si="41"/>
        <v>2259</v>
      </c>
    </row>
    <row r="2443" spans="4:8" ht="15" thickBot="1" x14ac:dyDescent="0.35">
      <c r="D2443" s="20">
        <v>482</v>
      </c>
      <c r="E2443" s="45">
        <v>450</v>
      </c>
      <c r="F2443" s="45">
        <v>950</v>
      </c>
      <c r="G2443" s="20">
        <v>0.27686962083065381</v>
      </c>
      <c r="H2443" s="16">
        <f t="shared" ca="1" si="41"/>
        <v>2772</v>
      </c>
    </row>
    <row r="2444" spans="4:8" ht="15" thickBot="1" x14ac:dyDescent="0.35">
      <c r="D2444" s="20">
        <v>112</v>
      </c>
      <c r="E2444" s="20">
        <v>550</v>
      </c>
      <c r="F2444" s="20">
        <v>250</v>
      </c>
      <c r="G2444" s="20">
        <v>0.21396441280505557</v>
      </c>
      <c r="H2444" s="16">
        <f t="shared" ca="1" si="41"/>
        <v>626</v>
      </c>
    </row>
    <row r="2445" spans="4:8" ht="15" thickBot="1" x14ac:dyDescent="0.35">
      <c r="D2445" s="20">
        <v>1416</v>
      </c>
      <c r="E2445" s="20">
        <v>3750</v>
      </c>
      <c r="F2445" s="20">
        <v>2650</v>
      </c>
      <c r="G2445" s="20">
        <v>0.35389506698743461</v>
      </c>
      <c r="H2445" s="16">
        <f t="shared" ca="1" si="41"/>
        <v>1395</v>
      </c>
    </row>
    <row r="2446" spans="4:8" ht="15" thickBot="1" x14ac:dyDescent="0.35">
      <c r="D2446" s="20">
        <v>1229</v>
      </c>
      <c r="E2446" s="20">
        <v>950</v>
      </c>
      <c r="F2446" s="20">
        <v>2350</v>
      </c>
      <c r="G2446" s="20">
        <v>0.34006971920246459</v>
      </c>
      <c r="H2446" s="16">
        <f t="shared" ca="1" si="41"/>
        <v>1861</v>
      </c>
    </row>
    <row r="2447" spans="4:8" ht="15" thickBot="1" x14ac:dyDescent="0.35">
      <c r="D2447" s="20">
        <v>1827</v>
      </c>
      <c r="E2447" s="20">
        <v>2450</v>
      </c>
      <c r="F2447" s="20">
        <v>3450</v>
      </c>
      <c r="G2447" s="20">
        <v>0.38275980475361421</v>
      </c>
      <c r="H2447" s="16">
        <f t="shared" ca="1" si="41"/>
        <v>1610</v>
      </c>
    </row>
    <row r="2448" spans="4:8" ht="15" thickBot="1" x14ac:dyDescent="0.35">
      <c r="D2448" s="20">
        <v>1642</v>
      </c>
      <c r="E2448" s="20">
        <v>5150</v>
      </c>
      <c r="F2448" s="20">
        <v>3050</v>
      </c>
      <c r="G2448" s="20">
        <v>0.36979089232835322</v>
      </c>
      <c r="H2448" s="16">
        <f t="shared" ca="1" si="41"/>
        <v>776</v>
      </c>
    </row>
    <row r="2449" spans="4:8" ht="15" thickBot="1" x14ac:dyDescent="0.35">
      <c r="D2449" s="20">
        <v>439</v>
      </c>
      <c r="E2449" s="20">
        <v>1450</v>
      </c>
      <c r="F2449" s="20">
        <v>850</v>
      </c>
      <c r="G2449" s="20">
        <v>0.27232126058614153</v>
      </c>
      <c r="H2449" s="16">
        <f t="shared" ca="1" si="41"/>
        <v>881</v>
      </c>
    </row>
    <row r="2450" spans="4:8" ht="15" thickBot="1" x14ac:dyDescent="0.35">
      <c r="D2450" s="20">
        <v>2400</v>
      </c>
      <c r="E2450" s="20">
        <v>1450</v>
      </c>
      <c r="F2450" s="20">
        <v>4550</v>
      </c>
      <c r="G2450" s="20">
        <v>0.43534667146333084</v>
      </c>
      <c r="H2450" s="16">
        <f t="shared" ca="1" si="41"/>
        <v>1609</v>
      </c>
    </row>
    <row r="2451" spans="4:8" ht="15" thickBot="1" x14ac:dyDescent="0.35">
      <c r="D2451" s="20">
        <v>2044</v>
      </c>
      <c r="E2451" s="48">
        <v>2950</v>
      </c>
      <c r="F2451" s="48">
        <v>3850</v>
      </c>
      <c r="G2451" s="20">
        <v>0.39885014551473852</v>
      </c>
      <c r="H2451" s="16">
        <f t="shared" ca="1" si="41"/>
        <v>1934</v>
      </c>
    </row>
    <row r="2452" spans="4:8" ht="15" thickBot="1" x14ac:dyDescent="0.35">
      <c r="D2452" s="20">
        <v>706</v>
      </c>
      <c r="E2452" s="20">
        <v>1650</v>
      </c>
      <c r="F2452" s="20">
        <v>1350</v>
      </c>
      <c r="G2452" s="20">
        <v>0.2988386517468774</v>
      </c>
      <c r="H2452" s="16">
        <f t="shared" ca="1" si="41"/>
        <v>244</v>
      </c>
    </row>
    <row r="2453" spans="4:8" ht="15" thickBot="1" x14ac:dyDescent="0.35">
      <c r="D2453" s="20">
        <v>142</v>
      </c>
      <c r="E2453" s="20">
        <v>3550</v>
      </c>
      <c r="F2453" s="20">
        <v>250</v>
      </c>
      <c r="G2453" s="20">
        <v>0.22074260847411642</v>
      </c>
      <c r="H2453" s="16">
        <f t="shared" ca="1" si="41"/>
        <v>1405</v>
      </c>
    </row>
    <row r="2454" spans="4:8" ht="15" thickBot="1" x14ac:dyDescent="0.35">
      <c r="D2454" s="20">
        <v>984</v>
      </c>
      <c r="E2454" s="20">
        <v>2950</v>
      </c>
      <c r="F2454" s="20">
        <v>1850</v>
      </c>
      <c r="G2454" s="20">
        <v>0.3209516441049442</v>
      </c>
      <c r="H2454" s="16">
        <f t="shared" ca="1" si="41"/>
        <v>1017</v>
      </c>
    </row>
    <row r="2455" spans="4:8" ht="15" thickBot="1" x14ac:dyDescent="0.35">
      <c r="D2455" s="20">
        <v>2382</v>
      </c>
      <c r="E2455" s="20">
        <v>4950</v>
      </c>
      <c r="F2455" s="20">
        <v>4450</v>
      </c>
      <c r="G2455" s="20">
        <v>0.43289083814521206</v>
      </c>
      <c r="H2455" s="16">
        <f t="shared" ca="1" si="41"/>
        <v>1964</v>
      </c>
    </row>
    <row r="2456" spans="4:8" ht="15" thickBot="1" x14ac:dyDescent="0.35">
      <c r="D2456" s="20">
        <v>1774</v>
      </c>
      <c r="E2456" s="20">
        <v>2450</v>
      </c>
      <c r="F2456" s="20">
        <v>3350</v>
      </c>
      <c r="G2456" s="20">
        <v>0.37886118590059326</v>
      </c>
      <c r="H2456" s="16">
        <f t="shared" ca="1" si="41"/>
        <v>2604</v>
      </c>
    </row>
    <row r="2457" spans="4:8" ht="15" thickBot="1" x14ac:dyDescent="0.35">
      <c r="D2457" s="20">
        <v>1018</v>
      </c>
      <c r="E2457" s="20">
        <v>1050</v>
      </c>
      <c r="F2457" s="20">
        <v>1950</v>
      </c>
      <c r="G2457" s="20">
        <v>0.32357704720536257</v>
      </c>
      <c r="H2457" s="16">
        <f t="shared" ca="1" si="41"/>
        <v>2698</v>
      </c>
    </row>
    <row r="2458" spans="4:8" ht="15" thickBot="1" x14ac:dyDescent="0.35">
      <c r="D2458" s="20">
        <v>2669</v>
      </c>
      <c r="E2458" s="20">
        <v>1850</v>
      </c>
      <c r="F2458" s="20">
        <v>5050</v>
      </c>
      <c r="G2458" s="20">
        <v>0.48425218675945186</v>
      </c>
      <c r="H2458" s="16">
        <f t="shared" ca="1" si="41"/>
        <v>1441</v>
      </c>
    </row>
    <row r="2459" spans="4:8" ht="15" thickBot="1" x14ac:dyDescent="0.35">
      <c r="D2459" s="20">
        <v>2459</v>
      </c>
      <c r="E2459" s="20">
        <v>2050</v>
      </c>
      <c r="F2459" s="20">
        <v>4650</v>
      </c>
      <c r="G2459" s="20">
        <v>0.44213460663614312</v>
      </c>
      <c r="H2459" s="16">
        <f t="shared" ca="1" si="41"/>
        <v>2384</v>
      </c>
    </row>
    <row r="2460" spans="4:8" ht="15" thickBot="1" x14ac:dyDescent="0.35">
      <c r="D2460" s="20">
        <v>513</v>
      </c>
      <c r="E2460" s="20">
        <v>3550</v>
      </c>
      <c r="F2460" s="20">
        <v>950</v>
      </c>
      <c r="G2460" s="20">
        <v>0.27987237089063288</v>
      </c>
      <c r="H2460" s="16">
        <f t="shared" ca="1" si="41"/>
        <v>1348</v>
      </c>
    </row>
    <row r="2461" spans="4:8" ht="15" thickBot="1" x14ac:dyDescent="0.35">
      <c r="D2461" s="20">
        <v>306</v>
      </c>
      <c r="E2461" s="20">
        <v>4050</v>
      </c>
      <c r="F2461" s="20">
        <v>550</v>
      </c>
      <c r="G2461" s="20">
        <v>0.2541903323760405</v>
      </c>
      <c r="H2461" s="16">
        <f t="shared" ca="1" si="41"/>
        <v>2322</v>
      </c>
    </row>
    <row r="2462" spans="4:8" ht="15" thickBot="1" x14ac:dyDescent="0.35">
      <c r="D2462" s="20">
        <v>1607</v>
      </c>
      <c r="E2462" s="20">
        <v>1650</v>
      </c>
      <c r="F2462" s="20">
        <v>3050</v>
      </c>
      <c r="G2462" s="20">
        <v>0.36735912672219523</v>
      </c>
      <c r="H2462" s="16">
        <f t="shared" ca="1" si="41"/>
        <v>1177</v>
      </c>
    </row>
    <row r="2463" spans="4:8" ht="15" thickBot="1" x14ac:dyDescent="0.35">
      <c r="D2463" s="20">
        <v>172</v>
      </c>
      <c r="E2463" s="20">
        <v>1250</v>
      </c>
      <c r="F2463" s="20">
        <v>350</v>
      </c>
      <c r="G2463" s="20">
        <v>0.22643629439036778</v>
      </c>
      <c r="H2463" s="16">
        <f t="shared" ca="1" si="41"/>
        <v>1341</v>
      </c>
    </row>
    <row r="2464" spans="4:8" ht="15" thickBot="1" x14ac:dyDescent="0.35">
      <c r="D2464" s="20">
        <v>1141</v>
      </c>
      <c r="E2464" s="44">
        <v>2750</v>
      </c>
      <c r="F2464" s="44">
        <v>2150</v>
      </c>
      <c r="G2464" s="20">
        <v>0.33360967804679964</v>
      </c>
      <c r="H2464" s="16">
        <f t="shared" ca="1" si="41"/>
        <v>2309</v>
      </c>
    </row>
    <row r="2465" spans="4:8" ht="15" thickBot="1" x14ac:dyDescent="0.35">
      <c r="D2465" s="20">
        <v>1563</v>
      </c>
      <c r="E2465" s="20">
        <v>2550</v>
      </c>
      <c r="F2465" s="20">
        <v>2950</v>
      </c>
      <c r="G2465" s="20">
        <v>0.36436014641237685</v>
      </c>
      <c r="H2465" s="16">
        <f t="shared" ca="1" si="41"/>
        <v>2339</v>
      </c>
    </row>
    <row r="2466" spans="4:8" ht="15" thickBot="1" x14ac:dyDescent="0.35">
      <c r="D2466" s="20">
        <v>2034</v>
      </c>
      <c r="E2466" s="47">
        <v>1950</v>
      </c>
      <c r="F2466" s="47">
        <v>3850</v>
      </c>
      <c r="G2466" s="20">
        <v>0.39802444366473405</v>
      </c>
      <c r="H2466" s="16">
        <f t="shared" ca="1" si="41"/>
        <v>1153</v>
      </c>
    </row>
    <row r="2467" spans="4:8" ht="15" thickBot="1" x14ac:dyDescent="0.35">
      <c r="D2467" s="20">
        <v>502</v>
      </c>
      <c r="E2467" s="20">
        <v>2450</v>
      </c>
      <c r="F2467" s="20">
        <v>950</v>
      </c>
      <c r="G2467" s="20">
        <v>0.27865308504901598</v>
      </c>
      <c r="H2467" s="16">
        <f t="shared" ca="1" si="41"/>
        <v>2616</v>
      </c>
    </row>
    <row r="2468" spans="4:8" ht="15" thickBot="1" x14ac:dyDescent="0.35">
      <c r="D2468" s="20">
        <v>1785</v>
      </c>
      <c r="E2468" s="20">
        <v>3550</v>
      </c>
      <c r="F2468" s="20">
        <v>3350</v>
      </c>
      <c r="G2468" s="20">
        <v>0.37997907374983458</v>
      </c>
      <c r="H2468" s="16">
        <f t="shared" ca="1" si="41"/>
        <v>1381</v>
      </c>
    </row>
    <row r="2469" spans="4:8" ht="15" thickBot="1" x14ac:dyDescent="0.35">
      <c r="D2469" s="20">
        <v>1431</v>
      </c>
      <c r="E2469" s="20">
        <v>5250</v>
      </c>
      <c r="F2469" s="20">
        <v>2650</v>
      </c>
      <c r="G2469" s="20">
        <v>0.35506918616283084</v>
      </c>
      <c r="H2469" s="16">
        <f t="shared" ca="1" si="41"/>
        <v>1386</v>
      </c>
    </row>
    <row r="2470" spans="4:8" ht="15" thickBot="1" x14ac:dyDescent="0.35">
      <c r="D2470" s="20">
        <v>2406</v>
      </c>
      <c r="E2470" s="20">
        <v>2050</v>
      </c>
      <c r="F2470" s="20">
        <v>4550</v>
      </c>
      <c r="G2470" s="20">
        <v>0.43556931632623225</v>
      </c>
      <c r="H2470" s="16">
        <f t="shared" ca="1" si="41"/>
        <v>1922</v>
      </c>
    </row>
    <row r="2471" spans="4:8" ht="15" thickBot="1" x14ac:dyDescent="0.35">
      <c r="D2471" s="20">
        <v>1180</v>
      </c>
      <c r="E2471" s="20">
        <v>1350</v>
      </c>
      <c r="F2471" s="20">
        <v>2250</v>
      </c>
      <c r="G2471" s="20">
        <v>0.33654886165652614</v>
      </c>
      <c r="H2471" s="16">
        <f t="shared" ca="1" si="41"/>
        <v>1625</v>
      </c>
    </row>
    <row r="2472" spans="4:8" ht="15" thickBot="1" x14ac:dyDescent="0.35">
      <c r="D2472" s="20">
        <v>1746</v>
      </c>
      <c r="E2472" s="20">
        <v>4950</v>
      </c>
      <c r="F2472" s="20">
        <v>3250</v>
      </c>
      <c r="G2472" s="20">
        <v>0.37756876598913269</v>
      </c>
      <c r="H2472" s="16">
        <f t="shared" ca="1" si="41"/>
        <v>2035</v>
      </c>
    </row>
    <row r="2473" spans="4:8" ht="15" thickBot="1" x14ac:dyDescent="0.35">
      <c r="D2473" s="20">
        <v>2383</v>
      </c>
      <c r="E2473" s="20">
        <v>5050</v>
      </c>
      <c r="F2473" s="20">
        <v>4450</v>
      </c>
      <c r="G2473" s="20">
        <v>0.43312429856395152</v>
      </c>
      <c r="H2473" s="16">
        <f t="shared" ca="1" si="41"/>
        <v>2109</v>
      </c>
    </row>
    <row r="2474" spans="4:8" ht="15" thickBot="1" x14ac:dyDescent="0.35">
      <c r="D2474" s="20">
        <v>1546</v>
      </c>
      <c r="E2474" s="47">
        <v>850</v>
      </c>
      <c r="F2474" s="47">
        <v>2950</v>
      </c>
      <c r="G2474" s="20">
        <v>0.3632668398908237</v>
      </c>
      <c r="H2474" s="16">
        <f t="shared" ca="1" si="41"/>
        <v>1641</v>
      </c>
    </row>
    <row r="2475" spans="4:8" ht="15" thickBot="1" x14ac:dyDescent="0.35">
      <c r="D2475" s="20">
        <v>1692</v>
      </c>
      <c r="E2475" s="20">
        <v>4850</v>
      </c>
      <c r="F2475" s="20">
        <v>3150</v>
      </c>
      <c r="G2475" s="20">
        <v>0.37360159358890099</v>
      </c>
      <c r="H2475" s="16">
        <f t="shared" ca="1" si="41"/>
        <v>2156</v>
      </c>
    </row>
    <row r="2476" spans="4:8" ht="15" thickBot="1" x14ac:dyDescent="0.35">
      <c r="D2476" s="20">
        <v>189</v>
      </c>
      <c r="E2476" s="20">
        <v>2950</v>
      </c>
      <c r="F2476" s="20">
        <v>350</v>
      </c>
      <c r="G2476" s="20">
        <v>0.231500188747439</v>
      </c>
      <c r="H2476" s="16">
        <f t="shared" ca="1" si="41"/>
        <v>1963</v>
      </c>
    </row>
    <row r="2477" spans="4:8" ht="15" thickBot="1" x14ac:dyDescent="0.35">
      <c r="D2477" s="20">
        <v>1346</v>
      </c>
      <c r="E2477" s="20">
        <v>2050</v>
      </c>
      <c r="F2477" s="20">
        <v>2550</v>
      </c>
      <c r="G2477" s="20">
        <v>0.34884558201142357</v>
      </c>
      <c r="H2477" s="16">
        <f t="shared" ca="1" si="41"/>
        <v>2428</v>
      </c>
    </row>
    <row r="2478" spans="4:8" ht="15" thickBot="1" x14ac:dyDescent="0.35">
      <c r="D2478" s="20">
        <v>1811</v>
      </c>
      <c r="E2478" s="20">
        <v>850</v>
      </c>
      <c r="F2478" s="20">
        <v>3450</v>
      </c>
      <c r="G2478" s="20">
        <v>0.3814316182267467</v>
      </c>
      <c r="H2478" s="16">
        <f t="shared" ca="1" si="41"/>
        <v>920</v>
      </c>
    </row>
    <row r="2479" spans="4:8" ht="15" thickBot="1" x14ac:dyDescent="0.35">
      <c r="D2479" s="20">
        <v>1699</v>
      </c>
      <c r="E2479" s="20">
        <v>250</v>
      </c>
      <c r="F2479" s="20">
        <v>3250</v>
      </c>
      <c r="G2479" s="20">
        <v>0.37393094224309031</v>
      </c>
      <c r="H2479" s="16">
        <f t="shared" ca="1" si="41"/>
        <v>756</v>
      </c>
    </row>
    <row r="2480" spans="4:8" ht="15" thickBot="1" x14ac:dyDescent="0.35">
      <c r="D2480" s="20">
        <v>1440</v>
      </c>
      <c r="E2480" s="20">
        <v>850</v>
      </c>
      <c r="F2480" s="20">
        <v>2750</v>
      </c>
      <c r="G2480" s="20">
        <v>0.35531936689151278</v>
      </c>
      <c r="H2480" s="16">
        <f t="shared" ca="1" si="41"/>
        <v>2378</v>
      </c>
    </row>
    <row r="2481" spans="4:8" ht="15" thickBot="1" x14ac:dyDescent="0.35">
      <c r="D2481" s="20">
        <v>1225</v>
      </c>
      <c r="E2481" s="20">
        <v>550</v>
      </c>
      <c r="F2481" s="20">
        <v>2350</v>
      </c>
      <c r="G2481" s="20">
        <v>0.33982013306059267</v>
      </c>
      <c r="H2481" s="16">
        <f t="shared" ca="1" si="41"/>
        <v>1557</v>
      </c>
    </row>
    <row r="2482" spans="4:8" ht="15" thickBot="1" x14ac:dyDescent="0.35">
      <c r="D2482" s="20">
        <v>492</v>
      </c>
      <c r="E2482" s="47">
        <v>1450</v>
      </c>
      <c r="F2482" s="47">
        <v>950</v>
      </c>
      <c r="G2482" s="20">
        <v>0.27785000282831263</v>
      </c>
      <c r="H2482" s="16">
        <f t="shared" ca="1" si="41"/>
        <v>883</v>
      </c>
    </row>
    <row r="2483" spans="4:8" ht="15" thickBot="1" x14ac:dyDescent="0.35">
      <c r="D2483" s="20">
        <v>959</v>
      </c>
      <c r="E2483" s="20">
        <v>450</v>
      </c>
      <c r="F2483" s="20">
        <v>1850</v>
      </c>
      <c r="G2483" s="20">
        <v>0.31929179850380879</v>
      </c>
      <c r="H2483" s="16">
        <f t="shared" ca="1" si="41"/>
        <v>1617</v>
      </c>
    </row>
    <row r="2484" spans="4:8" ht="15" thickBot="1" x14ac:dyDescent="0.35">
      <c r="D2484" s="20">
        <v>1287</v>
      </c>
      <c r="E2484" s="20">
        <v>1450</v>
      </c>
      <c r="F2484" s="20">
        <v>2450</v>
      </c>
      <c r="G2484" s="20">
        <v>0.34480071497507148</v>
      </c>
      <c r="H2484" s="16">
        <f t="shared" ca="1" si="41"/>
        <v>1482</v>
      </c>
    </row>
    <row r="2485" spans="4:8" ht="15" thickBot="1" x14ac:dyDescent="0.35">
      <c r="D2485" s="20">
        <v>1626</v>
      </c>
      <c r="E2485" s="20">
        <v>3550</v>
      </c>
      <c r="F2485" s="20">
        <v>3050</v>
      </c>
      <c r="G2485" s="20">
        <v>0.36859169731636193</v>
      </c>
      <c r="H2485" s="16">
        <f t="shared" ca="1" si="41"/>
        <v>995</v>
      </c>
    </row>
    <row r="2486" spans="4:8" ht="15" thickBot="1" x14ac:dyDescent="0.35">
      <c r="D2486" s="20">
        <v>850</v>
      </c>
      <c r="E2486" s="20">
        <v>150</v>
      </c>
      <c r="F2486" s="20">
        <v>1650</v>
      </c>
      <c r="G2486" s="20">
        <v>0.31039957227634335</v>
      </c>
      <c r="H2486" s="16">
        <f t="shared" ca="1" si="41"/>
        <v>1791</v>
      </c>
    </row>
    <row r="2487" spans="4:8" ht="15" thickBot="1" x14ac:dyDescent="0.35">
      <c r="D2487" s="20">
        <v>1925</v>
      </c>
      <c r="E2487" s="20">
        <v>1650</v>
      </c>
      <c r="F2487" s="20">
        <v>3650</v>
      </c>
      <c r="G2487" s="20">
        <v>0.38963037873112183</v>
      </c>
      <c r="H2487" s="16">
        <f t="shared" ca="1" si="41"/>
        <v>264</v>
      </c>
    </row>
    <row r="2488" spans="4:8" ht="15" thickBot="1" x14ac:dyDescent="0.35">
      <c r="D2488" s="20">
        <v>554</v>
      </c>
      <c r="E2488" s="20">
        <v>2350</v>
      </c>
      <c r="F2488" s="20">
        <v>1050</v>
      </c>
      <c r="G2488" s="20">
        <v>0.28431685712213051</v>
      </c>
      <c r="H2488" s="16">
        <f t="shared" ca="1" si="41"/>
        <v>1886</v>
      </c>
    </row>
    <row r="2489" spans="4:8" ht="15" thickBot="1" x14ac:dyDescent="0.35">
      <c r="D2489" s="20">
        <v>1978</v>
      </c>
      <c r="E2489" s="20">
        <v>1650</v>
      </c>
      <c r="F2489" s="20">
        <v>3750</v>
      </c>
      <c r="G2489" s="20">
        <v>0.39413188940871019</v>
      </c>
      <c r="H2489" s="16">
        <f t="shared" ca="1" si="41"/>
        <v>2787</v>
      </c>
    </row>
    <row r="2490" spans="4:8" ht="15" thickBot="1" x14ac:dyDescent="0.35">
      <c r="D2490" s="20">
        <v>1149</v>
      </c>
      <c r="E2490" s="20">
        <v>3550</v>
      </c>
      <c r="F2490" s="20">
        <v>2150</v>
      </c>
      <c r="G2490" s="20">
        <v>0.33412661503985797</v>
      </c>
      <c r="H2490" s="16">
        <f t="shared" ca="1" si="41"/>
        <v>328</v>
      </c>
    </row>
    <row r="2491" spans="4:8" ht="15" thickBot="1" x14ac:dyDescent="0.35">
      <c r="D2491" s="20">
        <v>2145</v>
      </c>
      <c r="E2491" s="48">
        <v>2450</v>
      </c>
      <c r="F2491" s="48">
        <v>4050</v>
      </c>
      <c r="G2491" s="20">
        <v>0.40989688812153241</v>
      </c>
      <c r="H2491" s="16">
        <f t="shared" ca="1" si="41"/>
        <v>2788</v>
      </c>
    </row>
    <row r="2492" spans="4:8" ht="15" thickBot="1" x14ac:dyDescent="0.35">
      <c r="D2492" s="20">
        <v>2263</v>
      </c>
      <c r="E2492" s="20">
        <v>3650</v>
      </c>
      <c r="F2492" s="20">
        <v>4250</v>
      </c>
      <c r="G2492" s="20">
        <v>0.42151843850808968</v>
      </c>
      <c r="H2492" s="16">
        <f t="shared" ca="1" si="41"/>
        <v>1406</v>
      </c>
    </row>
    <row r="2493" spans="4:8" ht="15" thickBot="1" x14ac:dyDescent="0.35">
      <c r="D2493" s="20">
        <v>980</v>
      </c>
      <c r="E2493" s="44">
        <v>2550</v>
      </c>
      <c r="F2493" s="44">
        <v>1850</v>
      </c>
      <c r="G2493" s="20">
        <v>0.32059762252081403</v>
      </c>
      <c r="H2493" s="16">
        <f t="shared" ca="1" si="41"/>
        <v>809</v>
      </c>
    </row>
    <row r="2494" spans="4:8" ht="15" thickBot="1" x14ac:dyDescent="0.35">
      <c r="D2494" s="20">
        <v>1655</v>
      </c>
      <c r="E2494" s="20">
        <v>1150</v>
      </c>
      <c r="F2494" s="20">
        <v>3150</v>
      </c>
      <c r="G2494" s="20">
        <v>0.37047844067124519</v>
      </c>
      <c r="H2494" s="16">
        <f t="shared" ca="1" si="41"/>
        <v>513</v>
      </c>
    </row>
    <row r="2495" spans="4:8" ht="15" thickBot="1" x14ac:dyDescent="0.35">
      <c r="D2495" s="20">
        <v>2261</v>
      </c>
      <c r="E2495" s="20">
        <v>3450</v>
      </c>
      <c r="F2495" s="20">
        <v>4250</v>
      </c>
      <c r="G2495" s="20">
        <v>0.42142453011534059</v>
      </c>
      <c r="H2495" s="16">
        <f t="shared" ca="1" si="41"/>
        <v>2502</v>
      </c>
    </row>
    <row r="2496" spans="4:8" ht="15" thickBot="1" x14ac:dyDescent="0.35">
      <c r="D2496" s="20">
        <v>1989</v>
      </c>
      <c r="E2496" s="20">
        <v>2750</v>
      </c>
      <c r="F2496" s="20">
        <v>3750</v>
      </c>
      <c r="G2496" s="20">
        <v>0.39489865905099236</v>
      </c>
      <c r="H2496" s="16">
        <f t="shared" ca="1" si="41"/>
        <v>50</v>
      </c>
    </row>
    <row r="2497" spans="4:8" ht="15" thickBot="1" x14ac:dyDescent="0.35">
      <c r="D2497" s="20">
        <v>2654</v>
      </c>
      <c r="E2497" s="20">
        <v>350</v>
      </c>
      <c r="F2497" s="20">
        <v>5050</v>
      </c>
      <c r="G2497" s="20">
        <v>0.47853266970465724</v>
      </c>
      <c r="H2497" s="16">
        <f t="shared" ca="1" si="41"/>
        <v>668</v>
      </c>
    </row>
    <row r="2498" spans="4:8" ht="15" thickBot="1" x14ac:dyDescent="0.35">
      <c r="D2498" s="20">
        <v>493</v>
      </c>
      <c r="E2498" s="20">
        <v>1550</v>
      </c>
      <c r="F2498" s="20">
        <v>950</v>
      </c>
      <c r="G2498" s="20">
        <v>0.27804611395250067</v>
      </c>
      <c r="H2498" s="16">
        <f t="shared" ca="1" si="41"/>
        <v>2218</v>
      </c>
    </row>
    <row r="2499" spans="4:8" ht="15" thickBot="1" x14ac:dyDescent="0.35">
      <c r="D2499" s="20">
        <v>868</v>
      </c>
      <c r="E2499" s="20">
        <v>1950</v>
      </c>
      <c r="F2499" s="20">
        <v>1650</v>
      </c>
      <c r="G2499" s="20">
        <v>0.31176605031675858</v>
      </c>
      <c r="H2499" s="16">
        <f t="shared" ca="1" si="41"/>
        <v>1117</v>
      </c>
    </row>
    <row r="2500" spans="4:8" ht="15" thickBot="1" x14ac:dyDescent="0.35">
      <c r="D2500" s="20">
        <v>2745</v>
      </c>
      <c r="E2500" s="20">
        <v>4150</v>
      </c>
      <c r="F2500" s="20">
        <v>5150</v>
      </c>
      <c r="G2500" s="20">
        <v>0.51408855452018276</v>
      </c>
      <c r="H2500" s="16">
        <f t="shared" ca="1" si="41"/>
        <v>1140</v>
      </c>
    </row>
    <row r="2501" spans="4:8" ht="15" thickBot="1" x14ac:dyDescent="0.35">
      <c r="D2501" s="20">
        <v>1750</v>
      </c>
      <c r="E2501" s="20">
        <v>50</v>
      </c>
      <c r="F2501" s="20">
        <v>3350</v>
      </c>
      <c r="G2501" s="20">
        <v>0.37773139958134822</v>
      </c>
      <c r="H2501" s="16">
        <f t="shared" ca="1" si="41"/>
        <v>349</v>
      </c>
    </row>
    <row r="2502" spans="4:8" ht="15" thickBot="1" x14ac:dyDescent="0.35">
      <c r="D2502" s="20">
        <v>1132</v>
      </c>
      <c r="E2502" s="20">
        <v>1850</v>
      </c>
      <c r="F2502" s="20">
        <v>2150</v>
      </c>
      <c r="G2502" s="20">
        <v>0.33292143599220225</v>
      </c>
      <c r="H2502" s="16">
        <f t="shared" ca="1" si="41"/>
        <v>1941</v>
      </c>
    </row>
    <row r="2503" spans="4:8" ht="15" thickBot="1" x14ac:dyDescent="0.35">
      <c r="D2503" s="20">
        <v>2503</v>
      </c>
      <c r="E2503" s="20">
        <v>1150</v>
      </c>
      <c r="F2503" s="20">
        <v>4750</v>
      </c>
      <c r="G2503" s="20">
        <v>0.44800385757132022</v>
      </c>
      <c r="H2503" s="16">
        <f t="shared" ref="H2503:H2566" ca="1" si="42">RANDBETWEEN(1,2788)</f>
        <v>2045</v>
      </c>
    </row>
    <row r="2504" spans="4:8" ht="15" thickBot="1" x14ac:dyDescent="0.35">
      <c r="D2504" s="20">
        <v>691</v>
      </c>
      <c r="E2504" s="47">
        <v>150</v>
      </c>
      <c r="F2504" s="47">
        <v>1350</v>
      </c>
      <c r="G2504" s="20">
        <v>0.29762774530833891</v>
      </c>
      <c r="H2504" s="16">
        <f t="shared" ca="1" si="42"/>
        <v>1683</v>
      </c>
    </row>
    <row r="2505" spans="4:8" ht="15" thickBot="1" x14ac:dyDescent="0.35">
      <c r="D2505" s="20">
        <v>2197</v>
      </c>
      <c r="E2505" s="20">
        <v>2350</v>
      </c>
      <c r="F2505" s="20">
        <v>4150</v>
      </c>
      <c r="G2505" s="20">
        <v>0.41459479339914229</v>
      </c>
      <c r="H2505" s="16">
        <f t="shared" ca="1" si="42"/>
        <v>1427</v>
      </c>
    </row>
    <row r="2506" spans="4:8" ht="15" thickBot="1" x14ac:dyDescent="0.35">
      <c r="D2506" s="20">
        <v>585</v>
      </c>
      <c r="E2506" s="20">
        <v>150</v>
      </c>
      <c r="F2506" s="20">
        <v>1150</v>
      </c>
      <c r="G2506" s="20">
        <v>0.28753820456513773</v>
      </c>
      <c r="H2506" s="16">
        <f t="shared" ca="1" si="42"/>
        <v>282</v>
      </c>
    </row>
    <row r="2507" spans="4:8" ht="15" thickBot="1" x14ac:dyDescent="0.35">
      <c r="D2507" s="20">
        <v>754</v>
      </c>
      <c r="E2507" s="20">
        <v>1150</v>
      </c>
      <c r="F2507" s="20">
        <v>1450</v>
      </c>
      <c r="G2507" s="20">
        <v>0.30232609953502637</v>
      </c>
      <c r="H2507" s="16">
        <f t="shared" ca="1" si="42"/>
        <v>378</v>
      </c>
    </row>
    <row r="2508" spans="4:8" ht="15" thickBot="1" x14ac:dyDescent="0.35">
      <c r="D2508" s="20">
        <v>1281</v>
      </c>
      <c r="E2508" s="20">
        <v>850</v>
      </c>
      <c r="F2508" s="20">
        <v>2450</v>
      </c>
      <c r="G2508" s="20">
        <v>0.34439269944469841</v>
      </c>
      <c r="H2508" s="16">
        <f t="shared" ca="1" si="42"/>
        <v>2231</v>
      </c>
    </row>
    <row r="2509" spans="4:8" ht="15" thickBot="1" x14ac:dyDescent="0.35">
      <c r="D2509" s="20">
        <v>1340</v>
      </c>
      <c r="E2509" s="20">
        <v>1450</v>
      </c>
      <c r="F2509" s="20">
        <v>2550</v>
      </c>
      <c r="G2509" s="20">
        <v>0.3485855367378668</v>
      </c>
      <c r="H2509" s="16">
        <f t="shared" ca="1" si="42"/>
        <v>2246</v>
      </c>
    </row>
    <row r="2510" spans="4:8" ht="15" thickBot="1" x14ac:dyDescent="0.35">
      <c r="D2510" s="20">
        <v>857</v>
      </c>
      <c r="E2510" s="20">
        <v>850</v>
      </c>
      <c r="F2510" s="20">
        <v>1650</v>
      </c>
      <c r="G2510" s="20">
        <v>0.31082779201596367</v>
      </c>
      <c r="H2510" s="16">
        <f t="shared" ca="1" si="42"/>
        <v>2520</v>
      </c>
    </row>
    <row r="2511" spans="4:8" ht="15" thickBot="1" x14ac:dyDescent="0.35">
      <c r="D2511" s="20">
        <v>1858</v>
      </c>
      <c r="E2511" s="20">
        <v>250</v>
      </c>
      <c r="F2511" s="20">
        <v>3550</v>
      </c>
      <c r="G2511" s="20">
        <v>0.38529782315249389</v>
      </c>
      <c r="H2511" s="16">
        <f t="shared" ca="1" si="42"/>
        <v>51</v>
      </c>
    </row>
    <row r="2512" spans="4:8" ht="15" thickBot="1" x14ac:dyDescent="0.35">
      <c r="D2512" s="20">
        <v>1535</v>
      </c>
      <c r="E2512" s="20">
        <v>5050</v>
      </c>
      <c r="F2512" s="20">
        <v>2850</v>
      </c>
      <c r="G2512" s="20">
        <v>0.36252325302141253</v>
      </c>
      <c r="H2512" s="16">
        <f t="shared" ca="1" si="42"/>
        <v>930</v>
      </c>
    </row>
    <row r="2513" spans="4:8" ht="15" thickBot="1" x14ac:dyDescent="0.35">
      <c r="D2513" s="20">
        <v>33</v>
      </c>
      <c r="E2513" s="20">
        <v>3250</v>
      </c>
      <c r="F2513" s="20">
        <v>50</v>
      </c>
      <c r="G2513" s="20">
        <v>0.17682925177900266</v>
      </c>
      <c r="H2513" s="16">
        <f t="shared" ca="1" si="42"/>
        <v>1213</v>
      </c>
    </row>
    <row r="2514" spans="4:8" ht="15" thickBot="1" x14ac:dyDescent="0.35">
      <c r="D2514" s="20">
        <v>981</v>
      </c>
      <c r="E2514" s="20">
        <v>2650</v>
      </c>
      <c r="F2514" s="20">
        <v>1850</v>
      </c>
      <c r="G2514" s="20">
        <v>0.32068943670780864</v>
      </c>
      <c r="H2514" s="16">
        <f t="shared" ca="1" si="42"/>
        <v>642</v>
      </c>
    </row>
    <row r="2515" spans="4:8" ht="15" thickBot="1" x14ac:dyDescent="0.35">
      <c r="D2515" s="20">
        <v>2682</v>
      </c>
      <c r="E2515" s="43">
        <v>3150</v>
      </c>
      <c r="F2515" s="43">
        <v>5050</v>
      </c>
      <c r="G2515" s="20">
        <v>0.48669236502227192</v>
      </c>
      <c r="H2515" s="16">
        <f t="shared" ca="1" si="42"/>
        <v>259</v>
      </c>
    </row>
    <row r="2516" spans="4:8" ht="15" thickBot="1" x14ac:dyDescent="0.35">
      <c r="D2516" s="20">
        <v>2062</v>
      </c>
      <c r="E2516" s="48">
        <v>4750</v>
      </c>
      <c r="F2516" s="48">
        <v>3850</v>
      </c>
      <c r="G2516" s="20">
        <v>0.40181846505025781</v>
      </c>
      <c r="H2516" s="16">
        <f t="shared" ca="1" si="42"/>
        <v>1925</v>
      </c>
    </row>
    <row r="2517" spans="4:8" ht="15" thickBot="1" x14ac:dyDescent="0.35">
      <c r="D2517" s="20">
        <v>1876</v>
      </c>
      <c r="E2517" s="20">
        <v>2050</v>
      </c>
      <c r="F2517" s="20">
        <v>3550</v>
      </c>
      <c r="G2517" s="20">
        <v>0.38657312879860789</v>
      </c>
      <c r="H2517" s="16">
        <f t="shared" ca="1" si="42"/>
        <v>1464</v>
      </c>
    </row>
    <row r="2518" spans="4:8" ht="15" thickBot="1" x14ac:dyDescent="0.35">
      <c r="D2518" s="20">
        <v>631</v>
      </c>
      <c r="E2518" s="20">
        <v>4750</v>
      </c>
      <c r="F2518" s="20">
        <v>1150</v>
      </c>
      <c r="G2518" s="20">
        <v>0.29158822040919347</v>
      </c>
      <c r="H2518" s="16">
        <f t="shared" ca="1" si="42"/>
        <v>1682</v>
      </c>
    </row>
    <row r="2519" spans="4:8" ht="15" thickBot="1" x14ac:dyDescent="0.35">
      <c r="D2519" s="20">
        <v>87</v>
      </c>
      <c r="E2519" s="20">
        <v>3350</v>
      </c>
      <c r="F2519" s="20">
        <v>150</v>
      </c>
      <c r="G2519" s="20">
        <v>0.20688740212181014</v>
      </c>
      <c r="H2519" s="16">
        <f t="shared" ca="1" si="42"/>
        <v>1443</v>
      </c>
    </row>
    <row r="2520" spans="4:8" ht="15" thickBot="1" x14ac:dyDescent="0.35">
      <c r="D2520" s="20">
        <v>2029</v>
      </c>
      <c r="E2520" s="20">
        <v>1450</v>
      </c>
      <c r="F2520" s="20">
        <v>3850</v>
      </c>
      <c r="G2520" s="20">
        <v>0.39781269684095433</v>
      </c>
      <c r="H2520" s="16">
        <f t="shared" ca="1" si="42"/>
        <v>1265</v>
      </c>
    </row>
    <row r="2521" spans="4:8" ht="15" thickBot="1" x14ac:dyDescent="0.35">
      <c r="D2521" s="20">
        <v>2545</v>
      </c>
      <c r="E2521" s="20">
        <v>50</v>
      </c>
      <c r="F2521" s="20">
        <v>4850</v>
      </c>
      <c r="G2521" s="20">
        <v>0.45485955689579605</v>
      </c>
      <c r="H2521" s="16">
        <f t="shared" ca="1" si="42"/>
        <v>2075</v>
      </c>
    </row>
    <row r="2522" spans="4:8" ht="15" thickBot="1" x14ac:dyDescent="0.35">
      <c r="D2522" s="20">
        <v>568</v>
      </c>
      <c r="E2522" s="20">
        <v>3750</v>
      </c>
      <c r="F2522" s="20">
        <v>1050</v>
      </c>
      <c r="G2522" s="20">
        <v>0.28590708599510067</v>
      </c>
      <c r="H2522" s="16">
        <f t="shared" ca="1" si="42"/>
        <v>2126</v>
      </c>
    </row>
    <row r="2523" spans="4:8" ht="15" thickBot="1" x14ac:dyDescent="0.35">
      <c r="D2523" s="20">
        <v>1511</v>
      </c>
      <c r="E2523" s="20">
        <v>2650</v>
      </c>
      <c r="F2523" s="20">
        <v>2850</v>
      </c>
      <c r="G2523" s="20">
        <v>0.36079875807885869</v>
      </c>
      <c r="H2523" s="16">
        <f t="shared" ca="1" si="42"/>
        <v>1464</v>
      </c>
    </row>
    <row r="2524" spans="4:8" ht="15" thickBot="1" x14ac:dyDescent="0.35">
      <c r="D2524" s="20">
        <v>1096</v>
      </c>
      <c r="E2524" s="20">
        <v>3550</v>
      </c>
      <c r="F2524" s="20">
        <v>2050</v>
      </c>
      <c r="G2524" s="20">
        <v>0.33011894458946234</v>
      </c>
      <c r="H2524" s="16">
        <f t="shared" ca="1" si="42"/>
        <v>2474</v>
      </c>
    </row>
    <row r="2525" spans="4:8" ht="15" thickBot="1" x14ac:dyDescent="0.35">
      <c r="D2525" s="20">
        <v>1104</v>
      </c>
      <c r="E2525" s="20">
        <v>4350</v>
      </c>
      <c r="F2525" s="20">
        <v>2050</v>
      </c>
      <c r="G2525" s="20">
        <v>0.33038959188202033</v>
      </c>
      <c r="H2525" s="16">
        <f t="shared" ca="1" si="42"/>
        <v>2382</v>
      </c>
    </row>
    <row r="2526" spans="4:8" ht="15" thickBot="1" x14ac:dyDescent="0.35">
      <c r="D2526" s="20">
        <v>2725</v>
      </c>
      <c r="E2526" s="20">
        <v>2150</v>
      </c>
      <c r="F2526" s="20">
        <v>5150</v>
      </c>
      <c r="G2526" s="20">
        <v>0.50374651499925727</v>
      </c>
      <c r="H2526" s="16">
        <f t="shared" ca="1" si="42"/>
        <v>351</v>
      </c>
    </row>
    <row r="2527" spans="4:8" ht="15" thickBot="1" x14ac:dyDescent="0.35">
      <c r="D2527" s="20">
        <v>211</v>
      </c>
      <c r="E2527" s="20">
        <v>5150</v>
      </c>
      <c r="F2527" s="20">
        <v>350</v>
      </c>
      <c r="G2527" s="20">
        <v>0.23850976196038431</v>
      </c>
      <c r="H2527" s="16">
        <f t="shared" ca="1" si="42"/>
        <v>1394</v>
      </c>
    </row>
    <row r="2528" spans="4:8" ht="15" thickBot="1" x14ac:dyDescent="0.35">
      <c r="D2528" s="20">
        <v>1773</v>
      </c>
      <c r="E2528" s="20">
        <v>2350</v>
      </c>
      <c r="F2528" s="20">
        <v>3350</v>
      </c>
      <c r="G2528" s="20">
        <v>0.37881160663771285</v>
      </c>
      <c r="H2528" s="16">
        <f t="shared" ca="1" si="42"/>
        <v>766</v>
      </c>
    </row>
    <row r="2529" spans="4:8" ht="15" thickBot="1" x14ac:dyDescent="0.35">
      <c r="D2529" s="20">
        <v>2008</v>
      </c>
      <c r="E2529" s="20">
        <v>4650</v>
      </c>
      <c r="F2529" s="20">
        <v>3750</v>
      </c>
      <c r="G2529" s="20">
        <v>0.39655784246246156</v>
      </c>
      <c r="H2529" s="16">
        <f t="shared" ca="1" si="42"/>
        <v>281</v>
      </c>
    </row>
    <row r="2530" spans="4:8" ht="15" thickBot="1" x14ac:dyDescent="0.35">
      <c r="D2530" s="20">
        <v>818</v>
      </c>
      <c r="E2530" s="20">
        <v>2250</v>
      </c>
      <c r="F2530" s="20">
        <v>1550</v>
      </c>
      <c r="G2530" s="20">
        <v>0.30801125518235239</v>
      </c>
      <c r="H2530" s="16">
        <f t="shared" ca="1" si="42"/>
        <v>1418</v>
      </c>
    </row>
    <row r="2531" spans="4:8" ht="15" thickBot="1" x14ac:dyDescent="0.35">
      <c r="D2531" s="20">
        <v>1719</v>
      </c>
      <c r="E2531" s="20">
        <v>2250</v>
      </c>
      <c r="F2531" s="20">
        <v>3250</v>
      </c>
      <c r="G2531" s="20">
        <v>0.37568026890833006</v>
      </c>
      <c r="H2531" s="16">
        <f t="shared" ca="1" si="42"/>
        <v>1224</v>
      </c>
    </row>
    <row r="2532" spans="4:8" ht="15" thickBot="1" x14ac:dyDescent="0.35">
      <c r="D2532" s="20">
        <v>692</v>
      </c>
      <c r="E2532" s="20">
        <v>250</v>
      </c>
      <c r="F2532" s="20">
        <v>1350</v>
      </c>
      <c r="G2532" s="20">
        <v>0.2977367365698198</v>
      </c>
      <c r="H2532" s="16">
        <f t="shared" ca="1" si="42"/>
        <v>1495</v>
      </c>
    </row>
    <row r="2533" spans="4:8" ht="15" thickBot="1" x14ac:dyDescent="0.35">
      <c r="D2533" s="20">
        <v>977</v>
      </c>
      <c r="E2533" s="20">
        <v>2250</v>
      </c>
      <c r="F2533" s="20">
        <v>1850</v>
      </c>
      <c r="G2533" s="20">
        <v>0.32051126663484558</v>
      </c>
      <c r="H2533" s="16">
        <f t="shared" ca="1" si="42"/>
        <v>1805</v>
      </c>
    </row>
    <row r="2534" spans="4:8" ht="15" thickBot="1" x14ac:dyDescent="0.35">
      <c r="D2534" s="20">
        <v>2630</v>
      </c>
      <c r="E2534" s="20">
        <v>3250</v>
      </c>
      <c r="F2534" s="20">
        <v>4950</v>
      </c>
      <c r="G2534" s="20">
        <v>0.47181095429007608</v>
      </c>
      <c r="H2534" s="16">
        <f t="shared" ca="1" si="42"/>
        <v>1025</v>
      </c>
    </row>
    <row r="2535" spans="4:8" ht="15" thickBot="1" x14ac:dyDescent="0.35">
      <c r="D2535" s="20">
        <v>108</v>
      </c>
      <c r="E2535" s="20">
        <v>150</v>
      </c>
      <c r="F2535" s="20">
        <v>250</v>
      </c>
      <c r="G2535" s="20">
        <v>0.21307229411036238</v>
      </c>
      <c r="H2535" s="16">
        <f t="shared" ca="1" si="42"/>
        <v>733</v>
      </c>
    </row>
    <row r="2536" spans="4:8" ht="15" thickBot="1" x14ac:dyDescent="0.35">
      <c r="D2536" s="20">
        <v>59</v>
      </c>
      <c r="E2536" s="20">
        <v>550</v>
      </c>
      <c r="F2536" s="20">
        <v>150</v>
      </c>
      <c r="G2536" s="20">
        <v>0.19311738616595028</v>
      </c>
      <c r="H2536" s="16">
        <f t="shared" ca="1" si="42"/>
        <v>1815</v>
      </c>
    </row>
    <row r="2537" spans="4:8" ht="15" thickBot="1" x14ac:dyDescent="0.35">
      <c r="D2537" s="20">
        <v>1974</v>
      </c>
      <c r="E2537" s="47">
        <v>1250</v>
      </c>
      <c r="F2537" s="47">
        <v>3750</v>
      </c>
      <c r="G2537" s="20">
        <v>0.39389781215702535</v>
      </c>
      <c r="H2537" s="16">
        <f t="shared" ca="1" si="42"/>
        <v>491</v>
      </c>
    </row>
    <row r="2538" spans="4:8" ht="15" thickBot="1" x14ac:dyDescent="0.35">
      <c r="D2538" s="20">
        <v>1758</v>
      </c>
      <c r="E2538" s="20">
        <v>850</v>
      </c>
      <c r="F2538" s="20">
        <v>3350</v>
      </c>
      <c r="G2538" s="20">
        <v>0.37818861512111346</v>
      </c>
      <c r="H2538" s="16">
        <f t="shared" ca="1" si="42"/>
        <v>559</v>
      </c>
    </row>
    <row r="2539" spans="4:8" ht="15" thickBot="1" x14ac:dyDescent="0.35">
      <c r="D2539" s="20">
        <v>966</v>
      </c>
      <c r="E2539" s="20">
        <v>1150</v>
      </c>
      <c r="F2539" s="20">
        <v>1850</v>
      </c>
      <c r="G2539" s="20">
        <v>0.31956277052230553</v>
      </c>
      <c r="H2539" s="16">
        <f t="shared" ca="1" si="42"/>
        <v>2660</v>
      </c>
    </row>
    <row r="2540" spans="4:8" ht="15" thickBot="1" x14ac:dyDescent="0.35">
      <c r="D2540" s="20">
        <v>1392</v>
      </c>
      <c r="E2540" s="20">
        <v>1350</v>
      </c>
      <c r="F2540" s="20">
        <v>2650</v>
      </c>
      <c r="G2540" s="20">
        <v>0.35130261490800674</v>
      </c>
      <c r="H2540" s="16">
        <f t="shared" ca="1" si="42"/>
        <v>1446</v>
      </c>
    </row>
    <row r="2541" spans="4:8" ht="15" thickBot="1" x14ac:dyDescent="0.35">
      <c r="D2541" s="20">
        <v>1601</v>
      </c>
      <c r="E2541" s="45">
        <v>1050</v>
      </c>
      <c r="F2541" s="45">
        <v>3050</v>
      </c>
      <c r="G2541" s="20">
        <v>0.36693093586507031</v>
      </c>
      <c r="H2541" s="16">
        <f t="shared" ca="1" si="42"/>
        <v>767</v>
      </c>
    </row>
    <row r="2542" spans="4:8" ht="15" thickBot="1" x14ac:dyDescent="0.35">
      <c r="D2542" s="20">
        <v>2223</v>
      </c>
      <c r="E2542" s="20">
        <v>4950</v>
      </c>
      <c r="F2542" s="20">
        <v>4150</v>
      </c>
      <c r="G2542" s="20">
        <v>0.41755260883965067</v>
      </c>
      <c r="H2542" s="16">
        <f t="shared" ca="1" si="42"/>
        <v>437</v>
      </c>
    </row>
    <row r="2543" spans="4:8" ht="15" thickBot="1" x14ac:dyDescent="0.35">
      <c r="D2543" s="20">
        <v>2221</v>
      </c>
      <c r="E2543" s="20">
        <v>4750</v>
      </c>
      <c r="F2543" s="20">
        <v>4150</v>
      </c>
      <c r="G2543" s="20">
        <v>0.41747993996422689</v>
      </c>
      <c r="H2543" s="16">
        <f t="shared" ca="1" si="42"/>
        <v>223</v>
      </c>
    </row>
    <row r="2544" spans="4:8" ht="15" thickBot="1" x14ac:dyDescent="0.35">
      <c r="D2544" s="20">
        <v>193</v>
      </c>
      <c r="E2544" s="20">
        <v>3350</v>
      </c>
      <c r="F2544" s="20">
        <v>350</v>
      </c>
      <c r="G2544" s="20">
        <v>0.23367801218198647</v>
      </c>
      <c r="H2544" s="16">
        <f t="shared" ca="1" si="42"/>
        <v>678</v>
      </c>
    </row>
    <row r="2545" spans="4:8" ht="15" thickBot="1" x14ac:dyDescent="0.35">
      <c r="D2545" s="20">
        <v>2353</v>
      </c>
      <c r="E2545" s="43">
        <v>2050</v>
      </c>
      <c r="F2545" s="43">
        <v>4450</v>
      </c>
      <c r="G2545" s="20">
        <v>0.43040154921266272</v>
      </c>
      <c r="H2545" s="16">
        <f t="shared" ca="1" si="42"/>
        <v>1203</v>
      </c>
    </row>
    <row r="2546" spans="4:8" ht="15" thickBot="1" x14ac:dyDescent="0.35">
      <c r="D2546" s="20">
        <v>635</v>
      </c>
      <c r="E2546" s="20">
        <v>5150</v>
      </c>
      <c r="F2546" s="20">
        <v>1150</v>
      </c>
      <c r="G2546" s="20">
        <v>0.29179664480472162</v>
      </c>
      <c r="H2546" s="16">
        <f t="shared" ca="1" si="42"/>
        <v>502</v>
      </c>
    </row>
    <row r="2547" spans="4:8" ht="15" thickBot="1" x14ac:dyDescent="0.35">
      <c r="D2547" s="20">
        <v>638</v>
      </c>
      <c r="E2547" s="20">
        <v>150</v>
      </c>
      <c r="F2547" s="20">
        <v>1250</v>
      </c>
      <c r="G2547" s="20">
        <v>0.2922446224066696</v>
      </c>
      <c r="H2547" s="16">
        <f t="shared" ca="1" si="42"/>
        <v>2506</v>
      </c>
    </row>
    <row r="2548" spans="4:8" ht="15" thickBot="1" x14ac:dyDescent="0.35">
      <c r="D2548" s="20">
        <v>2499</v>
      </c>
      <c r="E2548" s="20">
        <v>750</v>
      </c>
      <c r="F2548" s="20">
        <v>4750</v>
      </c>
      <c r="G2548" s="20">
        <v>0.44768305359909366</v>
      </c>
      <c r="H2548" s="16">
        <f t="shared" ca="1" si="42"/>
        <v>225</v>
      </c>
    </row>
    <row r="2549" spans="4:8" ht="15" thickBot="1" x14ac:dyDescent="0.35">
      <c r="D2549" s="20">
        <v>496</v>
      </c>
      <c r="E2549" s="20">
        <v>1850</v>
      </c>
      <c r="F2549" s="20">
        <v>950</v>
      </c>
      <c r="G2549" s="20">
        <v>0.27811857094551828</v>
      </c>
      <c r="H2549" s="16">
        <f t="shared" ca="1" si="42"/>
        <v>506</v>
      </c>
    </row>
    <row r="2550" spans="4:8" ht="15" thickBot="1" x14ac:dyDescent="0.35">
      <c r="D2550" s="20">
        <v>640</v>
      </c>
      <c r="E2550" s="20">
        <v>350</v>
      </c>
      <c r="F2550" s="20">
        <v>1250</v>
      </c>
      <c r="G2550" s="20">
        <v>0.29265707414687214</v>
      </c>
      <c r="H2550" s="16">
        <f t="shared" ca="1" si="42"/>
        <v>577</v>
      </c>
    </row>
    <row r="2551" spans="4:8" ht="15" thickBot="1" x14ac:dyDescent="0.35">
      <c r="D2551" s="20">
        <v>998</v>
      </c>
      <c r="E2551" s="20">
        <v>4350</v>
      </c>
      <c r="F2551" s="20">
        <v>1850</v>
      </c>
      <c r="G2551" s="20">
        <v>0.32199809983344746</v>
      </c>
      <c r="H2551" s="16">
        <f t="shared" ca="1" si="42"/>
        <v>1808</v>
      </c>
    </row>
    <row r="2552" spans="4:8" ht="15" thickBot="1" x14ac:dyDescent="0.35">
      <c r="D2552" s="20">
        <v>1173</v>
      </c>
      <c r="E2552" s="20">
        <v>650</v>
      </c>
      <c r="F2552" s="20">
        <v>2250</v>
      </c>
      <c r="G2552" s="20">
        <v>0.33585645278495035</v>
      </c>
      <c r="H2552" s="16">
        <f t="shared" ca="1" si="42"/>
        <v>874</v>
      </c>
    </row>
    <row r="2553" spans="4:8" ht="15" thickBot="1" x14ac:dyDescent="0.35">
      <c r="D2553" s="20">
        <v>1182</v>
      </c>
      <c r="E2553" s="20">
        <v>1550</v>
      </c>
      <c r="F2553" s="20">
        <v>2250</v>
      </c>
      <c r="G2553" s="20">
        <v>0.33674240923784554</v>
      </c>
      <c r="H2553" s="16">
        <f t="shared" ca="1" si="42"/>
        <v>252</v>
      </c>
    </row>
    <row r="2554" spans="4:8" ht="15" thickBot="1" x14ac:dyDescent="0.35">
      <c r="D2554" s="20">
        <v>1882</v>
      </c>
      <c r="E2554" s="20">
        <v>2650</v>
      </c>
      <c r="F2554" s="20">
        <v>3550</v>
      </c>
      <c r="G2554" s="20">
        <v>0.38704580230334457</v>
      </c>
      <c r="H2554" s="16">
        <f t="shared" ca="1" si="42"/>
        <v>69</v>
      </c>
    </row>
    <row r="2555" spans="4:8" ht="15" thickBot="1" x14ac:dyDescent="0.35">
      <c r="D2555" s="20">
        <v>1612</v>
      </c>
      <c r="E2555" s="20">
        <v>2150</v>
      </c>
      <c r="F2555" s="20">
        <v>3050</v>
      </c>
      <c r="G2555" s="20">
        <v>0.36786532638913355</v>
      </c>
      <c r="H2555" s="16">
        <f t="shared" ca="1" si="42"/>
        <v>695</v>
      </c>
    </row>
    <row r="2556" spans="4:8" ht="15" thickBot="1" x14ac:dyDescent="0.35">
      <c r="D2556" s="20">
        <v>686</v>
      </c>
      <c r="E2556" s="20">
        <v>4950</v>
      </c>
      <c r="F2556" s="20">
        <v>1250</v>
      </c>
      <c r="G2556" s="20">
        <v>0.29673142311635181</v>
      </c>
      <c r="H2556" s="16">
        <f t="shared" ca="1" si="42"/>
        <v>451</v>
      </c>
    </row>
    <row r="2557" spans="4:8" ht="15" thickBot="1" x14ac:dyDescent="0.35">
      <c r="D2557" s="20">
        <v>314</v>
      </c>
      <c r="E2557" s="20">
        <v>4850</v>
      </c>
      <c r="F2557" s="20">
        <v>550</v>
      </c>
      <c r="G2557" s="20">
        <v>0.25576555687521996</v>
      </c>
      <c r="H2557" s="16">
        <f t="shared" ca="1" si="42"/>
        <v>1762</v>
      </c>
    </row>
    <row r="2558" spans="4:8" ht="15" thickBot="1" x14ac:dyDescent="0.35">
      <c r="D2558" s="20">
        <v>1768</v>
      </c>
      <c r="E2558" s="20">
        <v>1850</v>
      </c>
      <c r="F2558" s="20">
        <v>3350</v>
      </c>
      <c r="G2558" s="20">
        <v>0.37865164837349047</v>
      </c>
      <c r="H2558" s="16">
        <f t="shared" ca="1" si="42"/>
        <v>1577</v>
      </c>
    </row>
    <row r="2559" spans="4:8" ht="15" thickBot="1" x14ac:dyDescent="0.35">
      <c r="D2559" s="20">
        <v>2301</v>
      </c>
      <c r="E2559" s="20">
        <v>2150</v>
      </c>
      <c r="F2559" s="20">
        <v>4350</v>
      </c>
      <c r="G2559" s="20">
        <v>0.42528230575195691</v>
      </c>
      <c r="H2559" s="16">
        <f t="shared" ca="1" si="42"/>
        <v>60</v>
      </c>
    </row>
    <row r="2560" spans="4:8" ht="15" thickBot="1" x14ac:dyDescent="0.35">
      <c r="D2560" s="20">
        <v>1587</v>
      </c>
      <c r="E2560" s="20">
        <v>4950</v>
      </c>
      <c r="F2560" s="20">
        <v>2950</v>
      </c>
      <c r="G2560" s="20">
        <v>0.36621565429771269</v>
      </c>
      <c r="H2560" s="16">
        <f t="shared" ca="1" si="42"/>
        <v>567</v>
      </c>
    </row>
    <row r="2561" spans="4:8" ht="15" thickBot="1" x14ac:dyDescent="0.35">
      <c r="D2561" s="20">
        <v>2537</v>
      </c>
      <c r="E2561" s="20">
        <v>4550</v>
      </c>
      <c r="F2561" s="20">
        <v>4750</v>
      </c>
      <c r="G2561" s="20">
        <v>0.45325084294422269</v>
      </c>
      <c r="H2561" s="16">
        <f t="shared" ca="1" si="42"/>
        <v>1646</v>
      </c>
    </row>
    <row r="2562" spans="4:8" ht="15" thickBot="1" x14ac:dyDescent="0.35">
      <c r="D2562" s="20">
        <v>1567</v>
      </c>
      <c r="E2562" s="20">
        <v>2950</v>
      </c>
      <c r="F2562" s="20">
        <v>2950</v>
      </c>
      <c r="G2562" s="20">
        <v>0.36450964642556016</v>
      </c>
      <c r="H2562" s="16">
        <f t="shared" ca="1" si="42"/>
        <v>2576</v>
      </c>
    </row>
    <row r="2563" spans="4:8" ht="15" thickBot="1" x14ac:dyDescent="0.35">
      <c r="D2563" s="20">
        <v>542</v>
      </c>
      <c r="E2563" s="20">
        <v>1150</v>
      </c>
      <c r="F2563" s="20">
        <v>1050</v>
      </c>
      <c r="G2563" s="20">
        <v>0.28254202061471961</v>
      </c>
      <c r="H2563" s="16">
        <f t="shared" ca="1" si="42"/>
        <v>274</v>
      </c>
    </row>
    <row r="2564" spans="4:8" ht="15" thickBot="1" x14ac:dyDescent="0.35">
      <c r="D2564" s="20">
        <v>2236</v>
      </c>
      <c r="E2564" s="20">
        <v>950</v>
      </c>
      <c r="F2564" s="20">
        <v>4250</v>
      </c>
      <c r="G2564" s="20">
        <v>0.41901877066136389</v>
      </c>
      <c r="H2564" s="16">
        <f t="shared" ca="1" si="42"/>
        <v>1973</v>
      </c>
    </row>
    <row r="2565" spans="4:8" ht="15" thickBot="1" x14ac:dyDescent="0.35">
      <c r="D2565" s="20">
        <v>307</v>
      </c>
      <c r="E2565" s="20">
        <v>4150</v>
      </c>
      <c r="F2565" s="20">
        <v>550</v>
      </c>
      <c r="G2565" s="20">
        <v>0.25420684929021886</v>
      </c>
      <c r="H2565" s="16">
        <f t="shared" ca="1" si="42"/>
        <v>312</v>
      </c>
    </row>
    <row r="2566" spans="4:8" ht="15" thickBot="1" x14ac:dyDescent="0.35">
      <c r="D2566" s="20">
        <v>1455</v>
      </c>
      <c r="E2566" s="20">
        <v>2350</v>
      </c>
      <c r="F2566" s="20">
        <v>2750</v>
      </c>
      <c r="G2566" s="20">
        <v>0.35620061265942149</v>
      </c>
      <c r="H2566" s="16">
        <f t="shared" ca="1" si="42"/>
        <v>1773</v>
      </c>
    </row>
    <row r="2567" spans="4:8" ht="15" thickBot="1" x14ac:dyDescent="0.35">
      <c r="D2567" s="20">
        <v>1216</v>
      </c>
      <c r="E2567" s="20">
        <v>4950</v>
      </c>
      <c r="F2567" s="20">
        <v>2250</v>
      </c>
      <c r="G2567" s="20">
        <v>0.33905701331404398</v>
      </c>
      <c r="H2567" s="16">
        <f t="shared" ref="H2567:H2630" ca="1" si="43">RANDBETWEEN(1,2788)</f>
        <v>918</v>
      </c>
    </row>
    <row r="2568" spans="4:8" ht="15" thickBot="1" x14ac:dyDescent="0.35">
      <c r="D2568" s="20">
        <v>397</v>
      </c>
      <c r="E2568" s="20">
        <v>2550</v>
      </c>
      <c r="F2568" s="20">
        <v>750</v>
      </c>
      <c r="G2568" s="20">
        <v>0.26690455935450486</v>
      </c>
      <c r="H2568" s="16">
        <f t="shared" ca="1" si="43"/>
        <v>50</v>
      </c>
    </row>
    <row r="2569" spans="4:8" ht="15" thickBot="1" x14ac:dyDescent="0.35">
      <c r="D2569" s="20">
        <v>1645</v>
      </c>
      <c r="E2569" s="20">
        <v>150</v>
      </c>
      <c r="F2569" s="20">
        <v>3150</v>
      </c>
      <c r="G2569" s="20">
        <v>0.36994752566354155</v>
      </c>
      <c r="H2569" s="16">
        <f t="shared" ca="1" si="43"/>
        <v>2276</v>
      </c>
    </row>
    <row r="2570" spans="4:8" ht="15" thickBot="1" x14ac:dyDescent="0.35">
      <c r="D2570" s="20">
        <v>383</v>
      </c>
      <c r="E2570" s="20">
        <v>1150</v>
      </c>
      <c r="F2570" s="20">
        <v>750</v>
      </c>
      <c r="G2570" s="20">
        <v>0.26546049134711736</v>
      </c>
      <c r="H2570" s="16">
        <f t="shared" ca="1" si="43"/>
        <v>915</v>
      </c>
    </row>
    <row r="2571" spans="4:8" ht="15" thickBot="1" x14ac:dyDescent="0.35">
      <c r="D2571" s="20">
        <v>1857</v>
      </c>
      <c r="E2571" s="48">
        <v>150</v>
      </c>
      <c r="F2571" s="48">
        <v>3550</v>
      </c>
      <c r="G2571" s="20">
        <v>0.38527093192663042</v>
      </c>
      <c r="H2571" s="16">
        <f t="shared" ca="1" si="43"/>
        <v>2088</v>
      </c>
    </row>
    <row r="2572" spans="4:8" ht="15" thickBot="1" x14ac:dyDescent="0.35">
      <c r="D2572" s="20">
        <v>1370</v>
      </c>
      <c r="E2572" s="20">
        <v>4450</v>
      </c>
      <c r="F2572" s="20">
        <v>2550</v>
      </c>
      <c r="G2572" s="20">
        <v>0.34985272125000855</v>
      </c>
      <c r="H2572" s="16">
        <f t="shared" ca="1" si="43"/>
        <v>106</v>
      </c>
    </row>
    <row r="2573" spans="4:8" ht="15" thickBot="1" x14ac:dyDescent="0.35">
      <c r="D2573" s="20">
        <v>1605</v>
      </c>
      <c r="E2573" s="20">
        <v>1450</v>
      </c>
      <c r="F2573" s="20">
        <v>3050</v>
      </c>
      <c r="G2573" s="20">
        <v>0.36724884860500551</v>
      </c>
      <c r="H2573" s="16">
        <f t="shared" ca="1" si="43"/>
        <v>1025</v>
      </c>
    </row>
    <row r="2574" spans="4:8" ht="15" thickBot="1" x14ac:dyDescent="0.35">
      <c r="D2574" s="20">
        <v>2370</v>
      </c>
      <c r="E2574" s="20">
        <v>3750</v>
      </c>
      <c r="F2574" s="20">
        <v>4450</v>
      </c>
      <c r="G2574" s="20">
        <v>0.43132281347369006</v>
      </c>
      <c r="H2574" s="16">
        <f t="shared" ca="1" si="43"/>
        <v>666</v>
      </c>
    </row>
    <row r="2575" spans="4:8" ht="15" thickBot="1" x14ac:dyDescent="0.35">
      <c r="D2575" s="20">
        <v>1090</v>
      </c>
      <c r="E2575" s="20">
        <v>2950</v>
      </c>
      <c r="F2575" s="20">
        <v>2050</v>
      </c>
      <c r="G2575" s="20">
        <v>0.32973011099182048</v>
      </c>
      <c r="H2575" s="16">
        <f t="shared" ca="1" si="43"/>
        <v>1235</v>
      </c>
    </row>
    <row r="2576" spans="4:8" ht="15" thickBot="1" x14ac:dyDescent="0.35">
      <c r="D2576" s="20">
        <v>1741</v>
      </c>
      <c r="E2576" s="20">
        <v>4450</v>
      </c>
      <c r="F2576" s="20">
        <v>3250</v>
      </c>
      <c r="G2576" s="20">
        <v>0.37725674870250231</v>
      </c>
      <c r="H2576" s="16">
        <f t="shared" ca="1" si="43"/>
        <v>1277</v>
      </c>
    </row>
    <row r="2577" spans="4:8" ht="15" thickBot="1" x14ac:dyDescent="0.35">
      <c r="D2577" s="20">
        <v>2404</v>
      </c>
      <c r="E2577" s="20">
        <v>1850</v>
      </c>
      <c r="F2577" s="20">
        <v>4550</v>
      </c>
      <c r="G2577" s="20">
        <v>0.43548497763877281</v>
      </c>
      <c r="H2577" s="16">
        <f t="shared" ca="1" si="43"/>
        <v>891</v>
      </c>
    </row>
    <row r="2578" spans="4:8" ht="15" thickBot="1" x14ac:dyDescent="0.35">
      <c r="D2578" s="20">
        <v>2095</v>
      </c>
      <c r="E2578" s="20">
        <v>2750</v>
      </c>
      <c r="F2578" s="20">
        <v>3950</v>
      </c>
      <c r="G2578" s="20">
        <v>0.40481635076945066</v>
      </c>
      <c r="H2578" s="16">
        <f t="shared" ca="1" si="43"/>
        <v>2738</v>
      </c>
    </row>
    <row r="2579" spans="4:8" ht="15" thickBot="1" x14ac:dyDescent="0.35">
      <c r="D2579" s="20">
        <v>2523</v>
      </c>
      <c r="E2579" s="20">
        <v>3150</v>
      </c>
      <c r="F2579" s="20">
        <v>4750</v>
      </c>
      <c r="G2579" s="20">
        <v>0.45002803091931615</v>
      </c>
      <c r="H2579" s="16">
        <f t="shared" ca="1" si="43"/>
        <v>70</v>
      </c>
    </row>
    <row r="2580" spans="4:8" ht="15" thickBot="1" x14ac:dyDescent="0.35">
      <c r="D2580" s="20">
        <v>2293</v>
      </c>
      <c r="E2580" s="20">
        <v>1350</v>
      </c>
      <c r="F2580" s="20">
        <v>4350</v>
      </c>
      <c r="G2580" s="20">
        <v>0.42497478019000123</v>
      </c>
      <c r="H2580" s="16">
        <f t="shared" ca="1" si="43"/>
        <v>1236</v>
      </c>
    </row>
    <row r="2581" spans="4:8" ht="15" thickBot="1" x14ac:dyDescent="0.35">
      <c r="D2581" s="20">
        <v>1432</v>
      </c>
      <c r="E2581" s="20">
        <v>50</v>
      </c>
      <c r="F2581" s="20">
        <v>2750</v>
      </c>
      <c r="G2581" s="20">
        <v>0.35510019969804107</v>
      </c>
      <c r="H2581" s="16">
        <f t="shared" ca="1" si="43"/>
        <v>1832</v>
      </c>
    </row>
    <row r="2582" spans="4:8" ht="15" thickBot="1" x14ac:dyDescent="0.35">
      <c r="D2582" s="20">
        <v>948</v>
      </c>
      <c r="E2582" s="20">
        <v>4650</v>
      </c>
      <c r="F2582" s="20">
        <v>1750</v>
      </c>
      <c r="G2582" s="20">
        <v>0.31828722997644693</v>
      </c>
      <c r="H2582" s="16">
        <f t="shared" ca="1" si="43"/>
        <v>1804</v>
      </c>
    </row>
    <row r="2583" spans="4:8" ht="15" thickBot="1" x14ac:dyDescent="0.35">
      <c r="D2583" s="20">
        <v>793</v>
      </c>
      <c r="E2583" s="20">
        <v>5050</v>
      </c>
      <c r="F2583" s="20">
        <v>1450</v>
      </c>
      <c r="G2583" s="20">
        <v>0.30610191284804211</v>
      </c>
      <c r="H2583" s="16">
        <f t="shared" ca="1" si="43"/>
        <v>2244</v>
      </c>
    </row>
    <row r="2584" spans="4:8" ht="15" thickBot="1" x14ac:dyDescent="0.35">
      <c r="D2584" s="20">
        <v>1102</v>
      </c>
      <c r="E2584" s="20">
        <v>4150</v>
      </c>
      <c r="F2584" s="20">
        <v>2050</v>
      </c>
      <c r="G2584" s="20">
        <v>0.33031015927700758</v>
      </c>
      <c r="H2584" s="16">
        <f t="shared" ca="1" si="43"/>
        <v>1035</v>
      </c>
    </row>
    <row r="2585" spans="4:8" ht="15" thickBot="1" x14ac:dyDescent="0.35">
      <c r="D2585" s="20">
        <v>1160</v>
      </c>
      <c r="E2585" s="20">
        <v>4650</v>
      </c>
      <c r="F2585" s="20">
        <v>2150</v>
      </c>
      <c r="G2585" s="20">
        <v>0.33485665352721938</v>
      </c>
      <c r="H2585" s="16">
        <f t="shared" ca="1" si="43"/>
        <v>2730</v>
      </c>
    </row>
    <row r="2586" spans="4:8" ht="15" thickBot="1" x14ac:dyDescent="0.35">
      <c r="D2586" s="20">
        <v>2552</v>
      </c>
      <c r="E2586" s="20">
        <v>750</v>
      </c>
      <c r="F2586" s="20">
        <v>4850</v>
      </c>
      <c r="G2586" s="20">
        <v>0.45595039048920549</v>
      </c>
      <c r="H2586" s="16">
        <f t="shared" ca="1" si="43"/>
        <v>2665</v>
      </c>
    </row>
    <row r="2587" spans="4:8" ht="15" thickBot="1" x14ac:dyDescent="0.35">
      <c r="D2587" s="20">
        <v>2141</v>
      </c>
      <c r="E2587" s="20">
        <v>2050</v>
      </c>
      <c r="F2587" s="20">
        <v>4050</v>
      </c>
      <c r="G2587" s="20">
        <v>0.40958002667687654</v>
      </c>
      <c r="H2587" s="16">
        <f t="shared" ca="1" si="43"/>
        <v>1388</v>
      </c>
    </row>
    <row r="2588" spans="4:8" ht="15" thickBot="1" x14ac:dyDescent="0.35">
      <c r="D2588" s="20">
        <v>1723</v>
      </c>
      <c r="E2588" s="20">
        <v>2650</v>
      </c>
      <c r="F2588" s="20">
        <v>3250</v>
      </c>
      <c r="G2588" s="20">
        <v>0.37602644215116438</v>
      </c>
      <c r="H2588" s="16">
        <f t="shared" ca="1" si="43"/>
        <v>2420</v>
      </c>
    </row>
    <row r="2589" spans="4:8" ht="15" thickBot="1" x14ac:dyDescent="0.35">
      <c r="D2589" s="20">
        <v>1794</v>
      </c>
      <c r="E2589" s="20">
        <v>4450</v>
      </c>
      <c r="F2589" s="20">
        <v>3350</v>
      </c>
      <c r="G2589" s="20">
        <v>0.38065987737788182</v>
      </c>
      <c r="H2589" s="16">
        <f t="shared" ca="1" si="43"/>
        <v>945</v>
      </c>
    </row>
    <row r="2590" spans="4:8" ht="15" thickBot="1" x14ac:dyDescent="0.35">
      <c r="D2590" s="20">
        <v>815</v>
      </c>
      <c r="E2590" s="20">
        <v>1950</v>
      </c>
      <c r="F2590" s="20">
        <v>1550</v>
      </c>
      <c r="G2590" s="20">
        <v>0.30794716881986284</v>
      </c>
      <c r="H2590" s="16">
        <f t="shared" ca="1" si="43"/>
        <v>2300</v>
      </c>
    </row>
    <row r="2591" spans="4:8" ht="15" thickBot="1" x14ac:dyDescent="0.35">
      <c r="D2591" s="20">
        <v>534</v>
      </c>
      <c r="E2591" s="20">
        <v>350</v>
      </c>
      <c r="F2591" s="20">
        <v>1050</v>
      </c>
      <c r="G2591" s="20">
        <v>0.28193927568798327</v>
      </c>
      <c r="H2591" s="16">
        <f t="shared" ca="1" si="43"/>
        <v>2244</v>
      </c>
    </row>
    <row r="2592" spans="4:8" ht="15" thickBot="1" x14ac:dyDescent="0.35">
      <c r="D2592" s="20">
        <v>644</v>
      </c>
      <c r="E2592" s="20">
        <v>750</v>
      </c>
      <c r="F2592" s="20">
        <v>1250</v>
      </c>
      <c r="G2592" s="20">
        <v>0.29300046657386386</v>
      </c>
      <c r="H2592" s="16">
        <f t="shared" ca="1" si="43"/>
        <v>2624</v>
      </c>
    </row>
    <row r="2593" spans="4:8" ht="15" thickBot="1" x14ac:dyDescent="0.35">
      <c r="D2593" s="20">
        <v>2643</v>
      </c>
      <c r="E2593" s="20">
        <v>4550</v>
      </c>
      <c r="F2593" s="20">
        <v>4950</v>
      </c>
      <c r="G2593" s="20">
        <v>0.474652044364065</v>
      </c>
      <c r="H2593" s="16">
        <f t="shared" ca="1" si="43"/>
        <v>792</v>
      </c>
    </row>
    <row r="2594" spans="4:8" ht="15" thickBot="1" x14ac:dyDescent="0.35">
      <c r="D2594" s="20">
        <v>442</v>
      </c>
      <c r="E2594" s="20">
        <v>1750</v>
      </c>
      <c r="F2594" s="20">
        <v>850</v>
      </c>
      <c r="G2594" s="20">
        <v>0.27241819022031821</v>
      </c>
      <c r="H2594" s="16">
        <f t="shared" ca="1" si="43"/>
        <v>904</v>
      </c>
    </row>
    <row r="2595" spans="4:8" ht="15" thickBot="1" x14ac:dyDescent="0.35">
      <c r="D2595" s="20">
        <v>567</v>
      </c>
      <c r="E2595" s="20">
        <v>3650</v>
      </c>
      <c r="F2595" s="20">
        <v>1050</v>
      </c>
      <c r="G2595" s="20">
        <v>0.28588382104421284</v>
      </c>
      <c r="H2595" s="16">
        <f t="shared" ca="1" si="43"/>
        <v>880</v>
      </c>
    </row>
    <row r="2596" spans="4:8" ht="15" thickBot="1" x14ac:dyDescent="0.35">
      <c r="D2596" s="20">
        <v>540</v>
      </c>
      <c r="E2596" s="20">
        <v>950</v>
      </c>
      <c r="F2596" s="20">
        <v>1050</v>
      </c>
      <c r="G2596" s="20">
        <v>0.28215049117533891</v>
      </c>
      <c r="H2596" s="16">
        <f t="shared" ca="1" si="43"/>
        <v>464</v>
      </c>
    </row>
    <row r="2597" spans="4:8" ht="15" thickBot="1" x14ac:dyDescent="0.35">
      <c r="D2597" s="20">
        <v>1824</v>
      </c>
      <c r="E2597" s="20">
        <v>2150</v>
      </c>
      <c r="F2597" s="20">
        <v>3450</v>
      </c>
      <c r="G2597" s="20">
        <v>0.38236377962399615</v>
      </c>
      <c r="H2597" s="16">
        <f t="shared" ca="1" si="43"/>
        <v>1619</v>
      </c>
    </row>
    <row r="2598" spans="4:8" ht="15" thickBot="1" x14ac:dyDescent="0.35">
      <c r="D2598" s="20">
        <v>1924</v>
      </c>
      <c r="E2598" s="20">
        <v>1550</v>
      </c>
      <c r="F2598" s="20">
        <v>3650</v>
      </c>
      <c r="G2598" s="20">
        <v>0.38958311308810128</v>
      </c>
      <c r="H2598" s="16">
        <f t="shared" ca="1" si="43"/>
        <v>764</v>
      </c>
    </row>
    <row r="2599" spans="4:8" ht="15" thickBot="1" x14ac:dyDescent="0.35">
      <c r="D2599" s="20">
        <v>2601</v>
      </c>
      <c r="E2599" s="20">
        <v>350</v>
      </c>
      <c r="F2599" s="20">
        <v>4950</v>
      </c>
      <c r="G2599" s="20">
        <v>0.46532734103655471</v>
      </c>
      <c r="H2599" s="16">
        <f t="shared" ca="1" si="43"/>
        <v>72</v>
      </c>
    </row>
    <row r="2600" spans="4:8" ht="15" thickBot="1" x14ac:dyDescent="0.35">
      <c r="D2600" s="20">
        <v>591</v>
      </c>
      <c r="E2600" s="20">
        <v>750</v>
      </c>
      <c r="F2600" s="20">
        <v>1150</v>
      </c>
      <c r="G2600" s="20">
        <v>0.28803368551127928</v>
      </c>
      <c r="H2600" s="16">
        <f t="shared" ca="1" si="43"/>
        <v>2476</v>
      </c>
    </row>
    <row r="2601" spans="4:8" ht="15" thickBot="1" x14ac:dyDescent="0.35">
      <c r="D2601" s="20">
        <v>75</v>
      </c>
      <c r="E2601" s="20">
        <v>2150</v>
      </c>
      <c r="F2601" s="20">
        <v>150</v>
      </c>
      <c r="G2601" s="20">
        <v>0.20033280224819472</v>
      </c>
      <c r="H2601" s="16">
        <f t="shared" ca="1" si="43"/>
        <v>2050</v>
      </c>
    </row>
    <row r="2602" spans="4:8" ht="15" thickBot="1" x14ac:dyDescent="0.35">
      <c r="D2602" s="20">
        <v>1414</v>
      </c>
      <c r="E2602" s="20">
        <v>3550</v>
      </c>
      <c r="F2602" s="20">
        <v>2650</v>
      </c>
      <c r="G2602" s="20">
        <v>0.35366507427721489</v>
      </c>
      <c r="H2602" s="16">
        <f t="shared" ca="1" si="43"/>
        <v>2269</v>
      </c>
    </row>
    <row r="2603" spans="4:8" ht="15" thickBot="1" x14ac:dyDescent="0.35">
      <c r="D2603" s="20">
        <v>899</v>
      </c>
      <c r="E2603" s="20">
        <v>5050</v>
      </c>
      <c r="F2603" s="20">
        <v>1650</v>
      </c>
      <c r="G2603" s="20">
        <v>0.31393753865464735</v>
      </c>
      <c r="H2603" s="16">
        <f t="shared" ca="1" si="43"/>
        <v>872</v>
      </c>
    </row>
    <row r="2604" spans="4:8" ht="15" thickBot="1" x14ac:dyDescent="0.35">
      <c r="D2604" s="20">
        <v>855</v>
      </c>
      <c r="E2604" s="20">
        <v>650</v>
      </c>
      <c r="F2604" s="20">
        <v>1650</v>
      </c>
      <c r="G2604" s="20">
        <v>0.31068885730421031</v>
      </c>
      <c r="H2604" s="16">
        <f t="shared" ca="1" si="43"/>
        <v>2573</v>
      </c>
    </row>
    <row r="2605" spans="4:8" ht="15" thickBot="1" x14ac:dyDescent="0.35">
      <c r="D2605" s="20">
        <v>1477</v>
      </c>
      <c r="E2605" s="20">
        <v>4550</v>
      </c>
      <c r="F2605" s="20">
        <v>2750</v>
      </c>
      <c r="G2605" s="20">
        <v>0.35818499092023282</v>
      </c>
      <c r="H2605" s="16">
        <f t="shared" ca="1" si="43"/>
        <v>1128</v>
      </c>
    </row>
    <row r="2606" spans="4:8" ht="15" thickBot="1" x14ac:dyDescent="0.35">
      <c r="D2606" s="20">
        <v>1139</v>
      </c>
      <c r="E2606" s="20">
        <v>2550</v>
      </c>
      <c r="F2606" s="20">
        <v>2150</v>
      </c>
      <c r="G2606" s="20">
        <v>0.33338647846456027</v>
      </c>
      <c r="H2606" s="16">
        <f t="shared" ca="1" si="43"/>
        <v>1442</v>
      </c>
    </row>
    <row r="2607" spans="4:8" ht="15" thickBot="1" x14ac:dyDescent="0.35">
      <c r="D2607" s="20">
        <v>2500</v>
      </c>
      <c r="E2607" s="20">
        <v>850</v>
      </c>
      <c r="F2607" s="20">
        <v>4750</v>
      </c>
      <c r="G2607" s="20">
        <v>0.44770138139028504</v>
      </c>
      <c r="H2607" s="16">
        <f t="shared" ca="1" si="43"/>
        <v>1723</v>
      </c>
    </row>
    <row r="2608" spans="4:8" ht="15" thickBot="1" x14ac:dyDescent="0.35">
      <c r="D2608" s="20">
        <v>1928</v>
      </c>
      <c r="E2608" s="20">
        <v>1950</v>
      </c>
      <c r="F2608" s="20">
        <v>3650</v>
      </c>
      <c r="G2608" s="20">
        <v>0.38975600838842228</v>
      </c>
      <c r="H2608" s="16">
        <f t="shared" ca="1" si="43"/>
        <v>18</v>
      </c>
    </row>
    <row r="2609" spans="4:8" ht="15" thickBot="1" x14ac:dyDescent="0.35">
      <c r="D2609" s="20">
        <v>943</v>
      </c>
      <c r="E2609" s="20">
        <v>4150</v>
      </c>
      <c r="F2609" s="20">
        <v>1750</v>
      </c>
      <c r="G2609" s="20">
        <v>0.31783984303342877</v>
      </c>
      <c r="H2609" s="16">
        <f t="shared" ca="1" si="43"/>
        <v>321</v>
      </c>
    </row>
    <row r="2610" spans="4:8" ht="15" thickBot="1" x14ac:dyDescent="0.35">
      <c r="D2610" s="20">
        <v>801</v>
      </c>
      <c r="E2610" s="20">
        <v>550</v>
      </c>
      <c r="F2610" s="20">
        <v>1550</v>
      </c>
      <c r="G2610" s="20">
        <v>0.30666065776668444</v>
      </c>
      <c r="H2610" s="16">
        <f t="shared" ca="1" si="43"/>
        <v>14</v>
      </c>
    </row>
    <row r="2611" spans="4:8" ht="15" thickBot="1" x14ac:dyDescent="0.35">
      <c r="D2611" s="20">
        <v>2093</v>
      </c>
      <c r="E2611" s="20">
        <v>2550</v>
      </c>
      <c r="F2611" s="20">
        <v>3950</v>
      </c>
      <c r="G2611" s="20">
        <v>0.40462264588981051</v>
      </c>
      <c r="H2611" s="16">
        <f t="shared" ca="1" si="43"/>
        <v>1277</v>
      </c>
    </row>
    <row r="2612" spans="4:8" ht="15" thickBot="1" x14ac:dyDescent="0.35">
      <c r="D2612" s="20">
        <v>412</v>
      </c>
      <c r="E2612" s="20">
        <v>4050</v>
      </c>
      <c r="F2612" s="20">
        <v>750</v>
      </c>
      <c r="G2612" s="20">
        <v>0.26911433291201486</v>
      </c>
      <c r="H2612" s="16">
        <f t="shared" ca="1" si="43"/>
        <v>1976</v>
      </c>
    </row>
    <row r="2613" spans="4:8" ht="15" thickBot="1" x14ac:dyDescent="0.35">
      <c r="D2613" s="20">
        <v>1809</v>
      </c>
      <c r="E2613" s="20">
        <v>650</v>
      </c>
      <c r="F2613" s="20">
        <v>3450</v>
      </c>
      <c r="G2613" s="20">
        <v>0.38140830364379857</v>
      </c>
      <c r="H2613" s="16">
        <f t="shared" ca="1" si="43"/>
        <v>405</v>
      </c>
    </row>
    <row r="2614" spans="4:8" ht="15" thickBot="1" x14ac:dyDescent="0.35">
      <c r="D2614" s="20">
        <v>1107</v>
      </c>
      <c r="E2614" s="20">
        <v>4650</v>
      </c>
      <c r="F2614" s="20">
        <v>2050</v>
      </c>
      <c r="G2614" s="20">
        <v>0.33054332809387732</v>
      </c>
      <c r="H2614" s="16">
        <f t="shared" ca="1" si="43"/>
        <v>1261</v>
      </c>
    </row>
    <row r="2615" spans="4:8" ht="15" thickBot="1" x14ac:dyDescent="0.35">
      <c r="D2615" s="20">
        <v>275</v>
      </c>
      <c r="E2615" s="20">
        <v>950</v>
      </c>
      <c r="F2615" s="20">
        <v>550</v>
      </c>
      <c r="G2615" s="20">
        <v>0.24962129875149353</v>
      </c>
      <c r="H2615" s="16">
        <f t="shared" ca="1" si="43"/>
        <v>464</v>
      </c>
    </row>
    <row r="2616" spans="4:8" ht="15" thickBot="1" x14ac:dyDescent="0.35">
      <c r="D2616" s="20">
        <v>238</v>
      </c>
      <c r="E2616" s="20">
        <v>2550</v>
      </c>
      <c r="F2616" s="20">
        <v>450</v>
      </c>
      <c r="G2616" s="20">
        <v>0.24344419219638516</v>
      </c>
      <c r="H2616" s="16">
        <f t="shared" ca="1" si="43"/>
        <v>329</v>
      </c>
    </row>
    <row r="2617" spans="4:8" ht="15" thickBot="1" x14ac:dyDescent="0.35">
      <c r="D2617" s="20">
        <v>876</v>
      </c>
      <c r="E2617" s="20">
        <v>2750</v>
      </c>
      <c r="F2617" s="20">
        <v>1650</v>
      </c>
      <c r="G2617" s="20">
        <v>0.31255004982531748</v>
      </c>
      <c r="H2617" s="16">
        <f t="shared" ca="1" si="43"/>
        <v>403</v>
      </c>
    </row>
    <row r="2618" spans="4:8" ht="15" thickBot="1" x14ac:dyDescent="0.35">
      <c r="D2618" s="20">
        <v>2448</v>
      </c>
      <c r="E2618" s="20">
        <v>950</v>
      </c>
      <c r="F2618" s="20">
        <v>4650</v>
      </c>
      <c r="G2618" s="20">
        <v>0.44060897037087082</v>
      </c>
      <c r="H2618" s="16">
        <f t="shared" ca="1" si="43"/>
        <v>1125</v>
      </c>
    </row>
    <row r="2619" spans="4:8" ht="15" thickBot="1" x14ac:dyDescent="0.35">
      <c r="D2619" s="20">
        <v>915</v>
      </c>
      <c r="E2619" s="20">
        <v>1350</v>
      </c>
      <c r="F2619" s="20">
        <v>1750</v>
      </c>
      <c r="G2619" s="20">
        <v>0.31532762655017793</v>
      </c>
      <c r="H2619" s="16">
        <f t="shared" ca="1" si="43"/>
        <v>2467</v>
      </c>
    </row>
    <row r="2620" spans="4:8" ht="15" thickBot="1" x14ac:dyDescent="0.35">
      <c r="D2620" s="20">
        <v>1742</v>
      </c>
      <c r="E2620" s="43">
        <v>4550</v>
      </c>
      <c r="F2620" s="43">
        <v>3250</v>
      </c>
      <c r="G2620" s="20">
        <v>0.37736276401891161</v>
      </c>
      <c r="H2620" s="16">
        <f t="shared" ca="1" si="43"/>
        <v>1793</v>
      </c>
    </row>
    <row r="2621" spans="4:8" ht="15" thickBot="1" x14ac:dyDescent="0.35">
      <c r="D2621" s="20">
        <v>421</v>
      </c>
      <c r="E2621" s="44">
        <v>4950</v>
      </c>
      <c r="F2621" s="44">
        <v>750</v>
      </c>
      <c r="G2621" s="20">
        <v>0.27018604233114374</v>
      </c>
      <c r="H2621" s="16">
        <f t="shared" ca="1" si="43"/>
        <v>1848</v>
      </c>
    </row>
    <row r="2622" spans="4:8" ht="15" thickBot="1" x14ac:dyDescent="0.35">
      <c r="D2622" s="20">
        <v>2036</v>
      </c>
      <c r="E2622" s="47">
        <v>2150</v>
      </c>
      <c r="F2622" s="47">
        <v>3850</v>
      </c>
      <c r="G2622" s="20">
        <v>0.39807707974492323</v>
      </c>
      <c r="H2622" s="16">
        <f t="shared" ca="1" si="43"/>
        <v>502</v>
      </c>
    </row>
    <row r="2623" spans="4:8" ht="15" thickBot="1" x14ac:dyDescent="0.35">
      <c r="D2623" s="20">
        <v>1042</v>
      </c>
      <c r="E2623" s="20">
        <v>3450</v>
      </c>
      <c r="F2623" s="20">
        <v>1950</v>
      </c>
      <c r="G2623" s="20">
        <v>0.32535944591676769</v>
      </c>
      <c r="H2623" s="16">
        <f t="shared" ca="1" si="43"/>
        <v>2191</v>
      </c>
    </row>
    <row r="2624" spans="4:8" ht="15" thickBot="1" x14ac:dyDescent="0.35">
      <c r="D2624" s="20">
        <v>55</v>
      </c>
      <c r="E2624" s="20">
        <v>150</v>
      </c>
      <c r="F2624" s="20">
        <v>150</v>
      </c>
      <c r="G2624" s="20">
        <v>0.18968784507442379</v>
      </c>
      <c r="H2624" s="16">
        <f t="shared" ca="1" si="43"/>
        <v>120</v>
      </c>
    </row>
    <row r="2625" spans="4:8" ht="15" thickBot="1" x14ac:dyDescent="0.35">
      <c r="D2625" s="20">
        <v>701</v>
      </c>
      <c r="E2625" s="20">
        <v>1150</v>
      </c>
      <c r="F2625" s="20">
        <v>1350</v>
      </c>
      <c r="G2625" s="20">
        <v>0.29855161874799135</v>
      </c>
      <c r="H2625" s="16">
        <f t="shared" ca="1" si="43"/>
        <v>1440</v>
      </c>
    </row>
    <row r="2626" spans="4:8" ht="15" thickBot="1" x14ac:dyDescent="0.35">
      <c r="D2626" s="20">
        <v>954</v>
      </c>
      <c r="E2626" s="20">
        <v>5250</v>
      </c>
      <c r="F2626" s="20">
        <v>1750</v>
      </c>
      <c r="G2626" s="20">
        <v>0.31843115677884415</v>
      </c>
      <c r="H2626" s="16">
        <f t="shared" ca="1" si="43"/>
        <v>2453</v>
      </c>
    </row>
    <row r="2627" spans="4:8" ht="15" thickBot="1" x14ac:dyDescent="0.35">
      <c r="D2627" s="20">
        <v>165</v>
      </c>
      <c r="E2627" s="44">
        <v>550</v>
      </c>
      <c r="F2627" s="44">
        <v>350</v>
      </c>
      <c r="G2627" s="20">
        <v>0.22532144234409462</v>
      </c>
      <c r="H2627" s="16">
        <f t="shared" ca="1" si="43"/>
        <v>1870</v>
      </c>
    </row>
    <row r="2628" spans="4:8" ht="15" thickBot="1" x14ac:dyDescent="0.35">
      <c r="D2628" s="20">
        <v>1622</v>
      </c>
      <c r="E2628" s="20">
        <v>3150</v>
      </c>
      <c r="F2628" s="20">
        <v>3050</v>
      </c>
      <c r="G2628" s="20">
        <v>0.36840162075053662</v>
      </c>
      <c r="H2628" s="16">
        <f t="shared" ca="1" si="43"/>
        <v>631</v>
      </c>
    </row>
    <row r="2629" spans="4:8" ht="15" thickBot="1" x14ac:dyDescent="0.35">
      <c r="D2629" s="20">
        <v>794</v>
      </c>
      <c r="E2629" s="20">
        <v>5150</v>
      </c>
      <c r="F2629" s="20">
        <v>1450</v>
      </c>
      <c r="G2629" s="20">
        <v>0.30614178032635164</v>
      </c>
      <c r="H2629" s="16">
        <f t="shared" ca="1" si="43"/>
        <v>2565</v>
      </c>
    </row>
    <row r="2630" spans="4:8" ht="15" thickBot="1" x14ac:dyDescent="0.35">
      <c r="D2630" s="20">
        <v>2007</v>
      </c>
      <c r="E2630" s="20">
        <v>4550</v>
      </c>
      <c r="F2630" s="20">
        <v>3750</v>
      </c>
      <c r="G2630" s="20">
        <v>0.3965010122219918</v>
      </c>
      <c r="H2630" s="16">
        <f t="shared" ca="1" si="43"/>
        <v>1139</v>
      </c>
    </row>
    <row r="2631" spans="4:8" ht="15" thickBot="1" x14ac:dyDescent="0.35">
      <c r="D2631" s="20">
        <v>991</v>
      </c>
      <c r="E2631" s="20">
        <v>3650</v>
      </c>
      <c r="F2631" s="20">
        <v>1850</v>
      </c>
      <c r="G2631" s="20">
        <v>0.32149632362566471</v>
      </c>
      <c r="H2631" s="16">
        <f t="shared" ref="H2631:H2694" ca="1" si="44">RANDBETWEEN(1,2788)</f>
        <v>1889</v>
      </c>
    </row>
    <row r="2632" spans="4:8" ht="15" thickBot="1" x14ac:dyDescent="0.35">
      <c r="D2632" s="20">
        <v>371</v>
      </c>
      <c r="E2632" s="20">
        <v>5250</v>
      </c>
      <c r="F2632" s="20">
        <v>650</v>
      </c>
      <c r="G2632" s="20">
        <v>0.26401372595471984</v>
      </c>
      <c r="H2632" s="16">
        <f t="shared" ca="1" si="44"/>
        <v>1872</v>
      </c>
    </row>
    <row r="2633" spans="4:8" ht="15" thickBot="1" x14ac:dyDescent="0.35">
      <c r="D2633" s="20">
        <v>1283</v>
      </c>
      <c r="E2633" s="20">
        <v>1050</v>
      </c>
      <c r="F2633" s="20">
        <v>2450</v>
      </c>
      <c r="G2633" s="20">
        <v>0.34447456345532496</v>
      </c>
      <c r="H2633" s="16">
        <f t="shared" ca="1" si="44"/>
        <v>1968</v>
      </c>
    </row>
    <row r="2634" spans="4:8" ht="15" thickBot="1" x14ac:dyDescent="0.35">
      <c r="D2634" s="20">
        <v>110</v>
      </c>
      <c r="E2634" s="20">
        <v>350</v>
      </c>
      <c r="F2634" s="20">
        <v>250</v>
      </c>
      <c r="G2634" s="20">
        <v>0.21342721647865331</v>
      </c>
      <c r="H2634" s="16">
        <f t="shared" ca="1" si="44"/>
        <v>321</v>
      </c>
    </row>
    <row r="2635" spans="4:8" ht="15" thickBot="1" x14ac:dyDescent="0.35">
      <c r="D2635" s="20">
        <v>2193</v>
      </c>
      <c r="E2635" s="20">
        <v>1950</v>
      </c>
      <c r="F2635" s="20">
        <v>4150</v>
      </c>
      <c r="G2635" s="20">
        <v>0.41445754373718313</v>
      </c>
      <c r="H2635" s="16">
        <f t="shared" ca="1" si="44"/>
        <v>1586</v>
      </c>
    </row>
    <row r="2636" spans="4:8" ht="15" thickBot="1" x14ac:dyDescent="0.35">
      <c r="D2636" s="20">
        <v>2656</v>
      </c>
      <c r="E2636" s="20">
        <v>550</v>
      </c>
      <c r="F2636" s="20">
        <v>5050</v>
      </c>
      <c r="G2636" s="20">
        <v>0.47912812977885921</v>
      </c>
      <c r="H2636" s="16">
        <f t="shared" ca="1" si="44"/>
        <v>2534</v>
      </c>
    </row>
    <row r="2637" spans="4:8" ht="15" thickBot="1" x14ac:dyDescent="0.35">
      <c r="D2637" s="20">
        <v>1361</v>
      </c>
      <c r="E2637" s="20">
        <v>3550</v>
      </c>
      <c r="F2637" s="20">
        <v>2550</v>
      </c>
      <c r="G2637" s="20">
        <v>0.3493395030511095</v>
      </c>
      <c r="H2637" s="16">
        <f t="shared" ca="1" si="44"/>
        <v>1527</v>
      </c>
    </row>
    <row r="2638" spans="4:8" ht="15" thickBot="1" x14ac:dyDescent="0.35">
      <c r="D2638" s="20">
        <v>135</v>
      </c>
      <c r="E2638" s="20">
        <v>2850</v>
      </c>
      <c r="F2638" s="20">
        <v>250</v>
      </c>
      <c r="G2638" s="20">
        <v>0.21940182197036068</v>
      </c>
      <c r="H2638" s="16">
        <f t="shared" ca="1" si="44"/>
        <v>1491</v>
      </c>
    </row>
    <row r="2639" spans="4:8" ht="15" thickBot="1" x14ac:dyDescent="0.35">
      <c r="D2639" s="20">
        <v>2465</v>
      </c>
      <c r="E2639" s="20">
        <v>2650</v>
      </c>
      <c r="F2639" s="20">
        <v>4650</v>
      </c>
      <c r="G2639" s="20">
        <v>0.44258601523222585</v>
      </c>
      <c r="H2639" s="16">
        <f t="shared" ca="1" si="44"/>
        <v>1363</v>
      </c>
    </row>
    <row r="2640" spans="4:8" ht="15" thickBot="1" x14ac:dyDescent="0.35">
      <c r="D2640" s="20">
        <v>1232</v>
      </c>
      <c r="E2640" s="20">
        <v>1250</v>
      </c>
      <c r="F2640" s="20">
        <v>2350</v>
      </c>
      <c r="G2640" s="20">
        <v>0.34035518513063939</v>
      </c>
      <c r="H2640" s="16">
        <f t="shared" ca="1" si="44"/>
        <v>1993</v>
      </c>
    </row>
    <row r="2641" spans="4:8" ht="15" thickBot="1" x14ac:dyDescent="0.35">
      <c r="D2641" s="20">
        <v>732</v>
      </c>
      <c r="E2641" s="20">
        <v>4250</v>
      </c>
      <c r="F2641" s="20">
        <v>1350</v>
      </c>
      <c r="G2641" s="20">
        <v>0.30043196932803318</v>
      </c>
      <c r="H2641" s="16">
        <f t="shared" ca="1" si="44"/>
        <v>780</v>
      </c>
    </row>
    <row r="2642" spans="4:8" ht="15" thickBot="1" x14ac:dyDescent="0.35">
      <c r="D2642" s="20">
        <v>192</v>
      </c>
      <c r="E2642" s="20">
        <v>3250</v>
      </c>
      <c r="F2642" s="20">
        <v>350</v>
      </c>
      <c r="G2642" s="20">
        <v>0.23350400235519841</v>
      </c>
      <c r="H2642" s="16">
        <f t="shared" ca="1" si="44"/>
        <v>1625</v>
      </c>
    </row>
    <row r="2643" spans="4:8" ht="15" thickBot="1" x14ac:dyDescent="0.35">
      <c r="D2643" s="20">
        <v>1765</v>
      </c>
      <c r="E2643" s="20">
        <v>1550</v>
      </c>
      <c r="F2643" s="20">
        <v>3350</v>
      </c>
      <c r="G2643" s="20">
        <v>0.37855110353422466</v>
      </c>
      <c r="H2643" s="16">
        <f t="shared" ca="1" si="44"/>
        <v>1329</v>
      </c>
    </row>
    <row r="2644" spans="4:8" ht="15" thickBot="1" x14ac:dyDescent="0.35">
      <c r="D2644" s="20">
        <v>1337</v>
      </c>
      <c r="E2644" s="20">
        <v>1150</v>
      </c>
      <c r="F2644" s="20">
        <v>2550</v>
      </c>
      <c r="G2644" s="20">
        <v>0.34837530843323938</v>
      </c>
      <c r="H2644" s="16">
        <f t="shared" ca="1" si="44"/>
        <v>1119</v>
      </c>
    </row>
    <row r="2645" spans="4:8" ht="15" thickBot="1" x14ac:dyDescent="0.35">
      <c r="D2645" s="20">
        <v>1915</v>
      </c>
      <c r="E2645" s="20">
        <v>650</v>
      </c>
      <c r="F2645" s="20">
        <v>3650</v>
      </c>
      <c r="G2645" s="20">
        <v>0.38927492968100674</v>
      </c>
      <c r="H2645" s="16">
        <f t="shared" ca="1" si="44"/>
        <v>2465</v>
      </c>
    </row>
    <row r="2646" spans="4:8" ht="15" thickBot="1" x14ac:dyDescent="0.35">
      <c r="D2646" s="20">
        <v>53</v>
      </c>
      <c r="E2646" s="20">
        <v>5250</v>
      </c>
      <c r="F2646" s="20">
        <v>50</v>
      </c>
      <c r="G2646" s="20">
        <v>0.18884469110088814</v>
      </c>
      <c r="H2646" s="16">
        <f t="shared" ca="1" si="44"/>
        <v>1126</v>
      </c>
    </row>
    <row r="2647" spans="4:8" ht="15" thickBot="1" x14ac:dyDescent="0.35">
      <c r="D2647" s="20">
        <v>2704</v>
      </c>
      <c r="E2647" s="20">
        <v>50</v>
      </c>
      <c r="F2647" s="20">
        <v>5150</v>
      </c>
      <c r="G2647" s="20">
        <v>0.49596910325511767</v>
      </c>
      <c r="H2647" s="16">
        <f t="shared" ca="1" si="44"/>
        <v>2383</v>
      </c>
    </row>
    <row r="2648" spans="4:8" ht="15" thickBot="1" x14ac:dyDescent="0.35">
      <c r="D2648" s="20">
        <v>1745</v>
      </c>
      <c r="E2648" s="20">
        <v>4850</v>
      </c>
      <c r="F2648" s="20">
        <v>3250</v>
      </c>
      <c r="G2648" s="20">
        <v>0.37743762753761917</v>
      </c>
      <c r="H2648" s="16">
        <f t="shared" ca="1" si="44"/>
        <v>69</v>
      </c>
    </row>
    <row r="2649" spans="4:8" ht="15" thickBot="1" x14ac:dyDescent="0.35">
      <c r="D2649" s="20">
        <v>2399</v>
      </c>
      <c r="E2649" s="20">
        <v>1350</v>
      </c>
      <c r="F2649" s="20">
        <v>4550</v>
      </c>
      <c r="G2649" s="20">
        <v>0.43529465774117343</v>
      </c>
      <c r="H2649" s="16">
        <f t="shared" ca="1" si="44"/>
        <v>2137</v>
      </c>
    </row>
    <row r="2650" spans="4:8" ht="15" thickBot="1" x14ac:dyDescent="0.35">
      <c r="D2650" s="20">
        <v>152</v>
      </c>
      <c r="E2650" s="20">
        <v>4550</v>
      </c>
      <c r="F2650" s="20">
        <v>250</v>
      </c>
      <c r="G2650" s="20">
        <v>0.22284467826716403</v>
      </c>
      <c r="H2650" s="16">
        <f t="shared" ca="1" si="44"/>
        <v>1850</v>
      </c>
    </row>
    <row r="2651" spans="4:8" ht="15" thickBot="1" x14ac:dyDescent="0.35">
      <c r="D2651" s="20">
        <v>2288</v>
      </c>
      <c r="E2651" s="20">
        <v>850</v>
      </c>
      <c r="F2651" s="20">
        <v>4350</v>
      </c>
      <c r="G2651" s="20">
        <v>0.42454722121094091</v>
      </c>
      <c r="H2651" s="16">
        <f t="shared" ca="1" si="44"/>
        <v>2100</v>
      </c>
    </row>
    <row r="2652" spans="4:8" ht="15" thickBot="1" x14ac:dyDescent="0.35">
      <c r="D2652" s="20">
        <v>2393</v>
      </c>
      <c r="E2652" s="20">
        <v>750</v>
      </c>
      <c r="F2652" s="20">
        <v>4550</v>
      </c>
      <c r="G2652" s="20">
        <v>0.43481397606724626</v>
      </c>
      <c r="H2652" s="16">
        <f t="shared" ca="1" si="44"/>
        <v>2063</v>
      </c>
    </row>
    <row r="2653" spans="4:8" ht="15" thickBot="1" x14ac:dyDescent="0.35">
      <c r="D2653" s="20">
        <v>1696</v>
      </c>
      <c r="E2653" s="43">
        <v>5250</v>
      </c>
      <c r="F2653" s="43">
        <v>3150</v>
      </c>
      <c r="G2653" s="20">
        <v>0.37380971087562093</v>
      </c>
      <c r="H2653" s="16">
        <f t="shared" ca="1" si="44"/>
        <v>1658</v>
      </c>
    </row>
    <row r="2654" spans="4:8" ht="15" thickBot="1" x14ac:dyDescent="0.35">
      <c r="D2654" s="20">
        <v>2131</v>
      </c>
      <c r="E2654" s="44">
        <v>1050</v>
      </c>
      <c r="F2654" s="44">
        <v>4050</v>
      </c>
      <c r="G2654" s="20">
        <v>0.40861547961834399</v>
      </c>
      <c r="H2654" s="16">
        <f t="shared" ca="1" si="44"/>
        <v>134</v>
      </c>
    </row>
    <row r="2655" spans="4:8" ht="15" thickBot="1" x14ac:dyDescent="0.35">
      <c r="D2655" s="20">
        <v>879</v>
      </c>
      <c r="E2655" s="20">
        <v>3050</v>
      </c>
      <c r="F2655" s="20">
        <v>1650</v>
      </c>
      <c r="G2655" s="20">
        <v>0.31283516840038883</v>
      </c>
      <c r="H2655" s="16">
        <f t="shared" ca="1" si="44"/>
        <v>2469</v>
      </c>
    </row>
    <row r="2656" spans="4:8" ht="15" thickBot="1" x14ac:dyDescent="0.35">
      <c r="D2656" s="20">
        <v>2051</v>
      </c>
      <c r="E2656" s="20">
        <v>3650</v>
      </c>
      <c r="F2656" s="20">
        <v>3850</v>
      </c>
      <c r="G2656" s="20">
        <v>0.39976826841064372</v>
      </c>
      <c r="H2656" s="16">
        <f t="shared" ca="1" si="44"/>
        <v>870</v>
      </c>
    </row>
    <row r="2657" spans="4:8" ht="15" thickBot="1" x14ac:dyDescent="0.35">
      <c r="D2657" s="20">
        <v>1553</v>
      </c>
      <c r="E2657" s="20">
        <v>1550</v>
      </c>
      <c r="F2657" s="20">
        <v>2950</v>
      </c>
      <c r="G2657" s="20">
        <v>0.36377980722706277</v>
      </c>
      <c r="H2657" s="16">
        <f t="shared" ca="1" si="44"/>
        <v>1044</v>
      </c>
    </row>
    <row r="2658" spans="4:8" ht="15" thickBot="1" x14ac:dyDescent="0.35">
      <c r="D2658" s="20">
        <v>168</v>
      </c>
      <c r="E2658" s="20">
        <v>850</v>
      </c>
      <c r="F2658" s="20">
        <v>350</v>
      </c>
      <c r="G2658" s="20">
        <v>0.22564845304839609</v>
      </c>
      <c r="H2658" s="16">
        <f t="shared" ca="1" si="44"/>
        <v>90</v>
      </c>
    </row>
    <row r="2659" spans="4:8" ht="15" thickBot="1" x14ac:dyDescent="0.35">
      <c r="D2659" s="20">
        <v>250</v>
      </c>
      <c r="E2659" s="20">
        <v>3750</v>
      </c>
      <c r="F2659" s="20">
        <v>450</v>
      </c>
      <c r="G2659" s="20">
        <v>0.24485471011831458</v>
      </c>
      <c r="H2659" s="16">
        <f t="shared" ca="1" si="44"/>
        <v>452</v>
      </c>
    </row>
    <row r="2660" spans="4:8" ht="15" thickBot="1" x14ac:dyDescent="0.35">
      <c r="D2660" s="20">
        <v>718</v>
      </c>
      <c r="E2660" s="20">
        <v>2850</v>
      </c>
      <c r="F2660" s="20">
        <v>1350</v>
      </c>
      <c r="G2660" s="20">
        <v>0.29952023701498443</v>
      </c>
      <c r="H2660" s="16">
        <f t="shared" ca="1" si="44"/>
        <v>2664</v>
      </c>
    </row>
    <row r="2661" spans="4:8" ht="15" thickBot="1" x14ac:dyDescent="0.35">
      <c r="D2661" s="20">
        <v>2066</v>
      </c>
      <c r="E2661" s="20">
        <v>5150</v>
      </c>
      <c r="F2661" s="20">
        <v>3850</v>
      </c>
      <c r="G2661" s="20">
        <v>0.40234543506379289</v>
      </c>
      <c r="H2661" s="16">
        <f t="shared" ca="1" si="44"/>
        <v>1676</v>
      </c>
    </row>
    <row r="2662" spans="4:8" ht="15" thickBot="1" x14ac:dyDescent="0.35">
      <c r="D2662" s="20">
        <v>1403</v>
      </c>
      <c r="E2662" s="20">
        <v>2450</v>
      </c>
      <c r="F2662" s="20">
        <v>2650</v>
      </c>
      <c r="G2662" s="20">
        <v>0.35294756812328065</v>
      </c>
      <c r="H2662" s="16">
        <f t="shared" ca="1" si="44"/>
        <v>1007</v>
      </c>
    </row>
    <row r="2663" spans="4:8" ht="15" thickBot="1" x14ac:dyDescent="0.35">
      <c r="D2663" s="20">
        <v>921</v>
      </c>
      <c r="E2663" s="20">
        <v>1950</v>
      </c>
      <c r="F2663" s="20">
        <v>1750</v>
      </c>
      <c r="G2663" s="20">
        <v>0.31590523883242405</v>
      </c>
      <c r="H2663" s="16">
        <f t="shared" ca="1" si="44"/>
        <v>1549</v>
      </c>
    </row>
    <row r="2664" spans="4:8" ht="15" thickBot="1" x14ac:dyDescent="0.35">
      <c r="D2664" s="20">
        <v>179</v>
      </c>
      <c r="E2664" s="48">
        <v>1950</v>
      </c>
      <c r="F2664" s="48">
        <v>350</v>
      </c>
      <c r="G2664" s="20">
        <v>0.22853922774001151</v>
      </c>
      <c r="H2664" s="16">
        <f t="shared" ca="1" si="44"/>
        <v>147</v>
      </c>
    </row>
    <row r="2665" spans="4:8" ht="15" thickBot="1" x14ac:dyDescent="0.35">
      <c r="D2665" s="20">
        <v>572</v>
      </c>
      <c r="E2665" s="20">
        <v>4150</v>
      </c>
      <c r="F2665" s="20">
        <v>1050</v>
      </c>
      <c r="G2665" s="20">
        <v>0.28612918844498519</v>
      </c>
      <c r="H2665" s="16">
        <f t="shared" ca="1" si="44"/>
        <v>1611</v>
      </c>
    </row>
    <row r="2666" spans="4:8" ht="15" thickBot="1" x14ac:dyDescent="0.35">
      <c r="D2666" s="20">
        <v>34</v>
      </c>
      <c r="E2666" s="20">
        <v>3350</v>
      </c>
      <c r="F2666" s="20">
        <v>50</v>
      </c>
      <c r="G2666" s="20">
        <v>0.1771788739321358</v>
      </c>
      <c r="H2666" s="16">
        <f t="shared" ca="1" si="44"/>
        <v>1299</v>
      </c>
    </row>
    <row r="2667" spans="4:8" ht="15" thickBot="1" x14ac:dyDescent="0.35">
      <c r="D2667" s="20">
        <v>727</v>
      </c>
      <c r="E2667" s="20">
        <v>3750</v>
      </c>
      <c r="F2667" s="20">
        <v>1350</v>
      </c>
      <c r="G2667" s="20">
        <v>0.30021322421734364</v>
      </c>
      <c r="H2667" s="16">
        <f t="shared" ca="1" si="44"/>
        <v>1755</v>
      </c>
    </row>
    <row r="2668" spans="4:8" ht="15" thickBot="1" x14ac:dyDescent="0.35">
      <c r="D2668" s="20">
        <v>1648</v>
      </c>
      <c r="E2668" s="20">
        <v>450</v>
      </c>
      <c r="F2668" s="20">
        <v>3150</v>
      </c>
      <c r="G2668" s="20">
        <v>0.37004767606706629</v>
      </c>
      <c r="H2668" s="16">
        <f t="shared" ca="1" si="44"/>
        <v>174</v>
      </c>
    </row>
    <row r="2669" spans="4:8" ht="15" thickBot="1" x14ac:dyDescent="0.35">
      <c r="D2669" s="20">
        <v>1508</v>
      </c>
      <c r="E2669" s="20">
        <v>2350</v>
      </c>
      <c r="F2669" s="20">
        <v>2850</v>
      </c>
      <c r="G2669" s="20">
        <v>0.36068904344204394</v>
      </c>
      <c r="H2669" s="16">
        <f t="shared" ca="1" si="44"/>
        <v>1612</v>
      </c>
    </row>
    <row r="2670" spans="4:8" ht="15" thickBot="1" x14ac:dyDescent="0.35">
      <c r="D2670" s="20">
        <v>612</v>
      </c>
      <c r="E2670" s="20">
        <v>2850</v>
      </c>
      <c r="F2670" s="20">
        <v>1150</v>
      </c>
      <c r="G2670" s="20">
        <v>0.2896227542840038</v>
      </c>
      <c r="H2670" s="16">
        <f t="shared" ca="1" si="44"/>
        <v>1442</v>
      </c>
    </row>
    <row r="2671" spans="4:8" ht="15" thickBot="1" x14ac:dyDescent="0.35">
      <c r="D2671" s="20">
        <v>1725</v>
      </c>
      <c r="E2671" s="20">
        <v>2850</v>
      </c>
      <c r="F2671" s="20">
        <v>3250</v>
      </c>
      <c r="G2671" s="20">
        <v>0.37611253583479565</v>
      </c>
      <c r="H2671" s="16">
        <f t="shared" ca="1" si="44"/>
        <v>1248</v>
      </c>
    </row>
    <row r="2672" spans="4:8" ht="15" thickBot="1" x14ac:dyDescent="0.35">
      <c r="D2672" s="20">
        <v>1895</v>
      </c>
      <c r="E2672" s="20">
        <v>3950</v>
      </c>
      <c r="F2672" s="20">
        <v>3550</v>
      </c>
      <c r="G2672" s="20">
        <v>0.38797272844241748</v>
      </c>
      <c r="H2672" s="16">
        <f t="shared" ca="1" si="44"/>
        <v>2571</v>
      </c>
    </row>
    <row r="2673" spans="4:8" ht="15" thickBot="1" x14ac:dyDescent="0.35">
      <c r="D2673" s="20">
        <v>560</v>
      </c>
      <c r="E2673" s="20">
        <v>2950</v>
      </c>
      <c r="F2673" s="20">
        <v>1050</v>
      </c>
      <c r="G2673" s="20">
        <v>0.28461212390414731</v>
      </c>
      <c r="H2673" s="16">
        <f t="shared" ca="1" si="44"/>
        <v>1719</v>
      </c>
    </row>
    <row r="2674" spans="4:8" ht="15" thickBot="1" x14ac:dyDescent="0.35">
      <c r="D2674" s="20">
        <v>177</v>
      </c>
      <c r="E2674" s="45">
        <v>1750</v>
      </c>
      <c r="F2674" s="45">
        <v>350</v>
      </c>
      <c r="G2674" s="20">
        <v>0.22835652323186373</v>
      </c>
      <c r="H2674" s="16">
        <f t="shared" ca="1" si="44"/>
        <v>2313</v>
      </c>
    </row>
    <row r="2675" spans="4:8" ht="15" thickBot="1" x14ac:dyDescent="0.35">
      <c r="D2675" s="20">
        <v>589</v>
      </c>
      <c r="E2675" s="20">
        <v>550</v>
      </c>
      <c r="F2675" s="20">
        <v>1150</v>
      </c>
      <c r="G2675" s="20">
        <v>0.28800939334879411</v>
      </c>
      <c r="H2675" s="16">
        <f t="shared" ca="1" si="44"/>
        <v>339</v>
      </c>
    </row>
    <row r="2676" spans="4:8" ht="15" thickBot="1" x14ac:dyDescent="0.35">
      <c r="D2676" s="20">
        <v>1001</v>
      </c>
      <c r="E2676" s="20">
        <v>4650</v>
      </c>
      <c r="F2676" s="20">
        <v>1850</v>
      </c>
      <c r="G2676" s="20">
        <v>0.3221978316077147</v>
      </c>
      <c r="H2676" s="16">
        <f t="shared" ca="1" si="44"/>
        <v>2731</v>
      </c>
    </row>
    <row r="2677" spans="4:8" ht="15" thickBot="1" x14ac:dyDescent="0.35">
      <c r="D2677" s="20">
        <v>2199</v>
      </c>
      <c r="E2677" s="20">
        <v>2550</v>
      </c>
      <c r="F2677" s="20">
        <v>4150</v>
      </c>
      <c r="G2677" s="20">
        <v>0.41479864673298672</v>
      </c>
      <c r="H2677" s="16">
        <f t="shared" ca="1" si="44"/>
        <v>797</v>
      </c>
    </row>
    <row r="2678" spans="4:8" ht="15" thickBot="1" x14ac:dyDescent="0.35">
      <c r="D2678" s="20">
        <v>808</v>
      </c>
      <c r="E2678" s="47">
        <v>1250</v>
      </c>
      <c r="F2678" s="47">
        <v>1550</v>
      </c>
      <c r="G2678" s="20">
        <v>0.30722499116601343</v>
      </c>
      <c r="H2678" s="16">
        <f t="shared" ca="1" si="44"/>
        <v>2425</v>
      </c>
    </row>
    <row r="2679" spans="4:8" ht="15" thickBot="1" x14ac:dyDescent="0.35">
      <c r="D2679" s="20">
        <v>2611</v>
      </c>
      <c r="E2679" s="20">
        <v>1350</v>
      </c>
      <c r="F2679" s="20">
        <v>4950</v>
      </c>
      <c r="G2679" s="20">
        <v>0.46751519078285725</v>
      </c>
      <c r="H2679" s="16">
        <f t="shared" ca="1" si="44"/>
        <v>834</v>
      </c>
    </row>
    <row r="2680" spans="4:8" ht="15" thickBot="1" x14ac:dyDescent="0.35">
      <c r="D2680" s="20">
        <v>2167</v>
      </c>
      <c r="E2680" s="20">
        <v>4650</v>
      </c>
      <c r="F2680" s="20">
        <v>4050</v>
      </c>
      <c r="G2680" s="20">
        <v>0.41179354421188308</v>
      </c>
      <c r="H2680" s="16">
        <f t="shared" ca="1" si="44"/>
        <v>725</v>
      </c>
    </row>
    <row r="2681" spans="4:8" ht="15" thickBot="1" x14ac:dyDescent="0.35">
      <c r="D2681" s="20">
        <v>1289</v>
      </c>
      <c r="E2681" s="20">
        <v>1650</v>
      </c>
      <c r="F2681" s="20">
        <v>2450</v>
      </c>
      <c r="G2681" s="20">
        <v>0.34514019400014029</v>
      </c>
      <c r="H2681" s="16">
        <f t="shared" ca="1" si="44"/>
        <v>1859</v>
      </c>
    </row>
    <row r="2682" spans="4:8" ht="15" thickBot="1" x14ac:dyDescent="0.35">
      <c r="D2682" s="20">
        <v>464</v>
      </c>
      <c r="E2682" s="20">
        <v>3950</v>
      </c>
      <c r="F2682" s="20">
        <v>850</v>
      </c>
      <c r="G2682" s="20">
        <v>0.27524851839914372</v>
      </c>
      <c r="H2682" s="16">
        <f t="shared" ca="1" si="44"/>
        <v>1249</v>
      </c>
    </row>
    <row r="2683" spans="4:8" ht="15" thickBot="1" x14ac:dyDescent="0.35">
      <c r="D2683" s="20">
        <v>522</v>
      </c>
      <c r="E2683" s="20">
        <v>4450</v>
      </c>
      <c r="F2683" s="20">
        <v>950</v>
      </c>
      <c r="G2683" s="20">
        <v>0.28081256961358636</v>
      </c>
      <c r="H2683" s="16">
        <f t="shared" ca="1" si="44"/>
        <v>1785</v>
      </c>
    </row>
    <row r="2684" spans="4:8" ht="15" thickBot="1" x14ac:dyDescent="0.35">
      <c r="D2684" s="20">
        <v>485</v>
      </c>
      <c r="E2684" s="20">
        <v>750</v>
      </c>
      <c r="F2684" s="20">
        <v>950</v>
      </c>
      <c r="G2684" s="20">
        <v>0.27692579118715765</v>
      </c>
      <c r="H2684" s="16">
        <f t="shared" ca="1" si="44"/>
        <v>2388</v>
      </c>
    </row>
    <row r="2685" spans="4:8" ht="15" thickBot="1" x14ac:dyDescent="0.35">
      <c r="D2685" s="20">
        <v>1395</v>
      </c>
      <c r="E2685" s="20">
        <v>1650</v>
      </c>
      <c r="F2685" s="20">
        <v>2650</v>
      </c>
      <c r="G2685" s="20">
        <v>0.3515120708128755</v>
      </c>
      <c r="H2685" s="16">
        <f t="shared" ca="1" si="44"/>
        <v>1662</v>
      </c>
    </row>
    <row r="2686" spans="4:8" ht="15" thickBot="1" x14ac:dyDescent="0.35">
      <c r="D2686" s="20">
        <v>1070</v>
      </c>
      <c r="E2686" s="20">
        <v>950</v>
      </c>
      <c r="F2686" s="20">
        <v>2050</v>
      </c>
      <c r="G2686" s="20">
        <v>0.32791352209374774</v>
      </c>
      <c r="H2686" s="16">
        <f t="shared" ca="1" si="44"/>
        <v>2350</v>
      </c>
    </row>
    <row r="2687" spans="4:8" ht="15" thickBot="1" x14ac:dyDescent="0.35">
      <c r="D2687" s="20">
        <v>2686</v>
      </c>
      <c r="E2687" s="20">
        <v>3550</v>
      </c>
      <c r="F2687" s="20">
        <v>5050</v>
      </c>
      <c r="G2687" s="20">
        <v>0.48821543615350937</v>
      </c>
      <c r="H2687" s="16">
        <f t="shared" ca="1" si="44"/>
        <v>1172</v>
      </c>
    </row>
    <row r="2688" spans="4:8" ht="15" thickBot="1" x14ac:dyDescent="0.35">
      <c r="D2688" s="20">
        <v>2166</v>
      </c>
      <c r="E2688" s="20">
        <v>4550</v>
      </c>
      <c r="F2688" s="20">
        <v>4050</v>
      </c>
      <c r="G2688" s="20">
        <v>0.41159864373464744</v>
      </c>
      <c r="H2688" s="16">
        <f t="shared" ca="1" si="44"/>
        <v>742</v>
      </c>
    </row>
    <row r="2689" spans="4:8" ht="15" thickBot="1" x14ac:dyDescent="0.35">
      <c r="D2689" s="20">
        <v>1537</v>
      </c>
      <c r="E2689" s="20">
        <v>5250</v>
      </c>
      <c r="F2689" s="20">
        <v>2850</v>
      </c>
      <c r="G2689" s="20">
        <v>0.36258415684517054</v>
      </c>
      <c r="H2689" s="16">
        <f t="shared" ca="1" si="44"/>
        <v>2639</v>
      </c>
    </row>
    <row r="2690" spans="4:8" ht="15" thickBot="1" x14ac:dyDescent="0.35">
      <c r="D2690" s="20">
        <v>128</v>
      </c>
      <c r="E2690" s="20">
        <v>2150</v>
      </c>
      <c r="F2690" s="20">
        <v>250</v>
      </c>
      <c r="G2690" s="20">
        <v>0.21813580857025189</v>
      </c>
      <c r="H2690" s="16">
        <f t="shared" ca="1" si="44"/>
        <v>2426</v>
      </c>
    </row>
    <row r="2691" spans="4:8" ht="15" thickBot="1" x14ac:dyDescent="0.35">
      <c r="D2691" s="20">
        <v>986</v>
      </c>
      <c r="E2691" s="20">
        <v>3150</v>
      </c>
      <c r="F2691" s="20">
        <v>1850</v>
      </c>
      <c r="G2691" s="20">
        <v>0.32104274793333942</v>
      </c>
      <c r="H2691" s="16">
        <f t="shared" ca="1" si="44"/>
        <v>2094</v>
      </c>
    </row>
    <row r="2692" spans="4:8" ht="15" thickBot="1" x14ac:dyDescent="0.35">
      <c r="D2692" s="20">
        <v>2109</v>
      </c>
      <c r="E2692" s="20">
        <v>4150</v>
      </c>
      <c r="F2692" s="20">
        <v>3950</v>
      </c>
      <c r="G2692" s="20">
        <v>0.40706929148705351</v>
      </c>
      <c r="H2692" s="16">
        <f t="shared" ca="1" si="44"/>
        <v>1833</v>
      </c>
    </row>
    <row r="2693" spans="4:8" ht="15" thickBot="1" x14ac:dyDescent="0.35">
      <c r="D2693" s="20">
        <v>1484</v>
      </c>
      <c r="E2693" s="20">
        <v>5250</v>
      </c>
      <c r="F2693" s="20">
        <v>2750</v>
      </c>
      <c r="G2693" s="20">
        <v>0.35854256331877499</v>
      </c>
      <c r="H2693" s="16">
        <f t="shared" ca="1" si="44"/>
        <v>2426</v>
      </c>
    </row>
    <row r="2694" spans="4:8" ht="15" thickBot="1" x14ac:dyDescent="0.35">
      <c r="D2694" s="20">
        <v>1754</v>
      </c>
      <c r="E2694" s="20">
        <v>450</v>
      </c>
      <c r="F2694" s="20">
        <v>3350</v>
      </c>
      <c r="G2694" s="20">
        <v>0.37784095576053989</v>
      </c>
      <c r="H2694" s="16">
        <f t="shared" ca="1" si="44"/>
        <v>545</v>
      </c>
    </row>
    <row r="2695" spans="4:8" ht="15" thickBot="1" x14ac:dyDescent="0.35">
      <c r="D2695" s="20">
        <v>2140</v>
      </c>
      <c r="E2695" s="20">
        <v>1950</v>
      </c>
      <c r="F2695" s="20">
        <v>4050</v>
      </c>
      <c r="G2695" s="20">
        <v>0.40943224264840905</v>
      </c>
      <c r="H2695" s="16">
        <f t="shared" ref="H2695:H2758" ca="1" si="45">RANDBETWEEN(1,2788)</f>
        <v>2059</v>
      </c>
    </row>
    <row r="2696" spans="4:8" ht="15" thickBot="1" x14ac:dyDescent="0.35">
      <c r="D2696" s="20">
        <v>434</v>
      </c>
      <c r="E2696" s="20">
        <v>950</v>
      </c>
      <c r="F2696" s="20">
        <v>850</v>
      </c>
      <c r="G2696" s="20">
        <v>0.27185525890103424</v>
      </c>
      <c r="H2696" s="16">
        <f t="shared" ca="1" si="45"/>
        <v>368</v>
      </c>
    </row>
    <row r="2697" spans="4:8" ht="15" thickBot="1" x14ac:dyDescent="0.35">
      <c r="D2697" s="20">
        <v>64</v>
      </c>
      <c r="E2697" s="20">
        <v>1050</v>
      </c>
      <c r="F2697" s="20">
        <v>150</v>
      </c>
      <c r="G2697" s="20">
        <v>0.19522539401788924</v>
      </c>
      <c r="H2697" s="16">
        <f t="shared" ca="1" si="45"/>
        <v>1668</v>
      </c>
    </row>
    <row r="2698" spans="4:8" ht="15" thickBot="1" x14ac:dyDescent="0.35">
      <c r="D2698" s="20">
        <v>151</v>
      </c>
      <c r="E2698" s="20">
        <v>4450</v>
      </c>
      <c r="F2698" s="20">
        <v>250</v>
      </c>
      <c r="G2698" s="20">
        <v>0.22283126624240884</v>
      </c>
      <c r="H2698" s="16">
        <f t="shared" ca="1" si="45"/>
        <v>2135</v>
      </c>
    </row>
    <row r="2699" spans="4:8" ht="15" thickBot="1" x14ac:dyDescent="0.35">
      <c r="D2699" s="20">
        <v>2058</v>
      </c>
      <c r="E2699" s="20">
        <v>4350</v>
      </c>
      <c r="F2699" s="20">
        <v>3850</v>
      </c>
      <c r="G2699" s="20">
        <v>0.4010200831958089</v>
      </c>
      <c r="H2699" s="16">
        <f t="shared" ca="1" si="45"/>
        <v>954</v>
      </c>
    </row>
    <row r="2700" spans="4:8" ht="15" thickBot="1" x14ac:dyDescent="0.35">
      <c r="D2700" s="20">
        <v>2405</v>
      </c>
      <c r="E2700" s="20">
        <v>1950</v>
      </c>
      <c r="F2700" s="20">
        <v>4550</v>
      </c>
      <c r="G2700" s="20">
        <v>0.43553646283970093</v>
      </c>
      <c r="H2700" s="16">
        <f t="shared" ca="1" si="45"/>
        <v>2279</v>
      </c>
    </row>
    <row r="2701" spans="4:8" ht="15" thickBot="1" x14ac:dyDescent="0.35">
      <c r="D2701" s="20">
        <v>399</v>
      </c>
      <c r="E2701" s="20">
        <v>2750</v>
      </c>
      <c r="F2701" s="20">
        <v>750</v>
      </c>
      <c r="G2701" s="20">
        <v>0.26724284495001766</v>
      </c>
      <c r="H2701" s="16">
        <f t="shared" ca="1" si="45"/>
        <v>851</v>
      </c>
    </row>
    <row r="2702" spans="4:8" ht="15" thickBot="1" x14ac:dyDescent="0.35">
      <c r="D2702" s="20">
        <v>988</v>
      </c>
      <c r="E2702" s="20">
        <v>3350</v>
      </c>
      <c r="F2702" s="20">
        <v>1850</v>
      </c>
      <c r="G2702" s="20">
        <v>0.32122109894349765</v>
      </c>
      <c r="H2702" s="16">
        <f t="shared" ca="1" si="45"/>
        <v>2353</v>
      </c>
    </row>
    <row r="2703" spans="4:8" ht="15" thickBot="1" x14ac:dyDescent="0.35">
      <c r="D2703" s="20">
        <v>1727</v>
      </c>
      <c r="E2703" s="20">
        <v>3050</v>
      </c>
      <c r="F2703" s="20">
        <v>3250</v>
      </c>
      <c r="G2703" s="20">
        <v>0.37613377288873429</v>
      </c>
      <c r="H2703" s="16">
        <f t="shared" ca="1" si="45"/>
        <v>603</v>
      </c>
    </row>
    <row r="2704" spans="4:8" ht="15" thickBot="1" x14ac:dyDescent="0.35">
      <c r="D2704" s="20">
        <v>1009</v>
      </c>
      <c r="E2704" s="20">
        <v>150</v>
      </c>
      <c r="F2704" s="20">
        <v>1950</v>
      </c>
      <c r="G2704" s="20">
        <v>0.3228728525874518</v>
      </c>
      <c r="H2704" s="16">
        <f t="shared" ca="1" si="45"/>
        <v>1696</v>
      </c>
    </row>
    <row r="2705" spans="4:8" ht="15" thickBot="1" x14ac:dyDescent="0.35">
      <c r="D2705" s="20">
        <v>2722</v>
      </c>
      <c r="E2705" s="20">
        <v>1850</v>
      </c>
      <c r="F2705" s="20">
        <v>5150</v>
      </c>
      <c r="G2705" s="20">
        <v>0.50278450071355207</v>
      </c>
      <c r="H2705" s="16">
        <f t="shared" ca="1" si="45"/>
        <v>1613</v>
      </c>
    </row>
    <row r="2706" spans="4:8" ht="15" thickBot="1" x14ac:dyDescent="0.35">
      <c r="D2706" s="20">
        <v>2134</v>
      </c>
      <c r="E2706" s="43">
        <v>1350</v>
      </c>
      <c r="F2706" s="43">
        <v>4050</v>
      </c>
      <c r="G2706" s="20">
        <v>0.40882791325772316</v>
      </c>
      <c r="H2706" s="16">
        <f t="shared" ca="1" si="45"/>
        <v>2391</v>
      </c>
    </row>
    <row r="2707" spans="4:8" ht="15" thickBot="1" x14ac:dyDescent="0.35">
      <c r="D2707" s="20">
        <v>186</v>
      </c>
      <c r="E2707" s="20">
        <v>2650</v>
      </c>
      <c r="F2707" s="20">
        <v>350</v>
      </c>
      <c r="G2707" s="20">
        <v>0.23057535891080455</v>
      </c>
      <c r="H2707" s="16">
        <f t="shared" ca="1" si="45"/>
        <v>2185</v>
      </c>
    </row>
    <row r="2708" spans="4:8" ht="15" thickBot="1" x14ac:dyDescent="0.35">
      <c r="D2708" s="20">
        <v>2501</v>
      </c>
      <c r="E2708" s="20">
        <v>950</v>
      </c>
      <c r="F2708" s="20">
        <v>4750</v>
      </c>
      <c r="G2708" s="20">
        <v>0.44777800991245703</v>
      </c>
      <c r="H2708" s="16">
        <f t="shared" ca="1" si="45"/>
        <v>923</v>
      </c>
    </row>
    <row r="2709" spans="4:8" ht="15" thickBot="1" x14ac:dyDescent="0.35">
      <c r="D2709" s="20">
        <v>2226</v>
      </c>
      <c r="E2709" s="20">
        <v>5250</v>
      </c>
      <c r="F2709" s="20">
        <v>4150</v>
      </c>
      <c r="G2709" s="20">
        <v>0.41815042529099222</v>
      </c>
      <c r="H2709" s="16">
        <f t="shared" ca="1" si="45"/>
        <v>760</v>
      </c>
    </row>
    <row r="2710" spans="4:8" ht="15" thickBot="1" x14ac:dyDescent="0.35">
      <c r="D2710" s="20">
        <v>88</v>
      </c>
      <c r="E2710" s="20">
        <v>3450</v>
      </c>
      <c r="F2710" s="20">
        <v>150</v>
      </c>
      <c r="G2710" s="20">
        <v>0.20745371195932943</v>
      </c>
      <c r="H2710" s="16">
        <f t="shared" ca="1" si="45"/>
        <v>147</v>
      </c>
    </row>
    <row r="2711" spans="4:8" ht="15" thickBot="1" x14ac:dyDescent="0.35">
      <c r="D2711" s="20">
        <v>2222</v>
      </c>
      <c r="E2711" s="20">
        <v>4850</v>
      </c>
      <c r="F2711" s="20">
        <v>4150</v>
      </c>
      <c r="G2711" s="20">
        <v>0.4175402426406789</v>
      </c>
      <c r="H2711" s="16">
        <f t="shared" ca="1" si="45"/>
        <v>1889</v>
      </c>
    </row>
    <row r="2712" spans="4:8" ht="15" thickBot="1" x14ac:dyDescent="0.35">
      <c r="D2712" s="20">
        <v>2362</v>
      </c>
      <c r="E2712" s="20">
        <v>2950</v>
      </c>
      <c r="F2712" s="20">
        <v>4450</v>
      </c>
      <c r="G2712" s="20">
        <v>0.43102720211061407</v>
      </c>
      <c r="H2712" s="16">
        <f t="shared" ca="1" si="45"/>
        <v>349</v>
      </c>
    </row>
    <row r="2713" spans="4:8" ht="15" thickBot="1" x14ac:dyDescent="0.35">
      <c r="D2713" s="20">
        <v>577</v>
      </c>
      <c r="E2713" s="20">
        <v>4650</v>
      </c>
      <c r="F2713" s="20">
        <v>1050</v>
      </c>
      <c r="G2713" s="20">
        <v>0.28652549843438624</v>
      </c>
      <c r="H2713" s="16">
        <f t="shared" ca="1" si="45"/>
        <v>2162</v>
      </c>
    </row>
    <row r="2714" spans="4:8" ht="15" thickBot="1" x14ac:dyDescent="0.35">
      <c r="D2714" s="20">
        <v>1082</v>
      </c>
      <c r="E2714" s="20">
        <v>2150</v>
      </c>
      <c r="F2714" s="20">
        <v>2050</v>
      </c>
      <c r="G2714" s="20">
        <v>0.32897282388716453</v>
      </c>
      <c r="H2714" s="16">
        <f t="shared" ca="1" si="45"/>
        <v>776</v>
      </c>
    </row>
    <row r="2715" spans="4:8" ht="15" thickBot="1" x14ac:dyDescent="0.35">
      <c r="D2715" s="20">
        <v>987</v>
      </c>
      <c r="E2715" s="20">
        <v>3250</v>
      </c>
      <c r="F2715" s="20">
        <v>1850</v>
      </c>
      <c r="G2715" s="20">
        <v>0.32117364764926898</v>
      </c>
      <c r="H2715" s="16">
        <f t="shared" ca="1" si="45"/>
        <v>423</v>
      </c>
    </row>
    <row r="2716" spans="4:8" ht="15" thickBot="1" x14ac:dyDescent="0.35">
      <c r="D2716" s="20">
        <v>2013</v>
      </c>
      <c r="E2716" s="20">
        <v>5150</v>
      </c>
      <c r="F2716" s="20">
        <v>3750</v>
      </c>
      <c r="G2716" s="20">
        <v>0.39683964000985167</v>
      </c>
      <c r="H2716" s="16">
        <f t="shared" ca="1" si="45"/>
        <v>2682</v>
      </c>
    </row>
    <row r="2717" spans="4:8" ht="15" thickBot="1" x14ac:dyDescent="0.35">
      <c r="D2717" s="20">
        <v>1526</v>
      </c>
      <c r="E2717" s="20">
        <v>4150</v>
      </c>
      <c r="F2717" s="20">
        <v>2850</v>
      </c>
      <c r="G2717" s="20">
        <v>0.36162530728786418</v>
      </c>
      <c r="H2717" s="16">
        <f t="shared" ca="1" si="45"/>
        <v>602</v>
      </c>
    </row>
    <row r="2718" spans="4:8" ht="15" thickBot="1" x14ac:dyDescent="0.35">
      <c r="D2718" s="20">
        <v>1575</v>
      </c>
      <c r="E2718" s="20">
        <v>3750</v>
      </c>
      <c r="F2718" s="20">
        <v>2950</v>
      </c>
      <c r="G2718" s="20">
        <v>0.36509241409902032</v>
      </c>
      <c r="H2718" s="16">
        <f t="shared" ca="1" si="45"/>
        <v>43</v>
      </c>
    </row>
    <row r="2719" spans="4:8" ht="15" thickBot="1" x14ac:dyDescent="0.35">
      <c r="D2719" s="20">
        <v>1829</v>
      </c>
      <c r="E2719" s="20">
        <v>2650</v>
      </c>
      <c r="F2719" s="20">
        <v>3450</v>
      </c>
      <c r="G2719" s="20">
        <v>0.38284871992236191</v>
      </c>
      <c r="H2719" s="16">
        <f t="shared" ca="1" si="45"/>
        <v>1701</v>
      </c>
    </row>
    <row r="2720" spans="4:8" ht="15" thickBot="1" x14ac:dyDescent="0.35">
      <c r="D2720" s="20">
        <v>2303</v>
      </c>
      <c r="E2720" s="20">
        <v>2350</v>
      </c>
      <c r="F2720" s="20">
        <v>4350</v>
      </c>
      <c r="G2720" s="20">
        <v>0.42536726127278401</v>
      </c>
      <c r="H2720" s="16">
        <f t="shared" ca="1" si="45"/>
        <v>1389</v>
      </c>
    </row>
    <row r="2721" spans="4:8" ht="15" thickBot="1" x14ac:dyDescent="0.35">
      <c r="D2721" s="20">
        <v>155</v>
      </c>
      <c r="E2721" s="20">
        <v>4850</v>
      </c>
      <c r="F2721" s="20">
        <v>250</v>
      </c>
      <c r="G2721" s="20">
        <v>0.22340022213848337</v>
      </c>
      <c r="H2721" s="16">
        <f t="shared" ca="1" si="45"/>
        <v>437</v>
      </c>
    </row>
    <row r="2722" spans="4:8" ht="15" thickBot="1" x14ac:dyDescent="0.35">
      <c r="D2722" s="20">
        <v>2234</v>
      </c>
      <c r="E2722" s="20">
        <v>750</v>
      </c>
      <c r="F2722" s="20">
        <v>4250</v>
      </c>
      <c r="G2722" s="20">
        <v>0.4189586926817187</v>
      </c>
      <c r="H2722" s="16">
        <f t="shared" ca="1" si="45"/>
        <v>240</v>
      </c>
    </row>
    <row r="2723" spans="4:8" ht="15" thickBot="1" x14ac:dyDescent="0.35">
      <c r="D2723" s="20">
        <v>1814</v>
      </c>
      <c r="E2723" s="20">
        <v>1150</v>
      </c>
      <c r="F2723" s="20">
        <v>3450</v>
      </c>
      <c r="G2723" s="20">
        <v>0.38169814758844406</v>
      </c>
      <c r="H2723" s="16">
        <f t="shared" ca="1" si="45"/>
        <v>2621</v>
      </c>
    </row>
    <row r="2724" spans="4:8" ht="15" thickBot="1" x14ac:dyDescent="0.35">
      <c r="D2724" s="20">
        <v>1888</v>
      </c>
      <c r="E2724" s="20">
        <v>3250</v>
      </c>
      <c r="F2724" s="20">
        <v>3550</v>
      </c>
      <c r="G2724" s="20">
        <v>0.38783341356339357</v>
      </c>
      <c r="H2724" s="16">
        <f t="shared" ca="1" si="45"/>
        <v>2166</v>
      </c>
    </row>
    <row r="2725" spans="4:8" ht="15" thickBot="1" x14ac:dyDescent="0.35">
      <c r="D2725" s="20">
        <v>1712</v>
      </c>
      <c r="E2725" s="20">
        <v>1550</v>
      </c>
      <c r="F2725" s="20">
        <v>3250</v>
      </c>
      <c r="G2725" s="20">
        <v>0.37535945552164907</v>
      </c>
      <c r="H2725" s="16">
        <f t="shared" ca="1" si="45"/>
        <v>1557</v>
      </c>
    </row>
    <row r="2726" spans="4:8" ht="15" thickBot="1" x14ac:dyDescent="0.35">
      <c r="D2726" s="20">
        <v>1341</v>
      </c>
      <c r="E2726" s="20">
        <v>1550</v>
      </c>
      <c r="F2726" s="20">
        <v>2550</v>
      </c>
      <c r="G2726" s="20">
        <v>0.3486217222541797</v>
      </c>
      <c r="H2726" s="16">
        <f t="shared" ca="1" si="45"/>
        <v>570</v>
      </c>
    </row>
    <row r="2727" spans="4:8" ht="15" thickBot="1" x14ac:dyDescent="0.35">
      <c r="D2727" s="20">
        <v>1800</v>
      </c>
      <c r="E2727" s="20">
        <v>5050</v>
      </c>
      <c r="F2727" s="20">
        <v>3350</v>
      </c>
      <c r="G2727" s="20">
        <v>0.38090812226975818</v>
      </c>
      <c r="H2727" s="16">
        <f t="shared" ca="1" si="45"/>
        <v>1162</v>
      </c>
    </row>
    <row r="2728" spans="4:8" ht="15" thickBot="1" x14ac:dyDescent="0.35">
      <c r="D2728" s="20">
        <v>1831</v>
      </c>
      <c r="E2728" s="20">
        <v>2850</v>
      </c>
      <c r="F2728" s="20">
        <v>3450</v>
      </c>
      <c r="G2728" s="20">
        <v>0.38295997750676747</v>
      </c>
      <c r="H2728" s="16">
        <f t="shared" ca="1" si="45"/>
        <v>2679</v>
      </c>
    </row>
    <row r="2729" spans="4:8" ht="15" thickBot="1" x14ac:dyDescent="0.35">
      <c r="D2729" s="20">
        <v>402</v>
      </c>
      <c r="E2729" s="20">
        <v>3050</v>
      </c>
      <c r="F2729" s="20">
        <v>750</v>
      </c>
      <c r="G2729" s="20">
        <v>0.26756111480456124</v>
      </c>
      <c r="H2729" s="16">
        <f t="shared" ca="1" si="45"/>
        <v>7</v>
      </c>
    </row>
    <row r="2730" spans="4:8" ht="15" thickBot="1" x14ac:dyDescent="0.35">
      <c r="D2730" s="20">
        <v>46</v>
      </c>
      <c r="E2730" s="20">
        <v>4550</v>
      </c>
      <c r="F2730" s="20">
        <v>50</v>
      </c>
      <c r="G2730" s="20">
        <v>0.18109156661605427</v>
      </c>
      <c r="H2730" s="16">
        <f t="shared" ca="1" si="45"/>
        <v>1345</v>
      </c>
    </row>
    <row r="2731" spans="4:8" ht="15" thickBot="1" x14ac:dyDescent="0.35">
      <c r="D2731" s="20">
        <v>1665</v>
      </c>
      <c r="E2731" s="20">
        <v>2150</v>
      </c>
      <c r="F2731" s="20">
        <v>3150</v>
      </c>
      <c r="G2731" s="20">
        <v>0.37132424885468435</v>
      </c>
      <c r="H2731" s="16">
        <f t="shared" ca="1" si="45"/>
        <v>1701</v>
      </c>
    </row>
    <row r="2732" spans="4:8" ht="15" thickBot="1" x14ac:dyDescent="0.35">
      <c r="D2732" s="20">
        <v>1900</v>
      </c>
      <c r="E2732" s="20">
        <v>4450</v>
      </c>
      <c r="F2732" s="20">
        <v>3550</v>
      </c>
      <c r="G2732" s="20">
        <v>0.38843341922837571</v>
      </c>
      <c r="H2732" s="16">
        <f t="shared" ca="1" si="45"/>
        <v>1364</v>
      </c>
    </row>
    <row r="2733" spans="4:8" ht="15" thickBot="1" x14ac:dyDescent="0.35">
      <c r="D2733" s="20">
        <v>103</v>
      </c>
      <c r="E2733" s="20">
        <v>4950</v>
      </c>
      <c r="F2733" s="20">
        <v>150</v>
      </c>
      <c r="G2733" s="20">
        <v>0.21168936278205422</v>
      </c>
      <c r="H2733" s="16">
        <f t="shared" ca="1" si="45"/>
        <v>2096</v>
      </c>
    </row>
    <row r="2734" spans="4:8" ht="15" thickBot="1" x14ac:dyDescent="0.35">
      <c r="D2734" s="20">
        <v>543</v>
      </c>
      <c r="E2734" s="20">
        <v>1250</v>
      </c>
      <c r="F2734" s="20">
        <v>1050</v>
      </c>
      <c r="G2734" s="20">
        <v>0.28260722083043061</v>
      </c>
      <c r="H2734" s="16">
        <f t="shared" ca="1" si="45"/>
        <v>416</v>
      </c>
    </row>
    <row r="2735" spans="4:8" ht="15" thickBot="1" x14ac:dyDescent="0.35">
      <c r="D2735" s="20">
        <v>183</v>
      </c>
      <c r="E2735" s="44">
        <v>2350</v>
      </c>
      <c r="F2735" s="44">
        <v>350</v>
      </c>
      <c r="G2735" s="20">
        <v>0.22968763025131778</v>
      </c>
      <c r="H2735" s="16">
        <f t="shared" ca="1" si="45"/>
        <v>2458</v>
      </c>
    </row>
    <row r="2736" spans="4:8" ht="15" thickBot="1" x14ac:dyDescent="0.35">
      <c r="D2736" s="20">
        <v>1943</v>
      </c>
      <c r="E2736" s="45">
        <v>3450</v>
      </c>
      <c r="F2736" s="45">
        <v>3650</v>
      </c>
      <c r="G2736" s="20">
        <v>0.39107764056540162</v>
      </c>
      <c r="H2736" s="16">
        <f t="shared" ca="1" si="45"/>
        <v>2354</v>
      </c>
    </row>
    <row r="2737" spans="4:8" ht="15" thickBot="1" x14ac:dyDescent="0.35">
      <c r="D2737" s="20">
        <v>366</v>
      </c>
      <c r="E2737" s="20">
        <v>4750</v>
      </c>
      <c r="F2737" s="20">
        <v>650</v>
      </c>
      <c r="G2737" s="20">
        <v>0.26313343232716774</v>
      </c>
      <c r="H2737" s="16">
        <f t="shared" ca="1" si="45"/>
        <v>1868</v>
      </c>
    </row>
    <row r="2738" spans="4:8" ht="15" thickBot="1" x14ac:dyDescent="0.35">
      <c r="D2738" s="20">
        <v>1099</v>
      </c>
      <c r="E2738" s="20">
        <v>3850</v>
      </c>
      <c r="F2738" s="20">
        <v>2050</v>
      </c>
      <c r="G2738" s="20">
        <v>0.33024664488933864</v>
      </c>
      <c r="H2738" s="16">
        <f t="shared" ca="1" si="45"/>
        <v>440</v>
      </c>
    </row>
    <row r="2739" spans="4:8" ht="15" thickBot="1" x14ac:dyDescent="0.35">
      <c r="D2739" s="20">
        <v>1003</v>
      </c>
      <c r="E2739" s="20">
        <v>4850</v>
      </c>
      <c r="F2739" s="20">
        <v>1850</v>
      </c>
      <c r="G2739" s="20">
        <v>0.32268147819654119</v>
      </c>
      <c r="H2739" s="16">
        <f t="shared" ca="1" si="45"/>
        <v>1926</v>
      </c>
    </row>
    <row r="2740" spans="4:8" ht="15" thickBot="1" x14ac:dyDescent="0.35">
      <c r="D2740" s="20">
        <v>933</v>
      </c>
      <c r="E2740" s="20">
        <v>3150</v>
      </c>
      <c r="F2740" s="20">
        <v>1750</v>
      </c>
      <c r="G2740" s="20">
        <v>0.31706191183543991</v>
      </c>
      <c r="H2740" s="16">
        <f t="shared" ca="1" si="45"/>
        <v>39</v>
      </c>
    </row>
    <row r="2741" spans="4:8" ht="15" thickBot="1" x14ac:dyDescent="0.35">
      <c r="D2741" s="20">
        <v>2429</v>
      </c>
      <c r="E2741" s="20">
        <v>4350</v>
      </c>
      <c r="F2741" s="20">
        <v>4550</v>
      </c>
      <c r="G2741" s="20">
        <v>0.43833091021493858</v>
      </c>
      <c r="H2741" s="16">
        <f t="shared" ca="1" si="45"/>
        <v>745</v>
      </c>
    </row>
    <row r="2742" spans="4:8" ht="15" thickBot="1" x14ac:dyDescent="0.35">
      <c r="D2742" s="20">
        <v>583</v>
      </c>
      <c r="E2742" s="20">
        <v>5250</v>
      </c>
      <c r="F2742" s="20">
        <v>1050</v>
      </c>
      <c r="G2742" s="20">
        <v>0.28729071170852433</v>
      </c>
      <c r="H2742" s="16">
        <f t="shared" ca="1" si="45"/>
        <v>1917</v>
      </c>
    </row>
    <row r="2743" spans="4:8" ht="15" thickBot="1" x14ac:dyDescent="0.35">
      <c r="D2743" s="20">
        <v>2270</v>
      </c>
      <c r="E2743" s="20">
        <v>4350</v>
      </c>
      <c r="F2743" s="20">
        <v>4250</v>
      </c>
      <c r="G2743" s="20">
        <v>0.42202161459018905</v>
      </c>
      <c r="H2743" s="16">
        <f t="shared" ca="1" si="45"/>
        <v>1249</v>
      </c>
    </row>
    <row r="2744" spans="4:8" ht="15" thickBot="1" x14ac:dyDescent="0.35">
      <c r="D2744" s="20">
        <v>1152</v>
      </c>
      <c r="E2744" s="20">
        <v>3850</v>
      </c>
      <c r="F2744" s="20">
        <v>2150</v>
      </c>
      <c r="G2744" s="20">
        <v>0.33422715161387917</v>
      </c>
      <c r="H2744" s="16">
        <f t="shared" ca="1" si="45"/>
        <v>601</v>
      </c>
    </row>
    <row r="2745" spans="4:8" ht="15" thickBot="1" x14ac:dyDescent="0.35">
      <c r="D2745" s="20">
        <v>1161</v>
      </c>
      <c r="E2745" s="20">
        <v>4750</v>
      </c>
      <c r="F2745" s="20">
        <v>2150</v>
      </c>
      <c r="G2745" s="20">
        <v>0.33491366859979244</v>
      </c>
      <c r="H2745" s="16">
        <f t="shared" ca="1" si="45"/>
        <v>1652</v>
      </c>
    </row>
    <row r="2746" spans="4:8" ht="15" thickBot="1" x14ac:dyDescent="0.35">
      <c r="D2746" s="20">
        <v>2347</v>
      </c>
      <c r="E2746" s="20">
        <v>1450</v>
      </c>
      <c r="F2746" s="20">
        <v>4450</v>
      </c>
      <c r="G2746" s="20">
        <v>0.42991859406179317</v>
      </c>
      <c r="H2746" s="16">
        <f t="shared" ca="1" si="45"/>
        <v>2516</v>
      </c>
    </row>
    <row r="2747" spans="4:8" ht="15" thickBot="1" x14ac:dyDescent="0.35">
      <c r="D2747" s="20">
        <v>846</v>
      </c>
      <c r="E2747" s="20">
        <v>5050</v>
      </c>
      <c r="F2747" s="20">
        <v>1550</v>
      </c>
      <c r="G2747" s="20">
        <v>0.31011527597127342</v>
      </c>
      <c r="H2747" s="16">
        <f t="shared" ca="1" si="45"/>
        <v>215</v>
      </c>
    </row>
    <row r="2748" spans="4:8" ht="15" thickBot="1" x14ac:dyDescent="0.35">
      <c r="D2748" s="20">
        <v>1274</v>
      </c>
      <c r="E2748" s="20">
        <v>150</v>
      </c>
      <c r="F2748" s="20">
        <v>2450</v>
      </c>
      <c r="G2748" s="20">
        <v>0.34384393770518634</v>
      </c>
      <c r="H2748" s="16">
        <f t="shared" ca="1" si="45"/>
        <v>219</v>
      </c>
    </row>
    <row r="2749" spans="4:8" ht="15" thickBot="1" x14ac:dyDescent="0.35">
      <c r="D2749" s="20">
        <v>2180</v>
      </c>
      <c r="E2749" s="20">
        <v>650</v>
      </c>
      <c r="F2749" s="20">
        <v>4150</v>
      </c>
      <c r="G2749" s="20">
        <v>0.41297873518875872</v>
      </c>
      <c r="H2749" s="16">
        <f t="shared" ca="1" si="45"/>
        <v>2002</v>
      </c>
    </row>
    <row r="2750" spans="4:8" ht="15" thickBot="1" x14ac:dyDescent="0.35">
      <c r="D2750" s="20">
        <v>507</v>
      </c>
      <c r="E2750" s="48">
        <v>2950</v>
      </c>
      <c r="F2750" s="48">
        <v>950</v>
      </c>
      <c r="G2750" s="20">
        <v>0.27932165840972401</v>
      </c>
      <c r="H2750" s="16">
        <f t="shared" ca="1" si="45"/>
        <v>2668</v>
      </c>
    </row>
    <row r="2751" spans="4:8" ht="15" thickBot="1" x14ac:dyDescent="0.35">
      <c r="D2751" s="20">
        <v>694</v>
      </c>
      <c r="E2751" s="20">
        <v>450</v>
      </c>
      <c r="F2751" s="20">
        <v>1350</v>
      </c>
      <c r="G2751" s="20">
        <v>0.29792551674996592</v>
      </c>
      <c r="H2751" s="16">
        <f t="shared" ca="1" si="45"/>
        <v>1309</v>
      </c>
    </row>
    <row r="2752" spans="4:8" ht="15" thickBot="1" x14ac:dyDescent="0.35">
      <c r="D2752" s="20">
        <v>1755</v>
      </c>
      <c r="E2752" s="20">
        <v>550</v>
      </c>
      <c r="F2752" s="20">
        <v>3350</v>
      </c>
      <c r="G2752" s="20">
        <v>0.3778496510188678</v>
      </c>
      <c r="H2752" s="16">
        <f t="shared" ca="1" si="45"/>
        <v>1506</v>
      </c>
    </row>
    <row r="2753" spans="4:8" ht="15" thickBot="1" x14ac:dyDescent="0.35">
      <c r="D2753" s="20">
        <v>1541</v>
      </c>
      <c r="E2753" s="20">
        <v>350</v>
      </c>
      <c r="F2753" s="20">
        <v>2950</v>
      </c>
      <c r="G2753" s="20">
        <v>0.36309463171262202</v>
      </c>
      <c r="H2753" s="16">
        <f t="shared" ca="1" si="45"/>
        <v>69</v>
      </c>
    </row>
    <row r="2754" spans="4:8" ht="15" thickBot="1" x14ac:dyDescent="0.35">
      <c r="D2754" s="20">
        <v>224</v>
      </c>
      <c r="E2754" s="20">
        <v>1150</v>
      </c>
      <c r="F2754" s="20">
        <v>450</v>
      </c>
      <c r="G2754" s="20">
        <v>0.24027404716389081</v>
      </c>
      <c r="H2754" s="16">
        <f t="shared" ca="1" si="45"/>
        <v>9</v>
      </c>
    </row>
    <row r="2755" spans="4:8" ht="15" thickBot="1" x14ac:dyDescent="0.35">
      <c r="D2755" s="20">
        <v>2671</v>
      </c>
      <c r="E2755" s="20">
        <v>2050</v>
      </c>
      <c r="F2755" s="20">
        <v>5050</v>
      </c>
      <c r="G2755" s="20">
        <v>0.48490432968547914</v>
      </c>
      <c r="H2755" s="16">
        <f t="shared" ca="1" si="45"/>
        <v>2295</v>
      </c>
    </row>
    <row r="2756" spans="4:8" ht="15" thickBot="1" x14ac:dyDescent="0.35">
      <c r="D2756" s="20">
        <v>780</v>
      </c>
      <c r="E2756" s="20">
        <v>3750</v>
      </c>
      <c r="F2756" s="20">
        <v>1450</v>
      </c>
      <c r="G2756" s="20">
        <v>0.30489160004615223</v>
      </c>
      <c r="H2756" s="16">
        <f t="shared" ca="1" si="45"/>
        <v>1191</v>
      </c>
    </row>
    <row r="2757" spans="4:8" ht="15" thickBot="1" x14ac:dyDescent="0.35">
      <c r="D2757" s="20">
        <v>2179</v>
      </c>
      <c r="E2757" s="20">
        <v>550</v>
      </c>
      <c r="F2757" s="20">
        <v>4150</v>
      </c>
      <c r="G2757" s="20">
        <v>0.41297254947393974</v>
      </c>
      <c r="H2757" s="16">
        <f t="shared" ca="1" si="45"/>
        <v>234</v>
      </c>
    </row>
    <row r="2758" spans="4:8" ht="15" thickBot="1" x14ac:dyDescent="0.35">
      <c r="D2758" s="20">
        <v>1706</v>
      </c>
      <c r="E2758" s="20">
        <v>950</v>
      </c>
      <c r="F2758" s="20">
        <v>3250</v>
      </c>
      <c r="G2758" s="20">
        <v>0.37500173884294008</v>
      </c>
      <c r="H2758" s="16">
        <f t="shared" ca="1" si="45"/>
        <v>455</v>
      </c>
    </row>
    <row r="2759" spans="4:8" ht="15" thickBot="1" x14ac:dyDescent="0.35">
      <c r="D2759" s="20">
        <v>2641</v>
      </c>
      <c r="E2759" s="20">
        <v>4350</v>
      </c>
      <c r="F2759" s="20">
        <v>4950</v>
      </c>
      <c r="G2759" s="20">
        <v>0.47413221035792491</v>
      </c>
      <c r="H2759" s="16">
        <f t="shared" ref="H2759:H2794" ca="1" si="46">RANDBETWEEN(1,2788)</f>
        <v>371</v>
      </c>
    </row>
    <row r="2760" spans="4:8" ht="15" thickBot="1" x14ac:dyDescent="0.35">
      <c r="D2760" s="20">
        <v>2444</v>
      </c>
      <c r="E2760" s="20">
        <v>550</v>
      </c>
      <c r="F2760" s="20">
        <v>4650</v>
      </c>
      <c r="G2760" s="20">
        <v>0.44038419851446803</v>
      </c>
      <c r="H2760" s="16">
        <f t="shared" ca="1" si="46"/>
        <v>35</v>
      </c>
    </row>
    <row r="2761" spans="4:8" ht="15" thickBot="1" x14ac:dyDescent="0.35">
      <c r="D2761" s="20">
        <v>2746</v>
      </c>
      <c r="E2761" s="20">
        <v>4250</v>
      </c>
      <c r="F2761" s="20">
        <v>5150</v>
      </c>
      <c r="G2761" s="20">
        <v>0.5159306488243407</v>
      </c>
      <c r="H2761" s="16">
        <f t="shared" ca="1" si="46"/>
        <v>2664</v>
      </c>
    </row>
    <row r="2762" spans="4:8" ht="15" thickBot="1" x14ac:dyDescent="0.35">
      <c r="D2762" s="20">
        <v>990</v>
      </c>
      <c r="E2762" s="20">
        <v>3550</v>
      </c>
      <c r="F2762" s="20">
        <v>1850</v>
      </c>
      <c r="G2762" s="20">
        <v>0.32144495821007268</v>
      </c>
      <c r="H2762" s="16">
        <f t="shared" ca="1" si="46"/>
        <v>2610</v>
      </c>
    </row>
    <row r="2763" spans="4:8" ht="15" thickBot="1" x14ac:dyDescent="0.35">
      <c r="D2763" s="20">
        <v>911</v>
      </c>
      <c r="E2763" s="47">
        <v>950</v>
      </c>
      <c r="F2763" s="47">
        <v>1750</v>
      </c>
      <c r="G2763" s="20">
        <v>0.31517237362324879</v>
      </c>
      <c r="H2763" s="16">
        <f t="shared" ca="1" si="46"/>
        <v>1702</v>
      </c>
    </row>
    <row r="2764" spans="4:8" ht="15" thickBot="1" x14ac:dyDescent="0.35">
      <c r="D2764" s="20">
        <v>1253</v>
      </c>
      <c r="E2764" s="20">
        <v>3350</v>
      </c>
      <c r="F2764" s="20">
        <v>2350</v>
      </c>
      <c r="G2764" s="20">
        <v>0.34173098636684823</v>
      </c>
      <c r="H2764" s="16">
        <f t="shared" ca="1" si="46"/>
        <v>359</v>
      </c>
    </row>
    <row r="2765" spans="4:8" ht="15" thickBot="1" x14ac:dyDescent="0.35">
      <c r="D2765" s="20">
        <v>1590</v>
      </c>
      <c r="E2765" s="20">
        <v>5250</v>
      </c>
      <c r="F2765" s="20">
        <v>2950</v>
      </c>
      <c r="G2765" s="20">
        <v>0.3662910064671564</v>
      </c>
      <c r="H2765" s="16">
        <f t="shared" ca="1" si="46"/>
        <v>1411</v>
      </c>
    </row>
    <row r="2766" spans="4:8" ht="15" thickBot="1" x14ac:dyDescent="0.35">
      <c r="D2766" s="20">
        <v>325</v>
      </c>
      <c r="E2766" s="20">
        <v>650</v>
      </c>
      <c r="F2766" s="20">
        <v>650</v>
      </c>
      <c r="G2766" s="20">
        <v>0.2574721568239785</v>
      </c>
      <c r="H2766" s="16">
        <f t="shared" ca="1" si="46"/>
        <v>845</v>
      </c>
    </row>
    <row r="2767" spans="4:8" ht="15" thickBot="1" x14ac:dyDescent="0.35">
      <c r="D2767" s="20">
        <v>486</v>
      </c>
      <c r="E2767" s="20">
        <v>850</v>
      </c>
      <c r="F2767" s="20">
        <v>950</v>
      </c>
      <c r="G2767" s="20">
        <v>0.27726857692947759</v>
      </c>
      <c r="H2767" s="16">
        <f t="shared" ca="1" si="46"/>
        <v>93</v>
      </c>
    </row>
    <row r="2768" spans="4:8" ht="15" thickBot="1" x14ac:dyDescent="0.35">
      <c r="D2768" s="20">
        <v>1259</v>
      </c>
      <c r="E2768" s="20">
        <v>3950</v>
      </c>
      <c r="F2768" s="20">
        <v>2350</v>
      </c>
      <c r="G2768" s="20">
        <v>0.34231529828357865</v>
      </c>
      <c r="H2768" s="16">
        <f t="shared" ca="1" si="46"/>
        <v>1253</v>
      </c>
    </row>
    <row r="2769" spans="4:8" ht="15" thickBot="1" x14ac:dyDescent="0.35">
      <c r="D2769" s="20">
        <v>1176</v>
      </c>
      <c r="E2769" s="20">
        <v>950</v>
      </c>
      <c r="F2769" s="20">
        <v>2250</v>
      </c>
      <c r="G2769" s="20">
        <v>0.33626560680699352</v>
      </c>
      <c r="H2769" s="16">
        <f t="shared" ca="1" si="46"/>
        <v>2464</v>
      </c>
    </row>
    <row r="2770" spans="4:8" ht="15" thickBot="1" x14ac:dyDescent="0.35">
      <c r="D2770" s="20">
        <v>401</v>
      </c>
      <c r="E2770" s="20">
        <v>2950</v>
      </c>
      <c r="F2770" s="20">
        <v>750</v>
      </c>
      <c r="G2770" s="20">
        <v>0.26742896391692389</v>
      </c>
      <c r="H2770" s="16">
        <f t="shared" ca="1" si="46"/>
        <v>2313</v>
      </c>
    </row>
    <row r="2771" spans="4:8" ht="15" thickBot="1" x14ac:dyDescent="0.35">
      <c r="D2771" s="20">
        <v>23</v>
      </c>
      <c r="E2771" s="20">
        <v>2250</v>
      </c>
      <c r="F2771" s="20">
        <v>50</v>
      </c>
      <c r="G2771" s="20">
        <v>0.16463567287802236</v>
      </c>
      <c r="H2771" s="16">
        <f t="shared" ca="1" si="46"/>
        <v>1344</v>
      </c>
    </row>
    <row r="2772" spans="4:8" ht="15" thickBot="1" x14ac:dyDescent="0.35">
      <c r="D2772" s="20">
        <v>1479</v>
      </c>
      <c r="E2772" s="20">
        <v>4750</v>
      </c>
      <c r="F2772" s="20">
        <v>2750</v>
      </c>
      <c r="G2772" s="20">
        <v>0.35832812787152674</v>
      </c>
      <c r="H2772" s="16">
        <f t="shared" ca="1" si="46"/>
        <v>1664</v>
      </c>
    </row>
    <row r="2773" spans="4:8" ht="15" thickBot="1" x14ac:dyDescent="0.35">
      <c r="D2773" s="20">
        <v>2494</v>
      </c>
      <c r="E2773" s="20">
        <v>250</v>
      </c>
      <c r="F2773" s="20">
        <v>4750</v>
      </c>
      <c r="G2773" s="20">
        <v>0.44704783574102686</v>
      </c>
      <c r="H2773" s="16">
        <f t="shared" ca="1" si="46"/>
        <v>373</v>
      </c>
    </row>
    <row r="2774" spans="4:8" ht="15" thickBot="1" x14ac:dyDescent="0.35">
      <c r="D2774" s="20">
        <v>940</v>
      </c>
      <c r="E2774" s="20">
        <v>3850</v>
      </c>
      <c r="F2774" s="20">
        <v>1750</v>
      </c>
      <c r="G2774" s="20">
        <v>0.31763258387220078</v>
      </c>
      <c r="H2774" s="16">
        <f t="shared" ca="1" si="46"/>
        <v>2413</v>
      </c>
    </row>
    <row r="2775" spans="4:8" ht="15" thickBot="1" x14ac:dyDescent="0.35">
      <c r="D2775" s="20">
        <v>787</v>
      </c>
      <c r="E2775" s="20">
        <v>4450</v>
      </c>
      <c r="F2775" s="20">
        <v>1450</v>
      </c>
      <c r="G2775" s="20">
        <v>0.30560827926170592</v>
      </c>
      <c r="H2775" s="16">
        <f t="shared" ca="1" si="46"/>
        <v>657</v>
      </c>
    </row>
    <row r="2776" spans="4:8" ht="15" thickBot="1" x14ac:dyDescent="0.35">
      <c r="D2776" s="20">
        <v>601</v>
      </c>
      <c r="E2776" s="20">
        <v>1750</v>
      </c>
      <c r="F2776" s="20">
        <v>1150</v>
      </c>
      <c r="G2776" s="20">
        <v>0.2890687617817404</v>
      </c>
      <c r="H2776" s="16">
        <f t="shared" ca="1" si="46"/>
        <v>964</v>
      </c>
    </row>
    <row r="2777" spans="4:8" ht="15" thickBot="1" x14ac:dyDescent="0.35">
      <c r="D2777" s="20">
        <v>2551</v>
      </c>
      <c r="E2777" s="20">
        <v>650</v>
      </c>
      <c r="F2777" s="20">
        <v>4850</v>
      </c>
      <c r="G2777" s="20">
        <v>0.45565778930448242</v>
      </c>
      <c r="H2777" s="16">
        <f t="shared" ca="1" si="46"/>
        <v>2449</v>
      </c>
    </row>
    <row r="2778" spans="4:8" ht="15" thickBot="1" x14ac:dyDescent="0.35">
      <c r="D2778" s="20">
        <v>260</v>
      </c>
      <c r="E2778" s="20">
        <v>4750</v>
      </c>
      <c r="F2778" s="20">
        <v>450</v>
      </c>
      <c r="G2778" s="20">
        <v>0.2473563401776564</v>
      </c>
      <c r="H2778" s="16">
        <f t="shared" ca="1" si="46"/>
        <v>397</v>
      </c>
    </row>
    <row r="2779" spans="4:8" ht="15" thickBot="1" x14ac:dyDescent="0.35">
      <c r="D2779" s="20">
        <v>1209</v>
      </c>
      <c r="E2779" s="20">
        <v>4250</v>
      </c>
      <c r="F2779" s="20">
        <v>2250</v>
      </c>
      <c r="G2779" s="20">
        <v>0.33834904083509953</v>
      </c>
      <c r="H2779" s="16">
        <f t="shared" ca="1" si="46"/>
        <v>254</v>
      </c>
    </row>
    <row r="2780" spans="4:8" ht="15" thickBot="1" x14ac:dyDescent="0.35">
      <c r="D2780" s="20">
        <v>1975</v>
      </c>
      <c r="E2780" s="43">
        <v>1350</v>
      </c>
      <c r="F2780" s="43">
        <v>3750</v>
      </c>
      <c r="G2780" s="20">
        <v>0.39396601940289538</v>
      </c>
      <c r="H2780" s="16">
        <f t="shared" ca="1" si="46"/>
        <v>2596</v>
      </c>
    </row>
    <row r="2781" spans="4:8" ht="15" thickBot="1" x14ac:dyDescent="0.35">
      <c r="D2781" s="20">
        <v>2650</v>
      </c>
      <c r="E2781" s="20">
        <v>5250</v>
      </c>
      <c r="F2781" s="20">
        <v>4950</v>
      </c>
      <c r="G2781" s="20">
        <v>0.4765501543821351</v>
      </c>
      <c r="H2781" s="16">
        <f t="shared" ca="1" si="46"/>
        <v>1791</v>
      </c>
    </row>
    <row r="2782" spans="4:8" ht="15" thickBot="1" x14ac:dyDescent="0.35">
      <c r="D2782" s="20">
        <v>1679</v>
      </c>
      <c r="E2782" s="20">
        <v>3550</v>
      </c>
      <c r="F2782" s="20">
        <v>3150</v>
      </c>
      <c r="G2782" s="20">
        <v>0.3723656384255799</v>
      </c>
      <c r="H2782" s="16">
        <f t="shared" ca="1" si="46"/>
        <v>1397</v>
      </c>
    </row>
    <row r="2783" spans="4:8" ht="15" thickBot="1" x14ac:dyDescent="0.35">
      <c r="D2783" s="20">
        <v>2247</v>
      </c>
      <c r="E2783" s="20">
        <v>2050</v>
      </c>
      <c r="F2783" s="20">
        <v>4250</v>
      </c>
      <c r="G2783" s="20">
        <v>0.41999261987849806</v>
      </c>
      <c r="H2783" s="16">
        <f t="shared" ca="1" si="46"/>
        <v>2094</v>
      </c>
    </row>
    <row r="2784" spans="4:8" ht="15" thickBot="1" x14ac:dyDescent="0.35">
      <c r="D2784" s="20">
        <v>2496</v>
      </c>
      <c r="E2784" s="20">
        <v>450</v>
      </c>
      <c r="F2784" s="20">
        <v>4750</v>
      </c>
      <c r="G2784" s="20">
        <v>0.44725238495121633</v>
      </c>
      <c r="H2784" s="16">
        <f t="shared" ca="1" si="46"/>
        <v>1701</v>
      </c>
    </row>
    <row r="2785" spans="4:8" ht="15" thickBot="1" x14ac:dyDescent="0.35">
      <c r="D2785" s="20">
        <v>799</v>
      </c>
      <c r="E2785" s="20">
        <v>350</v>
      </c>
      <c r="F2785" s="20">
        <v>1550</v>
      </c>
      <c r="G2785" s="20">
        <v>0.30647617396264693</v>
      </c>
      <c r="H2785" s="16">
        <f t="shared" ca="1" si="46"/>
        <v>233</v>
      </c>
    </row>
    <row r="2786" spans="4:8" ht="15" thickBot="1" x14ac:dyDescent="0.35">
      <c r="D2786" s="20">
        <v>2027</v>
      </c>
      <c r="E2786" s="20">
        <v>1250</v>
      </c>
      <c r="F2786" s="20">
        <v>3850</v>
      </c>
      <c r="G2786" s="20">
        <v>0.3975462176441959</v>
      </c>
      <c r="H2786" s="16">
        <f t="shared" ca="1" si="46"/>
        <v>1039</v>
      </c>
    </row>
    <row r="2787" spans="4:8" ht="15" thickBot="1" x14ac:dyDescent="0.35">
      <c r="D2787" s="20">
        <v>1866</v>
      </c>
      <c r="E2787" s="20">
        <v>1050</v>
      </c>
      <c r="F2787" s="20">
        <v>3550</v>
      </c>
      <c r="G2787" s="20">
        <v>0.38591791515397411</v>
      </c>
      <c r="H2787" s="16">
        <f t="shared" ca="1" si="46"/>
        <v>1163</v>
      </c>
    </row>
    <row r="2788" spans="4:8" ht="15" thickBot="1" x14ac:dyDescent="0.35">
      <c r="D2788" s="20">
        <v>527</v>
      </c>
      <c r="E2788" s="45">
        <v>4950</v>
      </c>
      <c r="F2788" s="45">
        <v>950</v>
      </c>
      <c r="G2788" s="20">
        <v>0.28124715091729013</v>
      </c>
      <c r="H2788" s="16">
        <f t="shared" ca="1" si="46"/>
        <v>1058</v>
      </c>
    </row>
    <row r="2789" spans="4:8" ht="15" thickBot="1" x14ac:dyDescent="0.35">
      <c r="D2789" s="20">
        <v>1901</v>
      </c>
      <c r="E2789" s="20">
        <v>4550</v>
      </c>
      <c r="F2789" s="20">
        <v>3550</v>
      </c>
      <c r="G2789" s="20">
        <v>0.38843575667046565</v>
      </c>
      <c r="H2789" s="16">
        <f t="shared" ca="1" si="46"/>
        <v>2208</v>
      </c>
    </row>
    <row r="2790" spans="4:8" ht="15" thickBot="1" x14ac:dyDescent="0.35">
      <c r="D2790" s="20">
        <v>336</v>
      </c>
      <c r="E2790" s="20">
        <v>1750</v>
      </c>
      <c r="F2790" s="20">
        <v>650</v>
      </c>
      <c r="G2790" s="20">
        <v>0.25948769877338806</v>
      </c>
      <c r="H2790" s="16">
        <f t="shared" ca="1" si="46"/>
        <v>650</v>
      </c>
    </row>
    <row r="2791" spans="4:8" ht="15" thickBot="1" x14ac:dyDescent="0.35">
      <c r="D2791" s="20">
        <v>1170</v>
      </c>
      <c r="E2791" s="20">
        <v>350</v>
      </c>
      <c r="F2791" s="20">
        <v>2250</v>
      </c>
      <c r="G2791" s="20">
        <v>0.3357561796619839</v>
      </c>
      <c r="H2791" s="16">
        <f t="shared" ca="1" si="46"/>
        <v>2304</v>
      </c>
    </row>
    <row r="2792" spans="4:8" ht="15" thickBot="1" x14ac:dyDescent="0.35">
      <c r="D2792" s="20">
        <v>2653</v>
      </c>
      <c r="E2792" s="20">
        <v>250</v>
      </c>
      <c r="F2792" s="20">
        <v>5050</v>
      </c>
      <c r="G2792" s="20">
        <v>0.47798921466525629</v>
      </c>
      <c r="H2792" s="16">
        <f t="shared" ca="1" si="46"/>
        <v>2308</v>
      </c>
    </row>
    <row r="2793" spans="4:8" ht="15" thickBot="1" x14ac:dyDescent="0.35">
      <c r="D2793" s="20">
        <v>994</v>
      </c>
      <c r="E2793" s="20">
        <v>3950</v>
      </c>
      <c r="F2793" s="20">
        <v>1850</v>
      </c>
      <c r="G2793" s="20">
        <v>0.32184861205813176</v>
      </c>
      <c r="H2793" s="16">
        <f t="shared" ca="1" si="46"/>
        <v>1992</v>
      </c>
    </row>
    <row r="2794" spans="4:8" ht="15" thickBot="1" x14ac:dyDescent="0.35">
      <c r="D2794" s="20">
        <v>766</v>
      </c>
      <c r="E2794" s="44">
        <v>2350</v>
      </c>
      <c r="F2794" s="44">
        <v>1450</v>
      </c>
      <c r="G2794" s="20">
        <v>0.30326823182264068</v>
      </c>
      <c r="H2794" s="16">
        <f t="shared" ca="1" si="46"/>
        <v>626</v>
      </c>
    </row>
  </sheetData>
  <sortState ref="D7:H2794">
    <sortCondition ref="H7:H27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Population-Sw</vt:lpstr>
      <vt:lpstr>Sampling-Sw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2025-11-21T06:29:35Z</dcterms:created>
  <dcterms:modified xsi:type="dcterms:W3CDTF">2025-12-12T18:31:56Z</dcterms:modified>
</cp:coreProperties>
</file>