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4_2\IRM\assignments\"/>
    </mc:Choice>
  </mc:AlternateContent>
  <bookViews>
    <workbookView xWindow="0" yWindow="0" windowWidth="23040" windowHeight="9336" activeTab="1"/>
  </bookViews>
  <sheets>
    <sheet name="Population-Uranium Conc-Part 1" sheetId="1" r:id="rId1"/>
    <sheet name="Radiactiv Dcay-Population-Par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0" i="3" l="1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M7" i="1"/>
  <c r="N7" i="1" s="1"/>
  <c r="P7" i="1" l="1"/>
  <c r="P15" i="1"/>
  <c r="P23" i="1"/>
  <c r="P31" i="1"/>
  <c r="P39" i="1"/>
  <c r="P47" i="1"/>
  <c r="P55" i="1"/>
  <c r="P63" i="1"/>
  <c r="P71" i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191" i="1"/>
  <c r="P199" i="1"/>
  <c r="P36" i="1"/>
  <c r="P60" i="1"/>
  <c r="P92" i="1"/>
  <c r="P124" i="1"/>
  <c r="P148" i="1"/>
  <c r="P188" i="1"/>
  <c r="P14" i="1"/>
  <c r="P70" i="1"/>
  <c r="P118" i="1"/>
  <c r="P158" i="1"/>
  <c r="P198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44" i="1"/>
  <c r="P152" i="1"/>
  <c r="P160" i="1"/>
  <c r="P168" i="1"/>
  <c r="P176" i="1"/>
  <c r="P184" i="1"/>
  <c r="P192" i="1"/>
  <c r="P200" i="1"/>
  <c r="P28" i="1"/>
  <c r="P108" i="1"/>
  <c r="P156" i="1"/>
  <c r="P196" i="1"/>
  <c r="P46" i="1"/>
  <c r="P110" i="1"/>
  <c r="P166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69" i="1"/>
  <c r="P177" i="1"/>
  <c r="P185" i="1"/>
  <c r="P193" i="1"/>
  <c r="P201" i="1"/>
  <c r="P44" i="1"/>
  <c r="P68" i="1"/>
  <c r="P100" i="1"/>
  <c r="P140" i="1"/>
  <c r="P172" i="1"/>
  <c r="P205" i="1"/>
  <c r="P54" i="1"/>
  <c r="P102" i="1"/>
  <c r="P142" i="1"/>
  <c r="P190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4" i="1"/>
  <c r="P202" i="1"/>
  <c r="P20" i="1"/>
  <c r="P52" i="1"/>
  <c r="P84" i="1"/>
  <c r="P116" i="1"/>
  <c r="P164" i="1"/>
  <c r="P204" i="1"/>
  <c r="P22" i="1"/>
  <c r="P62" i="1"/>
  <c r="P94" i="1"/>
  <c r="P134" i="1"/>
  <c r="P182" i="1"/>
  <c r="P11" i="1"/>
  <c r="P19" i="1"/>
  <c r="P27" i="1"/>
  <c r="P35" i="1"/>
  <c r="P43" i="1"/>
  <c r="P51" i="1"/>
  <c r="P59" i="1"/>
  <c r="P67" i="1"/>
  <c r="P75" i="1"/>
  <c r="P83" i="1"/>
  <c r="P91" i="1"/>
  <c r="P99" i="1"/>
  <c r="P107" i="1"/>
  <c r="P115" i="1"/>
  <c r="P123" i="1"/>
  <c r="P131" i="1"/>
  <c r="P139" i="1"/>
  <c r="P147" i="1"/>
  <c r="P155" i="1"/>
  <c r="P163" i="1"/>
  <c r="P171" i="1"/>
  <c r="P179" i="1"/>
  <c r="P187" i="1"/>
  <c r="P195" i="1"/>
  <c r="P203" i="1"/>
  <c r="P12" i="1"/>
  <c r="P76" i="1"/>
  <c r="P132" i="1"/>
  <c r="P180" i="1"/>
  <c r="P38" i="1"/>
  <c r="P86" i="1"/>
  <c r="P150" i="1"/>
  <c r="P206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189" i="1"/>
  <c r="P197" i="1"/>
  <c r="P30" i="1"/>
  <c r="P78" i="1"/>
  <c r="P126" i="1"/>
  <c r="P174" i="1"/>
  <c r="M608" i="3"/>
  <c r="N608" i="3" s="1"/>
  <c r="M579" i="3"/>
  <c r="N579" i="3" s="1"/>
  <c r="M539" i="3"/>
  <c r="N539" i="3" s="1"/>
  <c r="M499" i="3"/>
  <c r="N499" i="3" s="1"/>
  <c r="M459" i="3"/>
  <c r="N459" i="3" s="1"/>
  <c r="M419" i="3"/>
  <c r="N419" i="3" s="1"/>
  <c r="M379" i="3"/>
  <c r="N379" i="3" s="1"/>
  <c r="M339" i="3"/>
  <c r="N339" i="3" s="1"/>
  <c r="M299" i="3"/>
  <c r="N299" i="3" s="1"/>
  <c r="M259" i="3"/>
  <c r="N259" i="3" s="1"/>
  <c r="M219" i="3"/>
  <c r="N219" i="3" s="1"/>
  <c r="M569" i="3"/>
  <c r="N569" i="3" s="1"/>
  <c r="M559" i="3"/>
  <c r="N559" i="3" s="1"/>
  <c r="M529" i="3"/>
  <c r="N529" i="3" s="1"/>
  <c r="M489" i="3"/>
  <c r="N489" i="3" s="1"/>
  <c r="M479" i="3"/>
  <c r="N479" i="3" s="1"/>
  <c r="M449" i="3"/>
  <c r="N449" i="3" s="1"/>
  <c r="M409" i="3"/>
  <c r="N409" i="3" s="1"/>
  <c r="M399" i="3"/>
  <c r="N399" i="3" s="1"/>
  <c r="M369" i="3"/>
  <c r="N369" i="3" s="1"/>
  <c r="M329" i="3"/>
  <c r="N329" i="3" s="1"/>
  <c r="M319" i="3"/>
  <c r="N319" i="3" s="1"/>
  <c r="M289" i="3"/>
  <c r="N289" i="3" s="1"/>
  <c r="M249" i="3"/>
  <c r="N249" i="3" s="1"/>
  <c r="M239" i="3"/>
  <c r="N239" i="3" s="1"/>
  <c r="M599" i="3"/>
  <c r="N599" i="3" s="1"/>
  <c r="M519" i="3"/>
  <c r="N519" i="3" s="1"/>
  <c r="M439" i="3"/>
  <c r="N439" i="3" s="1"/>
  <c r="M359" i="3"/>
  <c r="N359" i="3" s="1"/>
  <c r="M279" i="3"/>
  <c r="N279" i="3" s="1"/>
  <c r="M589" i="3"/>
  <c r="N589" i="3" s="1"/>
  <c r="M549" i="3"/>
  <c r="N549" i="3" s="1"/>
  <c r="M509" i="3"/>
  <c r="N509" i="3" s="1"/>
  <c r="M469" i="3"/>
  <c r="N469" i="3" s="1"/>
  <c r="M429" i="3"/>
  <c r="N429" i="3" s="1"/>
  <c r="M389" i="3"/>
  <c r="N389" i="3" s="1"/>
  <c r="M349" i="3"/>
  <c r="N349" i="3" s="1"/>
  <c r="M309" i="3"/>
  <c r="N309" i="3" s="1"/>
  <c r="M269" i="3"/>
  <c r="N269" i="3" s="1"/>
  <c r="M229" i="3"/>
  <c r="N229" i="3" s="1"/>
  <c r="M39" i="3"/>
  <c r="N39" i="3" s="1"/>
  <c r="M29" i="3"/>
  <c r="N29" i="3" s="1"/>
  <c r="M19" i="3"/>
  <c r="N19" i="3" s="1"/>
  <c r="M209" i="3"/>
  <c r="N209" i="3" s="1"/>
  <c r="M199" i="3"/>
  <c r="N199" i="3" s="1"/>
  <c r="M189" i="3"/>
  <c r="N189" i="3" s="1"/>
  <c r="M179" i="3"/>
  <c r="N179" i="3" s="1"/>
  <c r="M169" i="3"/>
  <c r="N169" i="3" s="1"/>
  <c r="M159" i="3"/>
  <c r="N159" i="3" s="1"/>
  <c r="M149" i="3"/>
  <c r="N149" i="3" s="1"/>
  <c r="M139" i="3"/>
  <c r="N139" i="3" s="1"/>
  <c r="M129" i="3"/>
  <c r="N129" i="3" s="1"/>
  <c r="M119" i="3"/>
  <c r="N119" i="3" s="1"/>
  <c r="M109" i="3"/>
  <c r="N109" i="3" s="1"/>
  <c r="M99" i="3"/>
  <c r="N99" i="3" s="1"/>
  <c r="M89" i="3"/>
  <c r="N89" i="3" s="1"/>
  <c r="M79" i="3"/>
  <c r="N79" i="3" s="1"/>
  <c r="M69" i="3"/>
  <c r="N69" i="3" s="1"/>
  <c r="M49" i="3"/>
  <c r="N49" i="3" s="1"/>
  <c r="M59" i="3"/>
  <c r="N59" i="3" s="1"/>
  <c r="E16" i="3"/>
  <c r="E24" i="3"/>
  <c r="E32" i="3"/>
  <c r="E40" i="3"/>
  <c r="E48" i="3"/>
  <c r="E56" i="3"/>
  <c r="E64" i="3"/>
  <c r="E72" i="3"/>
  <c r="E80" i="3"/>
  <c r="E88" i="3"/>
  <c r="E96" i="3"/>
  <c r="E104" i="3"/>
  <c r="E112" i="3"/>
  <c r="E119" i="3"/>
  <c r="E120" i="3"/>
  <c r="E128" i="3"/>
  <c r="E135" i="3"/>
  <c r="E136" i="3"/>
  <c r="E143" i="3"/>
  <c r="E144" i="3"/>
  <c r="E151" i="3"/>
  <c r="E152" i="3"/>
  <c r="E159" i="3"/>
  <c r="E160" i="3"/>
  <c r="E167" i="3"/>
  <c r="E168" i="3"/>
  <c r="E175" i="3"/>
  <c r="E176" i="3"/>
  <c r="E183" i="3"/>
  <c r="E184" i="3"/>
  <c r="E191" i="3"/>
  <c r="E192" i="3"/>
  <c r="E199" i="3"/>
  <c r="E200" i="3"/>
  <c r="E207" i="3"/>
  <c r="E208" i="3"/>
  <c r="E215" i="3"/>
  <c r="E216" i="3"/>
  <c r="E223" i="3"/>
  <c r="E224" i="3"/>
  <c r="E231" i="3"/>
  <c r="E232" i="3"/>
  <c r="E239" i="3"/>
  <c r="E240" i="3"/>
  <c r="E247" i="3"/>
  <c r="E248" i="3"/>
  <c r="E255" i="3"/>
  <c r="E256" i="3"/>
  <c r="E263" i="3"/>
  <c r="E264" i="3"/>
  <c r="E271" i="3"/>
  <c r="E272" i="3"/>
  <c r="E279" i="3"/>
  <c r="E280" i="3"/>
  <c r="E287" i="3"/>
  <c r="E288" i="3"/>
  <c r="E295" i="3"/>
  <c r="E296" i="3"/>
  <c r="E303" i="3"/>
  <c r="E304" i="3"/>
  <c r="E311" i="3"/>
  <c r="E312" i="3"/>
  <c r="E319" i="3"/>
  <c r="E320" i="3"/>
  <c r="E327" i="3"/>
  <c r="E328" i="3"/>
  <c r="E335" i="3"/>
  <c r="E336" i="3"/>
  <c r="E343" i="3"/>
  <c r="E344" i="3"/>
  <c r="E351" i="3"/>
  <c r="E352" i="3"/>
  <c r="E359" i="3"/>
  <c r="E360" i="3"/>
  <c r="E367" i="3"/>
  <c r="E368" i="3"/>
  <c r="E375" i="3"/>
  <c r="E376" i="3"/>
  <c r="E383" i="3"/>
  <c r="E384" i="3"/>
  <c r="E391" i="3"/>
  <c r="E392" i="3"/>
  <c r="E399" i="3"/>
  <c r="E400" i="3"/>
  <c r="E407" i="3"/>
  <c r="E408" i="3"/>
  <c r="E415" i="3"/>
  <c r="E416" i="3"/>
  <c r="E423" i="3"/>
  <c r="E424" i="3"/>
  <c r="E431" i="3"/>
  <c r="E432" i="3"/>
  <c r="E439" i="3"/>
  <c r="E440" i="3"/>
  <c r="E447" i="3"/>
  <c r="E448" i="3"/>
  <c r="E455" i="3"/>
  <c r="E456" i="3"/>
  <c r="E463" i="3"/>
  <c r="E464" i="3"/>
  <c r="E471" i="3"/>
  <c r="E472" i="3"/>
  <c r="E479" i="3"/>
  <c r="E480" i="3"/>
  <c r="E487" i="3"/>
  <c r="E488" i="3"/>
  <c r="E495" i="3"/>
  <c r="E496" i="3"/>
  <c r="E498" i="3"/>
  <c r="E503" i="3"/>
  <c r="E504" i="3"/>
  <c r="E506" i="3"/>
  <c r="E511" i="3"/>
  <c r="E512" i="3"/>
  <c r="E514" i="3"/>
  <c r="E519" i="3"/>
  <c r="E520" i="3"/>
  <c r="E522" i="3"/>
  <c r="E527" i="3"/>
  <c r="E528" i="3"/>
  <c r="E530" i="3"/>
  <c r="E535" i="3"/>
  <c r="E536" i="3"/>
  <c r="E538" i="3"/>
  <c r="E543" i="3"/>
  <c r="E544" i="3"/>
  <c r="E546" i="3"/>
  <c r="E551" i="3"/>
  <c r="E552" i="3"/>
  <c r="E554" i="3"/>
  <c r="E559" i="3"/>
  <c r="E560" i="3"/>
  <c r="E562" i="3"/>
  <c r="E567" i="3"/>
  <c r="E568" i="3"/>
  <c r="E570" i="3"/>
  <c r="E575" i="3"/>
  <c r="E576" i="3"/>
  <c r="E578" i="3"/>
  <c r="E583" i="3"/>
  <c r="E584" i="3"/>
  <c r="E586" i="3"/>
  <c r="E591" i="3"/>
  <c r="E592" i="3"/>
  <c r="E594" i="3"/>
  <c r="E599" i="3"/>
  <c r="E600" i="3"/>
  <c r="E602" i="3"/>
  <c r="E607" i="3"/>
  <c r="E608" i="3"/>
  <c r="F6" i="3"/>
  <c r="F4" i="3"/>
  <c r="G10" i="3" s="1"/>
  <c r="Q206" i="1" l="1"/>
  <c r="R206" i="1" s="1"/>
  <c r="Q76" i="1"/>
  <c r="R76" i="1" s="1"/>
  <c r="Q196" i="1"/>
  <c r="R196" i="1" s="1"/>
  <c r="Q186" i="1"/>
  <c r="R186" i="1" s="1"/>
  <c r="Q116" i="1"/>
  <c r="R116" i="1" s="1"/>
  <c r="Q166" i="1"/>
  <c r="R166" i="1" s="1"/>
  <c r="Q46" i="1"/>
  <c r="R46" i="1" s="1"/>
  <c r="Q136" i="1"/>
  <c r="Q36" i="1"/>
  <c r="R36" i="1" s="1"/>
  <c r="Q26" i="1"/>
  <c r="R26" i="1" s="1"/>
  <c r="Q56" i="1"/>
  <c r="R56" i="1" s="1"/>
  <c r="Q106" i="1"/>
  <c r="R106" i="1" s="1"/>
  <c r="Q86" i="1"/>
  <c r="R86" i="1" s="1"/>
  <c r="Q156" i="1"/>
  <c r="R156" i="1" s="1"/>
  <c r="Q146" i="1"/>
  <c r="R146" i="1" s="1"/>
  <c r="Q176" i="1"/>
  <c r="R176" i="1" s="1"/>
  <c r="Q66" i="1"/>
  <c r="R66" i="1" s="1"/>
  <c r="Q96" i="1"/>
  <c r="R96" i="1" s="1"/>
  <c r="Q126" i="1"/>
  <c r="R126" i="1" s="1"/>
  <c r="Q16" i="1"/>
  <c r="R16" i="1" s="1"/>
  <c r="R136" i="1"/>
  <c r="O10" i="3"/>
  <c r="Q10" i="3" s="1"/>
  <c r="E111" i="3"/>
  <c r="E103" i="3"/>
  <c r="E87" i="3"/>
  <c r="E79" i="3"/>
  <c r="E71" i="3"/>
  <c r="E63" i="3"/>
  <c r="E55" i="3"/>
  <c r="E47" i="3"/>
  <c r="E23" i="3"/>
  <c r="E15" i="3"/>
  <c r="E606" i="3"/>
  <c r="E598" i="3"/>
  <c r="E590" i="3"/>
  <c r="E582" i="3"/>
  <c r="E574" i="3"/>
  <c r="E566" i="3"/>
  <c r="E558" i="3"/>
  <c r="E550" i="3"/>
  <c r="E542" i="3"/>
  <c r="E534" i="3"/>
  <c r="E526" i="3"/>
  <c r="E518" i="3"/>
  <c r="E510" i="3"/>
  <c r="E502" i="3"/>
  <c r="E494" i="3"/>
  <c r="E486" i="3"/>
  <c r="E478" i="3"/>
  <c r="E470" i="3"/>
  <c r="E462" i="3"/>
  <c r="E454" i="3"/>
  <c r="E446" i="3"/>
  <c r="E438" i="3"/>
  <c r="E430" i="3"/>
  <c r="E422" i="3"/>
  <c r="E414" i="3"/>
  <c r="E406" i="3"/>
  <c r="E398" i="3"/>
  <c r="E390" i="3"/>
  <c r="E382" i="3"/>
  <c r="E374" i="3"/>
  <c r="E366" i="3"/>
  <c r="E358" i="3"/>
  <c r="E350" i="3"/>
  <c r="E342" i="3"/>
  <c r="E334" i="3"/>
  <c r="E326" i="3"/>
  <c r="E318" i="3"/>
  <c r="E310" i="3"/>
  <c r="E302" i="3"/>
  <c r="E294" i="3"/>
  <c r="E286" i="3"/>
  <c r="E278" i="3"/>
  <c r="E270" i="3"/>
  <c r="E262" i="3"/>
  <c r="E254" i="3"/>
  <c r="E246" i="3"/>
  <c r="E238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4" i="3"/>
  <c r="E126" i="3"/>
  <c r="E118" i="3"/>
  <c r="E110" i="3"/>
  <c r="E102" i="3"/>
  <c r="E94" i="3"/>
  <c r="E86" i="3"/>
  <c r="E78" i="3"/>
  <c r="E70" i="3"/>
  <c r="E62" i="3"/>
  <c r="E54" i="3"/>
  <c r="E46" i="3"/>
  <c r="E38" i="3"/>
  <c r="E30" i="3"/>
  <c r="E22" i="3"/>
  <c r="E14" i="3"/>
  <c r="E127" i="3"/>
  <c r="E95" i="3"/>
  <c r="E31" i="3"/>
  <c r="E605" i="3"/>
  <c r="E589" i="3"/>
  <c r="E573" i="3"/>
  <c r="E557" i="3"/>
  <c r="E549" i="3"/>
  <c r="E533" i="3"/>
  <c r="E525" i="3"/>
  <c r="E517" i="3"/>
  <c r="E509" i="3"/>
  <c r="E501" i="3"/>
  <c r="E493" i="3"/>
  <c r="E485" i="3"/>
  <c r="E477" i="3"/>
  <c r="E469" i="3"/>
  <c r="E461" i="3"/>
  <c r="E453" i="3"/>
  <c r="E445" i="3"/>
  <c r="E437" i="3"/>
  <c r="E429" i="3"/>
  <c r="E421" i="3"/>
  <c r="E413" i="3"/>
  <c r="E405" i="3"/>
  <c r="E397" i="3"/>
  <c r="E389" i="3"/>
  <c r="E381" i="3"/>
  <c r="E373" i="3"/>
  <c r="E365" i="3"/>
  <c r="E357" i="3"/>
  <c r="E349" i="3"/>
  <c r="E341" i="3"/>
  <c r="E333" i="3"/>
  <c r="E325" i="3"/>
  <c r="E317" i="3"/>
  <c r="E309" i="3"/>
  <c r="E301" i="3"/>
  <c r="E293" i="3"/>
  <c r="E285" i="3"/>
  <c r="E277" i="3"/>
  <c r="E269" i="3"/>
  <c r="E261" i="3"/>
  <c r="E253" i="3"/>
  <c r="E245" i="3"/>
  <c r="E237" i="3"/>
  <c r="E229" i="3"/>
  <c r="E221" i="3"/>
  <c r="E213" i="3"/>
  <c r="E205" i="3"/>
  <c r="E197" i="3"/>
  <c r="E189" i="3"/>
  <c r="E181" i="3"/>
  <c r="E173" i="3"/>
  <c r="E165" i="3"/>
  <c r="E157" i="3"/>
  <c r="E149" i="3"/>
  <c r="E141" i="3"/>
  <c r="E133" i="3"/>
  <c r="E125" i="3"/>
  <c r="E117" i="3"/>
  <c r="E109" i="3"/>
  <c r="E101" i="3"/>
  <c r="E93" i="3"/>
  <c r="E85" i="3"/>
  <c r="E77" i="3"/>
  <c r="E69" i="3"/>
  <c r="E61" i="3"/>
  <c r="E53" i="3"/>
  <c r="E45" i="3"/>
  <c r="E37" i="3"/>
  <c r="E29" i="3"/>
  <c r="E21" i="3"/>
  <c r="E13" i="3"/>
  <c r="E39" i="3"/>
  <c r="E597" i="3"/>
  <c r="E581" i="3"/>
  <c r="E565" i="3"/>
  <c r="E541" i="3"/>
  <c r="E604" i="3"/>
  <c r="E596" i="3"/>
  <c r="E588" i="3"/>
  <c r="E580" i="3"/>
  <c r="E572" i="3"/>
  <c r="E564" i="3"/>
  <c r="E556" i="3"/>
  <c r="E548" i="3"/>
  <c r="E540" i="3"/>
  <c r="E532" i="3"/>
  <c r="E524" i="3"/>
  <c r="E516" i="3"/>
  <c r="E508" i="3"/>
  <c r="E500" i="3"/>
  <c r="E492" i="3"/>
  <c r="E484" i="3"/>
  <c r="E476" i="3"/>
  <c r="E468" i="3"/>
  <c r="E460" i="3"/>
  <c r="E452" i="3"/>
  <c r="E444" i="3"/>
  <c r="E436" i="3"/>
  <c r="E428" i="3"/>
  <c r="E420" i="3"/>
  <c r="E412" i="3"/>
  <c r="E404" i="3"/>
  <c r="E396" i="3"/>
  <c r="E388" i="3"/>
  <c r="E380" i="3"/>
  <c r="E372" i="3"/>
  <c r="E364" i="3"/>
  <c r="E356" i="3"/>
  <c r="E348" i="3"/>
  <c r="E340" i="3"/>
  <c r="E332" i="3"/>
  <c r="E324" i="3"/>
  <c r="E316" i="3"/>
  <c r="E308" i="3"/>
  <c r="E300" i="3"/>
  <c r="E292" i="3"/>
  <c r="E284" i="3"/>
  <c r="E276" i="3"/>
  <c r="E268" i="3"/>
  <c r="E260" i="3"/>
  <c r="E252" i="3"/>
  <c r="E244" i="3"/>
  <c r="E236" i="3"/>
  <c r="E228" i="3"/>
  <c r="E220" i="3"/>
  <c r="E212" i="3"/>
  <c r="E204" i="3"/>
  <c r="E196" i="3"/>
  <c r="E188" i="3"/>
  <c r="E180" i="3"/>
  <c r="E172" i="3"/>
  <c r="E164" i="3"/>
  <c r="E156" i="3"/>
  <c r="E148" i="3"/>
  <c r="E140" i="3"/>
  <c r="E132" i="3"/>
  <c r="E124" i="3"/>
  <c r="E116" i="3"/>
  <c r="E108" i="3"/>
  <c r="E100" i="3"/>
  <c r="E92" i="3"/>
  <c r="E84" i="3"/>
  <c r="E76" i="3"/>
  <c r="E68" i="3"/>
  <c r="E60" i="3"/>
  <c r="E52" i="3"/>
  <c r="E44" i="3"/>
  <c r="E36" i="3"/>
  <c r="E28" i="3"/>
  <c r="E20" i="3"/>
  <c r="E11" i="3"/>
  <c r="E603" i="3"/>
  <c r="E595" i="3"/>
  <c r="E587" i="3"/>
  <c r="E579" i="3"/>
  <c r="E571" i="3"/>
  <c r="E563" i="3"/>
  <c r="E555" i="3"/>
  <c r="E547" i="3"/>
  <c r="E539" i="3"/>
  <c r="E531" i="3"/>
  <c r="E523" i="3"/>
  <c r="E515" i="3"/>
  <c r="E507" i="3"/>
  <c r="E499" i="3"/>
  <c r="E491" i="3"/>
  <c r="E483" i="3"/>
  <c r="E475" i="3"/>
  <c r="E467" i="3"/>
  <c r="E459" i="3"/>
  <c r="E451" i="3"/>
  <c r="E443" i="3"/>
  <c r="E435" i="3"/>
  <c r="E427" i="3"/>
  <c r="E419" i="3"/>
  <c r="E411" i="3"/>
  <c r="E403" i="3"/>
  <c r="E395" i="3"/>
  <c r="E387" i="3"/>
  <c r="E379" i="3"/>
  <c r="E371" i="3"/>
  <c r="E363" i="3"/>
  <c r="E355" i="3"/>
  <c r="E347" i="3"/>
  <c r="E339" i="3"/>
  <c r="E331" i="3"/>
  <c r="E323" i="3"/>
  <c r="E315" i="3"/>
  <c r="E307" i="3"/>
  <c r="E299" i="3"/>
  <c r="E291" i="3"/>
  <c r="E283" i="3"/>
  <c r="E275" i="3"/>
  <c r="E267" i="3"/>
  <c r="E259" i="3"/>
  <c r="E251" i="3"/>
  <c r="E243" i="3"/>
  <c r="E235" i="3"/>
  <c r="E227" i="3"/>
  <c r="E219" i="3"/>
  <c r="E211" i="3"/>
  <c r="E203" i="3"/>
  <c r="E195" i="3"/>
  <c r="E187" i="3"/>
  <c r="E179" i="3"/>
  <c r="E171" i="3"/>
  <c r="E163" i="3"/>
  <c r="E155" i="3"/>
  <c r="E147" i="3"/>
  <c r="E139" i="3"/>
  <c r="E131" i="3"/>
  <c r="E123" i="3"/>
  <c r="E115" i="3"/>
  <c r="E107" i="3"/>
  <c r="E99" i="3"/>
  <c r="E91" i="3"/>
  <c r="E83" i="3"/>
  <c r="E75" i="3"/>
  <c r="E67" i="3"/>
  <c r="E59" i="3"/>
  <c r="E51" i="3"/>
  <c r="E43" i="3"/>
  <c r="E35" i="3"/>
  <c r="E27" i="3"/>
  <c r="E19" i="3"/>
  <c r="E482" i="3"/>
  <c r="E474" i="3"/>
  <c r="E466" i="3"/>
  <c r="E458" i="3"/>
  <c r="E450" i="3"/>
  <c r="E442" i="3"/>
  <c r="E434" i="3"/>
  <c r="E426" i="3"/>
  <c r="E418" i="3"/>
  <c r="E410" i="3"/>
  <c r="E402" i="3"/>
  <c r="E394" i="3"/>
  <c r="E386" i="3"/>
  <c r="E378" i="3"/>
  <c r="E370" i="3"/>
  <c r="E362" i="3"/>
  <c r="E354" i="3"/>
  <c r="E346" i="3"/>
  <c r="E338" i="3"/>
  <c r="E330" i="3"/>
  <c r="E322" i="3"/>
  <c r="E314" i="3"/>
  <c r="E306" i="3"/>
  <c r="E298" i="3"/>
  <c r="E290" i="3"/>
  <c r="E282" i="3"/>
  <c r="E274" i="3"/>
  <c r="E266" i="3"/>
  <c r="E258" i="3"/>
  <c r="E250" i="3"/>
  <c r="E242" i="3"/>
  <c r="E234" i="3"/>
  <c r="E226" i="3"/>
  <c r="E218" i="3"/>
  <c r="E210" i="3"/>
  <c r="E202" i="3"/>
  <c r="E194" i="3"/>
  <c r="E186" i="3"/>
  <c r="E178" i="3"/>
  <c r="E170" i="3"/>
  <c r="E162" i="3"/>
  <c r="E154" i="3"/>
  <c r="E146" i="3"/>
  <c r="E138" i="3"/>
  <c r="E130" i="3"/>
  <c r="E122" i="3"/>
  <c r="E114" i="3"/>
  <c r="E106" i="3"/>
  <c r="E98" i="3"/>
  <c r="E90" i="3"/>
  <c r="E82" i="3"/>
  <c r="E74" i="3"/>
  <c r="E66" i="3"/>
  <c r="E58" i="3"/>
  <c r="E50" i="3"/>
  <c r="E42" i="3"/>
  <c r="E34" i="3"/>
  <c r="E26" i="3"/>
  <c r="E18" i="3"/>
  <c r="E490" i="3"/>
  <c r="E10" i="3"/>
  <c r="E601" i="3"/>
  <c r="E593" i="3"/>
  <c r="E585" i="3"/>
  <c r="E577" i="3"/>
  <c r="E569" i="3"/>
  <c r="E561" i="3"/>
  <c r="E553" i="3"/>
  <c r="E545" i="3"/>
  <c r="E537" i="3"/>
  <c r="E529" i="3"/>
  <c r="E521" i="3"/>
  <c r="E513" i="3"/>
  <c r="E505" i="3"/>
  <c r="E497" i="3"/>
  <c r="E489" i="3"/>
  <c r="E481" i="3"/>
  <c r="E473" i="3"/>
  <c r="E465" i="3"/>
  <c r="E457" i="3"/>
  <c r="E449" i="3"/>
  <c r="E441" i="3"/>
  <c r="E433" i="3"/>
  <c r="E425" i="3"/>
  <c r="E417" i="3"/>
  <c r="E409" i="3"/>
  <c r="E401" i="3"/>
  <c r="E393" i="3"/>
  <c r="E385" i="3"/>
  <c r="E377" i="3"/>
  <c r="E369" i="3"/>
  <c r="E361" i="3"/>
  <c r="E353" i="3"/>
  <c r="E345" i="3"/>
  <c r="E337" i="3"/>
  <c r="E329" i="3"/>
  <c r="E321" i="3"/>
  <c r="E313" i="3"/>
  <c r="E305" i="3"/>
  <c r="E297" i="3"/>
  <c r="E289" i="3"/>
  <c r="E281" i="3"/>
  <c r="E273" i="3"/>
  <c r="E265" i="3"/>
  <c r="E257" i="3"/>
  <c r="E249" i="3"/>
  <c r="E241" i="3"/>
  <c r="E233" i="3"/>
  <c r="E225" i="3"/>
  <c r="E217" i="3"/>
  <c r="E209" i="3"/>
  <c r="E201" i="3"/>
  <c r="E193" i="3"/>
  <c r="E185" i="3"/>
  <c r="E177" i="3"/>
  <c r="E169" i="3"/>
  <c r="E161" i="3"/>
  <c r="E153" i="3"/>
  <c r="E145" i="3"/>
  <c r="E137" i="3"/>
  <c r="E129" i="3"/>
  <c r="E121" i="3"/>
  <c r="E113" i="3"/>
  <c r="E105" i="3"/>
  <c r="E97" i="3"/>
  <c r="E89" i="3"/>
  <c r="E81" i="3"/>
  <c r="E73" i="3"/>
  <c r="E65" i="3"/>
  <c r="E57" i="3"/>
  <c r="E49" i="3"/>
  <c r="E41" i="3"/>
  <c r="E33" i="3"/>
  <c r="E25" i="3"/>
  <c r="E17" i="3"/>
  <c r="E12" i="3"/>
  <c r="I7" i="1"/>
  <c r="H7" i="1"/>
  <c r="S7" i="1" l="1"/>
  <c r="T7" i="1"/>
  <c r="R608" i="3"/>
  <c r="R210" i="3"/>
  <c r="R226" i="3"/>
  <c r="R234" i="3"/>
  <c r="R242" i="3"/>
  <c r="R250" i="3"/>
  <c r="R266" i="3"/>
  <c r="R274" i="3"/>
  <c r="R282" i="3"/>
  <c r="R290" i="3"/>
  <c r="R298" i="3"/>
  <c r="R306" i="3"/>
  <c r="R314" i="3"/>
  <c r="R330" i="3"/>
  <c r="R338" i="3"/>
  <c r="R346" i="3"/>
  <c r="R354" i="3"/>
  <c r="R362" i="3"/>
  <c r="R370" i="3"/>
  <c r="R378" i="3"/>
  <c r="R394" i="3"/>
  <c r="R402" i="3"/>
  <c r="R410" i="3"/>
  <c r="R418" i="3"/>
  <c r="R426" i="3"/>
  <c r="R434" i="3"/>
  <c r="R442" i="3"/>
  <c r="R458" i="3"/>
  <c r="R466" i="3"/>
  <c r="R474" i="3"/>
  <c r="R482" i="3"/>
  <c r="R490" i="3"/>
  <c r="R498" i="3"/>
  <c r="R506" i="3"/>
  <c r="R514" i="3"/>
  <c r="R522" i="3"/>
  <c r="R530" i="3"/>
  <c r="R538" i="3"/>
  <c r="R546" i="3"/>
  <c r="R554" i="3"/>
  <c r="R562" i="3"/>
  <c r="R570" i="3"/>
  <c r="R578" i="3"/>
  <c r="R586" i="3"/>
  <c r="R594" i="3"/>
  <c r="R602" i="3"/>
  <c r="R241" i="3"/>
  <c r="R265" i="3"/>
  <c r="R297" i="3"/>
  <c r="R329" i="3"/>
  <c r="R377" i="3"/>
  <c r="R211" i="3"/>
  <c r="R219" i="3"/>
  <c r="R227" i="3"/>
  <c r="R235" i="3"/>
  <c r="R243" i="3"/>
  <c r="R251" i="3"/>
  <c r="R259" i="3"/>
  <c r="R267" i="3"/>
  <c r="R275" i="3"/>
  <c r="R283" i="3"/>
  <c r="R291" i="3"/>
  <c r="R299" i="3"/>
  <c r="R307" i="3"/>
  <c r="R315" i="3"/>
  <c r="R323" i="3"/>
  <c r="R331" i="3"/>
  <c r="R339" i="3"/>
  <c r="R347" i="3"/>
  <c r="R355" i="3"/>
  <c r="R363" i="3"/>
  <c r="R371" i="3"/>
  <c r="R379" i="3"/>
  <c r="R387" i="3"/>
  <c r="R395" i="3"/>
  <c r="R403" i="3"/>
  <c r="R411" i="3"/>
  <c r="R419" i="3"/>
  <c r="R427" i="3"/>
  <c r="R435" i="3"/>
  <c r="R443" i="3"/>
  <c r="R451" i="3"/>
  <c r="R459" i="3"/>
  <c r="R467" i="3"/>
  <c r="R475" i="3"/>
  <c r="R483" i="3"/>
  <c r="R491" i="3"/>
  <c r="R499" i="3"/>
  <c r="R507" i="3"/>
  <c r="R515" i="3"/>
  <c r="R523" i="3"/>
  <c r="R531" i="3"/>
  <c r="R539" i="3"/>
  <c r="R547" i="3"/>
  <c r="R555" i="3"/>
  <c r="R563" i="3"/>
  <c r="R571" i="3"/>
  <c r="R579" i="3"/>
  <c r="R587" i="3"/>
  <c r="R595" i="3"/>
  <c r="R603" i="3"/>
  <c r="R552" i="3"/>
  <c r="R233" i="3"/>
  <c r="R281" i="3"/>
  <c r="R321" i="3"/>
  <c r="R369" i="3"/>
  <c r="R212" i="3"/>
  <c r="R220" i="3"/>
  <c r="R228" i="3"/>
  <c r="R236" i="3"/>
  <c r="R244" i="3"/>
  <c r="R252" i="3"/>
  <c r="R260" i="3"/>
  <c r="R268" i="3"/>
  <c r="R276" i="3"/>
  <c r="R284" i="3"/>
  <c r="R292" i="3"/>
  <c r="R300" i="3"/>
  <c r="R308" i="3"/>
  <c r="R316" i="3"/>
  <c r="R324" i="3"/>
  <c r="R332" i="3"/>
  <c r="R340" i="3"/>
  <c r="R348" i="3"/>
  <c r="R356" i="3"/>
  <c r="R364" i="3"/>
  <c r="R372" i="3"/>
  <c r="R380" i="3"/>
  <c r="R388" i="3"/>
  <c r="R396" i="3"/>
  <c r="R404" i="3"/>
  <c r="R412" i="3"/>
  <c r="R420" i="3"/>
  <c r="R428" i="3"/>
  <c r="R436" i="3"/>
  <c r="R444" i="3"/>
  <c r="R452" i="3"/>
  <c r="R460" i="3"/>
  <c r="R468" i="3"/>
  <c r="R476" i="3"/>
  <c r="R484" i="3"/>
  <c r="R492" i="3"/>
  <c r="R500" i="3"/>
  <c r="R508" i="3"/>
  <c r="R516" i="3"/>
  <c r="R524" i="3"/>
  <c r="R532" i="3"/>
  <c r="R540" i="3"/>
  <c r="R548" i="3"/>
  <c r="R556" i="3"/>
  <c r="R564" i="3"/>
  <c r="R572" i="3"/>
  <c r="R580" i="3"/>
  <c r="R588" i="3"/>
  <c r="R596" i="3"/>
  <c r="R604" i="3"/>
  <c r="R544" i="3"/>
  <c r="R249" i="3"/>
  <c r="R353" i="3"/>
  <c r="R213" i="3"/>
  <c r="R221" i="3"/>
  <c r="R229" i="3"/>
  <c r="R237" i="3"/>
  <c r="R245" i="3"/>
  <c r="R253" i="3"/>
  <c r="R261" i="3"/>
  <c r="R269" i="3"/>
  <c r="R277" i="3"/>
  <c r="R285" i="3"/>
  <c r="R293" i="3"/>
  <c r="R301" i="3"/>
  <c r="R309" i="3"/>
  <c r="R317" i="3"/>
  <c r="R325" i="3"/>
  <c r="R333" i="3"/>
  <c r="R341" i="3"/>
  <c r="R349" i="3"/>
  <c r="R357" i="3"/>
  <c r="R365" i="3"/>
  <c r="R373" i="3"/>
  <c r="R381" i="3"/>
  <c r="R389" i="3"/>
  <c r="R397" i="3"/>
  <c r="R405" i="3"/>
  <c r="R413" i="3"/>
  <c r="R421" i="3"/>
  <c r="R429" i="3"/>
  <c r="R437" i="3"/>
  <c r="R445" i="3"/>
  <c r="R453" i="3"/>
  <c r="R461" i="3"/>
  <c r="R469" i="3"/>
  <c r="R477" i="3"/>
  <c r="R485" i="3"/>
  <c r="R493" i="3"/>
  <c r="R501" i="3"/>
  <c r="R509" i="3"/>
  <c r="R517" i="3"/>
  <c r="R525" i="3"/>
  <c r="R533" i="3"/>
  <c r="R541" i="3"/>
  <c r="R549" i="3"/>
  <c r="R557" i="3"/>
  <c r="R565" i="3"/>
  <c r="R573" i="3"/>
  <c r="R581" i="3"/>
  <c r="R589" i="3"/>
  <c r="R597" i="3"/>
  <c r="R605" i="3"/>
  <c r="R600" i="3"/>
  <c r="R217" i="3"/>
  <c r="R273" i="3"/>
  <c r="R313" i="3"/>
  <c r="R361" i="3"/>
  <c r="R214" i="3"/>
  <c r="R222" i="3"/>
  <c r="R230" i="3"/>
  <c r="R238" i="3"/>
  <c r="R246" i="3"/>
  <c r="R254" i="3"/>
  <c r="R262" i="3"/>
  <c r="R270" i="3"/>
  <c r="R278" i="3"/>
  <c r="R286" i="3"/>
  <c r="R294" i="3"/>
  <c r="R302" i="3"/>
  <c r="R310" i="3"/>
  <c r="R318" i="3"/>
  <c r="R326" i="3"/>
  <c r="R334" i="3"/>
  <c r="R342" i="3"/>
  <c r="R350" i="3"/>
  <c r="R358" i="3"/>
  <c r="R366" i="3"/>
  <c r="R374" i="3"/>
  <c r="R382" i="3"/>
  <c r="R390" i="3"/>
  <c r="R398" i="3"/>
  <c r="R406" i="3"/>
  <c r="R414" i="3"/>
  <c r="R422" i="3"/>
  <c r="R430" i="3"/>
  <c r="R438" i="3"/>
  <c r="R446" i="3"/>
  <c r="R454" i="3"/>
  <c r="R462" i="3"/>
  <c r="R470" i="3"/>
  <c r="R478" i="3"/>
  <c r="R486" i="3"/>
  <c r="R494" i="3"/>
  <c r="R502" i="3"/>
  <c r="R510" i="3"/>
  <c r="R518" i="3"/>
  <c r="R526" i="3"/>
  <c r="R534" i="3"/>
  <c r="R542" i="3"/>
  <c r="R550" i="3"/>
  <c r="R558" i="3"/>
  <c r="R566" i="3"/>
  <c r="R574" i="3"/>
  <c r="R582" i="3"/>
  <c r="R590" i="3"/>
  <c r="R598" i="3"/>
  <c r="R606" i="3"/>
  <c r="R224" i="3"/>
  <c r="R360" i="3"/>
  <c r="R384" i="3"/>
  <c r="R408" i="3"/>
  <c r="R424" i="3"/>
  <c r="R440" i="3"/>
  <c r="R456" i="3"/>
  <c r="R472" i="3"/>
  <c r="R488" i="3"/>
  <c r="R504" i="3"/>
  <c r="R520" i="3"/>
  <c r="R536" i="3"/>
  <c r="R568" i="3"/>
  <c r="R584" i="3"/>
  <c r="R257" i="3"/>
  <c r="R305" i="3"/>
  <c r="R345" i="3"/>
  <c r="R393" i="3"/>
  <c r="R215" i="3"/>
  <c r="R223" i="3"/>
  <c r="R231" i="3"/>
  <c r="R239" i="3"/>
  <c r="R247" i="3"/>
  <c r="R255" i="3"/>
  <c r="R263" i="3"/>
  <c r="R271" i="3"/>
  <c r="R279" i="3"/>
  <c r="R287" i="3"/>
  <c r="R295" i="3"/>
  <c r="R303" i="3"/>
  <c r="R311" i="3"/>
  <c r="R319" i="3"/>
  <c r="R327" i="3"/>
  <c r="R335" i="3"/>
  <c r="R343" i="3"/>
  <c r="R351" i="3"/>
  <c r="R359" i="3"/>
  <c r="R367" i="3"/>
  <c r="R375" i="3"/>
  <c r="R383" i="3"/>
  <c r="R391" i="3"/>
  <c r="R399" i="3"/>
  <c r="R407" i="3"/>
  <c r="R415" i="3"/>
  <c r="R423" i="3"/>
  <c r="R431" i="3"/>
  <c r="R439" i="3"/>
  <c r="R447" i="3"/>
  <c r="R455" i="3"/>
  <c r="R463" i="3"/>
  <c r="R471" i="3"/>
  <c r="R479" i="3"/>
  <c r="R487" i="3"/>
  <c r="R495" i="3"/>
  <c r="R503" i="3"/>
  <c r="R511" i="3"/>
  <c r="R519" i="3"/>
  <c r="R527" i="3"/>
  <c r="R535" i="3"/>
  <c r="R543" i="3"/>
  <c r="R551" i="3"/>
  <c r="R559" i="3"/>
  <c r="R567" i="3"/>
  <c r="R575" i="3"/>
  <c r="R583" i="3"/>
  <c r="R591" i="3"/>
  <c r="R599" i="3"/>
  <c r="R607" i="3"/>
  <c r="R216" i="3"/>
  <c r="R232" i="3"/>
  <c r="R240" i="3"/>
  <c r="R248" i="3"/>
  <c r="R256" i="3"/>
  <c r="R264" i="3"/>
  <c r="R272" i="3"/>
  <c r="R280" i="3"/>
  <c r="R288" i="3"/>
  <c r="R296" i="3"/>
  <c r="R304" i="3"/>
  <c r="R312" i="3"/>
  <c r="R320" i="3"/>
  <c r="R328" i="3"/>
  <c r="R336" i="3"/>
  <c r="R344" i="3"/>
  <c r="R352" i="3"/>
  <c r="R368" i="3"/>
  <c r="R376" i="3"/>
  <c r="R392" i="3"/>
  <c r="R400" i="3"/>
  <c r="R416" i="3"/>
  <c r="R432" i="3"/>
  <c r="R448" i="3"/>
  <c r="R464" i="3"/>
  <c r="R480" i="3"/>
  <c r="R496" i="3"/>
  <c r="R512" i="3"/>
  <c r="R528" i="3"/>
  <c r="R560" i="3"/>
  <c r="R576" i="3"/>
  <c r="R592" i="3"/>
  <c r="R225" i="3"/>
  <c r="R289" i="3"/>
  <c r="R337" i="3"/>
  <c r="R409" i="3"/>
  <c r="R473" i="3"/>
  <c r="R537" i="3"/>
  <c r="R601" i="3"/>
  <c r="R417" i="3"/>
  <c r="R481" i="3"/>
  <c r="R545" i="3"/>
  <c r="R425" i="3"/>
  <c r="R489" i="3"/>
  <c r="R553" i="3"/>
  <c r="R433" i="3"/>
  <c r="R497" i="3"/>
  <c r="R561" i="3"/>
  <c r="R457" i="3"/>
  <c r="R465" i="3"/>
  <c r="R441" i="3"/>
  <c r="R505" i="3"/>
  <c r="R569" i="3"/>
  <c r="R449" i="3"/>
  <c r="R513" i="3"/>
  <c r="R577" i="3"/>
  <c r="R385" i="3"/>
  <c r="R521" i="3"/>
  <c r="R585" i="3"/>
  <c r="R401" i="3"/>
  <c r="R529" i="3"/>
  <c r="R593" i="3"/>
  <c r="R10" i="3"/>
  <c r="R11" i="3"/>
  <c r="R19" i="3"/>
  <c r="R27" i="3"/>
  <c r="R35" i="3"/>
  <c r="R43" i="3"/>
  <c r="R51" i="3"/>
  <c r="R59" i="3"/>
  <c r="R67" i="3"/>
  <c r="R75" i="3"/>
  <c r="R83" i="3"/>
  <c r="R91" i="3"/>
  <c r="R99" i="3"/>
  <c r="R107" i="3"/>
  <c r="R115" i="3"/>
  <c r="R123" i="3"/>
  <c r="R131" i="3"/>
  <c r="R139" i="3"/>
  <c r="R147" i="3"/>
  <c r="R155" i="3"/>
  <c r="R163" i="3"/>
  <c r="R171" i="3"/>
  <c r="R179" i="3"/>
  <c r="R187" i="3"/>
  <c r="R195" i="3"/>
  <c r="R203" i="3"/>
  <c r="R12" i="3"/>
  <c r="R20" i="3"/>
  <c r="R28" i="3"/>
  <c r="R36" i="3"/>
  <c r="R44" i="3"/>
  <c r="R52" i="3"/>
  <c r="R60" i="3"/>
  <c r="R68" i="3"/>
  <c r="R76" i="3"/>
  <c r="R84" i="3"/>
  <c r="R92" i="3"/>
  <c r="R100" i="3"/>
  <c r="R108" i="3"/>
  <c r="R116" i="3"/>
  <c r="R124" i="3"/>
  <c r="R132" i="3"/>
  <c r="R140" i="3"/>
  <c r="R148" i="3"/>
  <c r="R156" i="3"/>
  <c r="R164" i="3"/>
  <c r="R172" i="3"/>
  <c r="R180" i="3"/>
  <c r="R188" i="3"/>
  <c r="R196" i="3"/>
  <c r="R204" i="3"/>
  <c r="R13" i="3"/>
  <c r="R21" i="3"/>
  <c r="R29" i="3"/>
  <c r="R37" i="3"/>
  <c r="R45" i="3"/>
  <c r="R53" i="3"/>
  <c r="R61" i="3"/>
  <c r="R69" i="3"/>
  <c r="R77" i="3"/>
  <c r="R85" i="3"/>
  <c r="R93" i="3"/>
  <c r="R101" i="3"/>
  <c r="R109" i="3"/>
  <c r="R117" i="3"/>
  <c r="R125" i="3"/>
  <c r="R133" i="3"/>
  <c r="R141" i="3"/>
  <c r="R149" i="3"/>
  <c r="R157" i="3"/>
  <c r="R165" i="3"/>
  <c r="R173" i="3"/>
  <c r="R181" i="3"/>
  <c r="R189" i="3"/>
  <c r="R197" i="3"/>
  <c r="R205" i="3"/>
  <c r="R14" i="3"/>
  <c r="R22" i="3"/>
  <c r="R30" i="3"/>
  <c r="R38" i="3"/>
  <c r="R46" i="3"/>
  <c r="R54" i="3"/>
  <c r="R62" i="3"/>
  <c r="R70" i="3"/>
  <c r="R78" i="3"/>
  <c r="R86" i="3"/>
  <c r="R94" i="3"/>
  <c r="R102" i="3"/>
  <c r="R110" i="3"/>
  <c r="R118" i="3"/>
  <c r="R126" i="3"/>
  <c r="R134" i="3"/>
  <c r="R142" i="3"/>
  <c r="R150" i="3"/>
  <c r="R158" i="3"/>
  <c r="R166" i="3"/>
  <c r="R174" i="3"/>
  <c r="R182" i="3"/>
  <c r="R190" i="3"/>
  <c r="R198" i="3"/>
  <c r="R206" i="3"/>
  <c r="R16" i="3"/>
  <c r="R112" i="3"/>
  <c r="R152" i="3"/>
  <c r="R176" i="3"/>
  <c r="R208" i="3"/>
  <c r="R15" i="3"/>
  <c r="R23" i="3"/>
  <c r="R31" i="3"/>
  <c r="R39" i="3"/>
  <c r="R47" i="3"/>
  <c r="R55" i="3"/>
  <c r="R63" i="3"/>
  <c r="R71" i="3"/>
  <c r="R79" i="3"/>
  <c r="R87" i="3"/>
  <c r="R95" i="3"/>
  <c r="R103" i="3"/>
  <c r="R111" i="3"/>
  <c r="R119" i="3"/>
  <c r="R127" i="3"/>
  <c r="R135" i="3"/>
  <c r="R143" i="3"/>
  <c r="R151" i="3"/>
  <c r="R159" i="3"/>
  <c r="R167" i="3"/>
  <c r="R175" i="3"/>
  <c r="R183" i="3"/>
  <c r="R191" i="3"/>
  <c r="R199" i="3"/>
  <c r="R207" i="3"/>
  <c r="R24" i="3"/>
  <c r="R120" i="3"/>
  <c r="R144" i="3"/>
  <c r="R168" i="3"/>
  <c r="R184" i="3"/>
  <c r="R200" i="3"/>
  <c r="R32" i="3"/>
  <c r="R40" i="3"/>
  <c r="R48" i="3"/>
  <c r="R56" i="3"/>
  <c r="R64" i="3"/>
  <c r="R72" i="3"/>
  <c r="R80" i="3"/>
  <c r="R88" i="3"/>
  <c r="R96" i="3"/>
  <c r="R104" i="3"/>
  <c r="R128" i="3"/>
  <c r="R136" i="3"/>
  <c r="R160" i="3"/>
  <c r="R192" i="3"/>
  <c r="R17" i="3"/>
  <c r="R25" i="3"/>
  <c r="R33" i="3"/>
  <c r="R41" i="3"/>
  <c r="R49" i="3"/>
  <c r="R57" i="3"/>
  <c r="R65" i="3"/>
  <c r="R73" i="3"/>
  <c r="R81" i="3"/>
  <c r="R89" i="3"/>
  <c r="R97" i="3"/>
  <c r="R105" i="3"/>
  <c r="R113" i="3"/>
  <c r="R121" i="3"/>
  <c r="R129" i="3"/>
  <c r="R137" i="3"/>
  <c r="R145" i="3"/>
  <c r="R153" i="3"/>
  <c r="R161" i="3"/>
  <c r="R169" i="3"/>
  <c r="R177" i="3"/>
  <c r="R185" i="3"/>
  <c r="R193" i="3"/>
  <c r="R201" i="3"/>
  <c r="R209" i="3"/>
  <c r="R18" i="3"/>
  <c r="R26" i="3"/>
  <c r="R34" i="3"/>
  <c r="R42" i="3"/>
  <c r="R50" i="3"/>
  <c r="R58" i="3"/>
  <c r="R66" i="3"/>
  <c r="R74" i="3"/>
  <c r="R82" i="3"/>
  <c r="R90" i="3"/>
  <c r="R98" i="3"/>
  <c r="R106" i="3"/>
  <c r="R114" i="3"/>
  <c r="R122" i="3"/>
  <c r="R130" i="3"/>
  <c r="R138" i="3"/>
  <c r="R146" i="3"/>
  <c r="R154" i="3"/>
  <c r="R162" i="3"/>
  <c r="R170" i="3"/>
  <c r="R178" i="3"/>
  <c r="R186" i="3"/>
  <c r="R194" i="3"/>
  <c r="R202" i="3"/>
  <c r="F10" i="3"/>
  <c r="I10" i="3"/>
  <c r="H10" i="3"/>
  <c r="F7" i="1"/>
  <c r="R218" i="3" l="1"/>
  <c r="S219" i="3" s="1"/>
  <c r="T219" i="3" s="1"/>
  <c r="R450" i="3"/>
  <c r="S459" i="3" s="1"/>
  <c r="T459" i="3" s="1"/>
  <c r="R386" i="3"/>
  <c r="S389" i="3" s="1"/>
  <c r="T389" i="3" s="1"/>
  <c r="R322" i="3"/>
  <c r="S329" i="3" s="1"/>
  <c r="T329" i="3" s="1"/>
  <c r="R258" i="3"/>
  <c r="S259" i="3" s="1"/>
  <c r="T259" i="3" s="1"/>
  <c r="S249" i="3"/>
  <c r="T249" i="3" s="1"/>
  <c r="S59" i="3"/>
  <c r="T59" i="3" s="1"/>
  <c r="S129" i="3"/>
  <c r="T129" i="3" s="1"/>
  <c r="S479" i="3"/>
  <c r="T479" i="3" s="1"/>
  <c r="S199" i="3"/>
  <c r="T199" i="3" s="1"/>
  <c r="S399" i="3"/>
  <c r="T399" i="3" s="1"/>
  <c r="S99" i="3"/>
  <c r="T99" i="3" s="1"/>
  <c r="S549" i="3"/>
  <c r="T549" i="3" s="1"/>
  <c r="S339" i="3"/>
  <c r="T339" i="3" s="1"/>
  <c r="S209" i="3"/>
  <c r="T209" i="3" s="1"/>
  <c r="S119" i="3"/>
  <c r="T119" i="3" s="1"/>
  <c r="S69" i="3"/>
  <c r="T69" i="3" s="1"/>
  <c r="S19" i="3"/>
  <c r="T19" i="3" s="1"/>
  <c r="S608" i="3"/>
  <c r="T608" i="3" s="1"/>
  <c r="S529" i="3"/>
  <c r="T529" i="3" s="1"/>
  <c r="S319" i="3"/>
  <c r="T319" i="3" s="1"/>
  <c r="S349" i="3"/>
  <c r="T349" i="3" s="1"/>
  <c r="S149" i="3"/>
  <c r="T149" i="3" s="1"/>
  <c r="S519" i="3"/>
  <c r="T519" i="3" s="1"/>
  <c r="S189" i="3"/>
  <c r="T189" i="3" s="1"/>
  <c r="S569" i="3"/>
  <c r="T569" i="3" s="1"/>
  <c r="S369" i="3"/>
  <c r="T369" i="3" s="1"/>
  <c r="S439" i="3"/>
  <c r="T439" i="3" s="1"/>
  <c r="S469" i="3"/>
  <c r="T469" i="3" s="1"/>
  <c r="S579" i="3"/>
  <c r="T579" i="3" s="1"/>
  <c r="S139" i="3"/>
  <c r="T139" i="3" s="1"/>
  <c r="S39" i="3"/>
  <c r="T39" i="3" s="1"/>
  <c r="S409" i="3"/>
  <c r="T409" i="3" s="1"/>
  <c r="S559" i="3"/>
  <c r="T559" i="3" s="1"/>
  <c r="S239" i="3"/>
  <c r="T239" i="3" s="1"/>
  <c r="S589" i="3"/>
  <c r="T589" i="3" s="1"/>
  <c r="S269" i="3"/>
  <c r="T269" i="3" s="1"/>
  <c r="S379" i="3"/>
  <c r="T379" i="3" s="1"/>
  <c r="S49" i="3"/>
  <c r="T49" i="3" s="1"/>
  <c r="S429" i="3"/>
  <c r="T429" i="3" s="1"/>
  <c r="S289" i="3"/>
  <c r="T289" i="3" s="1"/>
  <c r="S229" i="3"/>
  <c r="T229" i="3" s="1"/>
  <c r="S89" i="3"/>
  <c r="T89" i="3" s="1"/>
  <c r="S169" i="3"/>
  <c r="T169" i="3" s="1"/>
  <c r="S159" i="3"/>
  <c r="T159" i="3" s="1"/>
  <c r="S109" i="3"/>
  <c r="T109" i="3" s="1"/>
  <c r="S359" i="3"/>
  <c r="T359" i="3" s="1"/>
  <c r="S499" i="3"/>
  <c r="T499" i="3" s="1"/>
  <c r="S509" i="3"/>
  <c r="T509" i="3" s="1"/>
  <c r="S299" i="3"/>
  <c r="T299" i="3" s="1"/>
  <c r="S179" i="3"/>
  <c r="T179" i="3" s="1"/>
  <c r="S79" i="3"/>
  <c r="T79" i="3" s="1"/>
  <c r="S29" i="3"/>
  <c r="T29" i="3" s="1"/>
  <c r="S489" i="3"/>
  <c r="T489" i="3" s="1"/>
  <c r="S449" i="3"/>
  <c r="T449" i="3" s="1"/>
  <c r="S599" i="3"/>
  <c r="T599" i="3" s="1"/>
  <c r="S279" i="3"/>
  <c r="T279" i="3" s="1"/>
  <c r="S309" i="3"/>
  <c r="T309" i="3" s="1"/>
  <c r="S419" i="3"/>
  <c r="T419" i="3" s="1"/>
  <c r="S539" i="3"/>
  <c r="T539" i="3" s="1"/>
  <c r="G7" i="1"/>
  <c r="D1413" i="1"/>
  <c r="D2785" i="1"/>
  <c r="D497" i="1"/>
  <c r="D2590" i="1"/>
  <c r="D647" i="1"/>
  <c r="D351" i="1"/>
  <c r="D1204" i="1"/>
  <c r="D488" i="1"/>
  <c r="D1846" i="1"/>
  <c r="D451" i="1"/>
  <c r="D1949" i="1"/>
  <c r="D2378" i="1"/>
  <c r="D706" i="1"/>
  <c r="D433" i="1"/>
  <c r="D667" i="1"/>
  <c r="D66" i="1"/>
  <c r="D2760" i="1"/>
  <c r="D2260" i="1"/>
  <c r="D2609" i="1"/>
  <c r="D2730" i="1"/>
  <c r="D593" i="1"/>
  <c r="D1889" i="1"/>
  <c r="D2371" i="1"/>
  <c r="D359" i="1"/>
  <c r="D2480" i="1"/>
  <c r="D866" i="1"/>
  <c r="D2492" i="1"/>
  <c r="D722" i="1"/>
  <c r="D2738" i="1"/>
  <c r="D2162" i="1"/>
  <c r="D878" i="1"/>
  <c r="D1640" i="1"/>
  <c r="D998" i="1"/>
  <c r="D2206" i="1"/>
  <c r="D964" i="1"/>
  <c r="D1583" i="1"/>
  <c r="D533" i="1"/>
  <c r="D180" i="1"/>
  <c r="D390" i="1"/>
  <c r="D318" i="1"/>
  <c r="D41" i="1"/>
  <c r="D386" i="1"/>
  <c r="D2179" i="1"/>
  <c r="D504" i="1"/>
  <c r="D1340" i="1"/>
  <c r="D834" i="1"/>
  <c r="D1607" i="1"/>
  <c r="D2518" i="1"/>
  <c r="D2252" i="1"/>
  <c r="D2216" i="1"/>
  <c r="D183" i="1"/>
  <c r="D2129" i="1"/>
  <c r="D2534" i="1"/>
  <c r="D383" i="1"/>
  <c r="D2419" i="1"/>
  <c r="D1957" i="1"/>
  <c r="D16" i="1"/>
  <c r="D2085" i="1"/>
  <c r="D1824" i="1"/>
  <c r="D353" i="1"/>
  <c r="D2010" i="1"/>
  <c r="D2629" i="1"/>
  <c r="D45" i="1"/>
  <c r="D155" i="1"/>
  <c r="D2028" i="1"/>
  <c r="D2140" i="1"/>
  <c r="D447" i="1"/>
  <c r="D825" i="1"/>
  <c r="D785" i="1"/>
  <c r="D1526" i="1"/>
  <c r="D2359" i="1"/>
  <c r="D613" i="1"/>
  <c r="D122" i="1"/>
  <c r="D675" i="1"/>
  <c r="D1030" i="1"/>
  <c r="D1530" i="1"/>
  <c r="D1144" i="1"/>
  <c r="D2214" i="1"/>
  <c r="D2688" i="1"/>
  <c r="D1576" i="1"/>
  <c r="D2400" i="1"/>
  <c r="D1248" i="1"/>
  <c r="D2024" i="1"/>
  <c r="D337" i="1"/>
  <c r="D1254" i="1"/>
  <c r="D818" i="1"/>
  <c r="D2683" i="1"/>
  <c r="D1436" i="1"/>
  <c r="D1472" i="1"/>
  <c r="D2044" i="1"/>
  <c r="D301" i="1"/>
  <c r="D486" i="1"/>
  <c r="D2666" i="1"/>
  <c r="D1360" i="1"/>
  <c r="D416" i="1"/>
  <c r="D1748" i="1"/>
  <c r="D2592" i="1"/>
  <c r="D1981" i="1"/>
  <c r="D1649" i="1"/>
  <c r="D2298" i="1"/>
  <c r="D527" i="1"/>
  <c r="D1035" i="1"/>
  <c r="D694" i="1"/>
  <c r="D2098" i="1"/>
  <c r="D2278" i="1"/>
  <c r="D1702" i="1"/>
  <c r="D2669" i="1"/>
  <c r="D1313" i="1"/>
  <c r="D1319" i="1"/>
  <c r="D1866" i="1"/>
  <c r="D995" i="1"/>
  <c r="D2247" i="1"/>
  <c r="D1246" i="1"/>
  <c r="D1513" i="1"/>
  <c r="D391" i="1"/>
  <c r="D493" i="1"/>
  <c r="D2380" i="1"/>
  <c r="D2235" i="1"/>
  <c r="D393" i="1"/>
  <c r="D2461" i="1"/>
  <c r="D142" i="1"/>
  <c r="D669" i="1"/>
  <c r="D1915" i="1"/>
  <c r="D399" i="1"/>
  <c r="D2128" i="1"/>
  <c r="D1055" i="1"/>
  <c r="D2050" i="1"/>
  <c r="D185" i="1"/>
  <c r="D2604" i="1"/>
  <c r="D1863" i="1"/>
  <c r="D1851" i="1"/>
  <c r="D1320" i="1"/>
  <c r="D224" i="1"/>
  <c r="D1118" i="1"/>
  <c r="D1869" i="1"/>
  <c r="D1670" i="1"/>
  <c r="D1122" i="1"/>
  <c r="D971" i="1"/>
  <c r="D2112" i="1"/>
  <c r="D513" i="1"/>
  <c r="D794" i="1"/>
  <c r="D1765" i="1"/>
  <c r="D903" i="1"/>
  <c r="D410" i="1"/>
  <c r="D839" i="1"/>
  <c r="D302" i="1"/>
  <c r="D2521" i="1"/>
  <c r="D1578" i="1"/>
  <c r="D1527" i="1"/>
  <c r="D929" i="1"/>
  <c r="D1610" i="1"/>
  <c r="D1662" i="1"/>
  <c r="D2084" i="1"/>
  <c r="D2583" i="1"/>
  <c r="D1206" i="1"/>
  <c r="D1270" i="1"/>
  <c r="D121" i="1"/>
  <c r="D2139" i="1"/>
  <c r="D2151" i="1"/>
  <c r="D2068" i="1"/>
  <c r="D1290" i="1"/>
  <c r="D2108" i="1"/>
  <c r="D1892" i="1"/>
  <c r="D181" i="1"/>
  <c r="D803" i="1"/>
  <c r="D1876" i="1"/>
  <c r="D2395" i="1"/>
  <c r="D526" i="1"/>
  <c r="D1216" i="1"/>
  <c r="D1998" i="1"/>
  <c r="D1037" i="1"/>
  <c r="D811" i="1"/>
  <c r="D2494" i="1"/>
  <c r="D737" i="1"/>
  <c r="D2230" i="1"/>
  <c r="D2076" i="1"/>
  <c r="D1721" i="1"/>
  <c r="D12" i="1"/>
  <c r="D1046" i="1"/>
  <c r="D2089" i="1"/>
  <c r="D2073" i="1"/>
  <c r="D1811" i="1"/>
  <c r="D1333" i="1"/>
  <c r="D853" i="1"/>
  <c r="D427" i="1"/>
  <c r="D1314" i="1"/>
  <c r="D1383" i="1"/>
  <c r="D2208" i="1"/>
  <c r="D624" i="1"/>
  <c r="D2137" i="1"/>
  <c r="D600" i="1"/>
  <c r="D1498" i="1"/>
  <c r="D1147" i="1"/>
  <c r="D2037" i="1"/>
  <c r="D467" i="1"/>
  <c r="D592" i="1"/>
  <c r="D2638" i="1"/>
  <c r="D446" i="1"/>
  <c r="D2726" i="1"/>
  <c r="D1359" i="1"/>
  <c r="D876" i="1"/>
  <c r="D2487" i="1"/>
  <c r="D1646" i="1"/>
  <c r="D1225" i="1"/>
  <c r="D986" i="1"/>
  <c r="D829" i="1"/>
  <c r="D1067" i="1"/>
  <c r="D1753" i="1"/>
  <c r="D772" i="1"/>
  <c r="D1189" i="1"/>
  <c r="D189" i="1"/>
  <c r="D2029" i="1"/>
  <c r="D171" i="1"/>
  <c r="D2023" i="1"/>
  <c r="D2249" i="1"/>
  <c r="D639" i="1"/>
  <c r="D276" i="1"/>
  <c r="D108" i="1"/>
  <c r="D1932" i="1"/>
  <c r="D2451" i="1"/>
  <c r="D2658" i="1"/>
  <c r="D1154" i="1"/>
  <c r="D2462" i="1"/>
  <c r="D2397" i="1"/>
  <c r="D2195" i="1"/>
  <c r="D2743" i="1"/>
  <c r="D2739" i="1"/>
  <c r="D2114" i="1"/>
  <c r="D2715" i="1"/>
  <c r="D1382" i="1"/>
  <c r="D1757" i="1"/>
  <c r="D2042" i="1"/>
  <c r="D1980" i="1"/>
  <c r="D1989" i="1"/>
  <c r="D1059" i="1"/>
  <c r="D2418" i="1"/>
  <c r="D2678" i="1"/>
  <c r="D935" i="1"/>
  <c r="D498" i="1"/>
  <c r="D2340" i="1"/>
  <c r="D311" i="1"/>
  <c r="D438" i="1"/>
  <c r="D2113" i="1"/>
  <c r="D2525" i="1"/>
  <c r="D826" i="1"/>
  <c r="D273" i="1"/>
  <c r="D2110" i="1"/>
  <c r="D1552" i="1"/>
  <c r="D22" i="1"/>
  <c r="D2348" i="1"/>
  <c r="D2069" i="1"/>
  <c r="D235" i="1"/>
  <c r="D950" i="1"/>
  <c r="D2770" i="1"/>
  <c r="D962" i="1"/>
  <c r="D1257" i="1"/>
  <c r="D1264" i="1"/>
  <c r="D814" i="1"/>
  <c r="D1040" i="1"/>
  <c r="D358" i="1"/>
  <c r="D697" i="1"/>
  <c r="D173" i="1"/>
  <c r="D435" i="1"/>
  <c r="D1838" i="1"/>
  <c r="D2468" i="1"/>
  <c r="D917" i="1"/>
  <c r="D1762" i="1"/>
  <c r="D1120" i="1"/>
  <c r="D1575" i="1"/>
  <c r="D2040" i="1"/>
  <c r="D1990" i="1"/>
  <c r="D1653" i="1"/>
  <c r="D2526" i="1"/>
  <c r="D690" i="1"/>
  <c r="D2438" i="1"/>
  <c r="D100" i="1"/>
  <c r="D210" i="1"/>
  <c r="D1457" i="1"/>
  <c r="D452" i="1"/>
  <c r="D2080" i="1"/>
  <c r="D543" i="1"/>
  <c r="D1641" i="1"/>
  <c r="D1450" i="1"/>
  <c r="D203" i="1"/>
  <c r="D573" i="1"/>
  <c r="D1492" i="1"/>
  <c r="D956" i="1"/>
  <c r="D1826" i="1"/>
  <c r="D875" i="1"/>
  <c r="D2039" i="1"/>
  <c r="D2648" i="1"/>
  <c r="D961" i="1"/>
  <c r="D536" i="1"/>
  <c r="D877" i="1"/>
  <c r="D2661" i="1"/>
  <c r="D1188" i="1"/>
  <c r="D1440" i="1"/>
  <c r="D937" i="1"/>
  <c r="D2120" i="1"/>
  <c r="D2246" i="1"/>
  <c r="D29" i="1"/>
  <c r="D2372" i="1"/>
  <c r="D1730" i="1"/>
  <c r="D411" i="1"/>
  <c r="D2143" i="1"/>
  <c r="D2701" i="1"/>
  <c r="D2007" i="1"/>
  <c r="D1494" i="1"/>
  <c r="D83" i="1"/>
  <c r="D2038" i="1"/>
  <c r="D1936" i="1"/>
  <c r="D127" i="1"/>
  <c r="D280" i="1"/>
  <c r="D2654" i="1"/>
  <c r="D1129" i="1"/>
  <c r="D1010" i="1"/>
  <c r="D36" i="1"/>
  <c r="D1819" i="1"/>
  <c r="D736" i="1"/>
  <c r="D1447" i="1"/>
  <c r="D2631" i="1"/>
  <c r="D450" i="1"/>
  <c r="D1715" i="1"/>
  <c r="D213" i="1"/>
  <c r="D2306" i="1"/>
  <c r="D1076" i="1"/>
  <c r="D2781" i="1"/>
  <c r="D2515" i="1"/>
  <c r="D1797" i="1"/>
  <c r="D2497" i="1"/>
  <c r="D758" i="1"/>
  <c r="D88" i="1"/>
  <c r="D2674" i="1"/>
  <c r="D432" i="1"/>
  <c r="D2577" i="1"/>
  <c r="D159" i="1"/>
  <c r="D2071" i="1"/>
  <c r="D717" i="1"/>
  <c r="D1573" i="1"/>
  <c r="D1628" i="1"/>
  <c r="D2624" i="1"/>
  <c r="D1395" i="1"/>
  <c r="D1534" i="1"/>
  <c r="D766" i="1"/>
  <c r="D960" i="1"/>
  <c r="D1286" i="1"/>
  <c r="D1985" i="1"/>
  <c r="D2012" i="1"/>
  <c r="D245" i="1"/>
  <c r="D598" i="1"/>
  <c r="D1351" i="1"/>
  <c r="D1716" i="1"/>
  <c r="D2579" i="1"/>
  <c r="D756" i="1"/>
  <c r="D1153" i="1"/>
  <c r="D2122" i="1"/>
  <c r="D1875" i="1"/>
  <c r="D97" i="1"/>
  <c r="D2283" i="1"/>
  <c r="D615" i="1"/>
  <c r="D28" i="1"/>
  <c r="D1214" i="1"/>
  <c r="D789" i="1"/>
  <c r="D2662" i="1"/>
  <c r="D165" i="1"/>
  <c r="D1773" i="1"/>
  <c r="D2768" i="1"/>
  <c r="D1446" i="1"/>
  <c r="D151" i="1"/>
  <c r="D1493" i="1"/>
  <c r="D827" i="1"/>
  <c r="D1249" i="1"/>
  <c r="D144" i="1"/>
  <c r="D1094" i="1"/>
  <c r="D2746" i="1"/>
  <c r="D1133" i="1"/>
  <c r="D153" i="1"/>
  <c r="D656" i="1"/>
  <c r="D112" i="1"/>
  <c r="D2207" i="1"/>
  <c r="D2005" i="1"/>
  <c r="D880" i="1"/>
  <c r="D2269" i="1"/>
  <c r="D963" i="1"/>
  <c r="D2124" i="1"/>
  <c r="D2651" i="1"/>
  <c r="D1311" i="1"/>
  <c r="D1222" i="1"/>
  <c r="D1806" i="1"/>
  <c r="D2135" i="1"/>
  <c r="D590" i="1"/>
  <c r="D1350" i="1"/>
  <c r="D47" i="1"/>
  <c r="D2209" i="1"/>
  <c r="D924" i="1"/>
  <c r="D2779" i="1"/>
  <c r="D1907" i="1"/>
  <c r="D2181" i="1"/>
  <c r="D2575" i="1"/>
  <c r="D347" i="1"/>
  <c r="D1801" i="1"/>
  <c r="D1681" i="1"/>
  <c r="D990" i="1"/>
  <c r="D1705" i="1"/>
  <c r="D2430" i="1"/>
  <c r="D2153" i="1"/>
  <c r="D462" i="1"/>
  <c r="D730" i="1"/>
  <c r="D1285" i="1"/>
  <c r="D415" i="1"/>
  <c r="D322" i="1"/>
  <c r="D1464" i="1"/>
  <c r="D572" i="1"/>
  <c r="D1428" i="1"/>
  <c r="D2193" i="1"/>
  <c r="D228" i="1"/>
  <c r="D2256" i="1"/>
  <c r="D1400" i="1"/>
  <c r="D1412" i="1"/>
  <c r="D1190" i="1"/>
  <c r="D2443" i="1"/>
  <c r="D135" i="1"/>
  <c r="D1497" i="1"/>
  <c r="D707" i="1"/>
  <c r="D211" i="1"/>
  <c r="D1800" i="1"/>
  <c r="D1871" i="1"/>
  <c r="D2457" i="1"/>
  <c r="D1376" i="1"/>
  <c r="D835" i="1"/>
  <c r="D1555" i="1"/>
  <c r="D1011" i="1"/>
  <c r="D2254" i="1"/>
  <c r="D1091" i="1"/>
  <c r="D1488" i="1"/>
  <c r="D1210" i="1"/>
  <c r="D374" i="1"/>
  <c r="D1066" i="1"/>
  <c r="D942" i="1"/>
  <c r="D548" i="1"/>
  <c r="D340" i="1"/>
  <c r="D804" i="1"/>
  <c r="D2403" i="1"/>
  <c r="D1365" i="1"/>
  <c r="D1532" i="1"/>
  <c r="D2105" i="1"/>
  <c r="D2472" i="1"/>
  <c r="D237" i="1"/>
  <c r="D1746" i="1"/>
  <c r="D1952" i="1"/>
  <c r="D608" i="1"/>
  <c r="D440" i="1"/>
  <c r="D1983" i="1"/>
  <c r="D1556" i="1"/>
  <c r="D1238" i="1"/>
  <c r="D1820" i="1"/>
  <c r="D1849" i="1"/>
  <c r="D1148" i="1"/>
  <c r="D1478" i="1"/>
  <c r="D2033" i="1"/>
  <c r="D1977" i="1"/>
  <c r="D2588" i="1"/>
  <c r="D9" i="1"/>
  <c r="D606" i="1"/>
  <c r="D13" i="1"/>
  <c r="D2152" i="1"/>
  <c r="D927" i="1"/>
  <c r="D20" i="1"/>
  <c r="D2376" i="1"/>
  <c r="D1760" i="1"/>
  <c r="D1045" i="1"/>
  <c r="D1191" i="1"/>
  <c r="D1388" i="1"/>
  <c r="D73" i="1"/>
  <c r="D130" i="1"/>
  <c r="D1305" i="1"/>
  <c r="D1946" i="1"/>
  <c r="D1256" i="1"/>
  <c r="D1794" i="1"/>
  <c r="D2253" i="1"/>
  <c r="D1013" i="1"/>
  <c r="D795" i="1"/>
  <c r="D2641" i="1"/>
  <c r="D313" i="1"/>
  <c r="D103" i="1"/>
  <c r="D1626" i="1"/>
  <c r="D2477" i="1"/>
  <c r="D1405" i="1"/>
  <c r="D1086" i="1"/>
  <c r="D187" i="1"/>
  <c r="D2274" i="1"/>
  <c r="D1659" i="1"/>
  <c r="D1166" i="1"/>
  <c r="D529" i="1"/>
  <c r="D482" i="1"/>
  <c r="D946" i="1"/>
  <c r="D1198" i="1"/>
  <c r="D1490" i="1"/>
  <c r="D1615" i="1"/>
  <c r="D1178" i="1"/>
  <c r="D84" i="1"/>
  <c r="D1384" i="1"/>
  <c r="D1557" i="1"/>
  <c r="D1667" i="1"/>
  <c r="D920" i="1"/>
  <c r="D2463" i="1"/>
  <c r="D1377" i="1"/>
  <c r="D1943" i="1"/>
  <c r="D1291" i="1"/>
  <c r="D739" i="1"/>
  <c r="D1019" i="1"/>
  <c r="D1467" i="1"/>
  <c r="D933" i="1"/>
  <c r="D86" i="1"/>
  <c r="D1077" i="1"/>
  <c r="D208" i="1"/>
  <c r="D1135" i="1"/>
  <c r="D348" i="1"/>
  <c r="D2127" i="1"/>
  <c r="D2598" i="1"/>
  <c r="D2111" i="1"/>
  <c r="D2186" i="1"/>
  <c r="D1267" i="1"/>
  <c r="D2345" i="1"/>
  <c r="D471" i="1"/>
  <c r="D1543" i="1"/>
  <c r="D2647" i="1"/>
  <c r="D1665" i="1"/>
  <c r="D2147" i="1"/>
  <c r="D1738" i="1"/>
  <c r="D1128" i="1"/>
  <c r="D2199" i="1"/>
  <c r="D540" i="1"/>
  <c r="D554" i="1"/>
  <c r="D2503" i="1"/>
  <c r="D2428" i="1"/>
  <c r="D1033" i="1"/>
  <c r="D1577" i="1"/>
  <c r="D704" i="1"/>
  <c r="D285" i="1"/>
  <c r="D2336" i="1"/>
  <c r="D702" i="1"/>
  <c r="D143" i="1"/>
  <c r="D1837" i="1"/>
  <c r="D128" i="1"/>
  <c r="D196" i="1"/>
  <c r="D191" i="1"/>
  <c r="D1401" i="1"/>
  <c r="D580" i="1"/>
  <c r="D510" i="1"/>
  <c r="D1504" i="1"/>
  <c r="D899" i="1"/>
  <c r="D1856" i="1"/>
  <c r="D1802" i="1"/>
  <c r="D388" i="1"/>
  <c r="D1541" i="1"/>
  <c r="D141" i="1"/>
  <c r="D1451" i="1"/>
  <c r="D1909" i="1"/>
  <c r="D397" i="1"/>
  <c r="D778" i="1"/>
  <c r="D2177" i="1"/>
  <c r="D2445" i="1"/>
  <c r="D2431" i="1"/>
  <c r="D441" i="1"/>
  <c r="D2594" i="1"/>
  <c r="D2762" i="1"/>
  <c r="D1192" i="1"/>
  <c r="D718" i="1"/>
  <c r="D1761" i="1"/>
  <c r="D1005" i="1"/>
  <c r="D1874" i="1"/>
  <c r="D89" i="1"/>
  <c r="D2636" i="1"/>
  <c r="D2109" i="1"/>
  <c r="D870" i="1"/>
  <c r="D1278" i="1"/>
  <c r="D225" i="1"/>
  <c r="D2546" i="1"/>
  <c r="D808" i="1"/>
  <c r="D1701" i="1"/>
  <c r="D2537" i="1"/>
  <c r="D640" i="1"/>
  <c r="D2523" i="1"/>
  <c r="D930" i="1"/>
  <c r="D569" i="1"/>
  <c r="D1963" i="1"/>
  <c r="D2670" i="1"/>
  <c r="D1169" i="1"/>
  <c r="D1809" i="1"/>
  <c r="D1991" i="1"/>
  <c r="D1364" i="1"/>
  <c r="D2025" i="1"/>
  <c r="D2505" i="1"/>
  <c r="D1960" i="1"/>
  <c r="D1896" i="1"/>
  <c r="D2548" i="1"/>
  <c r="D2205" i="1"/>
  <c r="D2685" i="1"/>
  <c r="D1629" i="1"/>
  <c r="D630" i="1"/>
  <c r="D708" i="1"/>
  <c r="D1685" i="1"/>
  <c r="D802" i="1"/>
  <c r="D418" i="1"/>
  <c r="D216" i="1"/>
  <c r="D233" i="1"/>
  <c r="D405" i="1"/>
  <c r="D882" i="1"/>
  <c r="D2290" i="1"/>
  <c r="D263" i="1"/>
  <c r="D2363" i="1"/>
  <c r="D531" i="1"/>
  <c r="D1561" i="1"/>
  <c r="D168" i="1"/>
  <c r="D2516" i="1"/>
  <c r="D2733" i="1"/>
  <c r="D2773" i="1"/>
  <c r="D1790" i="1"/>
  <c r="D1053" i="1"/>
  <c r="D2060" i="1"/>
  <c r="D1487" i="1"/>
  <c r="D1774" i="1"/>
  <c r="D2299" i="1"/>
  <c r="D1986" i="1"/>
  <c r="D2758" i="1"/>
  <c r="D1312" i="1"/>
  <c r="D698" i="1"/>
  <c r="D1307" i="1"/>
  <c r="D254" i="1"/>
  <c r="D1073" i="1"/>
  <c r="D958" i="1"/>
  <c r="D2266" i="1"/>
  <c r="D305" i="1"/>
  <c r="D1262" i="1"/>
  <c r="D118" i="1"/>
  <c r="D499" i="1"/>
  <c r="D308" i="1"/>
  <c r="D2640" i="1"/>
  <c r="D1093" i="1"/>
  <c r="D1516" i="1"/>
  <c r="D2155" i="1"/>
  <c r="D34" i="1"/>
  <c r="D1969" i="1"/>
  <c r="D2665" i="1"/>
  <c r="D2164" i="1"/>
  <c r="D2524" i="1"/>
  <c r="D1808" i="1"/>
  <c r="D1111" i="1"/>
  <c r="D2552" i="1"/>
  <c r="D2434" i="1"/>
  <c r="D169" i="1"/>
  <c r="D936" i="1"/>
  <c r="D1964" i="1"/>
  <c r="D2626" i="1"/>
  <c r="D230" i="1"/>
  <c r="D2161" i="1"/>
  <c r="D2422" i="1"/>
  <c r="D2106" i="1"/>
  <c r="D1456" i="1"/>
  <c r="D2711" i="1"/>
  <c r="D1550" i="1"/>
  <c r="D1043" i="1"/>
  <c r="D753" i="1"/>
  <c r="D894" i="1"/>
  <c r="D1710" i="1"/>
  <c r="D2542" i="1"/>
  <c r="D558" i="1"/>
  <c r="D1367" i="1"/>
  <c r="D398" i="1"/>
  <c r="D1918" i="1"/>
  <c r="D177" i="1"/>
  <c r="D2027" i="1"/>
  <c r="D1272" i="1"/>
  <c r="D1379" i="1"/>
  <c r="D807" i="1"/>
  <c r="D363" i="1"/>
  <c r="D2013" i="1"/>
  <c r="D1970" i="1"/>
  <c r="D2307" i="1"/>
  <c r="D595" i="1"/>
  <c r="D117" i="1"/>
  <c r="D2741" i="1"/>
  <c r="D672" i="1"/>
  <c r="D487" i="1"/>
  <c r="D1303" i="1"/>
  <c r="D1647" i="1"/>
  <c r="D1372" i="1"/>
  <c r="D2245" i="1"/>
  <c r="D2123" i="1"/>
  <c r="D586" i="1"/>
  <c r="D776" i="1"/>
  <c r="D2490" i="1"/>
  <c r="D1370" i="1"/>
  <c r="D2104" i="1"/>
  <c r="D250" i="1"/>
  <c r="D2282" i="1"/>
  <c r="D969" i="1"/>
  <c r="D966" i="1"/>
  <c r="D914" i="1"/>
  <c r="D1675" i="1"/>
  <c r="D2373" i="1"/>
  <c r="D1306" i="1"/>
  <c r="D2156" i="1"/>
  <c r="D357" i="1"/>
  <c r="D673" i="1"/>
  <c r="D2555" i="1"/>
  <c r="D1430" i="1"/>
  <c r="D881" i="1"/>
  <c r="D1443" i="1"/>
  <c r="D1409" i="1"/>
  <c r="D821" i="1"/>
  <c r="D495" i="1"/>
  <c r="D2049" i="1"/>
  <c r="D1357" i="1"/>
  <c r="D2350" i="1"/>
  <c r="D888" i="1"/>
  <c r="D422" i="1"/>
  <c r="D1075" i="1"/>
  <c r="D1110" i="1"/>
  <c r="D1410" i="1"/>
  <c r="D1027" i="1"/>
  <c r="D1141" i="1"/>
  <c r="D1373" i="1"/>
  <c r="D959" i="1"/>
  <c r="D445" i="1"/>
  <c r="D2500" i="1"/>
  <c r="D1747" i="1"/>
  <c r="D1620" i="1"/>
  <c r="D2702" i="1"/>
  <c r="D1105" i="1"/>
  <c r="D1966" i="1"/>
  <c r="D1835" i="1"/>
  <c r="D2286" i="1"/>
  <c r="D2352" i="1"/>
  <c r="D419" i="1"/>
  <c r="D2776" i="1"/>
  <c r="D1711" i="1"/>
  <c r="D2020" i="1"/>
  <c r="D1324" i="1"/>
  <c r="D645" i="1"/>
  <c r="D607" i="1"/>
  <c r="D2198" i="1"/>
  <c r="D585" i="1"/>
  <c r="D123" i="1"/>
  <c r="D2145" i="1"/>
  <c r="D384" i="1"/>
  <c r="D1421" i="1"/>
  <c r="D1468" i="1"/>
  <c r="D365" i="1"/>
  <c r="D643" i="1"/>
  <c r="D2160" i="1"/>
  <c r="D2187" i="1"/>
  <c r="D2406" i="1"/>
  <c r="D1585" i="1"/>
  <c r="D1143" i="1"/>
  <c r="D430" i="1"/>
  <c r="D560" i="1"/>
  <c r="D375" i="1"/>
  <c r="D2169" i="1"/>
  <c r="D1638" i="1"/>
  <c r="D1895" i="1"/>
  <c r="D1258" i="1"/>
  <c r="D744" i="1"/>
  <c r="D60" i="1"/>
  <c r="D889" i="1"/>
  <c r="D331" i="1"/>
  <c r="D1706" i="1"/>
  <c r="D1959" i="1"/>
  <c r="D2675" i="1"/>
  <c r="D989" i="1"/>
  <c r="D1988" i="1"/>
  <c r="D1967" i="1"/>
  <c r="D1390" i="1"/>
  <c r="D1230" i="1"/>
  <c r="D1071" i="1"/>
  <c r="D2091" i="1"/>
  <c r="D2248" i="1"/>
  <c r="D2219" i="1"/>
  <c r="D1821" i="1"/>
  <c r="D2531" i="1"/>
  <c r="D320" i="1"/>
  <c r="D1885" i="1"/>
  <c r="D76" i="1"/>
  <c r="D2318" i="1"/>
  <c r="D1614" i="1"/>
  <c r="D463" i="1"/>
  <c r="D1906" i="1"/>
  <c r="D901" i="1"/>
  <c r="D1925" i="1"/>
  <c r="D2559" i="1"/>
  <c r="D1743" i="1"/>
  <c r="D833" i="1"/>
  <c r="D2159" i="1"/>
  <c r="D30" i="1"/>
  <c r="D1741" i="1"/>
  <c r="D1692" i="1"/>
  <c r="D472" i="1"/>
  <c r="D1041" i="1"/>
  <c r="D751" i="1"/>
  <c r="D289" i="1"/>
  <c r="D1832" i="1"/>
  <c r="D550" i="1"/>
  <c r="D2667" i="1"/>
  <c r="D809" i="1"/>
  <c r="D1134" i="1"/>
  <c r="D1580" i="1"/>
  <c r="D677" i="1"/>
  <c r="D716" i="1"/>
  <c r="D710" i="1"/>
  <c r="D993" i="1"/>
  <c r="D2041" i="1"/>
  <c r="D346" i="1"/>
  <c r="D2405" i="1"/>
  <c r="D955" i="1"/>
  <c r="D1619" i="1"/>
  <c r="D414" i="1"/>
  <c r="D755" i="1"/>
  <c r="D1202" i="1"/>
  <c r="D738" i="1"/>
  <c r="D1775" i="1"/>
  <c r="D1203" i="1"/>
  <c r="D1282" i="1"/>
  <c r="D2047" i="1"/>
  <c r="D2447" i="1"/>
  <c r="D999" i="1"/>
  <c r="D2146" i="1"/>
  <c r="D1766" i="1"/>
  <c r="D2535" i="1"/>
  <c r="D1241" i="1"/>
  <c r="D1219" i="1"/>
  <c r="D994" i="1"/>
  <c r="D1661" i="1"/>
  <c r="D1558" i="1"/>
  <c r="D1302" i="1"/>
  <c r="D40" i="1"/>
  <c r="D2657" i="1"/>
  <c r="D1739" i="1"/>
  <c r="D413" i="1"/>
  <c r="D226" i="1"/>
  <c r="D1469" i="1"/>
  <c r="D1429" i="1"/>
  <c r="D2099" i="1"/>
  <c r="D458" i="1"/>
  <c r="D2728" i="1"/>
  <c r="D1026" i="1"/>
  <c r="D2687" i="1"/>
  <c r="D2712" i="1"/>
  <c r="D439" i="1"/>
  <c r="D61" i="1"/>
  <c r="D2131" i="1"/>
  <c r="D434" i="1"/>
  <c r="D1831" i="1"/>
  <c r="D2680" i="1"/>
  <c r="D1683" i="1"/>
  <c r="D1049" i="1"/>
  <c r="D2118" i="1"/>
  <c r="D514" i="1"/>
  <c r="D407" i="1"/>
  <c r="D2700" i="1"/>
  <c r="D1316" i="1"/>
  <c r="D1995" i="1"/>
  <c r="D1830" i="1"/>
  <c r="D923" i="1"/>
  <c r="D2618" i="1"/>
  <c r="D1679" i="1"/>
  <c r="D1968" i="1"/>
  <c r="D2591" i="1"/>
  <c r="D2086" i="1"/>
  <c r="D279" i="1"/>
  <c r="D582" i="1"/>
  <c r="D2725" i="1"/>
  <c r="D1902" i="1"/>
  <c r="D979" i="1"/>
  <c r="D1939" i="1"/>
  <c r="D2601" i="1"/>
  <c r="D1520" i="1"/>
  <c r="D1700" i="1"/>
  <c r="D1194" i="1"/>
  <c r="D1345" i="1"/>
  <c r="D661" i="1"/>
  <c r="D136" i="1"/>
  <c r="D1284" i="1"/>
  <c r="D505" i="1"/>
  <c r="D2692" i="1"/>
  <c r="D1174" i="1"/>
  <c r="D2019" i="1"/>
  <c r="D1480" i="1"/>
  <c r="D769" i="1"/>
  <c r="D146" i="1"/>
  <c r="D244" i="1"/>
  <c r="D2366" i="1"/>
  <c r="D1888" i="1"/>
  <c r="D948" i="1"/>
  <c r="D2031" i="1"/>
  <c r="D11" i="1"/>
  <c r="D996" i="1"/>
  <c r="D805" i="1"/>
  <c r="D1894" i="1"/>
  <c r="D1228" i="1"/>
  <c r="D1630" i="1"/>
  <c r="D1843" i="1"/>
  <c r="D1623" i="1"/>
  <c r="D1611" i="1"/>
  <c r="D1109" i="1"/>
  <c r="D646" i="1"/>
  <c r="D2148" i="1"/>
  <c r="D931" i="1"/>
  <c r="D1293" i="1"/>
  <c r="D1792" i="1"/>
  <c r="D367" i="1"/>
  <c r="D154" i="1"/>
  <c r="D820" i="1"/>
  <c r="D1605" i="1"/>
  <c r="D1142" i="1"/>
  <c r="D1221" i="1"/>
  <c r="D2053" i="1"/>
  <c r="D2255" i="1"/>
  <c r="D1297" i="1"/>
  <c r="D21" i="1"/>
  <c r="D1247" i="1"/>
  <c r="D2720" i="1"/>
  <c r="D2697" i="1"/>
  <c r="D2529" i="1"/>
  <c r="D271" i="1"/>
  <c r="D2488" i="1"/>
  <c r="D918" i="1"/>
  <c r="D2599" i="1"/>
  <c r="D1779" i="1"/>
  <c r="D102" i="1"/>
  <c r="D85" i="1"/>
  <c r="D838" i="1"/>
  <c r="D1385" i="1"/>
  <c r="D2167" i="1"/>
  <c r="D869" i="1"/>
  <c r="D2440" i="1"/>
  <c r="D629" i="1"/>
  <c r="D1845" i="1"/>
  <c r="D992" i="1"/>
  <c r="D164" i="1"/>
  <c r="D1545" i="1"/>
  <c r="D1028" i="1"/>
  <c r="D1654" i="1"/>
  <c r="D2478" i="1"/>
  <c r="D2171" i="1"/>
  <c r="D1416" i="1"/>
  <c r="D604" i="1"/>
  <c r="D1904" i="1"/>
  <c r="D14" i="1"/>
  <c r="D1461" i="1"/>
  <c r="D1976" i="1"/>
  <c r="D1161" i="1"/>
  <c r="D599" i="1"/>
  <c r="D516" i="1"/>
  <c r="D2096" i="1"/>
  <c r="D1201" i="1"/>
  <c r="D2644" i="1"/>
  <c r="D566" i="1"/>
  <c r="D740" i="1"/>
  <c r="D1130" i="1"/>
  <c r="D64" i="1"/>
  <c r="D1645" i="1"/>
  <c r="D974" i="1"/>
  <c r="D323" i="1"/>
  <c r="D1117" i="1"/>
  <c r="D2297" i="1"/>
  <c r="D1337" i="1"/>
  <c r="D692" i="1"/>
  <c r="D1857" i="1"/>
  <c r="D2221" i="1"/>
  <c r="D1448" i="1"/>
  <c r="D1938" i="1"/>
  <c r="D1018" i="1"/>
  <c r="D1441" i="1"/>
  <c r="D967" i="1"/>
  <c r="D198" i="1"/>
  <c r="D376" i="1"/>
  <c r="D1621" i="1"/>
  <c r="D1586" i="1"/>
  <c r="D296" i="1"/>
  <c r="D459" i="1"/>
  <c r="D1880" i="1"/>
  <c r="D689" i="1"/>
  <c r="D797" i="1"/>
  <c r="D1127" i="1"/>
  <c r="D105" i="1"/>
  <c r="D1927" i="1"/>
  <c r="D770" i="1"/>
  <c r="D2514" i="1"/>
  <c r="D1007" i="1"/>
  <c r="D502" i="1"/>
  <c r="D1676" i="1"/>
  <c r="D892" i="1"/>
  <c r="D1666" i="1"/>
  <c r="D982" i="1"/>
  <c r="D752" i="1"/>
  <c r="D2241" i="1"/>
  <c r="D1511" i="1"/>
  <c r="D2703" i="1"/>
  <c r="D1984" i="1"/>
  <c r="D1868" i="1"/>
  <c r="D763" i="1"/>
  <c r="D2078" i="1"/>
  <c r="D1425" i="1"/>
  <c r="D1300" i="1"/>
  <c r="D622" i="1"/>
  <c r="D786" i="1"/>
  <c r="D1078" i="1"/>
  <c r="D2326" i="1"/>
  <c r="D2617" i="1"/>
  <c r="D1632" i="1"/>
  <c r="D1686" i="1"/>
  <c r="D711" i="1"/>
  <c r="D1138" i="1"/>
  <c r="D2337" i="1"/>
  <c r="D2021" i="1"/>
  <c r="D310" i="1"/>
  <c r="D1890" i="1"/>
  <c r="D360" i="1"/>
  <c r="D2083" i="1"/>
  <c r="D2341" i="1"/>
  <c r="D565" i="1"/>
  <c r="D1672" i="1"/>
  <c r="D1344" i="1"/>
  <c r="D2562" i="1"/>
  <c r="D1218" i="1"/>
  <c r="D2107" i="1"/>
  <c r="D2566" i="1"/>
  <c r="D10" i="1"/>
  <c r="D1394" i="1"/>
  <c r="D2284" i="1"/>
  <c r="D1031" i="1"/>
  <c r="D2116" i="1"/>
  <c r="D2411" i="1"/>
  <c r="D2055" i="1"/>
  <c r="D544" i="1"/>
  <c r="D1208" i="1"/>
  <c r="D746" i="1"/>
  <c r="D65" i="1"/>
  <c r="D1387" i="1"/>
  <c r="D1084" i="1"/>
  <c r="D1877" i="1"/>
  <c r="D798" i="1"/>
  <c r="D236" i="1"/>
  <c r="D2784" i="1"/>
  <c r="D424" i="1"/>
  <c r="D201" i="1"/>
  <c r="D2553" i="1"/>
  <c r="D1562" i="1"/>
  <c r="D588" i="1"/>
  <c r="D686" i="1"/>
  <c r="D2144" i="1"/>
  <c r="D1131" i="1"/>
  <c r="D2157" i="1"/>
  <c r="D1622" i="1"/>
  <c r="D714" i="1"/>
  <c r="D1688" i="1"/>
  <c r="D1600" i="1"/>
  <c r="D2141" i="1"/>
  <c r="D172" i="1"/>
  <c r="D691" i="1"/>
  <c r="D1378" i="1"/>
  <c r="D125" i="1"/>
  <c r="D1982" i="1"/>
  <c r="D1559" i="1"/>
  <c r="D124" i="1"/>
  <c r="D256" i="1"/>
  <c r="D2420" i="1"/>
  <c r="D671" i="1"/>
  <c r="D1162" i="1"/>
  <c r="D291" i="1"/>
  <c r="D1996" i="1"/>
  <c r="D222" i="1"/>
  <c r="D277" i="1"/>
  <c r="D1265" i="1"/>
  <c r="D951" i="1"/>
  <c r="D1064" i="1"/>
  <c r="D1051" i="1"/>
  <c r="D2511" i="1"/>
  <c r="D1114" i="1"/>
  <c r="D641" i="1"/>
  <c r="D1922" i="1"/>
  <c r="D2527" i="1"/>
  <c r="D1266" i="1"/>
  <c r="D2455" i="1"/>
  <c r="D268" i="1"/>
  <c r="D696" i="1"/>
  <c r="D2449" i="1"/>
  <c r="D2709" i="1"/>
  <c r="D2416" i="1"/>
  <c r="D49" i="1"/>
  <c r="D2319" i="1"/>
  <c r="D515" i="1"/>
  <c r="D670" i="1"/>
  <c r="D732" i="1"/>
  <c r="D2211" i="1"/>
  <c r="D2142" i="1"/>
  <c r="D1754" i="1"/>
  <c r="D74" i="1"/>
  <c r="D678" i="1"/>
  <c r="D267" i="1"/>
  <c r="D2377" i="1"/>
  <c r="D2356" i="1"/>
  <c r="D1442" i="1"/>
  <c r="D2425" i="1"/>
  <c r="D1723" i="1"/>
  <c r="D1025" i="1"/>
  <c r="D1599" i="1"/>
  <c r="D2528" i="1"/>
  <c r="D1322" i="1"/>
  <c r="D1136" i="1"/>
  <c r="D2362" i="1"/>
  <c r="D1931" i="1"/>
  <c r="D300" i="1"/>
  <c r="D1389" i="1"/>
  <c r="D2544" i="1"/>
  <c r="D1426" i="1"/>
  <c r="D2231" i="1"/>
  <c r="D1848" i="1"/>
  <c r="D638" i="1"/>
  <c r="D2475" i="1"/>
  <c r="D1613" i="1"/>
  <c r="D1823" i="1"/>
  <c r="D1945" i="1"/>
  <c r="D247" i="1"/>
  <c r="D1274" i="1"/>
  <c r="D1594" i="1"/>
  <c r="D312" i="1"/>
  <c r="D1277" i="1"/>
  <c r="D2338" i="1"/>
  <c r="D2014" i="1"/>
  <c r="D912" i="1"/>
  <c r="D1572" i="1"/>
  <c r="D568" i="1"/>
  <c r="D1903" i="1"/>
  <c r="D1115" i="1"/>
  <c r="D2409" i="1"/>
  <c r="D637" i="1"/>
  <c r="D1474" i="1"/>
  <c r="D2134" i="1"/>
  <c r="D605" i="1"/>
  <c r="D2673" i="1"/>
  <c r="D2749" i="1"/>
  <c r="D2584" i="1"/>
  <c r="D1751" i="1"/>
  <c r="D2264" i="1"/>
  <c r="D1872" i="1"/>
  <c r="D1728" i="1"/>
  <c r="D1978" i="1"/>
  <c r="D1735" i="1"/>
  <c r="D2006" i="1"/>
  <c r="D2694" i="1"/>
  <c r="D2303" i="1"/>
  <c r="D2168" i="1"/>
  <c r="D1796" i="1"/>
  <c r="D431" i="1"/>
  <c r="D1343" i="1"/>
  <c r="D861" i="1"/>
  <c r="D2441" i="1"/>
  <c r="D1994" i="1"/>
  <c r="D2048" i="1"/>
  <c r="D517" i="1"/>
  <c r="D2569" i="1"/>
  <c r="D176" i="1"/>
  <c r="D192" i="1"/>
  <c r="D1042" i="1"/>
  <c r="D1244" i="1"/>
  <c r="D42" i="1"/>
  <c r="D404" i="1"/>
  <c r="D557" i="1"/>
  <c r="D1593" i="1"/>
  <c r="D1125" i="1"/>
  <c r="D1616" i="1"/>
  <c r="D334" i="1"/>
  <c r="D1878" i="1"/>
  <c r="D1195" i="1"/>
  <c r="D140" i="1"/>
  <c r="D2334" i="1"/>
  <c r="D850" i="1"/>
  <c r="D2783" i="1"/>
  <c r="D836" i="1"/>
  <c r="D2018" i="1"/>
  <c r="D62" i="1"/>
  <c r="D294" i="1"/>
  <c r="D437" i="1"/>
  <c r="D59" i="1"/>
  <c r="D1956" i="1"/>
  <c r="D2386" i="1"/>
  <c r="D723" i="1"/>
  <c r="D909" i="1"/>
  <c r="D2276" i="1"/>
  <c r="D2308" i="1"/>
  <c r="D2433" i="1"/>
  <c r="D2194" i="1"/>
  <c r="D2067" i="1"/>
  <c r="D2764" i="1"/>
  <c r="D1729" i="1"/>
  <c r="D1217" i="1"/>
  <c r="D1361" i="1"/>
  <c r="D1591" i="1"/>
  <c r="D1458" i="1"/>
  <c r="D2289" i="1"/>
  <c r="D2346" i="1"/>
  <c r="D1434" i="1"/>
  <c r="D1288" i="1"/>
  <c r="D610" i="1"/>
  <c r="D2513" i="1"/>
  <c r="D345" i="1"/>
  <c r="D1505" i="1"/>
  <c r="D774" i="1"/>
  <c r="D67" i="1"/>
  <c r="D1296" i="1"/>
  <c r="D2058" i="1"/>
  <c r="D972" i="1"/>
  <c r="D126" i="1"/>
  <c r="D2602" i="1"/>
  <c r="D412" i="1"/>
  <c r="D1678" i="1"/>
  <c r="D1354" i="1"/>
  <c r="D1657" i="1"/>
  <c r="D509" i="1"/>
  <c r="D1731" i="1"/>
  <c r="D1226" i="1"/>
  <c r="D2459" i="1"/>
  <c r="D1528" i="1"/>
  <c r="D2389" i="1"/>
  <c r="D1953" i="1"/>
  <c r="D713" i="1"/>
  <c r="D1422" i="1"/>
  <c r="D631" i="1"/>
  <c r="D1097" i="1"/>
  <c r="D2417" i="1"/>
  <c r="D2435" i="1"/>
  <c r="D873" i="1"/>
  <c r="D396" i="1"/>
  <c r="D293" i="1"/>
  <c r="D1853" i="1"/>
  <c r="D1088" i="1"/>
  <c r="D496" i="1"/>
  <c r="D2165" i="1"/>
  <c r="D521" i="1"/>
  <c r="D1898" i="1"/>
  <c r="D2589" i="1"/>
  <c r="D666" i="1"/>
  <c r="D2619" i="1"/>
  <c r="D2466" i="1"/>
  <c r="D2456" i="1"/>
  <c r="D1833" i="1"/>
  <c r="D597" i="1"/>
  <c r="D2227" i="1"/>
  <c r="D2022" i="1"/>
  <c r="D867" i="1"/>
  <c r="D98" i="1"/>
  <c r="D1062" i="1"/>
  <c r="D921" i="1"/>
  <c r="D2563" i="1"/>
  <c r="D1584" i="1"/>
  <c r="D943" i="1"/>
  <c r="D1175" i="1"/>
  <c r="D2355" i="1"/>
  <c r="D2652" i="1"/>
  <c r="D1914" i="1"/>
  <c r="D2063" i="1"/>
  <c r="D209" i="1"/>
  <c r="D2429" i="1"/>
  <c r="D1331" i="1"/>
  <c r="D611" i="1"/>
  <c r="D464" i="1"/>
  <c r="D1650" i="1"/>
  <c r="D530" i="1"/>
  <c r="D1463" i="1"/>
  <c r="D1437" i="1"/>
  <c r="D2693" i="1"/>
  <c r="D1397" i="1"/>
  <c r="D768" i="1"/>
  <c r="D473" i="1"/>
  <c r="D1695" i="1"/>
  <c r="D284" i="1"/>
  <c r="D428" i="1"/>
  <c r="D2399" i="1"/>
  <c r="D1536" i="1"/>
  <c r="D2620" i="1"/>
  <c r="D2686" i="1"/>
  <c r="D2316" i="1"/>
  <c r="D1919" i="1"/>
  <c r="D612" i="1"/>
  <c r="D1181" i="1"/>
  <c r="D2402" i="1"/>
  <c r="D1112" i="1"/>
  <c r="D848" i="1"/>
  <c r="D2585" i="1"/>
  <c r="D2491" i="1"/>
  <c r="D1522" i="1"/>
  <c r="D1023" i="1"/>
  <c r="D343" i="1"/>
  <c r="D539" i="1"/>
  <c r="D1736" i="1"/>
  <c r="D2650" i="1"/>
  <c r="D759" i="1"/>
  <c r="D2351" i="1"/>
  <c r="D1294" i="1"/>
  <c r="D846" i="1"/>
  <c r="D576" i="1"/>
  <c r="D287" i="1"/>
  <c r="D830" i="1"/>
  <c r="D760" i="1"/>
  <c r="D341" i="1"/>
  <c r="D2691" i="1"/>
  <c r="D204" i="1"/>
  <c r="D949" i="1"/>
  <c r="D787" i="1"/>
  <c r="D2571" i="1"/>
  <c r="D1524" i="1"/>
  <c r="D2172" i="1"/>
  <c r="D1476" i="1"/>
  <c r="D2126" i="1"/>
  <c r="D2676" i="1"/>
  <c r="D2180" i="1"/>
  <c r="D38" i="1"/>
  <c r="D132" i="1"/>
  <c r="D272" i="1"/>
  <c r="D465" i="1"/>
  <c r="D985" i="1"/>
  <c r="D1780" i="1"/>
  <c r="D1668" i="1"/>
  <c r="D1633" i="1"/>
  <c r="D426" i="1"/>
  <c r="D2710" i="1"/>
  <c r="D1021" i="1"/>
  <c r="D2474" i="1"/>
  <c r="D1158" i="1"/>
  <c r="D2745" i="1"/>
  <c r="D1587" i="1"/>
  <c r="D1015" i="1"/>
  <c r="D1415" i="1"/>
  <c r="D269" i="1"/>
  <c r="D957" i="1"/>
  <c r="D2268" i="1"/>
  <c r="D1951" i="1"/>
  <c r="D1080" i="1"/>
  <c r="D1663" i="1"/>
  <c r="D1680" i="1"/>
  <c r="D364" i="1"/>
  <c r="D1905" i="1"/>
  <c r="D1459" i="1"/>
  <c r="D852" i="1"/>
  <c r="D2639" i="1"/>
  <c r="D2332" i="1"/>
  <c r="D552" i="1"/>
  <c r="D1637" i="1"/>
  <c r="D2234" i="1"/>
  <c r="D96" i="1"/>
  <c r="D483" i="1"/>
  <c r="D2082" i="1"/>
  <c r="D1768" i="1"/>
  <c r="D2558" i="1"/>
  <c r="D457" i="1"/>
  <c r="D349" i="1"/>
  <c r="D371" i="1"/>
  <c r="D663" i="1"/>
  <c r="D1993" i="1"/>
  <c r="D333" i="1"/>
  <c r="D2009" i="1"/>
  <c r="D387" i="1"/>
  <c r="D1718" i="1"/>
  <c r="D512" i="1"/>
  <c r="D316" i="1"/>
  <c r="D1341" i="1"/>
  <c r="D81" i="1"/>
  <c r="D17" i="1"/>
  <c r="D743" i="1"/>
  <c r="D687" i="1"/>
  <c r="D1709" i="1"/>
  <c r="D745" i="1"/>
  <c r="D1151" i="1"/>
  <c r="D658" i="1"/>
  <c r="D653" i="1"/>
  <c r="D828" i="1"/>
  <c r="D2616" i="1"/>
  <c r="D306" i="1"/>
  <c r="D983" i="1"/>
  <c r="D1380" i="1"/>
  <c r="D865" i="1"/>
  <c r="D436" i="1"/>
  <c r="D1281" i="1"/>
  <c r="D109" i="1"/>
  <c r="D944" i="1"/>
  <c r="D632" i="1"/>
  <c r="D813" i="1"/>
  <c r="D847" i="1"/>
  <c r="D469" i="1"/>
  <c r="D2767" i="1"/>
  <c r="D1099" i="1"/>
  <c r="D1612" i="1"/>
  <c r="D2471" i="1"/>
  <c r="D728" i="1"/>
  <c r="D163" i="1"/>
  <c r="D133" i="1"/>
  <c r="D2467" i="1"/>
  <c r="D2094" i="1"/>
  <c r="D1173" i="1"/>
  <c r="D2614" i="1"/>
  <c r="D503" i="1"/>
  <c r="D2628" i="1"/>
  <c r="D57" i="1"/>
  <c r="D1466" i="1"/>
  <c r="D2731" i="1"/>
  <c r="D2407" i="1"/>
  <c r="D24" i="1"/>
  <c r="D2322" i="1"/>
  <c r="D885" i="1"/>
  <c r="D1852" i="1"/>
  <c r="D217" i="1"/>
  <c r="D2267" i="1"/>
  <c r="D1825" i="1"/>
  <c r="D1879" i="1"/>
  <c r="D2719" i="1"/>
  <c r="D1455" i="1"/>
  <c r="D771" i="1"/>
  <c r="D1465" i="1"/>
  <c r="D1500" i="1"/>
  <c r="D2630" i="1"/>
  <c r="D1183" i="1"/>
  <c r="D2747" i="1"/>
  <c r="D1529" i="1"/>
  <c r="D478" i="1"/>
  <c r="D2611" i="1"/>
  <c r="D584" i="1"/>
  <c r="D470" i="1"/>
  <c r="D1473" i="1"/>
  <c r="D2081" i="1"/>
  <c r="D454" i="1"/>
  <c r="D149" i="1"/>
  <c r="D1252" i="1"/>
  <c r="D2512" i="1"/>
  <c r="D2236" i="1"/>
  <c r="D2567" i="1"/>
  <c r="D2088" i="1"/>
  <c r="D1177" i="1"/>
  <c r="D2547" i="1"/>
  <c r="D2056" i="1"/>
  <c r="D1439" i="1"/>
  <c r="D1601" i="1"/>
  <c r="D214" i="1"/>
  <c r="D2224" i="1"/>
  <c r="D43" i="1"/>
  <c r="D761" i="1"/>
  <c r="D2643" i="1"/>
  <c r="D1873" i="1"/>
  <c r="D1785" i="1"/>
  <c r="D1690" i="1"/>
  <c r="D39" i="1"/>
  <c r="D551" i="1"/>
  <c r="D2774" i="1"/>
  <c r="D681" i="1"/>
  <c r="D563" i="1"/>
  <c r="D2070" i="1"/>
  <c r="D1784" i="1"/>
  <c r="D1212" i="1"/>
  <c r="D2608" i="1"/>
  <c r="D636" i="1"/>
  <c r="D799" i="1"/>
  <c r="D372" i="1"/>
  <c r="D1056" i="1"/>
  <c r="D2543" i="1"/>
  <c r="D665" i="1"/>
  <c r="D33" i="1"/>
  <c r="D977" i="1"/>
  <c r="D991" i="1"/>
  <c r="D1268" i="1"/>
  <c r="D1309" i="1"/>
  <c r="D51" i="1"/>
  <c r="D1944" i="1"/>
  <c r="D922" i="1"/>
  <c r="D2092" i="1"/>
  <c r="D202" i="1"/>
  <c r="D309" i="1"/>
  <c r="D938" i="1"/>
  <c r="D111" i="1"/>
  <c r="D896" i="1"/>
  <c r="D2696" i="1"/>
  <c r="D304" i="1"/>
  <c r="D2623" i="1"/>
  <c r="D288" i="1"/>
  <c r="D2364" i="1"/>
  <c r="D1417" i="1"/>
  <c r="D2311" i="1"/>
  <c r="D701" i="1"/>
  <c r="D232" i="1"/>
  <c r="D980" i="1"/>
  <c r="D1263" i="1"/>
  <c r="D1812" i="1"/>
  <c r="D1101" i="1"/>
  <c r="D1923" i="1"/>
  <c r="D2533" i="1"/>
  <c r="D1740" i="1"/>
  <c r="D1070" i="1"/>
  <c r="D2655" i="1"/>
  <c r="D2788" i="1"/>
  <c r="D1452" i="1"/>
  <c r="D35" i="1"/>
  <c r="D1942" i="1"/>
  <c r="D1295" i="1"/>
  <c r="D278" i="1"/>
  <c r="D1229" i="1"/>
  <c r="D1292" i="1"/>
  <c r="D2059" i="1"/>
  <c r="D259" i="1"/>
  <c r="D965" i="1"/>
  <c r="D2722" i="1"/>
  <c r="D1323" i="1"/>
  <c r="D2415" i="1"/>
  <c r="D1315" i="1"/>
  <c r="D542" i="1"/>
  <c r="D2170" i="1"/>
  <c r="D492" i="1"/>
  <c r="D1032" i="1"/>
  <c r="D286" i="1"/>
  <c r="D561" i="1"/>
  <c r="D1947" i="1"/>
  <c r="D2786" i="1"/>
  <c r="D940" i="1"/>
  <c r="D1815" i="1"/>
  <c r="D849" i="1"/>
  <c r="D1239" i="1"/>
  <c r="D1778" i="1"/>
  <c r="D2387" i="1"/>
  <c r="D1535" i="1"/>
  <c r="D587" i="1"/>
  <c r="D1567" i="1"/>
  <c r="D905" i="1"/>
  <c r="D2706" i="1"/>
  <c r="D455" i="1"/>
  <c r="D402" i="1"/>
  <c r="D1157" i="1"/>
  <c r="D858" i="1"/>
  <c r="D2458" i="1"/>
  <c r="D1211" i="1"/>
  <c r="D1887" i="1"/>
  <c r="D547" i="1"/>
  <c r="D2178" i="1"/>
  <c r="D449" i="1"/>
  <c r="D2251" i="1"/>
  <c r="D699" i="1"/>
  <c r="D1660" i="1"/>
  <c r="D303" i="1"/>
  <c r="D1910" i="1"/>
  <c r="D114" i="1"/>
  <c r="D1235" i="1"/>
  <c r="D506" i="1"/>
  <c r="D1807" i="1"/>
  <c r="D1453" i="1"/>
  <c r="D52" i="1"/>
  <c r="D2610" i="1"/>
  <c r="D911" i="1"/>
  <c r="D537" i="1"/>
  <c r="D1499" i="1"/>
  <c r="D270" i="1"/>
  <c r="D810" i="1"/>
  <c r="D420" i="1"/>
  <c r="D1352" i="1"/>
  <c r="D583" i="1"/>
  <c r="D1928" i="1"/>
  <c r="D354" i="1"/>
  <c r="D1406" i="1"/>
  <c r="D1891" i="1"/>
  <c r="D2273" i="1"/>
  <c r="D368" i="1"/>
  <c r="D2201" i="1"/>
  <c r="D1065" i="1"/>
  <c r="D947" i="1"/>
  <c r="D1763" i="1"/>
  <c r="D564" i="1"/>
  <c r="D1187" i="1"/>
  <c r="D939" i="1"/>
  <c r="D1758" i="1"/>
  <c r="D518" i="1"/>
  <c r="D2446" i="1"/>
  <c r="D1744" i="1"/>
  <c r="D1671" i="1"/>
  <c r="D703" i="1"/>
  <c r="D1107" i="1"/>
  <c r="D1656" i="1"/>
  <c r="D425" i="1"/>
  <c r="D941" i="1"/>
  <c r="D859" i="1"/>
  <c r="D1924" i="1"/>
  <c r="D2196" i="1"/>
  <c r="D1829" i="1"/>
  <c r="D2054" i="1"/>
  <c r="D975" i="1"/>
  <c r="D265" i="1"/>
  <c r="D1048" i="1"/>
  <c r="D2586" i="1"/>
  <c r="D2794" i="1"/>
  <c r="D453" i="1"/>
  <c r="D1237" i="1"/>
  <c r="D2292" i="1"/>
  <c r="D790" i="1"/>
  <c r="D1193" i="1"/>
  <c r="D601" i="1"/>
  <c r="D1704" i="1"/>
  <c r="D1339" i="1"/>
  <c r="D780" i="1"/>
  <c r="D1332" i="1"/>
  <c r="D817" i="1"/>
  <c r="D1920" i="1"/>
  <c r="D2075" i="1"/>
  <c r="D1462" i="1"/>
  <c r="D2635" i="1"/>
  <c r="D1818" i="1"/>
  <c r="D1334" i="1"/>
  <c r="D1954" i="1"/>
  <c r="D1445" i="1"/>
  <c r="D1854" i="1"/>
  <c r="D475" i="1"/>
  <c r="D1644" i="1"/>
  <c r="D1503" i="1"/>
  <c r="D460" i="1"/>
  <c r="D186" i="1"/>
  <c r="D101" i="1"/>
  <c r="D2263" i="1"/>
  <c r="D868" i="1"/>
  <c r="D2622" i="1"/>
  <c r="D618" i="1"/>
  <c r="D443" i="1"/>
  <c r="D1301" i="1"/>
  <c r="D1179" i="1"/>
  <c r="D1975" i="1"/>
  <c r="D137" i="1"/>
  <c r="D2442" i="1"/>
  <c r="D2756" i="1"/>
  <c r="D1861" i="1"/>
  <c r="D1273" i="1"/>
  <c r="D635" i="1"/>
  <c r="D1358" i="1"/>
  <c r="D1419" i="1"/>
  <c r="D2281" i="1"/>
  <c r="D2454" i="1"/>
  <c r="D2062" i="1"/>
  <c r="D2215" i="1"/>
  <c r="D2225" i="1"/>
  <c r="D1979" i="1"/>
  <c r="D2066" i="1"/>
  <c r="D2262" i="1"/>
  <c r="D2520" i="1"/>
  <c r="D1521" i="1"/>
  <c r="D248" i="1"/>
  <c r="D2705" i="1"/>
  <c r="D1842" i="1"/>
  <c r="D1791" i="1"/>
  <c r="D2043" i="1"/>
  <c r="D897" i="1"/>
  <c r="D1859" i="1"/>
  <c r="D394" i="1"/>
  <c r="D2367" i="1"/>
  <c r="D1240" i="1"/>
  <c r="D2016" i="1"/>
  <c r="D2275" i="1"/>
  <c r="D2714" i="1"/>
  <c r="D385" i="1"/>
  <c r="D1694" i="1"/>
  <c r="D2427" i="1"/>
  <c r="D205" i="1"/>
  <c r="D721" i="1"/>
  <c r="D2015" i="1"/>
  <c r="D893" i="1"/>
  <c r="D886" i="1"/>
  <c r="D1106" i="1"/>
  <c r="D113" i="1"/>
  <c r="D400" i="1"/>
  <c r="D92" i="1"/>
  <c r="D1713" i="1"/>
  <c r="D556" i="1"/>
  <c r="D7" i="1"/>
  <c r="D541" i="1"/>
  <c r="D2183" i="1"/>
  <c r="D508" i="1"/>
  <c r="D2095" i="1"/>
  <c r="D747" i="1"/>
  <c r="D2030" i="1"/>
  <c r="D657" i="1"/>
  <c r="D110" i="1"/>
  <c r="D2717" i="1"/>
  <c r="D1057" i="1"/>
  <c r="D662" i="1"/>
  <c r="D2530" i="1"/>
  <c r="D1674" i="1"/>
  <c r="D1948" i="1"/>
  <c r="D2578" i="1"/>
  <c r="D773" i="1"/>
  <c r="D2277" i="1"/>
  <c r="D2173" i="1"/>
  <c r="D754" i="1"/>
  <c r="D352" i="1"/>
  <c r="D2737" i="1"/>
  <c r="D1024" i="1"/>
  <c r="D1531" i="1"/>
  <c r="D2633" i="1"/>
  <c r="D1834" i="1"/>
  <c r="D762" i="1"/>
  <c r="D1955" i="1"/>
  <c r="D1776" i="1"/>
  <c r="D104" i="1"/>
  <c r="D532" i="1"/>
  <c r="D2642" i="1"/>
  <c r="D2190" i="1"/>
  <c r="D1759" i="1"/>
  <c r="D872" i="1"/>
  <c r="D2580" i="1"/>
  <c r="D1347" i="1"/>
  <c r="D1698" i="1"/>
  <c r="D474" i="1"/>
  <c r="D1460" i="1"/>
  <c r="D1100" i="1"/>
  <c r="D200" i="1"/>
  <c r="D1170" i="1"/>
  <c r="D659" i="1"/>
  <c r="D1720" i="1"/>
  <c r="D2789" i="1"/>
  <c r="D1227" i="1"/>
  <c r="D824" i="1"/>
  <c r="D1471" i="1"/>
  <c r="D1604" i="1"/>
  <c r="D2681" i="1"/>
  <c r="D1486" i="1"/>
  <c r="D2133" i="1"/>
  <c r="D2045" i="1"/>
  <c r="D2379" i="1"/>
  <c r="D2357" i="1"/>
  <c r="D806" i="1"/>
  <c r="D423" i="1"/>
  <c r="D1318" i="1"/>
  <c r="D2035" i="1"/>
  <c r="D1547" i="1"/>
  <c r="D2615" i="1"/>
  <c r="D2064" i="1"/>
  <c r="D63" i="1"/>
  <c r="D2115" i="1"/>
  <c r="D178" i="1"/>
  <c r="D2305" i="1"/>
  <c r="D664" i="1"/>
  <c r="D1014" i="1"/>
  <c r="D1772" i="1"/>
  <c r="D2121" i="1"/>
  <c r="D242" i="1"/>
  <c r="D152" i="1"/>
  <c r="D856" i="1"/>
  <c r="D1006" i="1"/>
  <c r="D2557" i="1"/>
  <c r="D406" i="1"/>
  <c r="D2576" i="1"/>
  <c r="D1589" i="1"/>
  <c r="D2453" i="1"/>
  <c r="D2752" i="1"/>
  <c r="D2317" i="1"/>
  <c r="D2046" i="1"/>
  <c r="D577" i="1"/>
  <c r="D1756" i="1"/>
  <c r="D2057" i="1"/>
  <c r="D1696" i="1"/>
  <c r="D1156" i="1"/>
  <c r="D655" i="1"/>
  <c r="D1020" i="1"/>
  <c r="D2200" i="1"/>
  <c r="D1003" i="1"/>
  <c r="D240" i="1"/>
  <c r="D1725" i="1"/>
  <c r="D1855" i="1"/>
  <c r="D1786" i="1"/>
  <c r="D220" i="1"/>
  <c r="D1502" i="1"/>
  <c r="D1973" i="1"/>
  <c r="D2358" i="1"/>
  <c r="D1050" i="1"/>
  <c r="D1255" i="1"/>
  <c r="D1544" i="1"/>
  <c r="D1867" i="1"/>
  <c r="D2570" i="1"/>
  <c r="D1643" i="1"/>
  <c r="D444" i="1"/>
  <c r="D252" i="1"/>
  <c r="D2302" i="1"/>
  <c r="D1489" i="1"/>
  <c r="D2261" i="1"/>
  <c r="D1795" i="1"/>
  <c r="D1884" i="1"/>
  <c r="D148" i="1"/>
  <c r="D1987" i="1"/>
  <c r="D1844" i="1"/>
  <c r="D116" i="1"/>
  <c r="D193" i="1"/>
  <c r="D2329" i="1"/>
  <c r="D1767" i="1"/>
  <c r="D2294" i="1"/>
  <c r="D1864" i="1"/>
  <c r="D484" i="1"/>
  <c r="D166" i="1"/>
  <c r="D2295" i="1"/>
  <c r="D1733" i="1"/>
  <c r="D2189" i="1"/>
  <c r="D619" i="1"/>
  <c r="D1582" i="1"/>
  <c r="D2769" i="1"/>
  <c r="D1908" i="1"/>
  <c r="D1185" i="1"/>
  <c r="D480" i="1"/>
  <c r="D281" i="1"/>
  <c r="D570" i="1"/>
  <c r="D2087" i="1"/>
  <c r="D525" i="1"/>
  <c r="D243" i="1"/>
  <c r="D317" i="1"/>
  <c r="D749" i="1"/>
  <c r="D1168" i="1"/>
  <c r="D1220" i="1"/>
  <c r="D1253" i="1"/>
  <c r="D2240" i="1"/>
  <c r="D448" i="1"/>
  <c r="D321" i="1"/>
  <c r="D2313" i="1"/>
  <c r="D2300" i="1"/>
  <c r="D25" i="1"/>
  <c r="D1687" i="1"/>
  <c r="D1213" i="1"/>
  <c r="D366" i="1"/>
  <c r="D1935" i="1"/>
  <c r="D138" i="1"/>
  <c r="D1697" i="1"/>
  <c r="D1974" i="1"/>
  <c r="D1418" i="1"/>
  <c r="D2549" i="1"/>
  <c r="D2384" i="1"/>
  <c r="D2339" i="1"/>
  <c r="D2780" i="1"/>
  <c r="D538" i="1"/>
  <c r="D1881" i="1"/>
  <c r="D2343" i="1"/>
  <c r="D684" i="1"/>
  <c r="D494" i="1"/>
  <c r="D2538" i="1"/>
  <c r="D913" i="1"/>
  <c r="D884" i="1"/>
  <c r="D741" i="1"/>
  <c r="D1507" i="1"/>
  <c r="D99" i="1"/>
  <c r="D1438" i="1"/>
  <c r="D1814" i="1"/>
  <c r="D2293" i="1"/>
  <c r="D1642" i="1"/>
  <c r="D2280" i="1"/>
  <c r="D1865" i="1"/>
  <c r="D2560" i="1"/>
  <c r="D860" i="1"/>
  <c r="D997" i="1"/>
  <c r="D107" i="1"/>
  <c r="D2450" i="1"/>
  <c r="D781" i="1"/>
  <c r="D2660" i="1"/>
  <c r="D2036" i="1"/>
  <c r="D2476" i="1"/>
  <c r="D553" i="1"/>
  <c r="D1335" i="1"/>
  <c r="D1308" i="1"/>
  <c r="D1362" i="1"/>
  <c r="D195" i="1"/>
  <c r="D902" i="1"/>
  <c r="D2485" i="1"/>
  <c r="D2600" i="1"/>
  <c r="D1608" i="1"/>
  <c r="D581" i="1"/>
  <c r="D1044" i="1"/>
  <c r="D2759" i="1"/>
  <c r="D2323" i="1"/>
  <c r="D988" i="1"/>
  <c r="D1882" i="1"/>
  <c r="D1734" i="1"/>
  <c r="D403" i="1"/>
  <c r="D2074" i="1"/>
  <c r="D1325" i="1"/>
  <c r="D1570" i="1"/>
  <c r="D2304" i="1"/>
  <c r="D1495" i="1"/>
  <c r="D2506" i="1"/>
  <c r="D2508" i="1"/>
  <c r="D46" i="1"/>
  <c r="D644" i="1"/>
  <c r="D2587" i="1"/>
  <c r="D2695" i="1"/>
  <c r="D2470" i="1"/>
  <c r="D559" i="1"/>
  <c r="D2439" i="1"/>
  <c r="D145" i="1"/>
  <c r="D241" i="1"/>
  <c r="D1197" i="1"/>
  <c r="D1496" i="1"/>
  <c r="D2408" i="1"/>
  <c r="D928" i="1"/>
  <c r="D1427" i="1"/>
  <c r="D251" i="1"/>
  <c r="D2775" i="1"/>
  <c r="D158" i="1"/>
  <c r="D651" i="1"/>
  <c r="D2603" i="1"/>
  <c r="D2742" i="1"/>
  <c r="D2595" i="1"/>
  <c r="D227" i="1"/>
  <c r="D2100" i="1"/>
  <c r="D2412" i="1"/>
  <c r="D823" i="1"/>
  <c r="D726" i="1"/>
  <c r="D1209" i="1"/>
  <c r="D1095" i="1"/>
  <c r="D523" i="1"/>
  <c r="D609" i="1"/>
  <c r="D816" i="1"/>
  <c r="D2755" i="1"/>
  <c r="D1712" i="1"/>
  <c r="D571" i="1"/>
  <c r="D1386" i="1"/>
  <c r="D1363" i="1"/>
  <c r="D2625" i="1"/>
  <c r="D2486" i="1"/>
  <c r="D292" i="1"/>
  <c r="D1375" i="1"/>
  <c r="D31" i="1"/>
  <c r="D1444" i="1"/>
  <c r="D1126" i="1"/>
  <c r="D1565" i="1"/>
  <c r="D1539" i="1"/>
  <c r="D2536" i="1"/>
  <c r="D952" i="1"/>
  <c r="D652" i="1"/>
  <c r="D1813" i="1"/>
  <c r="D53" i="1"/>
  <c r="D676" i="1"/>
  <c r="D2517" i="1"/>
  <c r="D1847" i="1"/>
  <c r="D2551" i="1"/>
  <c r="D328" i="1"/>
  <c r="D2493" i="1"/>
  <c r="D1250" i="1"/>
  <c r="D1745" i="1"/>
  <c r="D1719" i="1"/>
  <c r="D2003" i="1"/>
  <c r="D2166" i="1"/>
  <c r="D1096" i="1"/>
  <c r="D1804" i="1"/>
  <c r="D1029" i="1"/>
  <c r="D1560" i="1"/>
  <c r="D1074" i="1"/>
  <c r="D2344" i="1"/>
  <c r="D2460" i="1"/>
  <c r="D249" i="1"/>
  <c r="D1803" i="1"/>
  <c r="D134" i="1"/>
  <c r="D2778" i="1"/>
  <c r="D1727" i="1"/>
  <c r="D775" i="1"/>
  <c r="D1150" i="1"/>
  <c r="D2532" i="1"/>
  <c r="D2757" i="1"/>
  <c r="D1299" i="1"/>
  <c r="D264" i="1"/>
  <c r="D79" i="1"/>
  <c r="D1431" i="1"/>
  <c r="D199" i="1"/>
  <c r="D223" i="1"/>
  <c r="D1597" i="1"/>
  <c r="D2634" i="1"/>
  <c r="D2496" i="1"/>
  <c r="D207" i="1"/>
  <c r="D1298" i="1"/>
  <c r="D1374" i="1"/>
  <c r="D1717" i="1"/>
  <c r="D2312" i="1"/>
  <c r="D442" i="1"/>
  <c r="D2464" i="1"/>
  <c r="D2150" i="1"/>
  <c r="D2540" i="1"/>
  <c r="D812" i="1"/>
  <c r="D48" i="1"/>
  <c r="D355" i="1"/>
  <c r="D2188" i="1"/>
  <c r="D2452" i="1"/>
  <c r="D2721" i="1"/>
  <c r="D724" i="1"/>
  <c r="D2218" i="1"/>
  <c r="D2203" i="1"/>
  <c r="D1742" i="1"/>
  <c r="D2765" i="1"/>
  <c r="D2392" i="1"/>
  <c r="D2176" i="1"/>
  <c r="D253" i="1"/>
  <c r="D18" i="1"/>
  <c r="D1259" i="1"/>
  <c r="D2223" i="1"/>
  <c r="D2197" i="1"/>
  <c r="D765" i="1"/>
  <c r="D1609" i="1"/>
  <c r="D1326" i="1"/>
  <c r="D1261" i="1"/>
  <c r="D361" i="1"/>
  <c r="D2426" i="1"/>
  <c r="D298" i="1"/>
  <c r="D27" i="1"/>
  <c r="D1606" i="1"/>
  <c r="D1805" i="1"/>
  <c r="D845" i="1"/>
  <c r="D2448" i="1"/>
  <c r="D2414" i="1"/>
  <c r="D246" i="1"/>
  <c r="D1839" i="1"/>
  <c r="D234" i="1"/>
  <c r="D871" i="1"/>
  <c r="D1119" i="1"/>
  <c r="D511" i="1"/>
  <c r="D2008" i="1"/>
  <c r="D1186" i="1"/>
  <c r="D389" i="1"/>
  <c r="D1749" i="1"/>
  <c r="D2682" i="1"/>
  <c r="D1900" i="1"/>
  <c r="D1392" i="1"/>
  <c r="D2217" i="1"/>
  <c r="D32" i="1"/>
  <c r="D1870" i="1"/>
  <c r="D71" i="1"/>
  <c r="D854" i="1"/>
  <c r="D1624" i="1"/>
  <c r="D2444" i="1"/>
  <c r="D1404" i="1"/>
  <c r="D535" i="1"/>
  <c r="D2321" i="1"/>
  <c r="D2502" i="1"/>
  <c r="D2613" i="1"/>
  <c r="D648" i="1"/>
  <c r="D2698" i="1"/>
  <c r="D274" i="1"/>
  <c r="D2212" i="1"/>
  <c r="D2370" i="1"/>
  <c r="D1510" i="1"/>
  <c r="D1475" i="1"/>
  <c r="D742" i="1"/>
  <c r="D1275" i="1"/>
  <c r="D87" i="1"/>
  <c r="D326" i="1"/>
  <c r="D2125" i="1"/>
  <c r="D2436" i="1"/>
  <c r="D524" i="1"/>
  <c r="D545" i="1"/>
  <c r="D70" i="1"/>
  <c r="D2561" i="1"/>
  <c r="D2342" i="1"/>
  <c r="D1349" i="1"/>
  <c r="D2729" i="1"/>
  <c r="D2554" i="1"/>
  <c r="D1132" i="1"/>
  <c r="D934" i="1"/>
  <c r="D2117" i="1"/>
  <c r="D489" i="1"/>
  <c r="D379" i="1"/>
  <c r="D283" i="1"/>
  <c r="D1328" i="1"/>
  <c r="D1992" i="1"/>
  <c r="D1155" i="1"/>
  <c r="D2401" i="1"/>
  <c r="D1579" i="1"/>
  <c r="D1236" i="1"/>
  <c r="D1058" i="1"/>
  <c r="D970" i="1"/>
  <c r="D336" i="1"/>
  <c r="D299" i="1"/>
  <c r="D1061" i="1"/>
  <c r="D1092" i="1"/>
  <c r="D1317" i="1"/>
  <c r="D1553" i="1"/>
  <c r="D695" i="1"/>
  <c r="D15" i="1"/>
  <c r="D2663" i="1"/>
  <c r="D1596" i="1"/>
  <c r="D2335" i="1"/>
  <c r="D2052" i="1"/>
  <c r="D190" i="1"/>
  <c r="D2704" i="1"/>
  <c r="D490" i="1"/>
  <c r="D2708" i="1"/>
  <c r="D2469" i="1"/>
  <c r="D668" i="1"/>
  <c r="D106" i="1"/>
  <c r="D2229" i="1"/>
  <c r="D1403" i="1"/>
  <c r="D8" i="1"/>
  <c r="D78" i="1"/>
  <c r="D1929" i="1"/>
  <c r="D1618" i="1"/>
  <c r="D1234" i="1"/>
  <c r="D748" i="1"/>
  <c r="D925" i="1"/>
  <c r="D2573" i="1"/>
  <c r="D2149" i="1"/>
  <c r="D1822" i="1"/>
  <c r="D1411" i="1"/>
  <c r="D2750" i="1"/>
  <c r="D429" i="1"/>
  <c r="D167" i="1"/>
  <c r="D2175" i="1"/>
  <c r="D784" i="1"/>
  <c r="D1669" i="1"/>
  <c r="D2385" i="1"/>
  <c r="D1658" i="1"/>
  <c r="D2077" i="1"/>
  <c r="D1083" i="1"/>
  <c r="D1232" i="1"/>
  <c r="D1369" i="1"/>
  <c r="D1123" i="1"/>
  <c r="D1171" i="1"/>
  <c r="D1693" i="1"/>
  <c r="D932" i="1"/>
  <c r="D2002" i="1"/>
  <c r="D2645" i="1"/>
  <c r="D981" i="1"/>
  <c r="D2017" i="1"/>
  <c r="D2782" i="1"/>
  <c r="D395" i="1"/>
  <c r="D1972" i="1"/>
  <c r="D1215" i="1"/>
  <c r="D2004" i="1"/>
  <c r="D2484" i="1"/>
  <c r="D2753" i="1"/>
  <c r="D1571" i="1"/>
  <c r="D831" i="1"/>
  <c r="D1673" i="1"/>
  <c r="D1038" i="1"/>
  <c r="D2656" i="1"/>
  <c r="D2437" i="1"/>
  <c r="D1602" i="1"/>
  <c r="D2383" i="1"/>
  <c r="D2653" i="1"/>
  <c r="D2772" i="1"/>
  <c r="D1449" i="1"/>
  <c r="D1039" i="1"/>
  <c r="D1002" i="1"/>
  <c r="D1708" i="1"/>
  <c r="D777" i="1"/>
  <c r="D2353" i="1"/>
  <c r="D1724" i="1"/>
  <c r="D2250" i="1"/>
  <c r="D1470" i="1"/>
  <c r="D468" i="1"/>
  <c r="D2501" i="1"/>
  <c r="D1574" i="1"/>
  <c r="D1063" i="1"/>
  <c r="D2597" i="1"/>
  <c r="D574" i="1"/>
  <c r="D485" i="1"/>
  <c r="D2754" i="1"/>
  <c r="D627" i="1"/>
  <c r="D1961" i="1"/>
  <c r="D2396" i="1"/>
  <c r="D1034" i="1"/>
  <c r="D1595" i="1"/>
  <c r="D2026" i="1"/>
  <c r="D2328" i="1"/>
  <c r="D162" i="1"/>
  <c r="D2690" i="1"/>
  <c r="D2735" i="1"/>
  <c r="D315" i="1"/>
  <c r="D2763" i="1"/>
  <c r="D282" i="1"/>
  <c r="D1137" i="1"/>
  <c r="D767" i="1"/>
  <c r="D719" i="1"/>
  <c r="D693" i="1"/>
  <c r="D855" i="1"/>
  <c r="D1841" i="1"/>
  <c r="D1085" i="1"/>
  <c r="D1082" i="1"/>
  <c r="D2744" i="1"/>
  <c r="D175" i="1"/>
  <c r="D1483" i="1"/>
  <c r="D2132" i="1"/>
  <c r="D2671" i="1"/>
  <c r="D2740" i="1"/>
  <c r="D700" i="1"/>
  <c r="D1432" i="1"/>
  <c r="D94" i="1"/>
  <c r="D1184" i="1"/>
  <c r="D2285" i="1"/>
  <c r="D481" i="1"/>
  <c r="D2713" i="1"/>
  <c r="D546" i="1"/>
  <c r="D1636" i="1"/>
  <c r="D1525" i="1"/>
  <c r="D1781" i="1"/>
  <c r="D212" i="1"/>
  <c r="D2270" i="1"/>
  <c r="D1911" i="1"/>
  <c r="D520" i="1"/>
  <c r="D2330" i="1"/>
  <c r="D477" i="1"/>
  <c r="D2716" i="1"/>
  <c r="D819" i="1"/>
  <c r="D2347" i="1"/>
  <c r="D2394" i="1"/>
  <c r="D603" i="1"/>
  <c r="D578" i="1"/>
  <c r="D1479" i="1"/>
  <c r="D1165" i="1"/>
  <c r="D2101" i="1"/>
  <c r="D2421" i="1"/>
  <c r="D1639" i="1"/>
  <c r="D579" i="1"/>
  <c r="D50" i="1"/>
  <c r="D840" i="1"/>
  <c r="D1371" i="1"/>
  <c r="D519" i="1"/>
  <c r="D2498" i="1"/>
  <c r="D1941" i="1"/>
  <c r="D1563" i="1"/>
  <c r="D2787" i="1"/>
  <c r="D1336" i="1"/>
  <c r="D1327" i="1"/>
  <c r="D2327" i="1"/>
  <c r="D843" i="1"/>
  <c r="D617" i="1"/>
  <c r="D150" i="1"/>
  <c r="D1391" i="1"/>
  <c r="D1231" i="1"/>
  <c r="D1769" i="1"/>
  <c r="D1523" i="1"/>
  <c r="D1634" i="1"/>
  <c r="D2287" i="1"/>
  <c r="D257" i="1"/>
  <c r="D1079" i="1"/>
  <c r="D862" i="1"/>
  <c r="D1433" i="1"/>
  <c r="D1207" i="1"/>
  <c r="D174" i="1"/>
  <c r="D1139" i="1"/>
  <c r="D2192" i="1"/>
  <c r="D408" i="1"/>
  <c r="D2632" i="1"/>
  <c r="D1481" i="1"/>
  <c r="D1799" i="1"/>
  <c r="D2324" i="1"/>
  <c r="D1886" i="1"/>
  <c r="D1348" i="1"/>
  <c r="D864" i="1"/>
  <c r="D1538" i="1"/>
  <c r="D1682" i="1"/>
  <c r="D734" i="1"/>
  <c r="D1310" i="1"/>
  <c r="D1353" i="1"/>
  <c r="D1750" i="1"/>
  <c r="D307" i="1"/>
  <c r="D987" i="1"/>
  <c r="D832" i="1"/>
  <c r="D1590" i="1"/>
  <c r="D1199" i="1"/>
  <c r="D2718" i="1"/>
  <c r="D2210" i="1"/>
  <c r="D1664" i="1"/>
  <c r="D2182" i="1"/>
  <c r="D1090" i="1"/>
  <c r="D206" i="1"/>
  <c r="D735" i="1"/>
  <c r="D119" i="1"/>
  <c r="D1052" i="1"/>
  <c r="D954" i="1"/>
  <c r="D783" i="1"/>
  <c r="D1921" i="1"/>
  <c r="D2495" i="1"/>
  <c r="D1860" i="1"/>
  <c r="D2310" i="1"/>
  <c r="D1287" i="1"/>
  <c r="D1104" i="1"/>
  <c r="D654" i="1"/>
  <c r="D2174" i="1"/>
  <c r="D1149" i="1"/>
  <c r="D1269" i="1"/>
  <c r="D2061" i="1"/>
  <c r="D616" i="1"/>
  <c r="D239" i="1"/>
  <c r="D685" i="1"/>
  <c r="D1533" i="1"/>
  <c r="D362" i="1"/>
  <c r="D792" i="1"/>
  <c r="D2483" i="1"/>
  <c r="D131" i="1"/>
  <c r="D23" i="1"/>
  <c r="D1346" i="1"/>
  <c r="D1840" i="1"/>
  <c r="D602" i="1"/>
  <c r="D319" i="1"/>
  <c r="D720" i="1"/>
  <c r="D779" i="1"/>
  <c r="D1937" i="1"/>
  <c r="D555" i="1"/>
  <c r="D725" i="1"/>
  <c r="D1714" i="1"/>
  <c r="D2699" i="1"/>
  <c r="D2158" i="1"/>
  <c r="D1223" i="1"/>
  <c r="D19" i="1"/>
  <c r="D26" i="1"/>
  <c r="D2272" i="1"/>
  <c r="D197" i="1"/>
  <c r="D90" i="1"/>
  <c r="D1635" i="1"/>
  <c r="D1549" i="1"/>
  <c r="D863" i="1"/>
  <c r="D968" i="1"/>
  <c r="D837" i="1"/>
  <c r="D2065" i="1"/>
  <c r="D1603" i="1"/>
  <c r="D170" i="1"/>
  <c r="D2136" i="1"/>
  <c r="D1012" i="1"/>
  <c r="D238" i="1"/>
  <c r="D1304" i="1"/>
  <c r="D1899" i="1"/>
  <c r="D2751" i="1"/>
  <c r="D1817" i="1"/>
  <c r="D891" i="1"/>
  <c r="D1145" i="1"/>
  <c r="D156" i="1"/>
  <c r="D2593" i="1"/>
  <c r="D258" i="1"/>
  <c r="D2748" i="1"/>
  <c r="D2369" i="1"/>
  <c r="D2390" i="1"/>
  <c r="D1546" i="1"/>
  <c r="D1402" i="1"/>
  <c r="D377" i="1"/>
  <c r="D2388" i="1"/>
  <c r="D2259" i="1"/>
  <c r="D330" i="1"/>
  <c r="D1081" i="1"/>
  <c r="D674" i="1"/>
  <c r="D857" i="1"/>
  <c r="D945" i="1"/>
  <c r="D1551" i="1"/>
  <c r="D1770" i="1"/>
  <c r="D2637" i="1"/>
  <c r="D147" i="1"/>
  <c r="D2291" i="1"/>
  <c r="D1732" i="1"/>
  <c r="D1971" i="1"/>
  <c r="D904" i="1"/>
  <c r="D1224" i="1"/>
  <c r="D683" i="1"/>
  <c r="D2374" i="1"/>
  <c r="D2677" i="1"/>
  <c r="D1000" i="1"/>
  <c r="D2243" i="1"/>
  <c r="D1283" i="1"/>
  <c r="D1160" i="1"/>
  <c r="D2723" i="1"/>
  <c r="D327" i="1"/>
  <c r="D2331" i="1"/>
  <c r="D2325" i="1"/>
  <c r="D2568" i="1"/>
  <c r="D69" i="1"/>
  <c r="D2507" i="1"/>
  <c r="D2349" i="1"/>
  <c r="D2382" i="1"/>
  <c r="D575" i="1"/>
  <c r="D2333" i="1"/>
  <c r="D815" i="1"/>
  <c r="D68" i="1"/>
  <c r="D1913" i="1"/>
  <c r="D907" i="1"/>
  <c r="D324" i="1"/>
  <c r="D2079" i="1"/>
  <c r="D589" i="1"/>
  <c r="D1260" i="1"/>
  <c r="D421" i="1"/>
  <c r="D973" i="1"/>
  <c r="D642" i="1"/>
  <c r="D2482" i="1"/>
  <c r="D262" i="1"/>
  <c r="D1087" i="1"/>
  <c r="D1588" i="1"/>
  <c r="D491" i="1"/>
  <c r="D1958" i="1"/>
  <c r="D2393" i="1"/>
  <c r="D2550" i="1"/>
  <c r="D1482" i="1"/>
  <c r="D55" i="1"/>
  <c r="D1069" i="1"/>
  <c r="D1408" i="1"/>
  <c r="D1850" i="1"/>
  <c r="D915" i="1"/>
  <c r="D56" i="1"/>
  <c r="D1569" i="1"/>
  <c r="D2184" i="1"/>
  <c r="D1912" i="1"/>
  <c r="D182" i="1"/>
  <c r="D44" i="1"/>
  <c r="D1407" i="1"/>
  <c r="D1108" i="1"/>
  <c r="D1016" i="1"/>
  <c r="D501" i="1"/>
  <c r="D567" i="1"/>
  <c r="D1962" i="1"/>
  <c r="D1783" i="1"/>
  <c r="D841" i="1"/>
  <c r="D2093" i="1"/>
  <c r="D1810" i="1"/>
  <c r="D2504" i="1"/>
  <c r="D1726" i="1"/>
  <c r="D2736" i="1"/>
  <c r="D275" i="1"/>
  <c r="D157" i="1"/>
  <c r="D1515" i="1"/>
  <c r="D80" i="1"/>
  <c r="D231" i="1"/>
  <c r="D2707" i="1"/>
  <c r="D800" i="1"/>
  <c r="D1652" i="1"/>
  <c r="D705" i="1"/>
  <c r="D1180" i="1"/>
  <c r="D680" i="1"/>
  <c r="D466" i="1"/>
  <c r="D54" i="1"/>
  <c r="D1655" i="1"/>
  <c r="D2271" i="1"/>
  <c r="D2596" i="1"/>
  <c r="D1124" i="1"/>
  <c r="D1243" i="1"/>
  <c r="D2204" i="1"/>
  <c r="D1519" i="1"/>
  <c r="D1509" i="1"/>
  <c r="D978" i="1"/>
  <c r="D887" i="1"/>
  <c r="D2556" i="1"/>
  <c r="D1321" i="1"/>
  <c r="D2239" i="1"/>
  <c r="D2479" i="1"/>
  <c r="D160" i="1"/>
  <c r="D2288" i="1"/>
  <c r="D1089" i="1"/>
  <c r="D1140" i="1"/>
  <c r="D2265" i="1"/>
  <c r="D2398" i="1"/>
  <c r="D712" i="1"/>
  <c r="D1398" i="1"/>
  <c r="D184" i="1"/>
  <c r="D1330" i="1"/>
  <c r="D221" i="1"/>
  <c r="D1917" i="1"/>
  <c r="D2130" i="1"/>
  <c r="D1554" i="1"/>
  <c r="D2607" i="1"/>
  <c r="D2213" i="1"/>
  <c r="D161" i="1"/>
  <c r="D782" i="1"/>
  <c r="D1862" i="1"/>
  <c r="D1598" i="1"/>
  <c r="D1916" i="1"/>
  <c r="D2727" i="1"/>
  <c r="D2391" i="1"/>
  <c r="D1684" i="1"/>
  <c r="D926" i="1"/>
  <c r="D339" i="1"/>
  <c r="D1036" i="1"/>
  <c r="D2032" i="1"/>
  <c r="D2481" i="1"/>
  <c r="D1420" i="1"/>
  <c r="D417" i="1"/>
  <c r="D2761" i="1"/>
  <c r="D479" i="1"/>
  <c r="D179" i="1"/>
  <c r="D82" i="1"/>
  <c r="D1934" i="1"/>
  <c r="D409" i="1"/>
  <c r="D528" i="1"/>
  <c r="D729" i="1"/>
  <c r="D297" i="1"/>
  <c r="D255" i="1"/>
  <c r="D1271" i="1"/>
  <c r="D591" i="1"/>
  <c r="D2226" i="1"/>
  <c r="D2154" i="1"/>
  <c r="D2368" i="1"/>
  <c r="D215" i="1"/>
  <c r="D1116" i="1"/>
  <c r="D1242" i="1"/>
  <c r="D2202" i="1"/>
  <c r="D2102" i="1"/>
  <c r="D77" i="1"/>
  <c r="D1164" i="1"/>
  <c r="D2605" i="1"/>
  <c r="D621" i="1"/>
  <c r="D634" i="1"/>
  <c r="D1512" i="1"/>
  <c r="D1001" i="1"/>
  <c r="D883" i="1"/>
  <c r="D139" i="1"/>
  <c r="D2790" i="1"/>
  <c r="D500" i="1"/>
  <c r="D194" i="1"/>
  <c r="D2684" i="1"/>
  <c r="D1368" i="1"/>
  <c r="D2238" i="1"/>
  <c r="D2034" i="1"/>
  <c r="D1648" i="1"/>
  <c r="D2233" i="1"/>
  <c r="D2097" i="1"/>
  <c r="D709" i="1"/>
  <c r="D1793" i="1"/>
  <c r="D382" i="1"/>
  <c r="D1789" i="1"/>
  <c r="D58" i="1"/>
  <c r="D2051" i="1"/>
  <c r="D1200" i="1"/>
  <c r="D2734" i="1"/>
  <c r="D1152" i="1"/>
  <c r="D2771" i="1"/>
  <c r="D1617" i="1"/>
  <c r="D953" i="1"/>
  <c r="D95" i="1"/>
  <c r="D2510" i="1"/>
  <c r="D2320" i="1"/>
  <c r="D2627" i="1"/>
  <c r="D2011" i="1"/>
  <c r="D72" i="1"/>
  <c r="D1542" i="1"/>
  <c r="D2793" i="1"/>
  <c r="D1901" i="1"/>
  <c r="D1355" i="1"/>
  <c r="D2365" i="1"/>
  <c r="D1205" i="1"/>
  <c r="D2689" i="1"/>
  <c r="D1722" i="1"/>
  <c r="D2237" i="1"/>
  <c r="D910" i="1"/>
  <c r="D350" i="1"/>
  <c r="D2072" i="1"/>
  <c r="D1689" i="1"/>
  <c r="D2361" i="1"/>
  <c r="D1537" i="1"/>
  <c r="D507" i="1"/>
  <c r="D1338" i="1"/>
  <c r="D764" i="1"/>
  <c r="D1627" i="1"/>
  <c r="D476" i="1"/>
  <c r="D1788" i="1"/>
  <c r="D1517" i="1"/>
  <c r="D688" i="1"/>
  <c r="D2672" i="1"/>
  <c r="D1176" i="1"/>
  <c r="D2000" i="1"/>
  <c r="D1897" i="1"/>
  <c r="D801" i="1"/>
  <c r="D344" i="1"/>
  <c r="D562" i="1"/>
  <c r="D1691" i="1"/>
  <c r="D1251" i="1"/>
  <c r="D1102" i="1"/>
  <c r="D2423" i="1"/>
  <c r="D908" i="1"/>
  <c r="D229" i="1"/>
  <c r="D369" i="1"/>
  <c r="D2621" i="1"/>
  <c r="D1836" i="1"/>
  <c r="D2766" i="1"/>
  <c r="D290" i="1"/>
  <c r="D2296" i="1"/>
  <c r="D461" i="1"/>
  <c r="D628" i="1"/>
  <c r="D2413" i="1"/>
  <c r="D1182" i="1"/>
  <c r="D1103" i="1"/>
  <c r="D1399" i="1"/>
  <c r="D129" i="1"/>
  <c r="D1764" i="1"/>
  <c r="D549" i="1"/>
  <c r="D392" i="1"/>
  <c r="D2222" i="1"/>
  <c r="D976" i="1"/>
  <c r="D1329" i="1"/>
  <c r="D842" i="1"/>
  <c r="D2465" i="1"/>
  <c r="D1997" i="1"/>
  <c r="D2244" i="1"/>
  <c r="D1477" i="1"/>
  <c r="D596" i="1"/>
  <c r="D219" i="1"/>
  <c r="D1423" i="1"/>
  <c r="D1004" i="1"/>
  <c r="D796" i="1"/>
  <c r="D2381" i="1"/>
  <c r="D1631" i="1"/>
  <c r="D1233" i="1"/>
  <c r="D2572" i="1"/>
  <c r="D370" i="1"/>
  <c r="D623" i="1"/>
  <c r="D1707" i="1"/>
  <c r="D649" i="1"/>
  <c r="D2258" i="1"/>
  <c r="D1699" i="1"/>
  <c r="D325" i="1"/>
  <c r="D2724" i="1"/>
  <c r="D329" i="1"/>
  <c r="D456" i="1"/>
  <c r="D1047" i="1"/>
  <c r="D900" i="1"/>
  <c r="D2314" i="1"/>
  <c r="D1827" i="1"/>
  <c r="D2668" i="1"/>
  <c r="D2119" i="1"/>
  <c r="D1484" i="1"/>
  <c r="D1121" i="1"/>
  <c r="D1566" i="1"/>
  <c r="D2185" i="1"/>
  <c r="D338" i="1"/>
  <c r="D2777" i="1"/>
  <c r="D1677" i="1"/>
  <c r="D1356" i="1"/>
  <c r="D1703" i="1"/>
  <c r="D793" i="1"/>
  <c r="D1163" i="1"/>
  <c r="D2792" i="1"/>
  <c r="D2375" i="1"/>
  <c r="D1491" i="1"/>
  <c r="D650" i="1"/>
  <c r="D919" i="1"/>
  <c r="D594" i="1"/>
  <c r="D1858" i="1"/>
  <c r="D1454" i="1"/>
  <c r="D1752" i="1"/>
  <c r="D332" i="1"/>
  <c r="D335" i="1"/>
  <c r="D1651" i="1"/>
  <c r="D984" i="1"/>
  <c r="D879" i="1"/>
  <c r="D788" i="1"/>
  <c r="D1008" i="1"/>
  <c r="D2522" i="1"/>
  <c r="D2659" i="1"/>
  <c r="D1022" i="1"/>
  <c r="D2001" i="1"/>
  <c r="D2612" i="1"/>
  <c r="D874" i="1"/>
  <c r="D356" i="1"/>
  <c r="D522" i="1"/>
  <c r="D791" i="1"/>
  <c r="D731" i="1"/>
  <c r="D1965" i="1"/>
  <c r="D750" i="1"/>
  <c r="D1485" i="1"/>
  <c r="D2354" i="1"/>
  <c r="D2564" i="1"/>
  <c r="D2432" i="1"/>
  <c r="D381" i="1"/>
  <c r="D757" i="1"/>
  <c r="D1396" i="1"/>
  <c r="D1777" i="1"/>
  <c r="D2574" i="1"/>
  <c r="D1592" i="1"/>
  <c r="D2649" i="1"/>
  <c r="D260" i="1"/>
  <c r="D1508" i="1"/>
  <c r="D1279" i="1"/>
  <c r="D1514" i="1"/>
  <c r="D1816" i="1"/>
  <c r="D1787" i="1"/>
  <c r="D898" i="1"/>
  <c r="D620" i="1"/>
  <c r="D1366" i="1"/>
  <c r="D660" i="1"/>
  <c r="D1435" i="1"/>
  <c r="D727" i="1"/>
  <c r="D2499" i="1"/>
  <c r="D1501" i="1"/>
  <c r="D633" i="1"/>
  <c r="D2138" i="1"/>
  <c r="D37" i="1"/>
  <c r="D1414" i="1"/>
  <c r="D2791" i="1"/>
  <c r="D2519" i="1"/>
  <c r="D1940" i="1"/>
  <c r="D1060" i="1"/>
  <c r="D1506" i="1"/>
  <c r="D1424" i="1"/>
  <c r="D2301" i="1"/>
  <c r="D2581" i="1"/>
  <c r="D2646" i="1"/>
  <c r="D1172" i="1"/>
  <c r="D1798" i="1"/>
  <c r="D1289" i="1"/>
  <c r="D218" i="1"/>
  <c r="D2163" i="1"/>
  <c r="D2489" i="1"/>
  <c r="D1068" i="1"/>
  <c r="D1564" i="1"/>
  <c r="D188" i="1"/>
  <c r="D2228" i="1"/>
  <c r="D1625" i="1"/>
  <c r="D295" i="1"/>
  <c r="D2090" i="1"/>
  <c r="D1167" i="1"/>
  <c r="D342" i="1"/>
  <c r="D1342" i="1"/>
  <c r="D2541" i="1"/>
  <c r="D380" i="1"/>
  <c r="D1245" i="1"/>
  <c r="D2565" i="1"/>
  <c r="D2545" i="1"/>
  <c r="D314" i="1"/>
  <c r="D679" i="1"/>
  <c r="D2103" i="1"/>
  <c r="D2732" i="1"/>
  <c r="D2509" i="1"/>
  <c r="D626" i="1"/>
  <c r="D75" i="1"/>
  <c r="D1017" i="1"/>
  <c r="D1999" i="1"/>
  <c r="D1950" i="1"/>
  <c r="D1381" i="1"/>
  <c r="D1893" i="1"/>
  <c r="D895" i="1"/>
  <c r="D261" i="1"/>
  <c r="D2410" i="1"/>
  <c r="D1098" i="1"/>
  <c r="D1276" i="1"/>
  <c r="D2220" i="1"/>
  <c r="D1771" i="1"/>
  <c r="D2232" i="1"/>
  <c r="D1196" i="1"/>
  <c r="D2315" i="1"/>
  <c r="D1146" i="1"/>
  <c r="D1883" i="1"/>
  <c r="D93" i="1"/>
  <c r="D91" i="1"/>
  <c r="D1548" i="1"/>
  <c r="D1926" i="1"/>
  <c r="D733" i="1"/>
  <c r="D1568" i="1"/>
  <c r="D1737" i="1"/>
  <c r="D2606" i="1"/>
  <c r="D120" i="1"/>
  <c r="D2257" i="1"/>
  <c r="D2679" i="1"/>
  <c r="D2473" i="1"/>
  <c r="D1159" i="1"/>
  <c r="D890" i="1"/>
  <c r="D1113" i="1"/>
  <c r="D266" i="1"/>
  <c r="D682" i="1"/>
  <c r="D822" i="1"/>
  <c r="D534" i="1"/>
  <c r="D2404" i="1"/>
  <c r="D2191" i="1"/>
  <c r="D2360" i="1"/>
  <c r="D715" i="1"/>
  <c r="D378" i="1"/>
  <c r="D2279" i="1"/>
  <c r="D1280" i="1"/>
  <c r="D1782" i="1"/>
  <c r="D1518" i="1"/>
  <c r="D2582" i="1"/>
  <c r="D401" i="1"/>
  <c r="D1540" i="1"/>
  <c r="D2664" i="1"/>
  <c r="D373" i="1"/>
  <c r="D2242" i="1"/>
  <c r="D2539" i="1"/>
  <c r="D844" i="1"/>
  <c r="D2309" i="1"/>
  <c r="D1009" i="1"/>
  <c r="D1393" i="1"/>
  <c r="D614" i="1"/>
  <c r="D1581" i="1"/>
  <c r="D625" i="1"/>
  <c r="D1072" i="1"/>
  <c r="D1755" i="1"/>
  <c r="D851" i="1"/>
  <c r="D1828" i="1"/>
  <c r="D1930" i="1"/>
  <c r="D906" i="1"/>
  <c r="D1933" i="1"/>
  <c r="D2424" i="1"/>
  <c r="D1054" i="1"/>
  <c r="D916" i="1"/>
  <c r="D115" i="1"/>
  <c r="U10" i="3" l="1"/>
  <c r="X10" i="3" s="1"/>
  <c r="P4" i="3"/>
  <c r="P5" i="3"/>
  <c r="X14" i="3" l="1"/>
  <c r="X22" i="3"/>
  <c r="X30" i="3"/>
  <c r="X38" i="3"/>
  <c r="X46" i="3"/>
  <c r="X54" i="3"/>
  <c r="X62" i="3"/>
  <c r="X70" i="3"/>
  <c r="X78" i="3"/>
  <c r="X86" i="3"/>
  <c r="X94" i="3"/>
  <c r="X102" i="3"/>
  <c r="X110" i="3"/>
  <c r="X118" i="3"/>
  <c r="X126" i="3"/>
  <c r="X134" i="3"/>
  <c r="X142" i="3"/>
  <c r="X150" i="3"/>
  <c r="X158" i="3"/>
  <c r="X166" i="3"/>
  <c r="X174" i="3"/>
  <c r="X182" i="3"/>
  <c r="X190" i="3"/>
  <c r="X198" i="3"/>
  <c r="X206" i="3"/>
  <c r="X214" i="3"/>
  <c r="X222" i="3"/>
  <c r="X230" i="3"/>
  <c r="X238" i="3"/>
  <c r="X246" i="3"/>
  <c r="X254" i="3"/>
  <c r="X262" i="3"/>
  <c r="X270" i="3"/>
  <c r="X278" i="3"/>
  <c r="X286" i="3"/>
  <c r="X294" i="3"/>
  <c r="X302" i="3"/>
  <c r="X310" i="3"/>
  <c r="X318" i="3"/>
  <c r="X326" i="3"/>
  <c r="X334" i="3"/>
  <c r="X342" i="3"/>
  <c r="X350" i="3"/>
  <c r="X358" i="3"/>
  <c r="X366" i="3"/>
  <c r="X374" i="3"/>
  <c r="X382" i="3"/>
  <c r="X390" i="3"/>
  <c r="X398" i="3"/>
  <c r="X406" i="3"/>
  <c r="X414" i="3"/>
  <c r="X422" i="3"/>
  <c r="X430" i="3"/>
  <c r="X438" i="3"/>
  <c r="X446" i="3"/>
  <c r="X454" i="3"/>
  <c r="X462" i="3"/>
  <c r="X470" i="3"/>
  <c r="X478" i="3"/>
  <c r="X486" i="3"/>
  <c r="X494" i="3"/>
  <c r="X502" i="3"/>
  <c r="X510" i="3"/>
  <c r="X518" i="3"/>
  <c r="X526" i="3"/>
  <c r="X534" i="3"/>
  <c r="X542" i="3"/>
  <c r="X550" i="3"/>
  <c r="X558" i="3"/>
  <c r="X566" i="3"/>
  <c r="X574" i="3"/>
  <c r="X582" i="3"/>
  <c r="X590" i="3"/>
  <c r="X598" i="3"/>
  <c r="X606" i="3"/>
  <c r="X24" i="3"/>
  <c r="X32" i="3"/>
  <c r="X48" i="3"/>
  <c r="X64" i="3"/>
  <c r="X80" i="3"/>
  <c r="X96" i="3"/>
  <c r="X112" i="3"/>
  <c r="X128" i="3"/>
  <c r="X144" i="3"/>
  <c r="X160" i="3"/>
  <c r="X15" i="3"/>
  <c r="X23" i="3"/>
  <c r="X31" i="3"/>
  <c r="X39" i="3"/>
  <c r="X47" i="3"/>
  <c r="X55" i="3"/>
  <c r="X63" i="3"/>
  <c r="X71" i="3"/>
  <c r="X79" i="3"/>
  <c r="X87" i="3"/>
  <c r="X95" i="3"/>
  <c r="X103" i="3"/>
  <c r="X111" i="3"/>
  <c r="X119" i="3"/>
  <c r="X127" i="3"/>
  <c r="X135" i="3"/>
  <c r="X143" i="3"/>
  <c r="X151" i="3"/>
  <c r="X159" i="3"/>
  <c r="X167" i="3"/>
  <c r="X175" i="3"/>
  <c r="X183" i="3"/>
  <c r="X191" i="3"/>
  <c r="X199" i="3"/>
  <c r="X207" i="3"/>
  <c r="X215" i="3"/>
  <c r="X223" i="3"/>
  <c r="X231" i="3"/>
  <c r="X239" i="3"/>
  <c r="X247" i="3"/>
  <c r="X255" i="3"/>
  <c r="X263" i="3"/>
  <c r="X271" i="3"/>
  <c r="X279" i="3"/>
  <c r="X287" i="3"/>
  <c r="X295" i="3"/>
  <c r="X303" i="3"/>
  <c r="X311" i="3"/>
  <c r="X319" i="3"/>
  <c r="X327" i="3"/>
  <c r="X335" i="3"/>
  <c r="X343" i="3"/>
  <c r="X351" i="3"/>
  <c r="X359" i="3"/>
  <c r="X367" i="3"/>
  <c r="X375" i="3"/>
  <c r="X383" i="3"/>
  <c r="X391" i="3"/>
  <c r="X399" i="3"/>
  <c r="X407" i="3"/>
  <c r="X415" i="3"/>
  <c r="X423" i="3"/>
  <c r="X431" i="3"/>
  <c r="X439" i="3"/>
  <c r="X447" i="3"/>
  <c r="X455" i="3"/>
  <c r="X463" i="3"/>
  <c r="X471" i="3"/>
  <c r="X479" i="3"/>
  <c r="X487" i="3"/>
  <c r="X495" i="3"/>
  <c r="X503" i="3"/>
  <c r="X511" i="3"/>
  <c r="X519" i="3"/>
  <c r="X527" i="3"/>
  <c r="X535" i="3"/>
  <c r="X543" i="3"/>
  <c r="X551" i="3"/>
  <c r="X559" i="3"/>
  <c r="X567" i="3"/>
  <c r="X575" i="3"/>
  <c r="X583" i="3"/>
  <c r="X591" i="3"/>
  <c r="X599" i="3"/>
  <c r="X607" i="3"/>
  <c r="X16" i="3"/>
  <c r="X40" i="3"/>
  <c r="X56" i="3"/>
  <c r="X72" i="3"/>
  <c r="X88" i="3"/>
  <c r="X104" i="3"/>
  <c r="X120" i="3"/>
  <c r="X136" i="3"/>
  <c r="X152" i="3"/>
  <c r="X168" i="3"/>
  <c r="X17" i="3"/>
  <c r="X25" i="3"/>
  <c r="X33" i="3"/>
  <c r="X41" i="3"/>
  <c r="X49" i="3"/>
  <c r="X57" i="3"/>
  <c r="X65" i="3"/>
  <c r="X73" i="3"/>
  <c r="X81" i="3"/>
  <c r="X89" i="3"/>
  <c r="X97" i="3"/>
  <c r="X105" i="3"/>
  <c r="X113" i="3"/>
  <c r="X121" i="3"/>
  <c r="X129" i="3"/>
  <c r="X137" i="3"/>
  <c r="X145" i="3"/>
  <c r="X153" i="3"/>
  <c r="X161" i="3"/>
  <c r="X169" i="3"/>
  <c r="X177" i="3"/>
  <c r="X185" i="3"/>
  <c r="X193" i="3"/>
  <c r="X201" i="3"/>
  <c r="X209" i="3"/>
  <c r="X217" i="3"/>
  <c r="X225" i="3"/>
  <c r="X233" i="3"/>
  <c r="X241" i="3"/>
  <c r="X249" i="3"/>
  <c r="X257" i="3"/>
  <c r="X265" i="3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X505" i="3"/>
  <c r="X513" i="3"/>
  <c r="X521" i="3"/>
  <c r="X529" i="3"/>
  <c r="X537" i="3"/>
  <c r="X545" i="3"/>
  <c r="X553" i="3"/>
  <c r="X561" i="3"/>
  <c r="X569" i="3"/>
  <c r="X577" i="3"/>
  <c r="X585" i="3"/>
  <c r="X593" i="3"/>
  <c r="X601" i="3"/>
  <c r="X18" i="3"/>
  <c r="X26" i="3"/>
  <c r="X34" i="3"/>
  <c r="X42" i="3"/>
  <c r="X50" i="3"/>
  <c r="X58" i="3"/>
  <c r="X66" i="3"/>
  <c r="X19" i="3"/>
  <c r="X37" i="3"/>
  <c r="X60" i="3"/>
  <c r="X77" i="3"/>
  <c r="X93" i="3"/>
  <c r="X109" i="3"/>
  <c r="X125" i="3"/>
  <c r="X141" i="3"/>
  <c r="X157" i="3"/>
  <c r="X173" i="3"/>
  <c r="X187" i="3"/>
  <c r="X200" i="3"/>
  <c r="X212" i="3"/>
  <c r="X226" i="3"/>
  <c r="X237" i="3"/>
  <c r="X251" i="3"/>
  <c r="X264" i="3"/>
  <c r="X276" i="3"/>
  <c r="X290" i="3"/>
  <c r="X301" i="3"/>
  <c r="X315" i="3"/>
  <c r="X328" i="3"/>
  <c r="X340" i="3"/>
  <c r="X354" i="3"/>
  <c r="X365" i="3"/>
  <c r="X379" i="3"/>
  <c r="X392" i="3"/>
  <c r="X404" i="3"/>
  <c r="X418" i="3"/>
  <c r="X429" i="3"/>
  <c r="X443" i="3"/>
  <c r="X456" i="3"/>
  <c r="X468" i="3"/>
  <c r="X482" i="3"/>
  <c r="X493" i="3"/>
  <c r="X507" i="3"/>
  <c r="X520" i="3"/>
  <c r="X532" i="3"/>
  <c r="X546" i="3"/>
  <c r="X557" i="3"/>
  <c r="X571" i="3"/>
  <c r="X584" i="3"/>
  <c r="X596" i="3"/>
  <c r="X572" i="3"/>
  <c r="X597" i="3"/>
  <c r="X44" i="3"/>
  <c r="X67" i="3"/>
  <c r="X83" i="3"/>
  <c r="X115" i="3"/>
  <c r="X147" i="3"/>
  <c r="X178" i="3"/>
  <c r="X203" i="3"/>
  <c r="X228" i="3"/>
  <c r="X253" i="3"/>
  <c r="X280" i="3"/>
  <c r="X306" i="3"/>
  <c r="X331" i="3"/>
  <c r="X356" i="3"/>
  <c r="X395" i="3"/>
  <c r="X420" i="3"/>
  <c r="X445" i="3"/>
  <c r="X472" i="3"/>
  <c r="X498" i="3"/>
  <c r="X523" i="3"/>
  <c r="X548" i="3"/>
  <c r="X573" i="3"/>
  <c r="X600" i="3"/>
  <c r="X258" i="3"/>
  <c r="X322" i="3"/>
  <c r="X372" i="3"/>
  <c r="X411" i="3"/>
  <c r="X450" i="3"/>
  <c r="X488" i="3"/>
  <c r="X514" i="3"/>
  <c r="X539" i="3"/>
  <c r="X578" i="3"/>
  <c r="X11" i="3"/>
  <c r="X90" i="3"/>
  <c r="X122" i="3"/>
  <c r="X170" i="3"/>
  <c r="X208" i="3"/>
  <c r="X245" i="3"/>
  <c r="X272" i="3"/>
  <c r="X309" i="3"/>
  <c r="X362" i="3"/>
  <c r="X400" i="3"/>
  <c r="X437" i="3"/>
  <c r="X464" i="3"/>
  <c r="X501" i="3"/>
  <c r="X540" i="3"/>
  <c r="X579" i="3"/>
  <c r="X12" i="3"/>
  <c r="X75" i="3"/>
  <c r="X20" i="3"/>
  <c r="X43" i="3"/>
  <c r="X61" i="3"/>
  <c r="X82" i="3"/>
  <c r="X98" i="3"/>
  <c r="X114" i="3"/>
  <c r="X130" i="3"/>
  <c r="X146" i="3"/>
  <c r="X162" i="3"/>
  <c r="X176" i="3"/>
  <c r="X188" i="3"/>
  <c r="X202" i="3"/>
  <c r="X213" i="3"/>
  <c r="X227" i="3"/>
  <c r="X240" i="3"/>
  <c r="X252" i="3"/>
  <c r="X266" i="3"/>
  <c r="X277" i="3"/>
  <c r="X291" i="3"/>
  <c r="X304" i="3"/>
  <c r="X316" i="3"/>
  <c r="X330" i="3"/>
  <c r="X341" i="3"/>
  <c r="X355" i="3"/>
  <c r="X368" i="3"/>
  <c r="X380" i="3"/>
  <c r="X394" i="3"/>
  <c r="X405" i="3"/>
  <c r="X419" i="3"/>
  <c r="X432" i="3"/>
  <c r="X444" i="3"/>
  <c r="X458" i="3"/>
  <c r="X469" i="3"/>
  <c r="X483" i="3"/>
  <c r="X496" i="3"/>
  <c r="X508" i="3"/>
  <c r="X522" i="3"/>
  <c r="X533" i="3"/>
  <c r="X547" i="3"/>
  <c r="X560" i="3"/>
  <c r="X586" i="3"/>
  <c r="X21" i="3"/>
  <c r="X99" i="3"/>
  <c r="X131" i="3"/>
  <c r="X163" i="3"/>
  <c r="X189" i="3"/>
  <c r="X216" i="3"/>
  <c r="X242" i="3"/>
  <c r="X267" i="3"/>
  <c r="X292" i="3"/>
  <c r="X317" i="3"/>
  <c r="X344" i="3"/>
  <c r="X370" i="3"/>
  <c r="X381" i="3"/>
  <c r="X408" i="3"/>
  <c r="X434" i="3"/>
  <c r="X459" i="3"/>
  <c r="X484" i="3"/>
  <c r="X509" i="3"/>
  <c r="X536" i="3"/>
  <c r="X562" i="3"/>
  <c r="X587" i="3"/>
  <c r="X244" i="3"/>
  <c r="X308" i="3"/>
  <c r="X347" i="3"/>
  <c r="X386" i="3"/>
  <c r="X424" i="3"/>
  <c r="X461" i="3"/>
  <c r="X500" i="3"/>
  <c r="X552" i="3"/>
  <c r="X589" i="3"/>
  <c r="X52" i="3"/>
  <c r="X138" i="3"/>
  <c r="X181" i="3"/>
  <c r="X220" i="3"/>
  <c r="X259" i="3"/>
  <c r="X298" i="3"/>
  <c r="X348" i="3"/>
  <c r="X387" i="3"/>
  <c r="X426" i="3"/>
  <c r="X476" i="3"/>
  <c r="X515" i="3"/>
  <c r="X554" i="3"/>
  <c r="X592" i="3"/>
  <c r="X35" i="3"/>
  <c r="X27" i="3"/>
  <c r="X45" i="3"/>
  <c r="X68" i="3"/>
  <c r="X84" i="3"/>
  <c r="X100" i="3"/>
  <c r="X116" i="3"/>
  <c r="X132" i="3"/>
  <c r="X148" i="3"/>
  <c r="X164" i="3"/>
  <c r="X179" i="3"/>
  <c r="X192" i="3"/>
  <c r="X204" i="3"/>
  <c r="X218" i="3"/>
  <c r="X229" i="3"/>
  <c r="X243" i="3"/>
  <c r="X256" i="3"/>
  <c r="X268" i="3"/>
  <c r="X282" i="3"/>
  <c r="X293" i="3"/>
  <c r="X307" i="3"/>
  <c r="X320" i="3"/>
  <c r="X332" i="3"/>
  <c r="X346" i="3"/>
  <c r="X357" i="3"/>
  <c r="X371" i="3"/>
  <c r="X384" i="3"/>
  <c r="X396" i="3"/>
  <c r="X410" i="3"/>
  <c r="X421" i="3"/>
  <c r="X435" i="3"/>
  <c r="X448" i="3"/>
  <c r="X460" i="3"/>
  <c r="X474" i="3"/>
  <c r="X485" i="3"/>
  <c r="X499" i="3"/>
  <c r="X512" i="3"/>
  <c r="X524" i="3"/>
  <c r="X538" i="3"/>
  <c r="X549" i="3"/>
  <c r="X563" i="3"/>
  <c r="X576" i="3"/>
  <c r="X588" i="3"/>
  <c r="X602" i="3"/>
  <c r="X28" i="3"/>
  <c r="X51" i="3"/>
  <c r="X69" i="3"/>
  <c r="X85" i="3"/>
  <c r="X101" i="3"/>
  <c r="X117" i="3"/>
  <c r="X133" i="3"/>
  <c r="X149" i="3"/>
  <c r="X165" i="3"/>
  <c r="X180" i="3"/>
  <c r="X194" i="3"/>
  <c r="X205" i="3"/>
  <c r="X219" i="3"/>
  <c r="X232" i="3"/>
  <c r="X269" i="3"/>
  <c r="X283" i="3"/>
  <c r="X296" i="3"/>
  <c r="X333" i="3"/>
  <c r="X360" i="3"/>
  <c r="X397" i="3"/>
  <c r="X436" i="3"/>
  <c r="X475" i="3"/>
  <c r="X525" i="3"/>
  <c r="X564" i="3"/>
  <c r="X603" i="3"/>
  <c r="X29" i="3"/>
  <c r="X74" i="3"/>
  <c r="X106" i="3"/>
  <c r="X154" i="3"/>
  <c r="X195" i="3"/>
  <c r="X234" i="3"/>
  <c r="X284" i="3"/>
  <c r="X323" i="3"/>
  <c r="X336" i="3"/>
  <c r="X373" i="3"/>
  <c r="X412" i="3"/>
  <c r="X451" i="3"/>
  <c r="X490" i="3"/>
  <c r="X528" i="3"/>
  <c r="X565" i="3"/>
  <c r="X604" i="3"/>
  <c r="X53" i="3"/>
  <c r="X76" i="3"/>
  <c r="X140" i="3"/>
  <c r="X197" i="3"/>
  <c r="X250" i="3"/>
  <c r="X300" i="3"/>
  <c r="X352" i="3"/>
  <c r="X403" i="3"/>
  <c r="X453" i="3"/>
  <c r="X506" i="3"/>
  <c r="X556" i="3"/>
  <c r="X608" i="3"/>
  <c r="X466" i="3"/>
  <c r="X568" i="3"/>
  <c r="X92" i="3"/>
  <c r="X211" i="3"/>
  <c r="X314" i="3"/>
  <c r="X416" i="3"/>
  <c r="X517" i="3"/>
  <c r="X427" i="3"/>
  <c r="X530" i="3"/>
  <c r="X224" i="3"/>
  <c r="X325" i="3"/>
  <c r="X428" i="3"/>
  <c r="X581" i="3"/>
  <c r="X123" i="3"/>
  <c r="X235" i="3"/>
  <c r="X388" i="3"/>
  <c r="X541" i="3"/>
  <c r="X124" i="3"/>
  <c r="X288" i="3"/>
  <c r="X442" i="3"/>
  <c r="X59" i="3"/>
  <c r="X248" i="3"/>
  <c r="X402" i="3"/>
  <c r="X555" i="3"/>
  <c r="X91" i="3"/>
  <c r="X155" i="3"/>
  <c r="X210" i="3"/>
  <c r="X260" i="3"/>
  <c r="X312" i="3"/>
  <c r="X363" i="3"/>
  <c r="X413" i="3"/>
  <c r="X516" i="3"/>
  <c r="X156" i="3"/>
  <c r="X261" i="3"/>
  <c r="X364" i="3"/>
  <c r="X467" i="3"/>
  <c r="X570" i="3"/>
  <c r="X477" i="3"/>
  <c r="X108" i="3"/>
  <c r="X275" i="3"/>
  <c r="X480" i="3"/>
  <c r="X184" i="3"/>
  <c r="X338" i="3"/>
  <c r="X491" i="3"/>
  <c r="X36" i="3"/>
  <c r="X236" i="3"/>
  <c r="X389" i="3"/>
  <c r="X544" i="3"/>
  <c r="X196" i="3"/>
  <c r="X349" i="3"/>
  <c r="X504" i="3"/>
  <c r="X107" i="3"/>
  <c r="X171" i="3"/>
  <c r="X221" i="3"/>
  <c r="X274" i="3"/>
  <c r="X324" i="3"/>
  <c r="X376" i="3"/>
  <c r="X580" i="3"/>
  <c r="X172" i="3"/>
  <c r="X378" i="3"/>
  <c r="X531" i="3"/>
  <c r="X13" i="3"/>
  <c r="X285" i="3"/>
  <c r="X440" i="3"/>
  <c r="X594" i="3"/>
  <c r="X186" i="3"/>
  <c r="X339" i="3"/>
  <c r="X492" i="3"/>
  <c r="X595" i="3"/>
  <c r="X139" i="3"/>
  <c r="X299" i="3"/>
  <c r="X452" i="3"/>
  <c r="X605" i="3"/>
  <c r="Y10" i="3" l="1"/>
</calcChain>
</file>

<file path=xl/sharedStrings.xml><?xml version="1.0" encoding="utf-8"?>
<sst xmlns="http://schemas.openxmlformats.org/spreadsheetml/2006/main" count="49" uniqueCount="39">
  <si>
    <t>Grid ID</t>
  </si>
  <si>
    <t>λ</t>
  </si>
  <si>
    <t>Min</t>
  </si>
  <si>
    <t>Max</t>
  </si>
  <si>
    <t>x
(Uranium Concentration) -unit</t>
  </si>
  <si>
    <t>N0</t>
  </si>
  <si>
    <r>
      <t>day</t>
    </r>
    <r>
      <rPr>
        <vertAlign val="superscript"/>
        <sz val="11"/>
        <color theme="1"/>
        <rFont val="Calibri"/>
        <family val="2"/>
        <scheme val="minor"/>
      </rPr>
      <t>-1</t>
    </r>
  </si>
  <si>
    <t>t1/2</t>
  </si>
  <si>
    <t>days</t>
  </si>
  <si>
    <t>t</t>
  </si>
  <si>
    <t>N</t>
  </si>
  <si>
    <t>µ</t>
  </si>
  <si>
    <t>x_avg</t>
  </si>
  <si>
    <t xml:space="preserve">Take </t>
  </si>
  <si>
    <t>n</t>
  </si>
  <si>
    <t>For bootstrap 100</t>
  </si>
  <si>
    <t>For bootstrap 200</t>
  </si>
  <si>
    <t>E(X)</t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</si>
  <si>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</si>
  <si>
    <t>for Bootstrap 100</t>
  </si>
  <si>
    <t>for Bootstrap 200</t>
  </si>
  <si>
    <t>n=10</t>
  </si>
  <si>
    <t>x bar</t>
  </si>
  <si>
    <t>Sample N=10</t>
  </si>
  <si>
    <t>T</t>
  </si>
  <si>
    <t>index</t>
  </si>
  <si>
    <t>ti avg.</t>
  </si>
  <si>
    <t>sample n=50</t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</si>
  <si>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i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</si>
  <si>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*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</si>
  <si>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i</t>
    </r>
  </si>
  <si>
    <r>
      <t>Avg. C</t>
    </r>
    <r>
      <rPr>
        <b/>
        <vertAlign val="subscript"/>
        <sz val="11"/>
        <color theme="1"/>
        <rFont val="Calibri"/>
        <family val="2"/>
        <scheme val="minor"/>
      </rPr>
      <t>d</t>
    </r>
  </si>
  <si>
    <t>N estimated avg</t>
  </si>
  <si>
    <t>Matches with Cd</t>
  </si>
  <si>
    <t>Index</t>
  </si>
  <si>
    <t>Cd Avg.</t>
  </si>
  <si>
    <t>λi*</t>
  </si>
  <si>
    <t>Avg. λ* (B=100)</t>
  </si>
  <si>
    <t>Avg. λ* (B=200)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</si>
</sst>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2" borderId="4" applyNumberFormat="0" applyAlignment="0" applyProtection="0"/>
    <xf numFmtId="0" fontId="11" fillId="3" borderId="0" applyNumberFormat="0" applyBorder="0" applyAlignment="0" applyProtection="0"/>
    <xf numFmtId="0" fontId="12" fillId="5" borderId="15" applyNumberFormat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/>
    <xf numFmtId="2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8" fillId="0" borderId="0" xfId="0" applyFont="1" applyBorder="1"/>
    <xf numFmtId="2" fontId="9" fillId="0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2" borderId="8" xfId="1" applyBorder="1" applyAlignment="1">
      <alignment horizontal="center" vertical="center"/>
    </xf>
    <xf numFmtId="0" fontId="7" fillId="2" borderId="11" xfId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10" xfId="0" applyBorder="1"/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0" fillId="0" borderId="12" xfId="0" applyBorder="1"/>
    <xf numFmtId="0" fontId="11" fillId="3" borderId="0" xfId="2"/>
    <xf numFmtId="0" fontId="7" fillId="2" borderId="4" xfId="1" applyAlignment="1">
      <alignment horizontal="center"/>
    </xf>
    <xf numFmtId="0" fontId="8" fillId="0" borderId="13" xfId="0" applyFont="1" applyBorder="1"/>
    <xf numFmtId="0" fontId="4" fillId="0" borderId="5" xfId="0" applyFont="1" applyBorder="1" applyAlignment="1">
      <alignment horizontal="left" indent="5"/>
    </xf>
    <xf numFmtId="0" fontId="8" fillId="0" borderId="14" xfId="0" applyFont="1" applyBorder="1"/>
    <xf numFmtId="0" fontId="8" fillId="0" borderId="5" xfId="0" applyFont="1" applyBorder="1" applyAlignment="1">
      <alignment horizontal="center" vertical="center"/>
    </xf>
    <xf numFmtId="0" fontId="7" fillId="2" borderId="4" xfId="1"/>
    <xf numFmtId="0" fontId="7" fillId="2" borderId="4" xfId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/>
    <xf numFmtId="0" fontId="4" fillId="0" borderId="5" xfId="0" applyFont="1" applyBorder="1" applyAlignment="1">
      <alignment horizontal="center"/>
    </xf>
    <xf numFmtId="0" fontId="8" fillId="4" borderId="15" xfId="3" applyFont="1" applyFill="1"/>
    <xf numFmtId="0" fontId="0" fillId="0" borderId="0" xfId="0" applyBorder="1" applyAlignment="1">
      <alignment horizontal="center" wrapText="1"/>
    </xf>
  </cellXfs>
  <cellStyles count="4">
    <cellStyle name="Calculation" xfId="3" builtinId="22"/>
    <cellStyle name="Check Cell" xfId="1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W3156"/>
  <sheetViews>
    <sheetView zoomScale="87" zoomScaleNormal="87" workbookViewId="0">
      <selection activeCell="R7" sqref="R7"/>
    </sheetView>
  </sheetViews>
  <sheetFormatPr defaultRowHeight="14.4" x14ac:dyDescent="0.3"/>
  <cols>
    <col min="5" max="5" width="13.109375" bestFit="1" customWidth="1"/>
    <col min="6" max="8" width="13.109375" customWidth="1"/>
    <col min="9" max="9" width="13.88671875" bestFit="1" customWidth="1"/>
    <col min="10" max="10" width="13.109375" customWidth="1"/>
    <col min="11" max="11" width="10" bestFit="1" customWidth="1"/>
    <col min="12" max="13" width="12.5546875" customWidth="1"/>
    <col min="14" max="14" width="13" customWidth="1"/>
    <col min="15" max="15" width="12.109375" customWidth="1"/>
    <col min="16" max="17" width="27.5546875" customWidth="1"/>
    <col min="18" max="18" width="12.5546875" customWidth="1"/>
    <col min="19" max="19" width="18" customWidth="1"/>
    <col min="20" max="20" width="18.44140625" customWidth="1"/>
  </cols>
  <sheetData>
    <row r="2" spans="4:49" x14ac:dyDescent="0.3">
      <c r="G2" s="15" t="s">
        <v>1</v>
      </c>
      <c r="H2" s="12">
        <v>0.25</v>
      </c>
      <c r="J2" t="s">
        <v>13</v>
      </c>
    </row>
    <row r="3" spans="4:49" x14ac:dyDescent="0.3">
      <c r="J3" s="4" t="s">
        <v>14</v>
      </c>
      <c r="K3" s="4">
        <v>10</v>
      </c>
      <c r="L3" t="s">
        <v>15</v>
      </c>
    </row>
    <row r="4" spans="4:49" x14ac:dyDescent="0.3">
      <c r="K4">
        <v>10</v>
      </c>
      <c r="L4" t="s">
        <v>16</v>
      </c>
    </row>
    <row r="5" spans="4:49" ht="15" thickBot="1" x14ac:dyDescent="0.35">
      <c r="J5" s="8"/>
      <c r="K5" s="8"/>
      <c r="L5" s="8"/>
      <c r="M5" s="8"/>
      <c r="N5" s="8"/>
      <c r="O5" s="8"/>
      <c r="P5" s="8"/>
      <c r="Q5" s="8"/>
      <c r="R5" s="63"/>
      <c r="S5" s="63"/>
      <c r="T5" s="16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4:49" ht="55.8" thickBot="1" x14ac:dyDescent="0.35">
      <c r="D6" s="1" t="s">
        <v>0</v>
      </c>
      <c r="E6" s="5" t="s">
        <v>4</v>
      </c>
      <c r="F6" s="7" t="s">
        <v>17</v>
      </c>
      <c r="G6" s="23" t="s">
        <v>1</v>
      </c>
      <c r="H6" s="7" t="s">
        <v>2</v>
      </c>
      <c r="I6" s="7" t="s">
        <v>3</v>
      </c>
      <c r="J6" s="17"/>
      <c r="K6" s="18"/>
      <c r="L6" s="30" t="s">
        <v>21</v>
      </c>
      <c r="M6" s="28" t="s">
        <v>22</v>
      </c>
      <c r="N6" s="31" t="s">
        <v>1</v>
      </c>
      <c r="O6" s="30" t="s">
        <v>34</v>
      </c>
      <c r="P6" s="54" t="s">
        <v>23</v>
      </c>
      <c r="Q6" s="61" t="s">
        <v>12</v>
      </c>
      <c r="R6" s="31" t="s">
        <v>36</v>
      </c>
      <c r="S6" s="34" t="s">
        <v>37</v>
      </c>
      <c r="T6" s="29" t="s">
        <v>38</v>
      </c>
      <c r="U6" s="19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4:49" ht="15" thickBot="1" x14ac:dyDescent="0.35">
      <c r="D7" s="2">
        <f t="shared" ref="D7:D70" si="0">ROW()-6</f>
        <v>1</v>
      </c>
      <c r="E7" s="6">
        <v>8.1559263509975892</v>
      </c>
      <c r="F7" s="14">
        <f>AVERAGE(E7:E2794)</f>
        <v>3.9993090766995461</v>
      </c>
      <c r="G7" s="10">
        <f>1/F7</f>
        <v>0.25004319016655147</v>
      </c>
      <c r="H7" s="10">
        <f>MIN(E7:E2794)</f>
        <v>6.1440383844821467E-6</v>
      </c>
      <c r="I7" s="10">
        <f>MAX(E7:E2794)</f>
        <v>34.204603675410539</v>
      </c>
      <c r="J7" s="11"/>
      <c r="K7" s="20">
        <v>1</v>
      </c>
      <c r="L7" s="3">
        <v>8.1559263509975892</v>
      </c>
      <c r="M7" s="9">
        <f>AVERAGE(L7:L16)</f>
        <v>4.5581082188778579</v>
      </c>
      <c r="N7" s="27">
        <f>1/M7</f>
        <v>0.21938926238267023</v>
      </c>
      <c r="O7" s="32">
        <v>1</v>
      </c>
      <c r="P7" s="20">
        <f ca="1">-(1/$N$7)*LN(RAND())</f>
        <v>5.9620805576179823</v>
      </c>
      <c r="Q7" s="20"/>
      <c r="R7" s="21"/>
      <c r="S7" s="36">
        <f ca="1">AVERAGE(R7:R106)</f>
        <v>0.27021656552691231</v>
      </c>
      <c r="T7" s="37">
        <f ca="1">AVERAGE(R7:R206)</f>
        <v>0.27289043098802906</v>
      </c>
      <c r="U7" s="20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4:49" ht="15" thickBot="1" x14ac:dyDescent="0.35">
      <c r="D8" s="2">
        <f t="shared" si="0"/>
        <v>2</v>
      </c>
      <c r="E8" s="6">
        <v>2.0830497161309194</v>
      </c>
      <c r="F8" s="24"/>
      <c r="G8" s="24"/>
      <c r="H8" s="24"/>
      <c r="I8" s="24"/>
      <c r="J8" s="11"/>
      <c r="K8" s="20">
        <v>2</v>
      </c>
      <c r="L8" s="3">
        <v>2.0830497161309194</v>
      </c>
      <c r="M8" s="8"/>
      <c r="N8" s="22"/>
      <c r="O8" s="32">
        <v>2</v>
      </c>
      <c r="P8" s="20">
        <f t="shared" ref="P8:P71" ca="1" si="1">-(1/$N$7)*LN(RAND())</f>
        <v>46.930813419513619</v>
      </c>
      <c r="Q8" s="20"/>
      <c r="R8" s="20"/>
      <c r="S8" s="8"/>
      <c r="T8" s="35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4:49" ht="15" thickBot="1" x14ac:dyDescent="0.35">
      <c r="D9" s="2">
        <f t="shared" si="0"/>
        <v>3</v>
      </c>
      <c r="E9" s="6">
        <v>1.6902569778577379</v>
      </c>
      <c r="F9" s="24"/>
      <c r="G9" s="24"/>
      <c r="H9" s="24"/>
      <c r="I9" s="24"/>
      <c r="J9" s="11"/>
      <c r="K9" s="20">
        <v>3</v>
      </c>
      <c r="L9" s="3">
        <v>1.6902569778577379</v>
      </c>
      <c r="M9" s="8"/>
      <c r="N9" s="13"/>
      <c r="O9" s="32">
        <v>3</v>
      </c>
      <c r="P9" s="20">
        <f t="shared" ca="1" si="1"/>
        <v>12.442670092315165</v>
      </c>
      <c r="Q9" s="20"/>
      <c r="R9" s="20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4:49" ht="15" thickBot="1" x14ac:dyDescent="0.35">
      <c r="D10" s="2">
        <f t="shared" si="0"/>
        <v>4</v>
      </c>
      <c r="E10" s="6">
        <v>1.364284199866894</v>
      </c>
      <c r="F10" s="24"/>
      <c r="G10" s="24"/>
      <c r="H10" s="24"/>
      <c r="I10" s="24"/>
      <c r="J10" s="11"/>
      <c r="K10" s="20">
        <v>4</v>
      </c>
      <c r="L10" s="3">
        <v>1.364284199866894</v>
      </c>
      <c r="M10" s="8"/>
      <c r="N10" s="22"/>
      <c r="O10" s="32">
        <v>4</v>
      </c>
      <c r="P10" s="20">
        <f t="shared" ca="1" si="1"/>
        <v>0.24481275678531425</v>
      </c>
      <c r="Q10" s="20"/>
      <c r="R10" s="20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4:49" ht="15" thickBot="1" x14ac:dyDescent="0.35">
      <c r="D11" s="2">
        <f t="shared" si="0"/>
        <v>5</v>
      </c>
      <c r="E11" s="6">
        <v>2.5902748926457484</v>
      </c>
      <c r="F11" s="24"/>
      <c r="G11" s="24"/>
      <c r="H11" s="24"/>
      <c r="I11" s="24"/>
      <c r="J11" s="11"/>
      <c r="K11" s="20">
        <v>5</v>
      </c>
      <c r="L11" s="3">
        <v>2.5902748926457484</v>
      </c>
      <c r="M11" s="8"/>
      <c r="N11" s="13"/>
      <c r="O11" s="32">
        <v>5</v>
      </c>
      <c r="P11" s="20">
        <f t="shared" ca="1" si="1"/>
        <v>0.74353771664551827</v>
      </c>
      <c r="Q11" s="20"/>
      <c r="R11" s="20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4:49" ht="15" thickBot="1" x14ac:dyDescent="0.35">
      <c r="D12" s="2">
        <f t="shared" si="0"/>
        <v>6</v>
      </c>
      <c r="E12" s="6">
        <v>18.234371023428224</v>
      </c>
      <c r="F12" s="24"/>
      <c r="G12" s="24"/>
      <c r="H12" s="24"/>
      <c r="I12" s="24"/>
      <c r="J12" s="11"/>
      <c r="K12" s="20">
        <v>6</v>
      </c>
      <c r="L12" s="3">
        <v>18.234371023428224</v>
      </c>
      <c r="M12" s="8"/>
      <c r="N12" s="13"/>
      <c r="O12" s="32">
        <v>6</v>
      </c>
      <c r="P12" s="20">
        <f t="shared" ca="1" si="1"/>
        <v>18.812499262498079</v>
      </c>
      <c r="Q12" s="20"/>
      <c r="R12" s="20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4:49" ht="15" thickBot="1" x14ac:dyDescent="0.35">
      <c r="D13" s="2">
        <f t="shared" si="0"/>
        <v>7</v>
      </c>
      <c r="E13" s="6">
        <v>6.0896616270578017</v>
      </c>
      <c r="F13" s="24"/>
      <c r="G13" s="24"/>
      <c r="H13" s="24"/>
      <c r="I13" s="24"/>
      <c r="J13" s="11"/>
      <c r="K13" s="20">
        <v>7</v>
      </c>
      <c r="L13" s="3">
        <v>6.0896616270578017</v>
      </c>
      <c r="M13" s="8"/>
      <c r="N13" s="22"/>
      <c r="O13" s="32">
        <v>7</v>
      </c>
      <c r="P13" s="20">
        <f t="shared" ca="1" si="1"/>
        <v>0.18499654890131867</v>
      </c>
      <c r="Q13" s="20"/>
      <c r="R13" s="20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4:49" ht="15" thickBot="1" x14ac:dyDescent="0.35">
      <c r="D14" s="2">
        <f t="shared" si="0"/>
        <v>8</v>
      </c>
      <c r="E14" s="6">
        <v>0.28664013551473189</v>
      </c>
      <c r="F14" s="24"/>
      <c r="G14" s="24"/>
      <c r="H14" s="24"/>
      <c r="I14" s="24"/>
      <c r="J14" s="11"/>
      <c r="K14" s="20">
        <v>8</v>
      </c>
      <c r="L14" s="3">
        <v>0.28664013551473189</v>
      </c>
      <c r="M14" s="8"/>
      <c r="N14" s="13"/>
      <c r="O14" s="32">
        <v>8</v>
      </c>
      <c r="P14" s="20">
        <f t="shared" ca="1" si="1"/>
        <v>0.74246162010485672</v>
      </c>
      <c r="Q14" s="20"/>
      <c r="R14" s="20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4:49" ht="15" thickBot="1" x14ac:dyDescent="0.35">
      <c r="D15" s="2">
        <f t="shared" si="0"/>
        <v>9</v>
      </c>
      <c r="E15" s="6">
        <v>2.9840058003117047</v>
      </c>
      <c r="F15" s="24"/>
      <c r="G15" s="24"/>
      <c r="H15" s="24"/>
      <c r="I15" s="24"/>
      <c r="J15" s="11"/>
      <c r="K15" s="20">
        <v>9</v>
      </c>
      <c r="L15" s="3">
        <v>2.9840058003117047</v>
      </c>
      <c r="M15" s="8"/>
      <c r="N15" s="22"/>
      <c r="O15" s="32">
        <v>9</v>
      </c>
      <c r="P15" s="20">
        <f t="shared" ca="1" si="1"/>
        <v>12.252557769129298</v>
      </c>
      <c r="Q15" s="20"/>
      <c r="R15" s="20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4:49" ht="15" thickBot="1" x14ac:dyDescent="0.35">
      <c r="D16" s="2">
        <f t="shared" si="0"/>
        <v>10</v>
      </c>
      <c r="E16" s="6">
        <v>2.1026114649672296</v>
      </c>
      <c r="F16" s="24"/>
      <c r="G16" s="24"/>
      <c r="H16" s="24"/>
      <c r="I16" s="24"/>
      <c r="J16" s="11"/>
      <c r="K16" s="20">
        <v>10</v>
      </c>
      <c r="L16" s="3">
        <v>2.1026114649672296</v>
      </c>
      <c r="M16" s="8"/>
      <c r="N16" s="13"/>
      <c r="O16" s="32">
        <v>10</v>
      </c>
      <c r="P16" s="20">
        <f t="shared" ca="1" si="1"/>
        <v>6.0581129364708337</v>
      </c>
      <c r="Q16" s="20">
        <f ca="1">AVERAGE(P7:P16)</f>
        <v>10.437454267998199</v>
      </c>
      <c r="R16" s="33">
        <f ca="1">1/Q16</f>
        <v>9.5808803020680469E-2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4:49" ht="15" thickBot="1" x14ac:dyDescent="0.35">
      <c r="D17" s="2">
        <f t="shared" si="0"/>
        <v>11</v>
      </c>
      <c r="E17" s="6">
        <v>0.70843938150747021</v>
      </c>
      <c r="F17" s="24"/>
      <c r="G17" s="24"/>
      <c r="H17" s="24"/>
      <c r="I17" s="24"/>
      <c r="J17" s="11"/>
      <c r="K17" s="20"/>
      <c r="L17" s="8"/>
      <c r="M17" s="8"/>
      <c r="N17" s="13"/>
      <c r="O17" s="32">
        <v>11</v>
      </c>
      <c r="P17" s="20">
        <f t="shared" ca="1" si="1"/>
        <v>3.453167884349766</v>
      </c>
      <c r="Q17" s="20"/>
      <c r="R17" s="21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4:49" ht="15" thickBot="1" x14ac:dyDescent="0.35">
      <c r="D18" s="2">
        <f t="shared" si="0"/>
        <v>12</v>
      </c>
      <c r="E18" s="6">
        <v>2.427011264301437</v>
      </c>
      <c r="F18" s="24"/>
      <c r="G18" s="24"/>
      <c r="H18" s="24"/>
      <c r="I18" s="24"/>
      <c r="J18" s="3"/>
      <c r="K18" s="8"/>
      <c r="L18" s="8"/>
      <c r="M18" s="8"/>
      <c r="N18" s="22"/>
      <c r="O18" s="32">
        <v>12</v>
      </c>
      <c r="P18" s="20">
        <f t="shared" ca="1" si="1"/>
        <v>2.5565334449169685</v>
      </c>
      <c r="Q18" s="20"/>
      <c r="R18" s="20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4:49" ht="15" thickBot="1" x14ac:dyDescent="0.35">
      <c r="D19" s="2">
        <f t="shared" si="0"/>
        <v>13</v>
      </c>
      <c r="E19" s="6">
        <v>1.1998161967914149</v>
      </c>
      <c r="F19" s="24"/>
      <c r="G19" s="24"/>
      <c r="H19" s="24"/>
      <c r="I19" s="24"/>
      <c r="J19" s="11"/>
      <c r="K19" s="8"/>
      <c r="L19" s="8"/>
      <c r="M19" s="8"/>
      <c r="N19" s="13"/>
      <c r="O19" s="32">
        <v>13</v>
      </c>
      <c r="P19" s="20">
        <f t="shared" ca="1" si="1"/>
        <v>5.9328503497308391</v>
      </c>
      <c r="Q19" s="20"/>
      <c r="R19" s="20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4:49" ht="15" thickBot="1" x14ac:dyDescent="0.35">
      <c r="D20" s="2">
        <f t="shared" si="0"/>
        <v>14</v>
      </c>
      <c r="E20" s="6">
        <v>0.60885002484464978</v>
      </c>
      <c r="F20" s="24"/>
      <c r="G20" s="24"/>
      <c r="H20" s="24"/>
      <c r="I20" s="24"/>
      <c r="J20" s="3"/>
      <c r="K20" s="8"/>
      <c r="L20" s="8"/>
      <c r="M20" s="8"/>
      <c r="N20" s="22"/>
      <c r="O20" s="32">
        <v>14</v>
      </c>
      <c r="P20" s="20">
        <f t="shared" ca="1" si="1"/>
        <v>0.15602928939157573</v>
      </c>
      <c r="Q20" s="20"/>
      <c r="R20" s="20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4:49" ht="15" thickBot="1" x14ac:dyDescent="0.35">
      <c r="D21" s="2">
        <f t="shared" si="0"/>
        <v>15</v>
      </c>
      <c r="E21" s="6">
        <v>3.1402579724017277</v>
      </c>
      <c r="F21" s="24"/>
      <c r="G21" s="24"/>
      <c r="H21" s="24"/>
      <c r="I21" s="24"/>
      <c r="J21" s="11"/>
      <c r="K21" s="8"/>
      <c r="L21" s="8"/>
      <c r="M21" s="8"/>
      <c r="N21" s="13"/>
      <c r="O21" s="32">
        <v>15</v>
      </c>
      <c r="P21" s="20">
        <f t="shared" ca="1" si="1"/>
        <v>2.0121297454366855</v>
      </c>
      <c r="Q21" s="20"/>
      <c r="R21" s="20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4:49" ht="15" thickBot="1" x14ac:dyDescent="0.35">
      <c r="D22" s="2">
        <f t="shared" si="0"/>
        <v>16</v>
      </c>
      <c r="E22" s="6">
        <v>9.7759919931384456</v>
      </c>
      <c r="F22" s="24"/>
      <c r="G22" s="24"/>
      <c r="H22" s="24"/>
      <c r="I22" s="24"/>
      <c r="J22" s="3"/>
      <c r="K22" s="8"/>
      <c r="L22" s="8"/>
      <c r="M22" s="8"/>
      <c r="N22" s="13"/>
      <c r="O22" s="32">
        <v>16</v>
      </c>
      <c r="P22" s="20">
        <f t="shared" ca="1" si="1"/>
        <v>3.6836684892624096</v>
      </c>
      <c r="Q22" s="20"/>
      <c r="R22" s="20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4:49" ht="15" thickBot="1" x14ac:dyDescent="0.35">
      <c r="D23" s="2">
        <f t="shared" si="0"/>
        <v>17</v>
      </c>
      <c r="E23" s="6">
        <v>0.41509875843728616</v>
      </c>
      <c r="F23" s="24"/>
      <c r="G23" s="24"/>
      <c r="H23" s="24"/>
      <c r="I23" s="24"/>
      <c r="J23" s="11"/>
      <c r="K23" s="8"/>
      <c r="L23" s="8"/>
      <c r="M23" s="8"/>
      <c r="N23" s="22"/>
      <c r="O23" s="32">
        <v>17</v>
      </c>
      <c r="P23" s="20">
        <f t="shared" ca="1" si="1"/>
        <v>2.3878419601003991</v>
      </c>
      <c r="Q23" s="20"/>
      <c r="R23" s="20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4:49" ht="15" thickBot="1" x14ac:dyDescent="0.35">
      <c r="D24" s="2">
        <f t="shared" si="0"/>
        <v>18</v>
      </c>
      <c r="E24" s="6">
        <v>9.20590208065002</v>
      </c>
      <c r="F24" s="24"/>
      <c r="G24" s="24"/>
      <c r="H24" s="24"/>
      <c r="I24" s="24"/>
      <c r="J24" s="3"/>
      <c r="K24" s="8"/>
      <c r="L24" s="8"/>
      <c r="M24" s="8"/>
      <c r="N24" s="13"/>
      <c r="O24" s="32">
        <v>18</v>
      </c>
      <c r="P24" s="20">
        <f t="shared" ca="1" si="1"/>
        <v>6.540603886978745E-2</v>
      </c>
      <c r="Q24" s="20"/>
      <c r="R24" s="20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4:49" ht="15" thickBot="1" x14ac:dyDescent="0.35">
      <c r="D25" s="2">
        <f t="shared" si="0"/>
        <v>19</v>
      </c>
      <c r="E25" s="6">
        <v>6.5159410463014265</v>
      </c>
      <c r="F25" s="24"/>
      <c r="G25" s="24"/>
      <c r="H25" s="24"/>
      <c r="I25" s="24"/>
      <c r="J25" s="11"/>
      <c r="K25" s="8"/>
      <c r="L25" s="8"/>
      <c r="M25" s="8"/>
      <c r="N25" s="22"/>
      <c r="O25" s="32">
        <v>19</v>
      </c>
      <c r="P25" s="20">
        <f t="shared" ca="1" si="1"/>
        <v>1.0619340149554264</v>
      </c>
      <c r="Q25" s="20"/>
      <c r="R25" s="20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4:49" ht="15" thickBot="1" x14ac:dyDescent="0.35">
      <c r="D26" s="2">
        <f t="shared" si="0"/>
        <v>20</v>
      </c>
      <c r="E26" s="6">
        <v>7.0150077275429643</v>
      </c>
      <c r="F26" s="24"/>
      <c r="G26" s="24"/>
      <c r="H26" s="24"/>
      <c r="I26" s="24"/>
      <c r="J26" s="3"/>
      <c r="K26" s="8"/>
      <c r="L26" s="8"/>
      <c r="M26" s="8"/>
      <c r="N26" s="13"/>
      <c r="O26" s="32">
        <v>20</v>
      </c>
      <c r="P26" s="20">
        <f t="shared" ca="1" si="1"/>
        <v>2.4477665539495059</v>
      </c>
      <c r="Q26" s="20">
        <f t="shared" ref="Q26" ca="1" si="2">AVERAGE(P17:P26)</f>
        <v>2.3757327770963363</v>
      </c>
      <c r="R26" s="33">
        <f t="shared" ref="R26" ca="1" si="3">1/Q26</f>
        <v>0.42092276102795456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4:49" ht="15" thickBot="1" x14ac:dyDescent="0.35">
      <c r="D27" s="2">
        <f t="shared" si="0"/>
        <v>21</v>
      </c>
      <c r="E27" s="6">
        <v>2.9425088469939324</v>
      </c>
      <c r="F27" s="24"/>
      <c r="G27" s="24"/>
      <c r="H27" s="24"/>
      <c r="I27" s="24"/>
      <c r="J27" s="11"/>
      <c r="K27" s="8"/>
      <c r="L27" s="8"/>
      <c r="M27" s="8"/>
      <c r="N27" s="13"/>
      <c r="O27" s="32">
        <v>21</v>
      </c>
      <c r="P27" s="20">
        <f t="shared" ca="1" si="1"/>
        <v>0.45569783827652016</v>
      </c>
      <c r="Q27" s="20"/>
      <c r="R27" s="21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4:49" ht="15" thickBot="1" x14ac:dyDescent="0.35">
      <c r="D28" s="2">
        <f t="shared" si="0"/>
        <v>22</v>
      </c>
      <c r="E28" s="6">
        <v>3.091662341410371</v>
      </c>
      <c r="F28" s="24"/>
      <c r="G28" s="24"/>
      <c r="H28" s="24"/>
      <c r="I28" s="24"/>
      <c r="J28" s="3"/>
      <c r="K28" s="8"/>
      <c r="L28" s="8"/>
      <c r="M28" s="8"/>
      <c r="N28" s="22"/>
      <c r="O28" s="32">
        <v>22</v>
      </c>
      <c r="P28" s="20">
        <f t="shared" ca="1" si="1"/>
        <v>12.579005430399416</v>
      </c>
      <c r="Q28" s="20"/>
      <c r="R28" s="20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4:49" ht="15" thickBot="1" x14ac:dyDescent="0.35">
      <c r="D29" s="2">
        <f t="shared" si="0"/>
        <v>23</v>
      </c>
      <c r="E29" s="6">
        <v>1.5462143755395463</v>
      </c>
      <c r="F29" s="24"/>
      <c r="G29" s="24"/>
      <c r="H29" s="24"/>
      <c r="I29" s="24"/>
      <c r="J29" s="11"/>
      <c r="K29" s="8"/>
      <c r="L29" s="8"/>
      <c r="M29" s="8"/>
      <c r="N29" s="13"/>
      <c r="O29" s="32">
        <v>23</v>
      </c>
      <c r="P29" s="20">
        <f t="shared" ca="1" si="1"/>
        <v>2.9393071244612168</v>
      </c>
      <c r="Q29" s="20"/>
      <c r="R29" s="20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4:49" ht="15" thickBot="1" x14ac:dyDescent="0.35">
      <c r="D30" s="2">
        <f t="shared" si="0"/>
        <v>24</v>
      </c>
      <c r="E30" s="6">
        <v>3.3717337099585385</v>
      </c>
      <c r="F30" s="24"/>
      <c r="G30" s="24"/>
      <c r="H30" s="24"/>
      <c r="I30" s="24"/>
      <c r="J30" s="3"/>
      <c r="K30" s="8"/>
      <c r="L30" s="8"/>
      <c r="M30" s="8"/>
      <c r="N30" s="22"/>
      <c r="O30" s="32">
        <v>24</v>
      </c>
      <c r="P30" s="20">
        <f t="shared" ca="1" si="1"/>
        <v>4.3930039483546768</v>
      </c>
      <c r="Q30" s="20"/>
      <c r="R30" s="20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4:49" ht="15" thickBot="1" x14ac:dyDescent="0.35">
      <c r="D31" s="2">
        <f t="shared" si="0"/>
        <v>25</v>
      </c>
      <c r="E31" s="6">
        <v>0.56680468327258293</v>
      </c>
      <c r="F31" s="24"/>
      <c r="G31" s="24"/>
      <c r="H31" s="24"/>
      <c r="I31" s="24"/>
      <c r="J31" s="11"/>
      <c r="K31" s="8"/>
      <c r="L31" s="8"/>
      <c r="M31" s="8"/>
      <c r="N31" s="13"/>
      <c r="O31" s="32">
        <v>25</v>
      </c>
      <c r="P31" s="20">
        <f t="shared" ca="1" si="1"/>
        <v>1.3521702345627462</v>
      </c>
      <c r="Q31" s="20"/>
      <c r="R31" s="20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4:49" ht="15" thickBot="1" x14ac:dyDescent="0.35">
      <c r="D32" s="2">
        <f t="shared" si="0"/>
        <v>26</v>
      </c>
      <c r="E32" s="6">
        <v>6.0800798304227275</v>
      </c>
      <c r="F32" s="24"/>
      <c r="G32" s="24"/>
      <c r="H32" s="24"/>
      <c r="I32" s="24"/>
      <c r="J32" s="3"/>
      <c r="K32" s="8"/>
      <c r="L32" s="8"/>
      <c r="M32" s="8"/>
      <c r="N32" s="13"/>
      <c r="O32" s="32">
        <v>26</v>
      </c>
      <c r="P32" s="20">
        <f t="shared" ca="1" si="1"/>
        <v>13.268651154639448</v>
      </c>
      <c r="Q32" s="20"/>
      <c r="R32" s="20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4:49" ht="15" thickBot="1" x14ac:dyDescent="0.35">
      <c r="D33" s="2">
        <f t="shared" si="0"/>
        <v>27</v>
      </c>
      <c r="E33" s="6">
        <v>0.21447174280822567</v>
      </c>
      <c r="F33" s="24"/>
      <c r="G33" s="24"/>
      <c r="H33" s="24"/>
      <c r="I33" s="24"/>
      <c r="J33" s="3"/>
      <c r="K33" s="8"/>
      <c r="L33" s="8"/>
      <c r="M33" s="8"/>
      <c r="N33" s="22"/>
      <c r="O33" s="32">
        <v>27</v>
      </c>
      <c r="P33" s="20">
        <f t="shared" ca="1" si="1"/>
        <v>2.7784489284255631</v>
      </c>
      <c r="Q33" s="20"/>
      <c r="R33" s="20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4:49" ht="15" thickBot="1" x14ac:dyDescent="0.35">
      <c r="D34" s="2">
        <f t="shared" si="0"/>
        <v>28</v>
      </c>
      <c r="E34" s="6">
        <v>0.66722916659383169</v>
      </c>
      <c r="F34" s="24"/>
      <c r="G34" s="24"/>
      <c r="H34" s="24"/>
      <c r="I34" s="24"/>
      <c r="J34" s="3"/>
      <c r="K34" s="8"/>
      <c r="L34" s="8"/>
      <c r="M34" s="8"/>
      <c r="N34" s="13"/>
      <c r="O34" s="32">
        <v>28</v>
      </c>
      <c r="P34" s="20">
        <f t="shared" ca="1" si="1"/>
        <v>1.0939039753911979</v>
      </c>
      <c r="Q34" s="20"/>
      <c r="R34" s="20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4:49" ht="15" thickBot="1" x14ac:dyDescent="0.35">
      <c r="D35" s="2">
        <f t="shared" si="0"/>
        <v>29</v>
      </c>
      <c r="E35" s="6">
        <v>10.028176406694634</v>
      </c>
      <c r="F35" s="24"/>
      <c r="G35" s="24"/>
      <c r="H35" s="24"/>
      <c r="I35" s="24"/>
      <c r="J35" s="3"/>
      <c r="K35" s="8"/>
      <c r="L35" s="8"/>
      <c r="M35" s="8"/>
      <c r="N35" s="22"/>
      <c r="O35" s="32">
        <v>29</v>
      </c>
      <c r="P35" s="20">
        <f t="shared" ca="1" si="1"/>
        <v>3.6725156991551926</v>
      </c>
      <c r="Q35" s="20"/>
      <c r="R35" s="20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4:49" ht="15" thickBot="1" x14ac:dyDescent="0.35">
      <c r="D36" s="2">
        <f t="shared" si="0"/>
        <v>30</v>
      </c>
      <c r="E36" s="6">
        <v>3.1731619676864016</v>
      </c>
      <c r="F36" s="24"/>
      <c r="G36" s="24"/>
      <c r="H36" s="24"/>
      <c r="I36" s="24"/>
      <c r="J36" s="3"/>
      <c r="K36" s="8"/>
      <c r="L36" s="8"/>
      <c r="M36" s="8"/>
      <c r="N36" s="13"/>
      <c r="O36" s="32">
        <v>30</v>
      </c>
      <c r="P36" s="20">
        <f t="shared" ca="1" si="1"/>
        <v>0.25105627106706807</v>
      </c>
      <c r="Q36" s="20">
        <f t="shared" ref="Q36" ca="1" si="4">AVERAGE(P27:P36)</f>
        <v>4.2783760604733043</v>
      </c>
      <c r="R36" s="33">
        <f t="shared" ref="R36" ca="1" si="5">1/Q36</f>
        <v>0.2337335441918523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4:49" ht="15" thickBot="1" x14ac:dyDescent="0.35">
      <c r="D37" s="2">
        <f t="shared" si="0"/>
        <v>31</v>
      </c>
      <c r="E37" s="6">
        <v>0.7113530233647497</v>
      </c>
      <c r="F37" s="24"/>
      <c r="G37" s="24"/>
      <c r="H37" s="24"/>
      <c r="I37" s="24"/>
      <c r="J37" s="3"/>
      <c r="K37" s="8"/>
      <c r="L37" s="8"/>
      <c r="M37" s="8"/>
      <c r="N37" s="13"/>
      <c r="O37" s="32">
        <v>31</v>
      </c>
      <c r="P37" s="20">
        <f t="shared" ca="1" si="1"/>
        <v>5.8253166837003754</v>
      </c>
      <c r="Q37" s="20"/>
      <c r="R37" s="21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4:49" ht="15" thickBot="1" x14ac:dyDescent="0.35">
      <c r="D38" s="2">
        <f t="shared" si="0"/>
        <v>32</v>
      </c>
      <c r="E38" s="6">
        <v>24.053118726210528</v>
      </c>
      <c r="F38" s="24"/>
      <c r="G38" s="24"/>
      <c r="H38" s="24"/>
      <c r="I38" s="24"/>
      <c r="J38" s="3"/>
      <c r="K38" s="8"/>
      <c r="L38" s="8"/>
      <c r="M38" s="8"/>
      <c r="N38" s="22"/>
      <c r="O38" s="32">
        <v>32</v>
      </c>
      <c r="P38" s="20">
        <f t="shared" ca="1" si="1"/>
        <v>3.3717509154137328</v>
      </c>
      <c r="Q38" s="20"/>
      <c r="R38" s="20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4:49" ht="15" thickBot="1" x14ac:dyDescent="0.35">
      <c r="D39" s="2">
        <f t="shared" si="0"/>
        <v>33</v>
      </c>
      <c r="E39" s="6">
        <v>3.337410126216771</v>
      </c>
      <c r="F39" s="24"/>
      <c r="G39" s="24"/>
      <c r="H39" s="24"/>
      <c r="I39" s="24"/>
      <c r="J39" s="3"/>
      <c r="K39" s="8"/>
      <c r="L39" s="8"/>
      <c r="M39" s="8"/>
      <c r="N39" s="13"/>
      <c r="O39" s="32">
        <v>33</v>
      </c>
      <c r="P39" s="20">
        <f t="shared" ca="1" si="1"/>
        <v>12.986745978319615</v>
      </c>
      <c r="Q39" s="20"/>
      <c r="R39" s="20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4:49" ht="15" thickBot="1" x14ac:dyDescent="0.35">
      <c r="D40" s="2">
        <f t="shared" si="0"/>
        <v>34</v>
      </c>
      <c r="E40" s="6">
        <v>2.0079774353823061</v>
      </c>
      <c r="F40" s="24"/>
      <c r="G40" s="24"/>
      <c r="H40" s="24"/>
      <c r="I40" s="24"/>
      <c r="J40" s="3"/>
      <c r="K40" s="8"/>
      <c r="L40" s="8"/>
      <c r="M40" s="8"/>
      <c r="N40" s="22"/>
      <c r="O40" s="32">
        <v>34</v>
      </c>
      <c r="P40" s="20">
        <f t="shared" ca="1" si="1"/>
        <v>0.5424287579786059</v>
      </c>
      <c r="Q40" s="20"/>
      <c r="R40" s="20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4:49" ht="15" thickBot="1" x14ac:dyDescent="0.35">
      <c r="D41" s="2">
        <f t="shared" si="0"/>
        <v>35</v>
      </c>
      <c r="E41" s="6">
        <v>0.44171229076795498</v>
      </c>
      <c r="F41" s="24"/>
      <c r="G41" s="24"/>
      <c r="H41" s="24"/>
      <c r="I41" s="24"/>
      <c r="J41" s="3"/>
      <c r="K41" s="8"/>
      <c r="L41" s="8"/>
      <c r="M41" s="8"/>
      <c r="N41" s="13"/>
      <c r="O41" s="32">
        <v>35</v>
      </c>
      <c r="P41" s="20">
        <f t="shared" ca="1" si="1"/>
        <v>5.78321135324006</v>
      </c>
      <c r="Q41" s="20"/>
      <c r="R41" s="20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4:49" ht="15" thickBot="1" x14ac:dyDescent="0.35">
      <c r="D42" s="2">
        <f t="shared" si="0"/>
        <v>36</v>
      </c>
      <c r="E42" s="6">
        <v>4.0947342840011576</v>
      </c>
      <c r="F42" s="24"/>
      <c r="G42" s="24"/>
      <c r="H42" s="24"/>
      <c r="I42" s="24"/>
      <c r="J42" s="3"/>
      <c r="K42" s="8"/>
      <c r="L42" s="8"/>
      <c r="M42" s="8"/>
      <c r="N42" s="13"/>
      <c r="O42" s="32">
        <v>36</v>
      </c>
      <c r="P42" s="20">
        <f t="shared" ca="1" si="1"/>
        <v>1.7076927906960431</v>
      </c>
      <c r="Q42" s="20"/>
      <c r="R42" s="20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4:49" ht="15" thickBot="1" x14ac:dyDescent="0.35">
      <c r="D43" s="2">
        <f t="shared" si="0"/>
        <v>37</v>
      </c>
      <c r="E43" s="6">
        <v>3.6600002198841737</v>
      </c>
      <c r="F43" s="24"/>
      <c r="G43" s="24"/>
      <c r="H43" s="24"/>
      <c r="I43" s="24"/>
      <c r="J43" s="3"/>
      <c r="K43" s="8"/>
      <c r="L43" s="8"/>
      <c r="M43" s="8"/>
      <c r="N43" s="22"/>
      <c r="O43" s="32">
        <v>37</v>
      </c>
      <c r="P43" s="20">
        <f t="shared" ca="1" si="1"/>
        <v>4.8293085357016974</v>
      </c>
      <c r="Q43" s="20"/>
      <c r="R43" s="20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4:49" ht="15" thickBot="1" x14ac:dyDescent="0.35">
      <c r="D44" s="2">
        <f t="shared" si="0"/>
        <v>38</v>
      </c>
      <c r="E44" s="6">
        <v>4.63517654826809</v>
      </c>
      <c r="F44" s="24"/>
      <c r="G44" s="24"/>
      <c r="H44" s="24"/>
      <c r="I44" s="24"/>
      <c r="J44" s="3"/>
      <c r="K44" s="8"/>
      <c r="L44" s="8"/>
      <c r="M44" s="8"/>
      <c r="N44" s="13"/>
      <c r="O44" s="32">
        <v>38</v>
      </c>
      <c r="P44" s="20">
        <f t="shared" ca="1" si="1"/>
        <v>0.82887938329499855</v>
      </c>
      <c r="Q44" s="20"/>
      <c r="R44" s="20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4:49" ht="15" thickBot="1" x14ac:dyDescent="0.35">
      <c r="D45" s="2">
        <f t="shared" si="0"/>
        <v>39</v>
      </c>
      <c r="E45" s="6">
        <v>2.2999496176800038</v>
      </c>
      <c r="F45" s="24"/>
      <c r="G45" s="24"/>
      <c r="H45" s="24"/>
      <c r="I45" s="24"/>
      <c r="J45" s="3"/>
      <c r="K45" s="8"/>
      <c r="L45" s="8"/>
      <c r="M45" s="8"/>
      <c r="N45" s="22"/>
      <c r="O45" s="32">
        <v>39</v>
      </c>
      <c r="P45" s="20">
        <f t="shared" ca="1" si="1"/>
        <v>1.1866132015484305</v>
      </c>
      <c r="Q45" s="20"/>
      <c r="R45" s="20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4:49" ht="15" thickBot="1" x14ac:dyDescent="0.35">
      <c r="D46" s="2">
        <f t="shared" si="0"/>
        <v>40</v>
      </c>
      <c r="E46" s="6">
        <v>0.60424856460144705</v>
      </c>
      <c r="F46" s="24"/>
      <c r="G46" s="24"/>
      <c r="H46" s="24"/>
      <c r="I46" s="24"/>
      <c r="J46" s="3"/>
      <c r="K46" s="8"/>
      <c r="L46" s="8"/>
      <c r="M46" s="8"/>
      <c r="N46" s="13"/>
      <c r="O46" s="32">
        <v>40</v>
      </c>
      <c r="P46" s="20">
        <f t="shared" ca="1" si="1"/>
        <v>3.8091896506286442</v>
      </c>
      <c r="Q46" s="20">
        <f t="shared" ref="Q46" ca="1" si="6">AVERAGE(P37:P46)</f>
        <v>4.0871137250522205</v>
      </c>
      <c r="R46" s="33">
        <f t="shared" ref="R46" ca="1" si="7">1/Q46</f>
        <v>0.24467143986487019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4:49" ht="15" thickBot="1" x14ac:dyDescent="0.35">
      <c r="D47" s="2">
        <f t="shared" si="0"/>
        <v>41</v>
      </c>
      <c r="E47" s="6">
        <v>1.7457726330475798</v>
      </c>
      <c r="F47" s="24"/>
      <c r="G47" s="24"/>
      <c r="H47" s="24"/>
      <c r="I47" s="24"/>
      <c r="J47" s="3"/>
      <c r="K47" s="8"/>
      <c r="L47" s="8"/>
      <c r="M47" s="8"/>
      <c r="N47" s="13"/>
      <c r="O47" s="32">
        <v>41</v>
      </c>
      <c r="P47" s="20">
        <f t="shared" ca="1" si="1"/>
        <v>2.751124590751115</v>
      </c>
      <c r="Q47" s="20"/>
      <c r="R47" s="21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4:49" ht="15" thickBot="1" x14ac:dyDescent="0.35">
      <c r="D48" s="2">
        <f t="shared" si="0"/>
        <v>42</v>
      </c>
      <c r="E48" s="6">
        <v>2.1376146612205158</v>
      </c>
      <c r="F48" s="24"/>
      <c r="G48" s="24"/>
      <c r="H48" s="24"/>
      <c r="I48" s="24"/>
      <c r="J48" s="3"/>
      <c r="K48" s="8"/>
      <c r="L48" s="8"/>
      <c r="M48" s="8"/>
      <c r="N48" s="22"/>
      <c r="O48" s="32">
        <v>42</v>
      </c>
      <c r="P48" s="20">
        <f t="shared" ca="1" si="1"/>
        <v>1.9707419657654417</v>
      </c>
      <c r="Q48" s="20"/>
      <c r="R48" s="20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4:49" ht="15" thickBot="1" x14ac:dyDescent="0.35">
      <c r="D49" s="2">
        <f t="shared" si="0"/>
        <v>43</v>
      </c>
      <c r="E49" s="6">
        <v>4.3962827538967462</v>
      </c>
      <c r="F49" s="24"/>
      <c r="G49" s="24"/>
      <c r="H49" s="24"/>
      <c r="I49" s="24"/>
      <c r="J49" s="3"/>
      <c r="K49" s="8"/>
      <c r="L49" s="8"/>
      <c r="M49" s="8"/>
      <c r="N49" s="13"/>
      <c r="O49" s="32">
        <v>43</v>
      </c>
      <c r="P49" s="20">
        <f t="shared" ca="1" si="1"/>
        <v>0.51471995818292626</v>
      </c>
      <c r="Q49" s="20"/>
      <c r="R49" s="20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4:49" ht="15" thickBot="1" x14ac:dyDescent="0.35">
      <c r="D50" s="2">
        <f t="shared" si="0"/>
        <v>44</v>
      </c>
      <c r="E50" s="6">
        <v>0.30794522292486354</v>
      </c>
      <c r="F50" s="24"/>
      <c r="G50" s="24"/>
      <c r="H50" s="24"/>
      <c r="I50" s="24"/>
      <c r="J50" s="3"/>
      <c r="K50" s="8"/>
      <c r="L50" s="8"/>
      <c r="M50" s="8"/>
      <c r="N50" s="22"/>
      <c r="O50" s="32">
        <v>44</v>
      </c>
      <c r="P50" s="20">
        <f t="shared" ca="1" si="1"/>
        <v>3.9067065968110687E-2</v>
      </c>
      <c r="Q50" s="20"/>
      <c r="R50" s="20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4:49" ht="15" thickBot="1" x14ac:dyDescent="0.35">
      <c r="D51" s="2">
        <f t="shared" si="0"/>
        <v>45</v>
      </c>
      <c r="E51" s="6">
        <v>12.720256662951307</v>
      </c>
      <c r="F51" s="24"/>
      <c r="G51" s="24"/>
      <c r="H51" s="24"/>
      <c r="I51" s="24"/>
      <c r="J51" s="3"/>
      <c r="K51" s="8"/>
      <c r="L51" s="8"/>
      <c r="M51" s="8"/>
      <c r="N51" s="13"/>
      <c r="O51" s="32">
        <v>45</v>
      </c>
      <c r="P51" s="20">
        <f t="shared" ca="1" si="1"/>
        <v>21.324617031911359</v>
      </c>
      <c r="Q51" s="20"/>
      <c r="R51" s="20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4:49" ht="15" thickBot="1" x14ac:dyDescent="0.35">
      <c r="D52" s="2">
        <f t="shared" si="0"/>
        <v>46</v>
      </c>
      <c r="E52" s="6">
        <v>3.0403990949491009</v>
      </c>
      <c r="F52" s="24"/>
      <c r="G52" s="24"/>
      <c r="H52" s="24"/>
      <c r="I52" s="24"/>
      <c r="J52" s="3"/>
      <c r="K52" s="8"/>
      <c r="L52" s="8"/>
      <c r="M52" s="8"/>
      <c r="N52" s="13"/>
      <c r="O52" s="32">
        <v>46</v>
      </c>
      <c r="P52" s="20">
        <f t="shared" ca="1" si="1"/>
        <v>10.112901611259844</v>
      </c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4:49" ht="15" thickBot="1" x14ac:dyDescent="0.35">
      <c r="D53" s="2">
        <f t="shared" si="0"/>
        <v>47</v>
      </c>
      <c r="E53" s="6">
        <v>1.7232843186332265</v>
      </c>
      <c r="F53" s="24"/>
      <c r="G53" s="24"/>
      <c r="H53" s="24"/>
      <c r="I53" s="24"/>
      <c r="J53" s="3"/>
      <c r="K53" s="8"/>
      <c r="L53" s="8"/>
      <c r="M53" s="8"/>
      <c r="N53" s="22"/>
      <c r="O53" s="32">
        <v>47</v>
      </c>
      <c r="P53" s="20">
        <f t="shared" ca="1" si="1"/>
        <v>5.3563221188273999</v>
      </c>
      <c r="Q53" s="20"/>
      <c r="R53" s="20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4:49" ht="15" thickBot="1" x14ac:dyDescent="0.35">
      <c r="D54" s="2">
        <f t="shared" si="0"/>
        <v>48</v>
      </c>
      <c r="E54" s="6">
        <v>4.0600673634533475</v>
      </c>
      <c r="F54" s="24"/>
      <c r="G54" s="24"/>
      <c r="H54" s="24"/>
      <c r="I54" s="24"/>
      <c r="J54" s="3"/>
      <c r="K54" s="8"/>
      <c r="L54" s="8"/>
      <c r="M54" s="8"/>
      <c r="N54" s="13"/>
      <c r="O54" s="32">
        <v>48</v>
      </c>
      <c r="P54" s="20">
        <f t="shared" ca="1" si="1"/>
        <v>2.5034159391312865</v>
      </c>
      <c r="Q54" s="20"/>
      <c r="R54" s="20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4:49" ht="15" thickBot="1" x14ac:dyDescent="0.35">
      <c r="D55" s="2">
        <f t="shared" si="0"/>
        <v>49</v>
      </c>
      <c r="E55" s="6">
        <v>6.2178872421335631</v>
      </c>
      <c r="F55" s="24"/>
      <c r="G55" s="24"/>
      <c r="H55" s="24"/>
      <c r="I55" s="24"/>
      <c r="J55" s="3"/>
      <c r="K55" s="8"/>
      <c r="L55" s="8"/>
      <c r="M55" s="8"/>
      <c r="N55" s="22"/>
      <c r="O55" s="32">
        <v>49</v>
      </c>
      <c r="P55" s="20">
        <f t="shared" ca="1" si="1"/>
        <v>6.1440297348842625</v>
      </c>
      <c r="Q55" s="20"/>
      <c r="R55" s="20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4:49" ht="15" thickBot="1" x14ac:dyDescent="0.35">
      <c r="D56" s="2">
        <f t="shared" si="0"/>
        <v>50</v>
      </c>
      <c r="E56" s="6">
        <v>1.7632393924974243</v>
      </c>
      <c r="F56" s="24"/>
      <c r="G56" s="24"/>
      <c r="H56" s="24"/>
      <c r="I56" s="24"/>
      <c r="J56" s="3"/>
      <c r="K56" s="8"/>
      <c r="L56" s="8"/>
      <c r="M56" s="8"/>
      <c r="N56" s="13"/>
      <c r="O56" s="32">
        <v>50</v>
      </c>
      <c r="P56" s="20">
        <f t="shared" ca="1" si="1"/>
        <v>0.63273580197414703</v>
      </c>
      <c r="Q56" s="20">
        <f t="shared" ref="Q56" ca="1" si="8">AVERAGE(P47:P56)</f>
        <v>5.13496758186559</v>
      </c>
      <c r="R56" s="33">
        <f t="shared" ref="R56" ca="1" si="9">1/Q56</f>
        <v>0.19474319634101547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4:49" ht="15" thickBot="1" x14ac:dyDescent="0.35">
      <c r="D57" s="2">
        <f t="shared" si="0"/>
        <v>51</v>
      </c>
      <c r="E57" s="6">
        <v>3.9535620129823554</v>
      </c>
      <c r="F57" s="24"/>
      <c r="G57" s="24"/>
      <c r="H57" s="24"/>
      <c r="I57" s="24"/>
      <c r="J57" s="3"/>
      <c r="K57" s="8"/>
      <c r="L57" s="8"/>
      <c r="M57" s="8"/>
      <c r="N57" s="13"/>
      <c r="O57" s="32">
        <v>51</v>
      </c>
      <c r="P57" s="20">
        <f t="shared" ca="1" si="1"/>
        <v>0.91755252042456537</v>
      </c>
      <c r="Q57" s="20"/>
      <c r="R57" s="21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4:49" ht="15" thickBot="1" x14ac:dyDescent="0.35">
      <c r="D58" s="2">
        <f t="shared" si="0"/>
        <v>52</v>
      </c>
      <c r="E58" s="6">
        <v>6.3016320979817904</v>
      </c>
      <c r="F58" s="24"/>
      <c r="G58" s="24"/>
      <c r="H58" s="24"/>
      <c r="I58" s="24"/>
      <c r="J58" s="3"/>
      <c r="K58" s="8"/>
      <c r="L58" s="8"/>
      <c r="M58" s="8"/>
      <c r="N58" s="22"/>
      <c r="O58" s="32">
        <v>52</v>
      </c>
      <c r="P58" s="20">
        <f t="shared" ca="1" si="1"/>
        <v>0.23501236796422129</v>
      </c>
      <c r="Q58" s="20"/>
      <c r="R58" s="20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4:49" ht="15" thickBot="1" x14ac:dyDescent="0.35">
      <c r="D59" s="2">
        <f t="shared" si="0"/>
        <v>53</v>
      </c>
      <c r="E59" s="6">
        <v>1.9538308946583078</v>
      </c>
      <c r="F59" s="24"/>
      <c r="G59" s="24"/>
      <c r="H59" s="24"/>
      <c r="I59" s="24"/>
      <c r="J59" s="3"/>
      <c r="K59" s="8"/>
      <c r="L59" s="8"/>
      <c r="M59" s="8"/>
      <c r="N59" s="13"/>
      <c r="O59" s="32">
        <v>53</v>
      </c>
      <c r="P59" s="20">
        <f t="shared" ca="1" si="1"/>
        <v>0.33725948091821384</v>
      </c>
      <c r="Q59" s="20"/>
      <c r="R59" s="20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4:49" ht="15" thickBot="1" x14ac:dyDescent="0.35">
      <c r="D60" s="2">
        <f t="shared" si="0"/>
        <v>54</v>
      </c>
      <c r="E60" s="6">
        <v>8.3385972459785671E-3</v>
      </c>
      <c r="F60" s="24"/>
      <c r="G60" s="24"/>
      <c r="H60" s="24"/>
      <c r="I60" s="24"/>
      <c r="J60" s="3"/>
      <c r="K60" s="8"/>
      <c r="L60" s="8"/>
      <c r="M60" s="8"/>
      <c r="N60" s="22"/>
      <c r="O60" s="32">
        <v>54</v>
      </c>
      <c r="P60" s="20">
        <f t="shared" ca="1" si="1"/>
        <v>0.25771251623057712</v>
      </c>
      <c r="Q60" s="20"/>
      <c r="R60" s="20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4:49" ht="15" thickBot="1" x14ac:dyDescent="0.35">
      <c r="D61" s="2">
        <f t="shared" si="0"/>
        <v>55</v>
      </c>
      <c r="E61" s="6">
        <v>13.60938232280628</v>
      </c>
      <c r="F61" s="24"/>
      <c r="G61" s="24"/>
      <c r="H61" s="24"/>
      <c r="I61" s="24"/>
      <c r="J61" s="3"/>
      <c r="K61" s="8"/>
      <c r="L61" s="8"/>
      <c r="M61" s="8"/>
      <c r="N61" s="13"/>
      <c r="O61" s="32">
        <v>55</v>
      </c>
      <c r="P61" s="20">
        <f t="shared" ca="1" si="1"/>
        <v>7.2845039414558688</v>
      </c>
      <c r="Q61" s="20"/>
      <c r="R61" s="20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4:49" ht="15" thickBot="1" x14ac:dyDescent="0.35">
      <c r="D62" s="2">
        <f t="shared" si="0"/>
        <v>56</v>
      </c>
      <c r="E62" s="6">
        <v>4.727709205659278</v>
      </c>
      <c r="F62" s="24"/>
      <c r="G62" s="24"/>
      <c r="H62" s="24"/>
      <c r="I62" s="24"/>
      <c r="J62" s="3"/>
      <c r="K62" s="8"/>
      <c r="L62" s="8"/>
      <c r="M62" s="8"/>
      <c r="N62" s="13"/>
      <c r="O62" s="32">
        <v>56</v>
      </c>
      <c r="P62" s="20">
        <f t="shared" ca="1" si="1"/>
        <v>0.4847838125882124</v>
      </c>
      <c r="Q62" s="20"/>
      <c r="R62" s="20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4:49" ht="15" thickBot="1" x14ac:dyDescent="0.35">
      <c r="D63" s="2">
        <f t="shared" si="0"/>
        <v>57</v>
      </c>
      <c r="E63" s="6">
        <v>3.1619655628358205</v>
      </c>
      <c r="F63" s="24"/>
      <c r="G63" s="24"/>
      <c r="H63" s="24"/>
      <c r="I63" s="24"/>
      <c r="J63" s="3"/>
      <c r="K63" s="8"/>
      <c r="L63" s="8"/>
      <c r="M63" s="8"/>
      <c r="N63" s="22"/>
      <c r="O63" s="32">
        <v>57</v>
      </c>
      <c r="P63" s="20">
        <f t="shared" ca="1" si="1"/>
        <v>0.33318064031646322</v>
      </c>
      <c r="Q63" s="20"/>
      <c r="R63" s="20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4:49" ht="15" thickBot="1" x14ac:dyDescent="0.35">
      <c r="D64" s="2">
        <f t="shared" si="0"/>
        <v>58</v>
      </c>
      <c r="E64" s="6">
        <v>8.6050249112078273E-2</v>
      </c>
      <c r="F64" s="24"/>
      <c r="G64" s="24"/>
      <c r="H64" s="24"/>
      <c r="I64" s="24"/>
      <c r="J64" s="3"/>
      <c r="K64" s="8"/>
      <c r="L64" s="8"/>
      <c r="M64" s="8"/>
      <c r="N64" s="13"/>
      <c r="O64" s="32">
        <v>58</v>
      </c>
      <c r="P64" s="20">
        <f t="shared" ca="1" si="1"/>
        <v>4.7222071512041106</v>
      </c>
      <c r="Q64" s="20"/>
      <c r="R64" s="20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4:49" ht="15" thickBot="1" x14ac:dyDescent="0.35">
      <c r="D65" s="2">
        <f t="shared" si="0"/>
        <v>59</v>
      </c>
      <c r="E65" s="6">
        <v>2.2099446779871736</v>
      </c>
      <c r="F65" s="24"/>
      <c r="G65" s="24"/>
      <c r="H65" s="24"/>
      <c r="I65" s="24"/>
      <c r="J65" s="3"/>
      <c r="K65" s="8"/>
      <c r="L65" s="8"/>
      <c r="M65" s="8"/>
      <c r="N65" s="22"/>
      <c r="O65" s="32">
        <v>59</v>
      </c>
      <c r="P65" s="20">
        <f t="shared" ca="1" si="1"/>
        <v>2.3514823219490939</v>
      </c>
      <c r="Q65" s="20"/>
      <c r="R65" s="20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4:49" ht="15" thickBot="1" x14ac:dyDescent="0.35">
      <c r="D66" s="2">
        <f t="shared" si="0"/>
        <v>60</v>
      </c>
      <c r="E66" s="6">
        <v>2.1874281383910201</v>
      </c>
      <c r="F66" s="24"/>
      <c r="G66" s="24"/>
      <c r="H66" s="24"/>
      <c r="I66" s="24"/>
      <c r="J66" s="3"/>
      <c r="K66" s="8"/>
      <c r="L66" s="8"/>
      <c r="M66" s="8"/>
      <c r="N66" s="13"/>
      <c r="O66" s="32">
        <v>60</v>
      </c>
      <c r="P66" s="20">
        <f t="shared" ca="1" si="1"/>
        <v>0.36108125160999949</v>
      </c>
      <c r="Q66" s="20">
        <f t="shared" ref="Q66" ca="1" si="10">AVERAGE(P57:P66)</f>
        <v>1.7284776004661329</v>
      </c>
      <c r="R66" s="33">
        <f t="shared" ref="R66" ca="1" si="11">1/Q66</f>
        <v>0.57854380046945453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4:49" ht="15" thickBot="1" x14ac:dyDescent="0.35">
      <c r="D67" s="2">
        <f t="shared" si="0"/>
        <v>61</v>
      </c>
      <c r="E67" s="6">
        <v>5.2764297844879078</v>
      </c>
      <c r="F67" s="24"/>
      <c r="G67" s="24"/>
      <c r="H67" s="24"/>
      <c r="I67" s="24"/>
      <c r="J67" s="3"/>
      <c r="K67" s="8"/>
      <c r="L67" s="8"/>
      <c r="M67" s="8"/>
      <c r="N67" s="13"/>
      <c r="O67" s="32">
        <v>61</v>
      </c>
      <c r="P67" s="20">
        <f t="shared" ca="1" si="1"/>
        <v>13.426582243782873</v>
      </c>
      <c r="Q67" s="20"/>
      <c r="R67" s="21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4:49" ht="15" thickBot="1" x14ac:dyDescent="0.35">
      <c r="D68" s="2">
        <f t="shared" si="0"/>
        <v>62</v>
      </c>
      <c r="E68" s="6">
        <v>0.79504167128863501</v>
      </c>
      <c r="F68" s="24"/>
      <c r="G68" s="24"/>
      <c r="H68" s="24"/>
      <c r="I68" s="24"/>
      <c r="J68" s="3"/>
      <c r="K68" s="8"/>
      <c r="L68" s="8"/>
      <c r="M68" s="8"/>
      <c r="N68" s="22"/>
      <c r="O68" s="32">
        <v>62</v>
      </c>
      <c r="P68" s="20">
        <f t="shared" ca="1" si="1"/>
        <v>1.9138025675944836</v>
      </c>
      <c r="Q68" s="20"/>
      <c r="R68" s="20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4:49" ht="15" thickBot="1" x14ac:dyDescent="0.35">
      <c r="D69" s="2">
        <f t="shared" si="0"/>
        <v>63</v>
      </c>
      <c r="E69" s="6">
        <v>0.35190718080377359</v>
      </c>
      <c r="F69" s="24"/>
      <c r="G69" s="24"/>
      <c r="H69" s="24"/>
      <c r="I69" s="24"/>
      <c r="J69" s="3"/>
      <c r="K69" s="8"/>
      <c r="L69" s="8"/>
      <c r="M69" s="8"/>
      <c r="N69" s="13"/>
      <c r="O69" s="32">
        <v>63</v>
      </c>
      <c r="P69" s="20">
        <f t="shared" ca="1" si="1"/>
        <v>0.5122508715392895</v>
      </c>
      <c r="Q69" s="20"/>
      <c r="R69" s="20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4:49" ht="15" thickBot="1" x14ac:dyDescent="0.35">
      <c r="D70" s="2">
        <f t="shared" si="0"/>
        <v>64</v>
      </c>
      <c r="E70" s="6">
        <v>2.7206845095493972</v>
      </c>
      <c r="F70" s="24"/>
      <c r="G70" s="24"/>
      <c r="H70" s="24"/>
      <c r="I70" s="24"/>
      <c r="J70" s="3"/>
      <c r="K70" s="8"/>
      <c r="L70" s="8"/>
      <c r="M70" s="8"/>
      <c r="N70" s="22"/>
      <c r="O70" s="32">
        <v>64</v>
      </c>
      <c r="P70" s="20">
        <f t="shared" ca="1" si="1"/>
        <v>6.4304315684580047</v>
      </c>
      <c r="Q70" s="20"/>
      <c r="R70" s="20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4:49" ht="15" thickBot="1" x14ac:dyDescent="0.35">
      <c r="D71" s="2">
        <f t="shared" ref="D71:D134" si="12">ROW()-6</f>
        <v>65</v>
      </c>
      <c r="E71" s="6">
        <v>3.4916899861827084</v>
      </c>
      <c r="F71" s="24"/>
      <c r="G71" s="24"/>
      <c r="H71" s="24"/>
      <c r="I71" s="24"/>
      <c r="J71" s="3"/>
      <c r="K71" s="8"/>
      <c r="L71" s="8"/>
      <c r="M71" s="8"/>
      <c r="N71" s="13"/>
      <c r="O71" s="32">
        <v>65</v>
      </c>
      <c r="P71" s="20">
        <f t="shared" ca="1" si="1"/>
        <v>0.89712184067598333</v>
      </c>
      <c r="Q71" s="20"/>
      <c r="R71" s="20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4:49" ht="15" thickBot="1" x14ac:dyDescent="0.35">
      <c r="D72" s="2">
        <f t="shared" si="12"/>
        <v>66</v>
      </c>
      <c r="E72" s="6">
        <v>3.6876340237416656</v>
      </c>
      <c r="F72" s="24"/>
      <c r="G72" s="24"/>
      <c r="H72" s="24"/>
      <c r="I72" s="24"/>
      <c r="J72" s="3"/>
      <c r="K72" s="8"/>
      <c r="L72" s="8"/>
      <c r="M72" s="8"/>
      <c r="N72" s="13"/>
      <c r="O72" s="32">
        <v>66</v>
      </c>
      <c r="P72" s="20">
        <f t="shared" ref="P72:P135" ca="1" si="13">-(1/$N$7)*LN(RAND())</f>
        <v>6.9699679754126285</v>
      </c>
      <c r="Q72" s="20"/>
      <c r="R72" s="20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4:49" ht="15" thickBot="1" x14ac:dyDescent="0.35">
      <c r="D73" s="2">
        <f t="shared" si="12"/>
        <v>67</v>
      </c>
      <c r="E73" s="6">
        <v>0.28367097561113447</v>
      </c>
      <c r="F73" s="24"/>
      <c r="G73" s="24"/>
      <c r="H73" s="24"/>
      <c r="I73" s="24"/>
      <c r="J73" s="3"/>
      <c r="K73" s="8"/>
      <c r="L73" s="8"/>
      <c r="M73" s="8"/>
      <c r="N73" s="22"/>
      <c r="O73" s="32">
        <v>67</v>
      </c>
      <c r="P73" s="20">
        <f t="shared" ca="1" si="13"/>
        <v>12.129590261577036</v>
      </c>
      <c r="Q73" s="20"/>
      <c r="R73" s="20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4:49" ht="15" thickBot="1" x14ac:dyDescent="0.35">
      <c r="D74" s="2">
        <f t="shared" si="12"/>
        <v>68</v>
      </c>
      <c r="E74" s="6">
        <v>7.1206740430875968</v>
      </c>
      <c r="F74" s="24"/>
      <c r="G74" s="24"/>
      <c r="H74" s="24"/>
      <c r="I74" s="24"/>
      <c r="J74" s="3"/>
      <c r="K74" s="8"/>
      <c r="L74" s="8"/>
      <c r="M74" s="8"/>
      <c r="N74" s="13"/>
      <c r="O74" s="32">
        <v>68</v>
      </c>
      <c r="P74" s="20">
        <f t="shared" ca="1" si="13"/>
        <v>4.6382697776932575</v>
      </c>
      <c r="Q74" s="20"/>
      <c r="R74" s="20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4:49" ht="15" thickBot="1" x14ac:dyDescent="0.35">
      <c r="D75" s="2">
        <f t="shared" si="12"/>
        <v>69</v>
      </c>
      <c r="E75" s="6">
        <v>5.138513624500896</v>
      </c>
      <c r="F75" s="24"/>
      <c r="G75" s="24"/>
      <c r="H75" s="24"/>
      <c r="I75" s="24"/>
      <c r="J75" s="3"/>
      <c r="K75" s="8"/>
      <c r="L75" s="8"/>
      <c r="M75" s="8"/>
      <c r="N75" s="22"/>
      <c r="O75" s="32">
        <v>69</v>
      </c>
      <c r="P75" s="20">
        <f t="shared" ca="1" si="13"/>
        <v>0.38913759574123324</v>
      </c>
      <c r="Q75" s="20"/>
      <c r="R75" s="20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4:49" ht="15" thickBot="1" x14ac:dyDescent="0.35">
      <c r="D76" s="2">
        <f t="shared" si="12"/>
        <v>70</v>
      </c>
      <c r="E76" s="6">
        <v>0.12831894986853071</v>
      </c>
      <c r="F76" s="24"/>
      <c r="G76" s="24"/>
      <c r="H76" s="24"/>
      <c r="I76" s="24"/>
      <c r="J76" s="3"/>
      <c r="K76" s="8"/>
      <c r="L76" s="8"/>
      <c r="M76" s="8"/>
      <c r="N76" s="13"/>
      <c r="O76" s="32">
        <v>70</v>
      </c>
      <c r="P76" s="20">
        <f t="shared" ca="1" si="13"/>
        <v>0.44095834388842814</v>
      </c>
      <c r="Q76" s="20">
        <f t="shared" ref="Q76" ca="1" si="14">AVERAGE(P67:P76)</f>
        <v>4.7748113046363212</v>
      </c>
      <c r="R76" s="33">
        <f t="shared" ref="R76" ca="1" si="15">1/Q76</f>
        <v>0.2094323599822687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4:49" ht="15" thickBot="1" x14ac:dyDescent="0.35">
      <c r="D77" s="2">
        <f t="shared" si="12"/>
        <v>71</v>
      </c>
      <c r="E77" s="6">
        <v>12.487709386758334</v>
      </c>
      <c r="F77" s="24"/>
      <c r="G77" s="24"/>
      <c r="H77" s="24"/>
      <c r="I77" s="24"/>
      <c r="J77" s="3"/>
      <c r="K77" s="8"/>
      <c r="L77" s="8"/>
      <c r="M77" s="8"/>
      <c r="N77" s="13"/>
      <c r="O77" s="32">
        <v>71</v>
      </c>
      <c r="P77" s="20">
        <f t="shared" ca="1" si="13"/>
        <v>4.5629493701998838</v>
      </c>
      <c r="Q77" s="20"/>
      <c r="R77" s="21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4:49" ht="15" thickBot="1" x14ac:dyDescent="0.35">
      <c r="D78" s="2">
        <f t="shared" si="12"/>
        <v>72</v>
      </c>
      <c r="E78" s="6">
        <v>1.3040589111833407</v>
      </c>
      <c r="F78" s="24"/>
      <c r="G78" s="24"/>
      <c r="H78" s="24"/>
      <c r="I78" s="24"/>
      <c r="J78" s="3"/>
      <c r="K78" s="8"/>
      <c r="L78" s="8"/>
      <c r="M78" s="8"/>
      <c r="N78" s="22"/>
      <c r="O78" s="32">
        <v>72</v>
      </c>
      <c r="P78" s="20">
        <f t="shared" ca="1" si="13"/>
        <v>3.9373423696292562</v>
      </c>
      <c r="Q78" s="20"/>
      <c r="R78" s="20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4:49" ht="15" thickBot="1" x14ac:dyDescent="0.35">
      <c r="D79" s="2">
        <f t="shared" si="12"/>
        <v>73</v>
      </c>
      <c r="E79" s="6">
        <v>9.965079528470703</v>
      </c>
      <c r="F79" s="24"/>
      <c r="G79" s="24"/>
      <c r="H79" s="24"/>
      <c r="I79" s="24"/>
      <c r="J79" s="3"/>
      <c r="K79" s="8"/>
      <c r="L79" s="8"/>
      <c r="M79" s="8"/>
      <c r="N79" s="13"/>
      <c r="O79" s="32">
        <v>73</v>
      </c>
      <c r="P79" s="20">
        <f t="shared" ca="1" si="13"/>
        <v>7.9309134977005407</v>
      </c>
      <c r="Q79" s="20"/>
      <c r="R79" s="20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4:49" ht="15" thickBot="1" x14ac:dyDescent="0.35">
      <c r="D80" s="2">
        <f t="shared" si="12"/>
        <v>74</v>
      </c>
      <c r="E80" s="6">
        <v>8.6188150722880117</v>
      </c>
      <c r="F80" s="24"/>
      <c r="G80" s="24"/>
      <c r="H80" s="24"/>
      <c r="I80" s="24"/>
      <c r="J80" s="3"/>
      <c r="K80" s="8"/>
      <c r="L80" s="8"/>
      <c r="M80" s="8"/>
      <c r="N80" s="22"/>
      <c r="O80" s="32">
        <v>74</v>
      </c>
      <c r="P80" s="20">
        <f t="shared" ca="1" si="13"/>
        <v>4.1461335167261701</v>
      </c>
      <c r="Q80" s="20"/>
      <c r="R80" s="20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4:49" ht="15" thickBot="1" x14ac:dyDescent="0.35">
      <c r="D81" s="2">
        <f t="shared" si="12"/>
        <v>75</v>
      </c>
      <c r="E81" s="6">
        <v>6.0588785769312548</v>
      </c>
      <c r="F81" s="24"/>
      <c r="G81" s="24"/>
      <c r="H81" s="24"/>
      <c r="I81" s="24"/>
      <c r="J81" s="3"/>
      <c r="K81" s="8"/>
      <c r="L81" s="8"/>
      <c r="M81" s="8"/>
      <c r="N81" s="13"/>
      <c r="O81" s="32">
        <v>75</v>
      </c>
      <c r="P81" s="20">
        <f t="shared" ca="1" si="13"/>
        <v>1.9502477643356946</v>
      </c>
      <c r="Q81" s="20"/>
      <c r="R81" s="20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4:49" ht="15" thickBot="1" x14ac:dyDescent="0.35">
      <c r="D82" s="2">
        <f t="shared" si="12"/>
        <v>76</v>
      </c>
      <c r="E82" s="6">
        <v>8.6808944150151195</v>
      </c>
      <c r="F82" s="24"/>
      <c r="G82" s="24"/>
      <c r="H82" s="24"/>
      <c r="I82" s="24"/>
      <c r="J82" s="3"/>
      <c r="K82" s="8"/>
      <c r="L82" s="8"/>
      <c r="M82" s="8"/>
      <c r="N82" s="13"/>
      <c r="O82" s="32">
        <v>76</v>
      </c>
      <c r="P82" s="20">
        <f t="shared" ca="1" si="13"/>
        <v>1.2381154521033249</v>
      </c>
      <c r="Q82" s="20"/>
      <c r="R82" s="20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4:49" ht="15" thickBot="1" x14ac:dyDescent="0.35">
      <c r="D83" s="2">
        <f t="shared" si="12"/>
        <v>77</v>
      </c>
      <c r="E83" s="6">
        <v>4.5219444605863357</v>
      </c>
      <c r="F83" s="24"/>
      <c r="G83" s="24"/>
      <c r="H83" s="24"/>
      <c r="I83" s="24"/>
      <c r="J83" s="3"/>
      <c r="K83" s="8"/>
      <c r="L83" s="8"/>
      <c r="M83" s="8"/>
      <c r="N83" s="22"/>
      <c r="O83" s="32">
        <v>77</v>
      </c>
      <c r="P83" s="20">
        <f t="shared" ca="1" si="13"/>
        <v>2.8527873617387232</v>
      </c>
      <c r="Q83" s="20"/>
      <c r="R83" s="20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4:49" ht="15" thickBot="1" x14ac:dyDescent="0.35">
      <c r="D84" s="2">
        <f t="shared" si="12"/>
        <v>78</v>
      </c>
      <c r="E84" s="6">
        <v>10.26409344737456</v>
      </c>
      <c r="F84" s="24"/>
      <c r="G84" s="24"/>
      <c r="H84" s="24"/>
      <c r="I84" s="24"/>
      <c r="J84" s="3"/>
      <c r="K84" s="8"/>
      <c r="L84" s="8"/>
      <c r="M84" s="8"/>
      <c r="N84" s="13"/>
      <c r="O84" s="32">
        <v>78</v>
      </c>
      <c r="P84" s="20">
        <f t="shared" ca="1" si="13"/>
        <v>3.2140785764279829</v>
      </c>
      <c r="Q84" s="20"/>
      <c r="R84" s="20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4:49" ht="15" thickBot="1" x14ac:dyDescent="0.35">
      <c r="D85" s="2">
        <f t="shared" si="12"/>
        <v>79</v>
      </c>
      <c r="E85" s="6">
        <v>2.1363865176589609</v>
      </c>
      <c r="F85" s="24"/>
      <c r="G85" s="24"/>
      <c r="H85" s="24"/>
      <c r="I85" s="24"/>
      <c r="J85" s="3"/>
      <c r="K85" s="8"/>
      <c r="L85" s="8"/>
      <c r="M85" s="8"/>
      <c r="N85" s="22"/>
      <c r="O85" s="32">
        <v>79</v>
      </c>
      <c r="P85" s="20">
        <f t="shared" ca="1" si="13"/>
        <v>0.4196215624685487</v>
      </c>
      <c r="Q85" s="20"/>
      <c r="R85" s="20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4:49" ht="15" thickBot="1" x14ac:dyDescent="0.35">
      <c r="D86" s="2">
        <f t="shared" si="12"/>
        <v>80</v>
      </c>
      <c r="E86" s="6">
        <v>9.2279319928390109</v>
      </c>
      <c r="F86" s="24"/>
      <c r="G86" s="24"/>
      <c r="H86" s="24"/>
      <c r="I86" s="24"/>
      <c r="J86" s="3"/>
      <c r="K86" s="8"/>
      <c r="L86" s="8"/>
      <c r="M86" s="8"/>
      <c r="N86" s="13"/>
      <c r="O86" s="32">
        <v>80</v>
      </c>
      <c r="P86" s="20">
        <f t="shared" ca="1" si="13"/>
        <v>0.12451611746472351</v>
      </c>
      <c r="Q86" s="20">
        <f t="shared" ref="Q86" ca="1" si="16">AVERAGE(P77:P86)</f>
        <v>3.0376705588794852</v>
      </c>
      <c r="R86" s="33">
        <f t="shared" ref="R86" ca="1" si="17">1/Q86</f>
        <v>0.32919962208438858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4:49" ht="15" thickBot="1" x14ac:dyDescent="0.35">
      <c r="D87" s="2">
        <f t="shared" si="12"/>
        <v>81</v>
      </c>
      <c r="E87" s="6">
        <v>0.84014825078752975</v>
      </c>
      <c r="F87" s="24"/>
      <c r="G87" s="24"/>
      <c r="H87" s="24"/>
      <c r="I87" s="24"/>
      <c r="J87" s="3"/>
      <c r="K87" s="8"/>
      <c r="L87" s="8"/>
      <c r="M87" s="8"/>
      <c r="N87" s="13"/>
      <c r="O87" s="32">
        <v>81</v>
      </c>
      <c r="P87" s="20">
        <f t="shared" ca="1" si="13"/>
        <v>6.6124979956765921</v>
      </c>
      <c r="Q87" s="20"/>
      <c r="R87" s="21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4:49" ht="15" thickBot="1" x14ac:dyDescent="0.35">
      <c r="D88" s="2">
        <f t="shared" si="12"/>
        <v>82</v>
      </c>
      <c r="E88" s="6">
        <v>2.0740226841634253</v>
      </c>
      <c r="F88" s="24"/>
      <c r="G88" s="24"/>
      <c r="H88" s="24"/>
      <c r="I88" s="24"/>
      <c r="J88" s="3"/>
      <c r="K88" s="8"/>
      <c r="L88" s="8"/>
      <c r="M88" s="8"/>
      <c r="N88" s="22"/>
      <c r="O88" s="32">
        <v>82</v>
      </c>
      <c r="P88" s="20">
        <f t="shared" ca="1" si="13"/>
        <v>6.2190120620466613</v>
      </c>
      <c r="Q88" s="20"/>
      <c r="R88" s="20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4:49" ht="15" thickBot="1" x14ac:dyDescent="0.35">
      <c r="D89" s="2">
        <f t="shared" si="12"/>
        <v>83</v>
      </c>
      <c r="E89" s="6">
        <v>0.69323428566460576</v>
      </c>
      <c r="F89" s="24"/>
      <c r="G89" s="24"/>
      <c r="H89" s="24"/>
      <c r="I89" s="24"/>
      <c r="J89" s="3"/>
      <c r="K89" s="8"/>
      <c r="L89" s="8"/>
      <c r="M89" s="8"/>
      <c r="N89" s="13"/>
      <c r="O89" s="32">
        <v>83</v>
      </c>
      <c r="P89" s="20">
        <f t="shared" ca="1" si="13"/>
        <v>14.95661168068993</v>
      </c>
      <c r="Q89" s="20"/>
      <c r="R89" s="20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4:49" ht="15" thickBot="1" x14ac:dyDescent="0.35">
      <c r="D90" s="2">
        <f t="shared" si="12"/>
        <v>84</v>
      </c>
      <c r="E90" s="6">
        <v>1.4451592565502593</v>
      </c>
      <c r="F90" s="24"/>
      <c r="G90" s="24"/>
      <c r="H90" s="24"/>
      <c r="I90" s="24"/>
      <c r="J90" s="3"/>
      <c r="K90" s="8"/>
      <c r="L90" s="8"/>
      <c r="M90" s="8"/>
      <c r="N90" s="22"/>
      <c r="O90" s="32">
        <v>84</v>
      </c>
      <c r="P90" s="20">
        <f t="shared" ca="1" si="13"/>
        <v>0.38751882698000217</v>
      </c>
      <c r="Q90" s="20"/>
      <c r="R90" s="20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4:49" ht="15" thickBot="1" x14ac:dyDescent="0.35">
      <c r="D91" s="2">
        <f t="shared" si="12"/>
        <v>85</v>
      </c>
      <c r="E91" s="6">
        <v>0.28177272040170392</v>
      </c>
      <c r="F91" s="24"/>
      <c r="G91" s="24"/>
      <c r="H91" s="24"/>
      <c r="I91" s="24"/>
      <c r="J91" s="3"/>
      <c r="K91" s="8"/>
      <c r="L91" s="8"/>
      <c r="M91" s="8"/>
      <c r="N91" s="13"/>
      <c r="O91" s="32">
        <v>85</v>
      </c>
      <c r="P91" s="20">
        <f t="shared" ca="1" si="13"/>
        <v>0.5940463377918811</v>
      </c>
      <c r="Q91" s="20"/>
      <c r="R91" s="20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4:49" ht="15" thickBot="1" x14ac:dyDescent="0.35">
      <c r="D92" s="2">
        <f t="shared" si="12"/>
        <v>86</v>
      </c>
      <c r="E92" s="6">
        <v>3.9423988451299516</v>
      </c>
      <c r="F92" s="24"/>
      <c r="G92" s="24"/>
      <c r="H92" s="24"/>
      <c r="I92" s="24"/>
      <c r="J92" s="3"/>
      <c r="K92" s="8"/>
      <c r="L92" s="8"/>
      <c r="M92" s="8"/>
      <c r="N92" s="13"/>
      <c r="O92" s="32">
        <v>86</v>
      </c>
      <c r="P92" s="20">
        <f t="shared" ca="1" si="13"/>
        <v>15.369359959660855</v>
      </c>
      <c r="Q92" s="20"/>
      <c r="R92" s="20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4:49" ht="15" thickBot="1" x14ac:dyDescent="0.35">
      <c r="D93" s="2">
        <f t="shared" si="12"/>
        <v>87</v>
      </c>
      <c r="E93" s="6">
        <v>2.7186494186659189</v>
      </c>
      <c r="F93" s="24"/>
      <c r="G93" s="24"/>
      <c r="H93" s="24"/>
      <c r="I93" s="24"/>
      <c r="J93" s="3"/>
      <c r="K93" s="8"/>
      <c r="L93" s="8"/>
      <c r="M93" s="8"/>
      <c r="N93" s="22"/>
      <c r="O93" s="32">
        <v>87</v>
      </c>
      <c r="P93" s="20">
        <f t="shared" ca="1" si="13"/>
        <v>10.288083956888945</v>
      </c>
      <c r="Q93" s="20"/>
      <c r="R93" s="20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4:49" ht="15" thickBot="1" x14ac:dyDescent="0.35">
      <c r="D94" s="2">
        <f t="shared" si="12"/>
        <v>88</v>
      </c>
      <c r="E94" s="6">
        <v>4.6714019703275049</v>
      </c>
      <c r="F94" s="24"/>
      <c r="G94" s="24"/>
      <c r="H94" s="24"/>
      <c r="I94" s="24"/>
      <c r="J94" s="3"/>
      <c r="K94" s="8"/>
      <c r="L94" s="8"/>
      <c r="M94" s="8"/>
      <c r="N94" s="13"/>
      <c r="O94" s="32">
        <v>88</v>
      </c>
      <c r="P94" s="20">
        <f t="shared" ca="1" si="13"/>
        <v>1.774472023369035</v>
      </c>
      <c r="Q94" s="20"/>
      <c r="R94" s="20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4:49" ht="15" thickBot="1" x14ac:dyDescent="0.35">
      <c r="D95" s="2">
        <f t="shared" si="12"/>
        <v>89</v>
      </c>
      <c r="E95" s="6">
        <v>4.100976991329544</v>
      </c>
      <c r="F95" s="24"/>
      <c r="G95" s="24"/>
      <c r="H95" s="24"/>
      <c r="I95" s="24"/>
      <c r="J95" s="3"/>
      <c r="K95" s="8"/>
      <c r="L95" s="8"/>
      <c r="M95" s="8"/>
      <c r="N95" s="22"/>
      <c r="O95" s="32">
        <v>89</v>
      </c>
      <c r="P95" s="20">
        <f t="shared" ca="1" si="13"/>
        <v>11.405410964046885</v>
      </c>
      <c r="Q95" s="20"/>
      <c r="R95" s="20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4:49" ht="15" thickBot="1" x14ac:dyDescent="0.35">
      <c r="D96" s="2">
        <f t="shared" si="12"/>
        <v>90</v>
      </c>
      <c r="E96" s="6">
        <v>1.6986808634551283</v>
      </c>
      <c r="F96" s="24"/>
      <c r="G96" s="24"/>
      <c r="H96" s="24"/>
      <c r="I96" s="24"/>
      <c r="J96" s="3"/>
      <c r="K96" s="8"/>
      <c r="L96" s="8"/>
      <c r="M96" s="8"/>
      <c r="N96" s="13"/>
      <c r="O96" s="32">
        <v>90</v>
      </c>
      <c r="P96" s="20">
        <f t="shared" ca="1" si="13"/>
        <v>2.0371433304718445</v>
      </c>
      <c r="Q96" s="20">
        <f t="shared" ref="Q96" ca="1" si="18">AVERAGE(P87:P96)</f>
        <v>6.9644157137622624</v>
      </c>
      <c r="R96" s="33">
        <f t="shared" ref="R96" ca="1" si="19">1/Q96</f>
        <v>0.14358706330868751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4:49" ht="15" thickBot="1" x14ac:dyDescent="0.35">
      <c r="D97" s="2">
        <f t="shared" si="12"/>
        <v>91</v>
      </c>
      <c r="E97" s="6">
        <v>0.10586195025198018</v>
      </c>
      <c r="F97" s="24"/>
      <c r="G97" s="24"/>
      <c r="H97" s="24"/>
      <c r="I97" s="24"/>
      <c r="J97" s="3"/>
      <c r="K97" s="8"/>
      <c r="L97" s="8"/>
      <c r="M97" s="8"/>
      <c r="N97" s="13"/>
      <c r="O97" s="32">
        <v>91</v>
      </c>
      <c r="P97" s="20">
        <f t="shared" ca="1" si="13"/>
        <v>5.1643333241264502</v>
      </c>
      <c r="Q97" s="20"/>
      <c r="R97" s="21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4:49" ht="15" thickBot="1" x14ac:dyDescent="0.35">
      <c r="D98" s="2">
        <f t="shared" si="12"/>
        <v>92</v>
      </c>
      <c r="E98" s="6">
        <v>1.2295804078782848</v>
      </c>
      <c r="F98" s="24"/>
      <c r="G98" s="24"/>
      <c r="H98" s="24"/>
      <c r="I98" s="24"/>
      <c r="J98" s="3"/>
      <c r="K98" s="8"/>
      <c r="L98" s="8"/>
      <c r="M98" s="8"/>
      <c r="N98" s="22"/>
      <c r="O98" s="32">
        <v>92</v>
      </c>
      <c r="P98" s="20">
        <f t="shared" ca="1" si="13"/>
        <v>4.6058429946234603E-2</v>
      </c>
      <c r="Q98" s="20"/>
      <c r="R98" s="20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4:49" ht="15" thickBot="1" x14ac:dyDescent="0.35">
      <c r="D99" s="2">
        <f t="shared" si="12"/>
        <v>93</v>
      </c>
      <c r="E99" s="6">
        <v>3.6469089431785533</v>
      </c>
      <c r="F99" s="24"/>
      <c r="G99" s="24"/>
      <c r="H99" s="24"/>
      <c r="I99" s="24"/>
      <c r="J99" s="3"/>
      <c r="K99" s="8"/>
      <c r="L99" s="8"/>
      <c r="M99" s="8"/>
      <c r="N99" s="13"/>
      <c r="O99" s="32">
        <v>93</v>
      </c>
      <c r="P99" s="20">
        <f t="shared" ca="1" si="13"/>
        <v>2.574907966227916</v>
      </c>
      <c r="Q99" s="20"/>
      <c r="R99" s="20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4:49" ht="15" thickBot="1" x14ac:dyDescent="0.35">
      <c r="D100" s="2">
        <f t="shared" si="12"/>
        <v>94</v>
      </c>
      <c r="E100" s="6">
        <v>6.3047139551972124</v>
      </c>
      <c r="F100" s="24"/>
      <c r="G100" s="24"/>
      <c r="H100" s="24"/>
      <c r="I100" s="24"/>
      <c r="J100" s="3"/>
      <c r="K100" s="8"/>
      <c r="L100" s="8"/>
      <c r="M100" s="8"/>
      <c r="N100" s="22"/>
      <c r="O100" s="32">
        <v>94</v>
      </c>
      <c r="P100" s="20">
        <f t="shared" ca="1" si="13"/>
        <v>0.27434483657506714</v>
      </c>
      <c r="Q100" s="20"/>
      <c r="R100" s="20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4:49" ht="15" thickBot="1" x14ac:dyDescent="0.35">
      <c r="D101" s="2">
        <f t="shared" si="12"/>
        <v>95</v>
      </c>
      <c r="E101" s="6">
        <v>2.6702374565458151</v>
      </c>
      <c r="F101" s="24"/>
      <c r="G101" s="24"/>
      <c r="H101" s="24"/>
      <c r="I101" s="24"/>
      <c r="J101" s="3"/>
      <c r="K101" s="8"/>
      <c r="L101" s="8"/>
      <c r="M101" s="8"/>
      <c r="N101" s="13"/>
      <c r="O101" s="32">
        <v>95</v>
      </c>
      <c r="P101" s="20">
        <f t="shared" ca="1" si="13"/>
        <v>9.5232702845045942</v>
      </c>
      <c r="Q101" s="20"/>
      <c r="R101" s="20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4:49" ht="15" thickBot="1" x14ac:dyDescent="0.35">
      <c r="D102" s="2">
        <f t="shared" si="12"/>
        <v>96</v>
      </c>
      <c r="E102" s="6">
        <v>11.870503723810272</v>
      </c>
      <c r="F102" s="24"/>
      <c r="G102" s="24"/>
      <c r="H102" s="24"/>
      <c r="I102" s="24"/>
      <c r="J102" s="3"/>
      <c r="K102" s="8"/>
      <c r="L102" s="8"/>
      <c r="M102" s="8"/>
      <c r="N102" s="13"/>
      <c r="O102" s="32">
        <v>96</v>
      </c>
      <c r="P102" s="20">
        <f t="shared" ca="1" si="13"/>
        <v>3.5377015065551354</v>
      </c>
      <c r="Q102" s="20"/>
      <c r="R102" s="20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4:49" ht="15" thickBot="1" x14ac:dyDescent="0.35">
      <c r="D103" s="2">
        <f t="shared" si="12"/>
        <v>97</v>
      </c>
      <c r="E103" s="6">
        <v>3.6016908260903997</v>
      </c>
      <c r="F103" s="24"/>
      <c r="G103" s="24"/>
      <c r="H103" s="24"/>
      <c r="I103" s="24"/>
      <c r="J103" s="3"/>
      <c r="K103" s="8"/>
      <c r="L103" s="8"/>
      <c r="M103" s="8"/>
      <c r="N103" s="22"/>
      <c r="O103" s="32">
        <v>97</v>
      </c>
      <c r="P103" s="20">
        <f t="shared" ca="1" si="13"/>
        <v>2.6014691254676259</v>
      </c>
      <c r="Q103" s="20"/>
      <c r="R103" s="20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4:49" ht="15" thickBot="1" x14ac:dyDescent="0.35">
      <c r="D104" s="2">
        <f t="shared" si="12"/>
        <v>98</v>
      </c>
      <c r="E104" s="6">
        <v>2.9235600188146083</v>
      </c>
      <c r="F104" s="24"/>
      <c r="G104" s="24"/>
      <c r="H104" s="24"/>
      <c r="I104" s="24"/>
      <c r="J104" s="3"/>
      <c r="K104" s="8"/>
      <c r="L104" s="8"/>
      <c r="M104" s="8"/>
      <c r="N104" s="13"/>
      <c r="O104" s="32">
        <v>98</v>
      </c>
      <c r="P104" s="20">
        <f t="shared" ca="1" si="13"/>
        <v>6.1631434131079912</v>
      </c>
      <c r="Q104" s="20"/>
      <c r="R104" s="20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4:49" ht="15" thickBot="1" x14ac:dyDescent="0.35">
      <c r="D105" s="2">
        <f t="shared" si="12"/>
        <v>99</v>
      </c>
      <c r="E105" s="6">
        <v>3.9898068334036343</v>
      </c>
      <c r="F105" s="24"/>
      <c r="G105" s="24"/>
      <c r="H105" s="24"/>
      <c r="I105" s="24"/>
      <c r="J105" s="3"/>
      <c r="K105" s="8"/>
      <c r="L105" s="8"/>
      <c r="M105" s="8"/>
      <c r="N105" s="22"/>
      <c r="O105" s="32">
        <v>99</v>
      </c>
      <c r="P105" s="20">
        <f t="shared" ca="1" si="13"/>
        <v>9.2962085467042659</v>
      </c>
      <c r="Q105" s="20"/>
      <c r="R105" s="20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4:49" ht="15" thickBot="1" x14ac:dyDescent="0.35">
      <c r="D106" s="2">
        <f t="shared" si="12"/>
        <v>100</v>
      </c>
      <c r="E106" s="6">
        <v>1.1126274997075811</v>
      </c>
      <c r="F106" s="24"/>
      <c r="G106" s="24"/>
      <c r="H106" s="24"/>
      <c r="I106" s="24"/>
      <c r="J106" s="3"/>
      <c r="K106" s="8"/>
      <c r="L106" s="8"/>
      <c r="M106" s="8"/>
      <c r="N106" s="13"/>
      <c r="O106" s="32">
        <v>100</v>
      </c>
      <c r="P106" s="20">
        <f t="shared" ca="1" si="13"/>
        <v>0.57634780559225551</v>
      </c>
      <c r="Q106" s="20">
        <f t="shared" ref="Q106" ca="1" si="20">AVERAGE(P97:P106)</f>
        <v>3.9757785238807535</v>
      </c>
      <c r="R106" s="33">
        <f t="shared" ref="R106" ca="1" si="21">1/Q106</f>
        <v>0.25152306497795079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4:49" ht="15" thickBot="1" x14ac:dyDescent="0.35">
      <c r="D107" s="2">
        <f t="shared" si="12"/>
        <v>101</v>
      </c>
      <c r="E107" s="6">
        <v>3.0714059343281619</v>
      </c>
      <c r="F107" s="24"/>
      <c r="G107" s="24"/>
      <c r="H107" s="24"/>
      <c r="I107" s="24"/>
      <c r="J107" s="3"/>
      <c r="K107" s="8"/>
      <c r="L107" s="8"/>
      <c r="M107" s="8"/>
      <c r="N107" s="13"/>
      <c r="O107" s="32">
        <v>101</v>
      </c>
      <c r="P107" s="20">
        <f t="shared" ca="1" si="13"/>
        <v>5.026156708203815</v>
      </c>
      <c r="Q107" s="20"/>
      <c r="R107" s="21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4:49" ht="15" thickBot="1" x14ac:dyDescent="0.35">
      <c r="D108" s="2">
        <f t="shared" si="12"/>
        <v>102</v>
      </c>
      <c r="E108" s="6">
        <v>4.0883152933115463</v>
      </c>
      <c r="F108" s="24"/>
      <c r="G108" s="24"/>
      <c r="H108" s="24"/>
      <c r="I108" s="24"/>
      <c r="J108" s="3"/>
      <c r="K108" s="8"/>
      <c r="L108" s="8"/>
      <c r="M108" s="8"/>
      <c r="N108" s="22"/>
      <c r="O108" s="32">
        <v>102</v>
      </c>
      <c r="P108" s="20">
        <f t="shared" ca="1" si="13"/>
        <v>8.5958348318311908E-2</v>
      </c>
      <c r="Q108" s="20"/>
      <c r="R108" s="20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4:49" ht="15" thickBot="1" x14ac:dyDescent="0.35">
      <c r="D109" s="2">
        <f t="shared" si="12"/>
        <v>103</v>
      </c>
      <c r="E109" s="6">
        <v>0.30717094383158822</v>
      </c>
      <c r="F109" s="24"/>
      <c r="G109" s="24"/>
      <c r="H109" s="24"/>
      <c r="I109" s="24"/>
      <c r="J109" s="3"/>
      <c r="K109" s="8"/>
      <c r="L109" s="8"/>
      <c r="M109" s="8"/>
      <c r="N109" s="13"/>
      <c r="O109" s="32">
        <v>103</v>
      </c>
      <c r="P109" s="20">
        <f t="shared" ca="1" si="13"/>
        <v>2.7829055351717082</v>
      </c>
      <c r="Q109" s="20"/>
      <c r="R109" s="20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4:49" ht="15" thickBot="1" x14ac:dyDescent="0.35">
      <c r="D110" s="2">
        <f t="shared" si="12"/>
        <v>104</v>
      </c>
      <c r="E110" s="6">
        <v>0.17758184415718919</v>
      </c>
      <c r="F110" s="24"/>
      <c r="G110" s="24"/>
      <c r="H110" s="24"/>
      <c r="I110" s="24"/>
      <c r="J110" s="3"/>
      <c r="K110" s="8"/>
      <c r="L110" s="8"/>
      <c r="M110" s="8"/>
      <c r="N110" s="22"/>
      <c r="O110" s="32">
        <v>104</v>
      </c>
      <c r="P110" s="20">
        <f t="shared" ca="1" si="13"/>
        <v>1.541504439971334</v>
      </c>
      <c r="Q110" s="20"/>
      <c r="R110" s="20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4:49" ht="15" thickBot="1" x14ac:dyDescent="0.35">
      <c r="D111" s="2">
        <f t="shared" si="12"/>
        <v>105</v>
      </c>
      <c r="E111" s="6">
        <v>1.826984573676848</v>
      </c>
      <c r="F111" s="24"/>
      <c r="G111" s="24"/>
      <c r="H111" s="24"/>
      <c r="I111" s="24"/>
      <c r="J111" s="3"/>
      <c r="K111" s="8"/>
      <c r="L111" s="8"/>
      <c r="M111" s="8"/>
      <c r="N111" s="13"/>
      <c r="O111" s="32">
        <v>105</v>
      </c>
      <c r="P111" s="20">
        <f t="shared" ca="1" si="13"/>
        <v>5.2401284374595738</v>
      </c>
      <c r="Q111" s="20"/>
      <c r="R111" s="20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4:49" ht="15" thickBot="1" x14ac:dyDescent="0.35">
      <c r="D112" s="2">
        <f t="shared" si="12"/>
        <v>106</v>
      </c>
      <c r="E112" s="6">
        <v>0.69168198069452025</v>
      </c>
      <c r="F112" s="24"/>
      <c r="G112" s="24"/>
      <c r="H112" s="24"/>
      <c r="I112" s="24"/>
      <c r="J112" s="3"/>
      <c r="K112" s="8"/>
      <c r="L112" s="8"/>
      <c r="M112" s="8"/>
      <c r="N112" s="13"/>
      <c r="O112" s="32">
        <v>106</v>
      </c>
      <c r="P112" s="20">
        <f t="shared" ca="1" si="13"/>
        <v>3.1340893082823404</v>
      </c>
      <c r="Q112" s="20"/>
      <c r="R112" s="20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4:49" ht="15" thickBot="1" x14ac:dyDescent="0.35">
      <c r="D113" s="2">
        <f t="shared" si="12"/>
        <v>107</v>
      </c>
      <c r="E113" s="6">
        <v>3.7704671059046149</v>
      </c>
      <c r="F113" s="24"/>
      <c r="G113" s="24"/>
      <c r="H113" s="24"/>
      <c r="I113" s="24"/>
      <c r="J113" s="3"/>
      <c r="K113" s="8"/>
      <c r="L113" s="8"/>
      <c r="M113" s="8"/>
      <c r="N113" s="22"/>
      <c r="O113" s="32">
        <v>107</v>
      </c>
      <c r="P113" s="20">
        <f t="shared" ca="1" si="13"/>
        <v>0.27651850513890619</v>
      </c>
      <c r="Q113" s="20"/>
      <c r="R113" s="20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4:49" ht="15" thickBot="1" x14ac:dyDescent="0.35">
      <c r="D114" s="2">
        <f t="shared" si="12"/>
        <v>108</v>
      </c>
      <c r="E114" s="6">
        <v>1.5517945925402772</v>
      </c>
      <c r="F114" s="24"/>
      <c r="G114" s="24"/>
      <c r="H114" s="24"/>
      <c r="I114" s="24"/>
      <c r="J114" s="3"/>
      <c r="K114" s="8"/>
      <c r="L114" s="8"/>
      <c r="M114" s="8"/>
      <c r="N114" s="13"/>
      <c r="O114" s="32">
        <v>108</v>
      </c>
      <c r="P114" s="20">
        <f t="shared" ca="1" si="13"/>
        <v>2.4823027427202597</v>
      </c>
      <c r="Q114" s="20"/>
      <c r="R114" s="20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4:49" ht="15" thickBot="1" x14ac:dyDescent="0.35">
      <c r="D115" s="2">
        <f t="shared" si="12"/>
        <v>109</v>
      </c>
      <c r="E115" s="6">
        <v>0.96030586230975856</v>
      </c>
      <c r="F115" s="24"/>
      <c r="G115" s="24"/>
      <c r="H115" s="24"/>
      <c r="I115" s="24"/>
      <c r="J115" s="3"/>
      <c r="K115" s="8"/>
      <c r="L115" s="8"/>
      <c r="M115" s="8"/>
      <c r="N115" s="22"/>
      <c r="O115" s="32">
        <v>109</v>
      </c>
      <c r="P115" s="20">
        <f t="shared" ca="1" si="13"/>
        <v>5.7184764943252686</v>
      </c>
      <c r="Q115" s="20"/>
      <c r="R115" s="20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4:49" ht="15" thickBot="1" x14ac:dyDescent="0.35">
      <c r="D116" s="2">
        <f t="shared" si="12"/>
        <v>110</v>
      </c>
      <c r="E116" s="6">
        <v>1.163886870321821</v>
      </c>
      <c r="F116" s="24"/>
      <c r="G116" s="24"/>
      <c r="H116" s="24"/>
      <c r="I116" s="24"/>
      <c r="J116" s="3"/>
      <c r="K116" s="8"/>
      <c r="L116" s="8"/>
      <c r="M116" s="8"/>
      <c r="N116" s="13"/>
      <c r="O116" s="32">
        <v>110</v>
      </c>
      <c r="P116" s="20">
        <f t="shared" ca="1" si="13"/>
        <v>7.0820568152023826</v>
      </c>
      <c r="Q116" s="20">
        <f t="shared" ref="Q116" ca="1" si="22">AVERAGE(P107:P116)</f>
        <v>3.3370097334793902</v>
      </c>
      <c r="R116" s="33">
        <f t="shared" ref="R116" ca="1" si="23">1/Q116</f>
        <v>0.29966948851459685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4:49" ht="15" thickBot="1" x14ac:dyDescent="0.35">
      <c r="D117" s="2">
        <f t="shared" si="12"/>
        <v>111</v>
      </c>
      <c r="E117" s="6">
        <v>6.5670767383075681</v>
      </c>
      <c r="F117" s="24"/>
      <c r="G117" s="24"/>
      <c r="H117" s="24"/>
      <c r="I117" s="24"/>
      <c r="J117" s="3"/>
      <c r="K117" s="8"/>
      <c r="L117" s="8"/>
      <c r="M117" s="8"/>
      <c r="N117" s="13"/>
      <c r="O117" s="32">
        <v>111</v>
      </c>
      <c r="P117" s="20">
        <f t="shared" ca="1" si="13"/>
        <v>1.2871691006647554</v>
      </c>
      <c r="Q117" s="20"/>
      <c r="R117" s="2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4:49" ht="15" thickBot="1" x14ac:dyDescent="0.35">
      <c r="D118" s="2">
        <f t="shared" si="12"/>
        <v>112</v>
      </c>
      <c r="E118" s="6">
        <v>0.43696857921325449</v>
      </c>
      <c r="F118" s="24"/>
      <c r="G118" s="24"/>
      <c r="H118" s="24"/>
      <c r="I118" s="24"/>
      <c r="J118" s="3"/>
      <c r="K118" s="8"/>
      <c r="L118" s="8"/>
      <c r="M118" s="8"/>
      <c r="N118" s="22"/>
      <c r="O118" s="32">
        <v>112</v>
      </c>
      <c r="P118" s="20">
        <f t="shared" ca="1" si="13"/>
        <v>1.6242043068794321</v>
      </c>
      <c r="Q118" s="20"/>
      <c r="R118" s="20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4:49" ht="15" thickBot="1" x14ac:dyDescent="0.35">
      <c r="D119" s="2">
        <f t="shared" si="12"/>
        <v>113</v>
      </c>
      <c r="E119" s="6">
        <v>10.215625989367332</v>
      </c>
      <c r="F119" s="24"/>
      <c r="G119" s="24"/>
      <c r="H119" s="24"/>
      <c r="I119" s="24"/>
      <c r="J119" s="3"/>
      <c r="K119" s="8"/>
      <c r="L119" s="8"/>
      <c r="M119" s="8"/>
      <c r="N119" s="13"/>
      <c r="O119" s="32">
        <v>113</v>
      </c>
      <c r="P119" s="20">
        <f t="shared" ca="1" si="13"/>
        <v>7.2774622425099116</v>
      </c>
      <c r="Q119" s="20"/>
      <c r="R119" s="20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4:49" ht="15" thickBot="1" x14ac:dyDescent="0.35">
      <c r="D120" s="2">
        <f t="shared" si="12"/>
        <v>114</v>
      </c>
      <c r="E120" s="6">
        <v>0.55487984172411009</v>
      </c>
      <c r="F120" s="24"/>
      <c r="G120" s="24"/>
      <c r="H120" s="24"/>
      <c r="I120" s="24"/>
      <c r="J120" s="3"/>
      <c r="K120" s="8"/>
      <c r="L120" s="8"/>
      <c r="M120" s="8"/>
      <c r="N120" s="22"/>
      <c r="O120" s="32">
        <v>114</v>
      </c>
      <c r="P120" s="20">
        <f t="shared" ca="1" si="13"/>
        <v>10.032505954263799</v>
      </c>
      <c r="Q120" s="20"/>
      <c r="R120" s="20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4:49" ht="15" thickBot="1" x14ac:dyDescent="0.35">
      <c r="D121" s="2">
        <f t="shared" si="12"/>
        <v>115</v>
      </c>
      <c r="E121" s="6">
        <v>0.84705064000200059</v>
      </c>
      <c r="F121" s="24"/>
      <c r="G121" s="24"/>
      <c r="H121" s="24"/>
      <c r="I121" s="24"/>
      <c r="J121" s="3"/>
      <c r="K121" s="8"/>
      <c r="L121" s="8"/>
      <c r="M121" s="8"/>
      <c r="N121" s="13"/>
      <c r="O121" s="32">
        <v>115</v>
      </c>
      <c r="P121" s="20">
        <f t="shared" ca="1" si="13"/>
        <v>1.6569103050062126</v>
      </c>
      <c r="Q121" s="20"/>
      <c r="R121" s="20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4:49" ht="15" thickBot="1" x14ac:dyDescent="0.35">
      <c r="D122" s="2">
        <f t="shared" si="12"/>
        <v>116</v>
      </c>
      <c r="E122" s="6">
        <v>6.193412397937144</v>
      </c>
      <c r="F122" s="24"/>
      <c r="G122" s="24"/>
      <c r="H122" s="24"/>
      <c r="I122" s="24"/>
      <c r="J122" s="3"/>
      <c r="K122" s="8"/>
      <c r="L122" s="8"/>
      <c r="M122" s="8"/>
      <c r="N122" s="13"/>
      <c r="O122" s="32">
        <v>116</v>
      </c>
      <c r="P122" s="20">
        <f t="shared" ca="1" si="13"/>
        <v>6.3286140954510719</v>
      </c>
      <c r="Q122" s="20"/>
      <c r="R122" s="20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4:49" ht="15" thickBot="1" x14ac:dyDescent="0.35">
      <c r="D123" s="2">
        <f t="shared" si="12"/>
        <v>117</v>
      </c>
      <c r="E123" s="6">
        <v>4.4654532907100304</v>
      </c>
      <c r="F123" s="24"/>
      <c r="G123" s="24"/>
      <c r="H123" s="24"/>
      <c r="I123" s="24"/>
      <c r="J123" s="3"/>
      <c r="K123" s="8"/>
      <c r="L123" s="8"/>
      <c r="M123" s="8"/>
      <c r="N123" s="22"/>
      <c r="O123" s="32">
        <v>117</v>
      </c>
      <c r="P123" s="20">
        <f t="shared" ca="1" si="13"/>
        <v>8.9949691532860765</v>
      </c>
      <c r="Q123" s="20"/>
      <c r="R123" s="20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4:49" ht="15" thickBot="1" x14ac:dyDescent="0.35">
      <c r="D124" s="2">
        <f t="shared" si="12"/>
        <v>118</v>
      </c>
      <c r="E124" s="6">
        <v>1.6826781404480082</v>
      </c>
      <c r="F124" s="24"/>
      <c r="G124" s="24"/>
      <c r="H124" s="24"/>
      <c r="I124" s="24"/>
      <c r="J124" s="3"/>
      <c r="K124" s="8"/>
      <c r="L124" s="8"/>
      <c r="M124" s="8"/>
      <c r="N124" s="13"/>
      <c r="O124" s="32">
        <v>118</v>
      </c>
      <c r="P124" s="20">
        <f t="shared" ca="1" si="13"/>
        <v>3.1684887861766668</v>
      </c>
      <c r="Q124" s="20"/>
      <c r="R124" s="20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4:49" ht="15" thickBot="1" x14ac:dyDescent="0.35">
      <c r="D125" s="2">
        <f t="shared" si="12"/>
        <v>119</v>
      </c>
      <c r="E125" s="6">
        <v>1.9544879101378538</v>
      </c>
      <c r="F125" s="24"/>
      <c r="G125" s="24"/>
      <c r="H125" s="24"/>
      <c r="I125" s="24"/>
      <c r="J125" s="3"/>
      <c r="K125" s="8"/>
      <c r="L125" s="8"/>
      <c r="M125" s="8"/>
      <c r="N125" s="22"/>
      <c r="O125" s="32">
        <v>119</v>
      </c>
      <c r="P125" s="20">
        <f t="shared" ca="1" si="13"/>
        <v>6.8418741013551063</v>
      </c>
      <c r="Q125" s="20"/>
      <c r="R125" s="20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4:49" ht="15" thickBot="1" x14ac:dyDescent="0.35">
      <c r="D126" s="2">
        <f t="shared" si="12"/>
        <v>120</v>
      </c>
      <c r="E126" s="6">
        <v>1.792036069202102</v>
      </c>
      <c r="F126" s="24"/>
      <c r="G126" s="24"/>
      <c r="H126" s="24"/>
      <c r="I126" s="24"/>
      <c r="J126" s="3"/>
      <c r="K126" s="8"/>
      <c r="L126" s="8"/>
      <c r="M126" s="8"/>
      <c r="N126" s="13"/>
      <c r="O126" s="32">
        <v>120</v>
      </c>
      <c r="P126" s="20">
        <f t="shared" ca="1" si="13"/>
        <v>3.0540568093087108</v>
      </c>
      <c r="Q126" s="20">
        <f t="shared" ref="Q126" ca="1" si="24">AVERAGE(P117:P126)</f>
        <v>5.0266254854901753</v>
      </c>
      <c r="R126" s="33">
        <f t="shared" ref="R126" ca="1" si="25">1/Q126</f>
        <v>0.19894062187178924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4:49" ht="15" thickBot="1" x14ac:dyDescent="0.35">
      <c r="D127" s="2">
        <f t="shared" si="12"/>
        <v>121</v>
      </c>
      <c r="E127" s="6">
        <v>5.6493999856062755</v>
      </c>
      <c r="F127" s="24"/>
      <c r="G127" s="24"/>
      <c r="H127" s="24"/>
      <c r="I127" s="24"/>
      <c r="J127" s="3"/>
      <c r="K127" s="8"/>
      <c r="L127" s="8"/>
      <c r="M127" s="8"/>
      <c r="N127" s="13"/>
      <c r="O127" s="32">
        <v>121</v>
      </c>
      <c r="P127" s="20">
        <f t="shared" ca="1" si="13"/>
        <v>9.5586301480907441</v>
      </c>
      <c r="Q127" s="20"/>
      <c r="R127" s="21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4:49" ht="15" thickBot="1" x14ac:dyDescent="0.35">
      <c r="D128" s="2">
        <f t="shared" si="12"/>
        <v>122</v>
      </c>
      <c r="E128" s="6">
        <v>0.41086547069771623</v>
      </c>
      <c r="F128" s="24"/>
      <c r="G128" s="24"/>
      <c r="H128" s="24"/>
      <c r="I128" s="24"/>
      <c r="J128" s="3"/>
      <c r="K128" s="8"/>
      <c r="L128" s="8"/>
      <c r="M128" s="8"/>
      <c r="N128" s="22"/>
      <c r="O128" s="32">
        <v>122</v>
      </c>
      <c r="P128" s="20">
        <f t="shared" ca="1" si="13"/>
        <v>4.9623924404354369</v>
      </c>
      <c r="Q128" s="20"/>
      <c r="R128" s="20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4:49" ht="15" thickBot="1" x14ac:dyDescent="0.35">
      <c r="D129" s="2">
        <f t="shared" si="12"/>
        <v>123</v>
      </c>
      <c r="E129" s="6">
        <v>5.5927071652037617</v>
      </c>
      <c r="F129" s="24"/>
      <c r="G129" s="24"/>
      <c r="H129" s="24"/>
      <c r="I129" s="24"/>
      <c r="J129" s="3"/>
      <c r="K129" s="8"/>
      <c r="L129" s="8"/>
      <c r="M129" s="8"/>
      <c r="N129" s="13"/>
      <c r="O129" s="32">
        <v>123</v>
      </c>
      <c r="P129" s="20">
        <f t="shared" ca="1" si="13"/>
        <v>6.3673543506270942</v>
      </c>
      <c r="Q129" s="20"/>
      <c r="R129" s="20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4:49" ht="15" thickBot="1" x14ac:dyDescent="0.35">
      <c r="D130" s="2">
        <f t="shared" si="12"/>
        <v>124</v>
      </c>
      <c r="E130" s="6">
        <v>5.4094380638449175</v>
      </c>
      <c r="F130" s="24"/>
      <c r="G130" s="24"/>
      <c r="H130" s="24"/>
      <c r="I130" s="24"/>
      <c r="J130" s="3"/>
      <c r="K130" s="8"/>
      <c r="L130" s="8"/>
      <c r="M130" s="8"/>
      <c r="N130" s="22"/>
      <c r="O130" s="32">
        <v>124</v>
      </c>
      <c r="P130" s="20">
        <f t="shared" ca="1" si="13"/>
        <v>1.3900726621365322</v>
      </c>
      <c r="Q130" s="20"/>
      <c r="R130" s="20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4:49" ht="15" thickBot="1" x14ac:dyDescent="0.35">
      <c r="D131" s="2">
        <f t="shared" si="12"/>
        <v>125</v>
      </c>
      <c r="E131" s="6">
        <v>2.8010867983839614</v>
      </c>
      <c r="F131" s="24"/>
      <c r="G131" s="24"/>
      <c r="H131" s="24"/>
      <c r="I131" s="24"/>
      <c r="J131" s="3"/>
      <c r="K131" s="8"/>
      <c r="L131" s="8"/>
      <c r="M131" s="8"/>
      <c r="N131" s="13"/>
      <c r="O131" s="32">
        <v>125</v>
      </c>
      <c r="P131" s="20">
        <f t="shared" ca="1" si="13"/>
        <v>2.2215850795078764</v>
      </c>
      <c r="Q131" s="20"/>
      <c r="R131" s="20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4:49" ht="15" thickBot="1" x14ac:dyDescent="0.35">
      <c r="D132" s="2">
        <f t="shared" si="12"/>
        <v>126</v>
      </c>
      <c r="E132" s="6">
        <v>1.6917045154560684</v>
      </c>
      <c r="F132" s="24"/>
      <c r="G132" s="24"/>
      <c r="H132" s="24"/>
      <c r="I132" s="24"/>
      <c r="J132" s="3"/>
      <c r="K132" s="8"/>
      <c r="L132" s="8"/>
      <c r="M132" s="8"/>
      <c r="N132" s="13"/>
      <c r="O132" s="32">
        <v>126</v>
      </c>
      <c r="P132" s="20">
        <f t="shared" ca="1" si="13"/>
        <v>1.2015312831397793</v>
      </c>
      <c r="Q132" s="20"/>
      <c r="R132" s="20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4:49" ht="15" thickBot="1" x14ac:dyDescent="0.35">
      <c r="D133" s="2">
        <f t="shared" si="12"/>
        <v>127</v>
      </c>
      <c r="E133" s="6">
        <v>1.3436565143789339</v>
      </c>
      <c r="F133" s="24"/>
      <c r="G133" s="24"/>
      <c r="H133" s="24"/>
      <c r="I133" s="24"/>
      <c r="J133" s="3"/>
      <c r="K133" s="8"/>
      <c r="L133" s="8"/>
      <c r="M133" s="8"/>
      <c r="N133" s="22"/>
      <c r="O133" s="32">
        <v>127</v>
      </c>
      <c r="P133" s="20">
        <f t="shared" ca="1" si="13"/>
        <v>1.6553000973349434</v>
      </c>
      <c r="Q133" s="20"/>
      <c r="R133" s="20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4:49" ht="15" thickBot="1" x14ac:dyDescent="0.35">
      <c r="D134" s="2">
        <f t="shared" si="12"/>
        <v>128</v>
      </c>
      <c r="E134" s="6">
        <v>0.34869760554829593</v>
      </c>
      <c r="F134" s="24"/>
      <c r="G134" s="24"/>
      <c r="H134" s="24"/>
      <c r="I134" s="24"/>
      <c r="J134" s="3"/>
      <c r="K134" s="8"/>
      <c r="L134" s="8"/>
      <c r="M134" s="8"/>
      <c r="N134" s="13"/>
      <c r="O134" s="32">
        <v>128</v>
      </c>
      <c r="P134" s="20">
        <f t="shared" ca="1" si="13"/>
        <v>11.435710555585404</v>
      </c>
      <c r="Q134" s="20"/>
      <c r="R134" s="20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4:49" ht="15" thickBot="1" x14ac:dyDescent="0.35">
      <c r="D135" s="2">
        <f t="shared" ref="D135:D198" si="26">ROW()-6</f>
        <v>129</v>
      </c>
      <c r="E135" s="6">
        <v>34.204603675410539</v>
      </c>
      <c r="F135" s="24"/>
      <c r="G135" s="24"/>
      <c r="H135" s="24"/>
      <c r="I135" s="24"/>
      <c r="J135" s="3"/>
      <c r="K135" s="8"/>
      <c r="L135" s="8"/>
      <c r="M135" s="8"/>
      <c r="N135" s="22"/>
      <c r="O135" s="32">
        <v>129</v>
      </c>
      <c r="P135" s="20">
        <f t="shared" ca="1" si="13"/>
        <v>13.207706465320287</v>
      </c>
      <c r="Q135" s="20"/>
      <c r="R135" s="20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4:49" ht="15" thickBot="1" x14ac:dyDescent="0.35">
      <c r="D136" s="2">
        <f t="shared" si="26"/>
        <v>130</v>
      </c>
      <c r="E136" s="6">
        <v>0.22082353285583739</v>
      </c>
      <c r="F136" s="24"/>
      <c r="G136" s="24"/>
      <c r="H136" s="24"/>
      <c r="I136" s="24"/>
      <c r="J136" s="3"/>
      <c r="K136" s="8"/>
      <c r="L136" s="8"/>
      <c r="M136" s="8"/>
      <c r="N136" s="13"/>
      <c r="O136" s="32">
        <v>130</v>
      </c>
      <c r="P136" s="20">
        <f t="shared" ref="P136:P199" ca="1" si="27">-(1/$N$7)*LN(RAND())</f>
        <v>0.13190369126494239</v>
      </c>
      <c r="Q136" s="20">
        <f t="shared" ref="Q136" ca="1" si="28">AVERAGE(P127:P136)</f>
        <v>5.2132186773443037</v>
      </c>
      <c r="R136" s="33">
        <f ca="1">1/AVERAGE(P127:P136)</f>
        <v>0.19182007544510216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4:49" ht="15" thickBot="1" x14ac:dyDescent="0.35">
      <c r="D137" s="2">
        <f t="shared" si="26"/>
        <v>131</v>
      </c>
      <c r="E137" s="6">
        <v>4.7055342279078651</v>
      </c>
      <c r="F137" s="24"/>
      <c r="G137" s="24"/>
      <c r="H137" s="24"/>
      <c r="I137" s="24"/>
      <c r="J137" s="3"/>
      <c r="K137" s="8"/>
      <c r="L137" s="8"/>
      <c r="M137" s="8"/>
      <c r="N137" s="13"/>
      <c r="O137" s="32">
        <v>131</v>
      </c>
      <c r="P137" s="20">
        <f t="shared" ca="1" si="27"/>
        <v>5.9442415135320141</v>
      </c>
      <c r="Q137" s="20"/>
      <c r="R137" s="21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4:49" ht="15" thickBot="1" x14ac:dyDescent="0.35">
      <c r="D138" s="2">
        <f t="shared" si="26"/>
        <v>132</v>
      </c>
      <c r="E138" s="6">
        <v>1.3192921992193796</v>
      </c>
      <c r="F138" s="24"/>
      <c r="G138" s="24"/>
      <c r="H138" s="24"/>
      <c r="I138" s="24"/>
      <c r="J138" s="3"/>
      <c r="K138" s="8"/>
      <c r="L138" s="8"/>
      <c r="M138" s="8"/>
      <c r="N138" s="22"/>
      <c r="O138" s="32">
        <v>132</v>
      </c>
      <c r="P138" s="20">
        <f t="shared" ca="1" si="27"/>
        <v>6.9449820996692591</v>
      </c>
      <c r="Q138" s="20"/>
      <c r="R138" s="20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4:49" ht="15" thickBot="1" x14ac:dyDescent="0.35">
      <c r="D139" s="2">
        <f t="shared" si="26"/>
        <v>133</v>
      </c>
      <c r="E139" s="6">
        <v>2.5104022179482239</v>
      </c>
      <c r="F139" s="24"/>
      <c r="G139" s="24"/>
      <c r="H139" s="24"/>
      <c r="I139" s="24"/>
      <c r="J139" s="3"/>
      <c r="K139" s="8"/>
      <c r="L139" s="8"/>
      <c r="M139" s="8"/>
      <c r="N139" s="13"/>
      <c r="O139" s="32">
        <v>133</v>
      </c>
      <c r="P139" s="20">
        <f t="shared" ca="1" si="27"/>
        <v>0.36544676762726325</v>
      </c>
      <c r="Q139" s="20"/>
      <c r="R139" s="20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4:49" ht="15" thickBot="1" x14ac:dyDescent="0.35">
      <c r="D140" s="2">
        <f t="shared" si="26"/>
        <v>134</v>
      </c>
      <c r="E140" s="6">
        <v>0.63869777615472589</v>
      </c>
      <c r="F140" s="24"/>
      <c r="G140" s="24"/>
      <c r="H140" s="24"/>
      <c r="I140" s="24"/>
      <c r="J140" s="3"/>
      <c r="K140" s="8"/>
      <c r="L140" s="8"/>
      <c r="M140" s="8"/>
      <c r="N140" s="22"/>
      <c r="O140" s="32">
        <v>134</v>
      </c>
      <c r="P140" s="20">
        <f t="shared" ca="1" si="27"/>
        <v>15.258435995082895</v>
      </c>
      <c r="Q140" s="20"/>
      <c r="R140" s="20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4:49" ht="15" thickBot="1" x14ac:dyDescent="0.35">
      <c r="D141" s="2">
        <f t="shared" si="26"/>
        <v>135</v>
      </c>
      <c r="E141" s="6">
        <v>1.0842435271246158</v>
      </c>
      <c r="F141" s="24"/>
      <c r="G141" s="24"/>
      <c r="H141" s="24"/>
      <c r="I141" s="24"/>
      <c r="J141" s="3"/>
      <c r="K141" s="8"/>
      <c r="L141" s="8"/>
      <c r="M141" s="8"/>
      <c r="N141" s="13"/>
      <c r="O141" s="32">
        <v>135</v>
      </c>
      <c r="P141" s="20">
        <f t="shared" ca="1" si="27"/>
        <v>0.58648638877130099</v>
      </c>
      <c r="Q141" s="20"/>
      <c r="R141" s="20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4:49" ht="15" thickBot="1" x14ac:dyDescent="0.35">
      <c r="D142" s="2">
        <f t="shared" si="26"/>
        <v>136</v>
      </c>
      <c r="E142" s="6">
        <v>9.3476213717656602</v>
      </c>
      <c r="F142" s="24"/>
      <c r="G142" s="24"/>
      <c r="H142" s="24"/>
      <c r="I142" s="24"/>
      <c r="J142" s="3"/>
      <c r="K142" s="8"/>
      <c r="L142" s="8"/>
      <c r="M142" s="8"/>
      <c r="N142" s="13"/>
      <c r="O142" s="32">
        <v>136</v>
      </c>
      <c r="P142" s="20">
        <f t="shared" ca="1" si="27"/>
        <v>14.769822768389737</v>
      </c>
      <c r="Q142" s="20"/>
      <c r="R142" s="20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4:49" ht="15" thickBot="1" x14ac:dyDescent="0.35">
      <c r="D143" s="2">
        <f t="shared" si="26"/>
        <v>137</v>
      </c>
      <c r="E143" s="6">
        <v>3.0299556147690172</v>
      </c>
      <c r="F143" s="24"/>
      <c r="G143" s="24"/>
      <c r="H143" s="24"/>
      <c r="I143" s="24"/>
      <c r="J143" s="3"/>
      <c r="K143" s="8"/>
      <c r="L143" s="8"/>
      <c r="M143" s="8"/>
      <c r="N143" s="22"/>
      <c r="O143" s="32">
        <v>137</v>
      </c>
      <c r="P143" s="20">
        <f t="shared" ca="1" si="27"/>
        <v>3.5883222305963489</v>
      </c>
      <c r="Q143" s="20"/>
      <c r="R143" s="20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4:49" ht="15" thickBot="1" x14ac:dyDescent="0.35">
      <c r="D144" s="2">
        <f t="shared" si="26"/>
        <v>138</v>
      </c>
      <c r="E144" s="6">
        <v>8.8131844372573696</v>
      </c>
      <c r="F144" s="24"/>
      <c r="G144" s="24"/>
      <c r="H144" s="24"/>
      <c r="I144" s="24"/>
      <c r="J144" s="3"/>
      <c r="K144" s="8"/>
      <c r="L144" s="8"/>
      <c r="M144" s="8"/>
      <c r="N144" s="13"/>
      <c r="O144" s="32">
        <v>138</v>
      </c>
      <c r="P144" s="20">
        <f t="shared" ca="1" si="27"/>
        <v>7.2055018541003841</v>
      </c>
      <c r="Q144" s="20"/>
      <c r="R144" s="20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4:49" ht="15" thickBot="1" x14ac:dyDescent="0.35">
      <c r="D145" s="2">
        <f t="shared" si="26"/>
        <v>139</v>
      </c>
      <c r="E145" s="6">
        <v>2.5476287625882792</v>
      </c>
      <c r="F145" s="24"/>
      <c r="G145" s="24"/>
      <c r="H145" s="24"/>
      <c r="I145" s="24"/>
      <c r="J145" s="3"/>
      <c r="K145" s="8"/>
      <c r="L145" s="8"/>
      <c r="M145" s="8"/>
      <c r="N145" s="22"/>
      <c r="O145" s="32">
        <v>139</v>
      </c>
      <c r="P145" s="20">
        <f t="shared" ca="1" si="27"/>
        <v>2.9890282343308048</v>
      </c>
      <c r="Q145" s="20"/>
      <c r="R145" s="20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4:49" ht="15" thickBot="1" x14ac:dyDescent="0.35">
      <c r="D146" s="2">
        <f t="shared" si="26"/>
        <v>140</v>
      </c>
      <c r="E146" s="6">
        <v>0.48679357043563731</v>
      </c>
      <c r="F146" s="24"/>
      <c r="G146" s="24"/>
      <c r="H146" s="24"/>
      <c r="I146" s="24"/>
      <c r="J146" s="3"/>
      <c r="K146" s="8"/>
      <c r="L146" s="8"/>
      <c r="M146" s="8"/>
      <c r="N146" s="13"/>
      <c r="O146" s="32">
        <v>140</v>
      </c>
      <c r="P146" s="20">
        <f t="shared" ca="1" si="27"/>
        <v>1.4960067774144117</v>
      </c>
      <c r="Q146" s="20">
        <f t="shared" ref="Q146" ca="1" si="29">AVERAGE(P137:P146)</f>
        <v>5.9148274629514415</v>
      </c>
      <c r="R146" s="33">
        <f ca="1">1/Q146</f>
        <v>0.16906663909702782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4:49" ht="15" thickBot="1" x14ac:dyDescent="0.35">
      <c r="D147" s="2">
        <f t="shared" si="26"/>
        <v>141</v>
      </c>
      <c r="E147" s="6">
        <v>0.41172479695293623</v>
      </c>
      <c r="F147" s="24"/>
      <c r="G147" s="24"/>
      <c r="H147" s="24"/>
      <c r="I147" s="24"/>
      <c r="J147" s="3"/>
      <c r="K147" s="8"/>
      <c r="L147" s="8"/>
      <c r="M147" s="8"/>
      <c r="N147" s="13"/>
      <c r="O147" s="32">
        <v>141</v>
      </c>
      <c r="P147" s="20">
        <f t="shared" ca="1" si="27"/>
        <v>5.9578214082540396E-2</v>
      </c>
      <c r="Q147" s="20"/>
      <c r="R147" s="21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4:49" ht="15" thickBot="1" x14ac:dyDescent="0.35">
      <c r="D148" s="2">
        <f t="shared" si="26"/>
        <v>142</v>
      </c>
      <c r="E148" s="6">
        <v>6.2310527048468343</v>
      </c>
      <c r="F148" s="24"/>
      <c r="G148" s="24"/>
      <c r="H148" s="24"/>
      <c r="I148" s="24"/>
      <c r="J148" s="3"/>
      <c r="K148" s="8"/>
      <c r="L148" s="8"/>
      <c r="M148" s="8"/>
      <c r="N148" s="22"/>
      <c r="O148" s="32">
        <v>142</v>
      </c>
      <c r="P148" s="20">
        <f t="shared" ca="1" si="27"/>
        <v>0.39245494725125751</v>
      </c>
      <c r="Q148" s="20"/>
      <c r="R148" s="20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4:49" ht="15" thickBot="1" x14ac:dyDescent="0.35">
      <c r="D149" s="2">
        <f t="shared" si="26"/>
        <v>143</v>
      </c>
      <c r="E149" s="6">
        <v>1.0586114878918489</v>
      </c>
      <c r="F149" s="24"/>
      <c r="G149" s="24"/>
      <c r="H149" s="24"/>
      <c r="I149" s="24"/>
      <c r="J149" s="3"/>
      <c r="K149" s="8"/>
      <c r="L149" s="8"/>
      <c r="M149" s="8"/>
      <c r="N149" s="13"/>
      <c r="O149" s="32">
        <v>143</v>
      </c>
      <c r="P149" s="20">
        <f t="shared" ca="1" si="27"/>
        <v>1.4056519853325085</v>
      </c>
      <c r="Q149" s="20"/>
      <c r="R149" s="20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4:49" ht="15" thickBot="1" x14ac:dyDescent="0.35">
      <c r="D150" s="2">
        <f t="shared" si="26"/>
        <v>144</v>
      </c>
      <c r="E150" s="6">
        <v>0.25198198228937624</v>
      </c>
      <c r="F150" s="24"/>
      <c r="G150" s="24"/>
      <c r="H150" s="24"/>
      <c r="I150" s="24"/>
      <c r="J150" s="3"/>
      <c r="K150" s="8"/>
      <c r="L150" s="8"/>
      <c r="M150" s="8"/>
      <c r="N150" s="22"/>
      <c r="O150" s="32">
        <v>144</v>
      </c>
      <c r="P150" s="20">
        <f t="shared" ca="1" si="27"/>
        <v>3.7792110485737949</v>
      </c>
      <c r="Q150" s="20"/>
      <c r="R150" s="20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4:49" ht="15" thickBot="1" x14ac:dyDescent="0.35">
      <c r="D151" s="2">
        <f t="shared" si="26"/>
        <v>145</v>
      </c>
      <c r="E151" s="6">
        <v>9.1884771334712703</v>
      </c>
      <c r="F151" s="24"/>
      <c r="G151" s="24"/>
      <c r="H151" s="24"/>
      <c r="I151" s="24"/>
      <c r="J151" s="3"/>
      <c r="K151" s="8"/>
      <c r="L151" s="8"/>
      <c r="M151" s="8"/>
      <c r="N151" s="13"/>
      <c r="O151" s="32">
        <v>145</v>
      </c>
      <c r="P151" s="20">
        <f t="shared" ca="1" si="27"/>
        <v>0.13020002515284176</v>
      </c>
      <c r="Q151" s="20"/>
      <c r="R151" s="20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4:49" ht="15" thickBot="1" x14ac:dyDescent="0.35">
      <c r="D152" s="2">
        <f t="shared" si="26"/>
        <v>146</v>
      </c>
      <c r="E152" s="6">
        <v>4.2933091805336012</v>
      </c>
      <c r="F152" s="24"/>
      <c r="G152" s="24"/>
      <c r="H152" s="24"/>
      <c r="I152" s="24"/>
      <c r="J152" s="3"/>
      <c r="K152" s="8"/>
      <c r="L152" s="8"/>
      <c r="M152" s="8"/>
      <c r="N152" s="13"/>
      <c r="O152" s="32">
        <v>146</v>
      </c>
      <c r="P152" s="20">
        <f t="shared" ca="1" si="27"/>
        <v>3.6721172679159721</v>
      </c>
      <c r="Q152" s="20"/>
      <c r="R152" s="20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4:49" ht="15" thickBot="1" x14ac:dyDescent="0.35">
      <c r="D153" s="2">
        <f t="shared" si="26"/>
        <v>147</v>
      </c>
      <c r="E153" s="6">
        <v>3.7999075593632909</v>
      </c>
      <c r="F153" s="24"/>
      <c r="G153" s="24"/>
      <c r="H153" s="24"/>
      <c r="I153" s="24"/>
      <c r="J153" s="3"/>
      <c r="K153" s="8"/>
      <c r="L153" s="8"/>
      <c r="M153" s="8"/>
      <c r="N153" s="22"/>
      <c r="O153" s="32">
        <v>147</v>
      </c>
      <c r="P153" s="20">
        <f t="shared" ca="1" si="27"/>
        <v>0.14113557624040299</v>
      </c>
      <c r="Q153" s="20"/>
      <c r="R153" s="20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4:49" ht="15" thickBot="1" x14ac:dyDescent="0.35">
      <c r="D154" s="2">
        <f t="shared" si="26"/>
        <v>148</v>
      </c>
      <c r="E154" s="6">
        <v>0.59425976734430852</v>
      </c>
      <c r="F154" s="24"/>
      <c r="G154" s="24"/>
      <c r="H154" s="24"/>
      <c r="I154" s="24"/>
      <c r="J154" s="3"/>
      <c r="K154" s="8"/>
      <c r="L154" s="8"/>
      <c r="M154" s="8"/>
      <c r="N154" s="13"/>
      <c r="O154" s="32">
        <v>148</v>
      </c>
      <c r="P154" s="20">
        <f t="shared" ca="1" si="27"/>
        <v>3.4195109348108721</v>
      </c>
      <c r="Q154" s="20"/>
      <c r="R154" s="20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4:49" ht="15" thickBot="1" x14ac:dyDescent="0.35">
      <c r="D155" s="2">
        <f t="shared" si="26"/>
        <v>149</v>
      </c>
      <c r="E155" s="6">
        <v>4.0051481605864563</v>
      </c>
      <c r="F155" s="24"/>
      <c r="G155" s="24"/>
      <c r="H155" s="24"/>
      <c r="I155" s="24"/>
      <c r="J155" s="3"/>
      <c r="K155" s="8"/>
      <c r="L155" s="8"/>
      <c r="M155" s="8"/>
      <c r="N155" s="22"/>
      <c r="O155" s="32">
        <v>149</v>
      </c>
      <c r="P155" s="20">
        <f t="shared" ca="1" si="27"/>
        <v>0.84741272251684829</v>
      </c>
      <c r="Q155" s="20"/>
      <c r="R155" s="20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4:49" ht="15" thickBot="1" x14ac:dyDescent="0.35">
      <c r="D156" s="2">
        <f t="shared" si="26"/>
        <v>150</v>
      </c>
      <c r="E156" s="6">
        <v>0.10782167267649677</v>
      </c>
      <c r="F156" s="24"/>
      <c r="G156" s="24"/>
      <c r="H156" s="24"/>
      <c r="I156" s="24"/>
      <c r="J156" s="3"/>
      <c r="K156" s="8"/>
      <c r="L156" s="8"/>
      <c r="M156" s="8"/>
      <c r="N156" s="13"/>
      <c r="O156" s="32">
        <v>150</v>
      </c>
      <c r="P156" s="20">
        <f t="shared" ca="1" si="27"/>
        <v>0.19141903769120958</v>
      </c>
      <c r="Q156" s="20">
        <f t="shared" ref="Q156" ca="1" si="30">AVERAGE(P147:P156)</f>
        <v>1.4038691759568249</v>
      </c>
      <c r="R156" s="33">
        <f t="shared" ref="R156" ca="1" si="31">1/Q156</f>
        <v>0.71231708561336371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4:49" ht="15" thickBot="1" x14ac:dyDescent="0.35">
      <c r="D157" s="2">
        <f t="shared" si="26"/>
        <v>151</v>
      </c>
      <c r="E157" s="6">
        <v>4.0484554269130344</v>
      </c>
      <c r="F157" s="24"/>
      <c r="G157" s="24"/>
      <c r="H157" s="24"/>
      <c r="I157" s="24"/>
      <c r="J157" s="3"/>
      <c r="K157" s="8"/>
      <c r="L157" s="8"/>
      <c r="M157" s="8"/>
      <c r="N157" s="13"/>
      <c r="O157" s="32">
        <v>151</v>
      </c>
      <c r="P157" s="20">
        <f t="shared" ca="1" si="27"/>
        <v>0.31220250784281084</v>
      </c>
      <c r="Q157" s="20"/>
      <c r="R157" s="21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4:49" ht="15" thickBot="1" x14ac:dyDescent="0.35">
      <c r="D158" s="2">
        <f t="shared" si="26"/>
        <v>152</v>
      </c>
      <c r="E158" s="6">
        <v>1.5986715542512003E-2</v>
      </c>
      <c r="F158" s="24"/>
      <c r="G158" s="24"/>
      <c r="H158" s="24"/>
      <c r="I158" s="24"/>
      <c r="J158" s="3"/>
      <c r="K158" s="8"/>
      <c r="L158" s="8"/>
      <c r="M158" s="8"/>
      <c r="N158" s="22"/>
      <c r="O158" s="32">
        <v>152</v>
      </c>
      <c r="P158" s="20">
        <f t="shared" ca="1" si="27"/>
        <v>8.1924335434822062</v>
      </c>
      <c r="Q158" s="20"/>
      <c r="R158" s="20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4:49" ht="15" thickBot="1" x14ac:dyDescent="0.35">
      <c r="D159" s="2">
        <f t="shared" si="26"/>
        <v>153</v>
      </c>
      <c r="E159" s="6">
        <v>1.2563743729054624</v>
      </c>
      <c r="F159" s="24"/>
      <c r="G159" s="24"/>
      <c r="H159" s="24"/>
      <c r="I159" s="24"/>
      <c r="J159" s="3"/>
      <c r="K159" s="8"/>
      <c r="L159" s="8"/>
      <c r="M159" s="8"/>
      <c r="N159" s="13"/>
      <c r="O159" s="32">
        <v>153</v>
      </c>
      <c r="P159" s="20">
        <f t="shared" ca="1" si="27"/>
        <v>2.3840367209102342</v>
      </c>
      <c r="Q159" s="20"/>
      <c r="R159" s="20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4:49" ht="15" thickBot="1" x14ac:dyDescent="0.35">
      <c r="D160" s="2">
        <f t="shared" si="26"/>
        <v>154</v>
      </c>
      <c r="E160" s="6">
        <v>9.0798855462604831</v>
      </c>
      <c r="F160" s="24"/>
      <c r="G160" s="24"/>
      <c r="H160" s="24"/>
      <c r="I160" s="24"/>
      <c r="J160" s="3"/>
      <c r="K160" s="8"/>
      <c r="L160" s="8"/>
      <c r="M160" s="8"/>
      <c r="N160" s="22"/>
      <c r="O160" s="32">
        <v>154</v>
      </c>
      <c r="P160" s="20">
        <f t="shared" ca="1" si="27"/>
        <v>2.317841159963058</v>
      </c>
      <c r="Q160" s="20"/>
      <c r="R160" s="20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4:49" ht="15" thickBot="1" x14ac:dyDescent="0.35">
      <c r="D161" s="2">
        <f t="shared" si="26"/>
        <v>155</v>
      </c>
      <c r="E161" s="6">
        <v>2.7728890036657723</v>
      </c>
      <c r="F161" s="24"/>
      <c r="G161" s="24"/>
      <c r="H161" s="24"/>
      <c r="I161" s="24"/>
      <c r="J161" s="3"/>
      <c r="K161" s="8"/>
      <c r="L161" s="8"/>
      <c r="M161" s="8"/>
      <c r="N161" s="13"/>
      <c r="O161" s="32">
        <v>155</v>
      </c>
      <c r="P161" s="20">
        <f t="shared" ca="1" si="27"/>
        <v>2.2528305007371117</v>
      </c>
      <c r="Q161" s="20"/>
      <c r="R161" s="20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4:49" ht="15" thickBot="1" x14ac:dyDescent="0.35">
      <c r="D162" s="2">
        <f t="shared" si="26"/>
        <v>156</v>
      </c>
      <c r="E162" s="6">
        <v>2.8066687677312032</v>
      </c>
      <c r="F162" s="24"/>
      <c r="G162" s="24"/>
      <c r="H162" s="24"/>
      <c r="I162" s="24"/>
      <c r="J162" s="3"/>
      <c r="K162" s="8"/>
      <c r="L162" s="8"/>
      <c r="M162" s="8"/>
      <c r="N162" s="13"/>
      <c r="O162" s="32">
        <v>156</v>
      </c>
      <c r="P162" s="20">
        <f t="shared" ca="1" si="27"/>
        <v>0.75751962860279354</v>
      </c>
      <c r="Q162" s="20"/>
      <c r="R162" s="20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4:49" ht="15" thickBot="1" x14ac:dyDescent="0.35">
      <c r="D163" s="2">
        <f t="shared" si="26"/>
        <v>157</v>
      </c>
      <c r="E163" s="6">
        <v>2.6161396012529696</v>
      </c>
      <c r="F163" s="24"/>
      <c r="G163" s="24"/>
      <c r="H163" s="24"/>
      <c r="I163" s="24"/>
      <c r="J163" s="3"/>
      <c r="K163" s="8"/>
      <c r="L163" s="8"/>
      <c r="M163" s="8"/>
      <c r="N163" s="22"/>
      <c r="O163" s="32">
        <v>157</v>
      </c>
      <c r="P163" s="20">
        <f t="shared" ca="1" si="27"/>
        <v>2.3256646487022317</v>
      </c>
      <c r="Q163" s="20"/>
      <c r="R163" s="20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4:49" ht="15" thickBot="1" x14ac:dyDescent="0.35">
      <c r="D164" s="2">
        <f t="shared" si="26"/>
        <v>158</v>
      </c>
      <c r="E164" s="6">
        <v>7.8864299603384982</v>
      </c>
      <c r="F164" s="24"/>
      <c r="G164" s="24"/>
      <c r="H164" s="24"/>
      <c r="I164" s="24"/>
      <c r="J164" s="3"/>
      <c r="K164" s="8"/>
      <c r="L164" s="8"/>
      <c r="M164" s="8"/>
      <c r="N164" s="13"/>
      <c r="O164" s="32">
        <v>158</v>
      </c>
      <c r="P164" s="20">
        <f t="shared" ca="1" si="27"/>
        <v>1.7190553117160017</v>
      </c>
      <c r="Q164" s="20"/>
      <c r="R164" s="20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4:49" ht="15" thickBot="1" x14ac:dyDescent="0.35">
      <c r="D165" s="2">
        <f t="shared" si="26"/>
        <v>159</v>
      </c>
      <c r="E165" s="6">
        <v>2.0556836314940026</v>
      </c>
      <c r="F165" s="24"/>
      <c r="G165" s="24"/>
      <c r="H165" s="24"/>
      <c r="I165" s="24"/>
      <c r="J165" s="3"/>
      <c r="K165" s="8"/>
      <c r="L165" s="8"/>
      <c r="M165" s="8"/>
      <c r="N165" s="22"/>
      <c r="O165" s="32">
        <v>159</v>
      </c>
      <c r="P165" s="20">
        <f t="shared" ca="1" si="27"/>
        <v>3.2963494539413092</v>
      </c>
      <c r="Q165" s="20"/>
      <c r="R165" s="20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4:49" ht="15" thickBot="1" x14ac:dyDescent="0.35">
      <c r="D166" s="2">
        <f t="shared" si="26"/>
        <v>160</v>
      </c>
      <c r="E166" s="6">
        <v>8.4332529040672686</v>
      </c>
      <c r="F166" s="24"/>
      <c r="G166" s="24"/>
      <c r="H166" s="24"/>
      <c r="I166" s="24"/>
      <c r="J166" s="3"/>
      <c r="K166" s="8"/>
      <c r="L166" s="8"/>
      <c r="M166" s="8"/>
      <c r="N166" s="13"/>
      <c r="O166" s="32">
        <v>160</v>
      </c>
      <c r="P166" s="20">
        <f t="shared" ca="1" si="27"/>
        <v>5.470987655407435</v>
      </c>
      <c r="Q166" s="20">
        <f t="shared" ref="Q166" ca="1" si="32">AVERAGE(P157:P166)</f>
        <v>2.9028921131305192</v>
      </c>
      <c r="R166" s="33">
        <f t="shared" ref="R166" ca="1" si="33">1/Q166</f>
        <v>0.34448403903016089</v>
      </c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4:49" ht="15" thickBot="1" x14ac:dyDescent="0.35">
      <c r="D167" s="2">
        <f t="shared" si="26"/>
        <v>161</v>
      </c>
      <c r="E167" s="6">
        <v>8.1955056839067524</v>
      </c>
      <c r="F167" s="24"/>
      <c r="G167" s="24"/>
      <c r="H167" s="24"/>
      <c r="I167" s="24"/>
      <c r="J167" s="3"/>
      <c r="K167" s="8"/>
      <c r="L167" s="8"/>
      <c r="M167" s="8"/>
      <c r="N167" s="13"/>
      <c r="O167" s="32">
        <v>161</v>
      </c>
      <c r="P167" s="20">
        <f t="shared" ca="1" si="27"/>
        <v>7.4074052509172228</v>
      </c>
      <c r="Q167" s="20"/>
      <c r="R167" s="21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4:49" ht="15" thickBot="1" x14ac:dyDescent="0.35">
      <c r="D168" s="2">
        <f t="shared" si="26"/>
        <v>162</v>
      </c>
      <c r="E168" s="6">
        <v>3.323442007413334</v>
      </c>
      <c r="F168" s="24"/>
      <c r="G168" s="24"/>
      <c r="H168" s="24"/>
      <c r="I168" s="24"/>
      <c r="J168" s="3"/>
      <c r="K168" s="8"/>
      <c r="L168" s="8"/>
      <c r="M168" s="8"/>
      <c r="N168" s="22"/>
      <c r="O168" s="32">
        <v>162</v>
      </c>
      <c r="P168" s="20">
        <f t="shared" ca="1" si="27"/>
        <v>12.043724759603526</v>
      </c>
      <c r="Q168" s="20"/>
      <c r="R168" s="20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4:49" ht="15" thickBot="1" x14ac:dyDescent="0.35">
      <c r="D169" s="2">
        <f t="shared" si="26"/>
        <v>163</v>
      </c>
      <c r="E169" s="6">
        <v>4.2858781042048868</v>
      </c>
      <c r="F169" s="24"/>
      <c r="G169" s="24"/>
      <c r="H169" s="24"/>
      <c r="I169" s="24"/>
      <c r="J169" s="3"/>
      <c r="K169" s="8"/>
      <c r="L169" s="8"/>
      <c r="M169" s="8"/>
      <c r="N169" s="13"/>
      <c r="O169" s="32">
        <v>163</v>
      </c>
      <c r="P169" s="20">
        <f t="shared" ca="1" si="27"/>
        <v>6.649362903897245</v>
      </c>
      <c r="Q169" s="20"/>
      <c r="R169" s="20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4:49" ht="15" thickBot="1" x14ac:dyDescent="0.35">
      <c r="D170" s="2">
        <f t="shared" si="26"/>
        <v>164</v>
      </c>
      <c r="E170" s="6">
        <v>0.38448482908214654</v>
      </c>
      <c r="F170" s="24"/>
      <c r="G170" s="24"/>
      <c r="H170" s="24"/>
      <c r="I170" s="24"/>
      <c r="J170" s="3"/>
      <c r="K170" s="8"/>
      <c r="L170" s="8"/>
      <c r="M170" s="8"/>
      <c r="N170" s="22"/>
      <c r="O170" s="32">
        <v>164</v>
      </c>
      <c r="P170" s="20">
        <f t="shared" ca="1" si="27"/>
        <v>15.545140820406768</v>
      </c>
      <c r="Q170" s="20"/>
      <c r="R170" s="20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4:49" ht="15" thickBot="1" x14ac:dyDescent="0.35">
      <c r="D171" s="2">
        <f t="shared" si="26"/>
        <v>165</v>
      </c>
      <c r="E171" s="6">
        <v>2.648781320729015</v>
      </c>
      <c r="F171" s="24"/>
      <c r="G171" s="24"/>
      <c r="H171" s="24"/>
      <c r="I171" s="24"/>
      <c r="J171" s="3"/>
      <c r="K171" s="8"/>
      <c r="L171" s="8"/>
      <c r="M171" s="8"/>
      <c r="N171" s="13"/>
      <c r="O171" s="32">
        <v>165</v>
      </c>
      <c r="P171" s="20">
        <f t="shared" ca="1" si="27"/>
        <v>3.9801887114826413</v>
      </c>
      <c r="Q171" s="20"/>
      <c r="R171" s="20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4:49" ht="15" thickBot="1" x14ac:dyDescent="0.35">
      <c r="D172" s="2">
        <f t="shared" si="26"/>
        <v>166</v>
      </c>
      <c r="E172" s="6">
        <v>4.1683291245808842</v>
      </c>
      <c r="F172" s="24"/>
      <c r="G172" s="24"/>
      <c r="H172" s="24"/>
      <c r="I172" s="24"/>
      <c r="J172" s="3"/>
      <c r="K172" s="8"/>
      <c r="L172" s="8"/>
      <c r="M172" s="8"/>
      <c r="N172" s="13"/>
      <c r="O172" s="32">
        <v>166</v>
      </c>
      <c r="P172" s="20">
        <f t="shared" ca="1" si="27"/>
        <v>1.7043670607103736</v>
      </c>
      <c r="Q172" s="20"/>
      <c r="R172" s="20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4:49" ht="15" thickBot="1" x14ac:dyDescent="0.35">
      <c r="D173" s="2">
        <f t="shared" si="26"/>
        <v>167</v>
      </c>
      <c r="E173" s="6">
        <v>6.493820118377422</v>
      </c>
      <c r="F173" s="24"/>
      <c r="G173" s="24"/>
      <c r="H173" s="24"/>
      <c r="I173" s="24"/>
      <c r="J173" s="3"/>
      <c r="K173" s="8"/>
      <c r="L173" s="8"/>
      <c r="M173" s="8"/>
      <c r="N173" s="22"/>
      <c r="O173" s="32">
        <v>167</v>
      </c>
      <c r="P173" s="20">
        <f t="shared" ca="1" si="27"/>
        <v>10.573777727136431</v>
      </c>
      <c r="Q173" s="20"/>
      <c r="R173" s="20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4:49" ht="15" thickBot="1" x14ac:dyDescent="0.35">
      <c r="D174" s="2">
        <f t="shared" si="26"/>
        <v>168</v>
      </c>
      <c r="E174" s="6">
        <v>7.1116263997426072</v>
      </c>
      <c r="F174" s="24"/>
      <c r="G174" s="24"/>
      <c r="H174" s="24"/>
      <c r="I174" s="24"/>
      <c r="J174" s="3"/>
      <c r="K174" s="8"/>
      <c r="L174" s="8"/>
      <c r="M174" s="8"/>
      <c r="N174" s="13"/>
      <c r="O174" s="32">
        <v>168</v>
      </c>
      <c r="P174" s="20">
        <f t="shared" ca="1" si="27"/>
        <v>1.0442826782807157</v>
      </c>
      <c r="Q174" s="20"/>
      <c r="R174" s="20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4:49" ht="15" thickBot="1" x14ac:dyDescent="0.35">
      <c r="D175" s="2">
        <f t="shared" si="26"/>
        <v>169</v>
      </c>
      <c r="E175" s="6">
        <v>4.1187399780796508</v>
      </c>
      <c r="F175" s="24"/>
      <c r="G175" s="24"/>
      <c r="H175" s="24"/>
      <c r="I175" s="24"/>
      <c r="J175" s="3"/>
      <c r="K175" s="8"/>
      <c r="L175" s="8"/>
      <c r="M175" s="8"/>
      <c r="N175" s="22"/>
      <c r="O175" s="32">
        <v>169</v>
      </c>
      <c r="P175" s="20">
        <f t="shared" ca="1" si="27"/>
        <v>3.9201176281613836</v>
      </c>
      <c r="Q175" s="20"/>
      <c r="R175" s="20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4:49" ht="15" thickBot="1" x14ac:dyDescent="0.35">
      <c r="D176" s="2">
        <f t="shared" si="26"/>
        <v>170</v>
      </c>
      <c r="E176" s="6">
        <v>2.9811523233396908</v>
      </c>
      <c r="F176" s="24"/>
      <c r="G176" s="24"/>
      <c r="H176" s="24"/>
      <c r="I176" s="24"/>
      <c r="J176" s="3"/>
      <c r="K176" s="8"/>
      <c r="L176" s="8"/>
      <c r="M176" s="8"/>
      <c r="N176" s="13"/>
      <c r="O176" s="32">
        <v>170</v>
      </c>
      <c r="P176" s="20">
        <f t="shared" ca="1" si="27"/>
        <v>9.3645699577041945</v>
      </c>
      <c r="Q176" s="20">
        <f t="shared" ref="Q176" ca="1" si="34">AVERAGE(P167:P176)</f>
        <v>7.2232937498300505</v>
      </c>
      <c r="R176" s="33">
        <f t="shared" ref="R176" ca="1" si="35">1/Q176</f>
        <v>0.13844099861279047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4:49" ht="15" thickBot="1" x14ac:dyDescent="0.35">
      <c r="D177" s="2">
        <f t="shared" si="26"/>
        <v>171</v>
      </c>
      <c r="E177" s="6">
        <v>4.0284860608509865</v>
      </c>
      <c r="F177" s="24"/>
      <c r="G177" s="24"/>
      <c r="H177" s="24"/>
      <c r="I177" s="24"/>
      <c r="J177" s="3"/>
      <c r="K177" s="8"/>
      <c r="L177" s="8"/>
      <c r="M177" s="8"/>
      <c r="N177" s="13"/>
      <c r="O177" s="32">
        <v>171</v>
      </c>
      <c r="P177" s="20">
        <f t="shared" ca="1" si="27"/>
        <v>8.3371253751932493</v>
      </c>
      <c r="Q177" s="20"/>
      <c r="R177" s="21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4:49" ht="15" thickBot="1" x14ac:dyDescent="0.35">
      <c r="D178" s="2">
        <f t="shared" si="26"/>
        <v>172</v>
      </c>
      <c r="E178" s="6">
        <v>7.0871103699040381</v>
      </c>
      <c r="F178" s="24"/>
      <c r="G178" s="24"/>
      <c r="H178" s="24"/>
      <c r="I178" s="24"/>
      <c r="J178" s="3"/>
      <c r="K178" s="8"/>
      <c r="L178" s="8"/>
      <c r="M178" s="8"/>
      <c r="N178" s="22"/>
      <c r="O178" s="32">
        <v>172</v>
      </c>
      <c r="P178" s="20">
        <f t="shared" ca="1" si="27"/>
        <v>12.513397648473733</v>
      </c>
      <c r="Q178" s="20"/>
      <c r="R178" s="20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4:49" ht="15" thickBot="1" x14ac:dyDescent="0.35">
      <c r="D179" s="2">
        <f t="shared" si="26"/>
        <v>173</v>
      </c>
      <c r="E179" s="6">
        <v>3.9055737627803571</v>
      </c>
      <c r="F179" s="24"/>
      <c r="G179" s="24"/>
      <c r="H179" s="24"/>
      <c r="I179" s="24"/>
      <c r="J179" s="3"/>
      <c r="K179" s="8"/>
      <c r="L179" s="8"/>
      <c r="M179" s="8"/>
      <c r="N179" s="13"/>
      <c r="O179" s="32">
        <v>173</v>
      </c>
      <c r="P179" s="20">
        <f t="shared" ca="1" si="27"/>
        <v>1.0625644709401461</v>
      </c>
      <c r="Q179" s="20"/>
      <c r="R179" s="20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4:49" ht="15" thickBot="1" x14ac:dyDescent="0.35">
      <c r="D180" s="2">
        <f t="shared" si="26"/>
        <v>174</v>
      </c>
      <c r="E180" s="6">
        <v>7.5212242754302547</v>
      </c>
      <c r="F180" s="24"/>
      <c r="G180" s="24"/>
      <c r="H180" s="24"/>
      <c r="I180" s="24"/>
      <c r="J180" s="3"/>
      <c r="K180" s="8"/>
      <c r="L180" s="8"/>
      <c r="M180" s="8"/>
      <c r="N180" s="22"/>
      <c r="O180" s="32">
        <v>174</v>
      </c>
      <c r="P180" s="20">
        <f t="shared" ca="1" si="27"/>
        <v>10.277754552005968</v>
      </c>
      <c r="Q180" s="20"/>
      <c r="R180" s="20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4:49" ht="15" thickBot="1" x14ac:dyDescent="0.35">
      <c r="D181" s="2">
        <f t="shared" si="26"/>
        <v>175</v>
      </c>
      <c r="E181" s="6">
        <v>0.85823728510290609</v>
      </c>
      <c r="F181" s="24"/>
      <c r="G181" s="24"/>
      <c r="H181" s="24"/>
      <c r="I181" s="24"/>
      <c r="J181" s="3"/>
      <c r="K181" s="8"/>
      <c r="L181" s="8"/>
      <c r="M181" s="8"/>
      <c r="N181" s="13"/>
      <c r="O181" s="32">
        <v>175</v>
      </c>
      <c r="P181" s="20">
        <f t="shared" ca="1" si="27"/>
        <v>1.0303658817059287</v>
      </c>
      <c r="Q181" s="20"/>
      <c r="R181" s="20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4:49" ht="15" thickBot="1" x14ac:dyDescent="0.35">
      <c r="D182" s="2">
        <f t="shared" si="26"/>
        <v>176</v>
      </c>
      <c r="E182" s="6">
        <v>0.21960455911590249</v>
      </c>
      <c r="F182" s="24"/>
      <c r="G182" s="24"/>
      <c r="H182" s="24"/>
      <c r="I182" s="24"/>
      <c r="J182" s="3"/>
      <c r="K182" s="8"/>
      <c r="L182" s="8"/>
      <c r="M182" s="8"/>
      <c r="N182" s="13"/>
      <c r="O182" s="32">
        <v>176</v>
      </c>
      <c r="P182" s="20">
        <f t="shared" ca="1" si="27"/>
        <v>1.008507458730485</v>
      </c>
      <c r="Q182" s="20"/>
      <c r="R182" s="20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4:49" ht="15" thickBot="1" x14ac:dyDescent="0.35">
      <c r="D183" s="2">
        <f t="shared" si="26"/>
        <v>177</v>
      </c>
      <c r="E183" s="6">
        <v>6.8268023352477041</v>
      </c>
      <c r="F183" s="24"/>
      <c r="G183" s="24"/>
      <c r="H183" s="24"/>
      <c r="I183" s="24"/>
      <c r="J183" s="3"/>
      <c r="K183" s="8"/>
      <c r="L183" s="8"/>
      <c r="M183" s="8"/>
      <c r="N183" s="22"/>
      <c r="O183" s="32">
        <v>177</v>
      </c>
      <c r="P183" s="20">
        <f t="shared" ca="1" si="27"/>
        <v>1.188820986071119</v>
      </c>
      <c r="Q183" s="20"/>
      <c r="R183" s="20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4:49" ht="15" thickBot="1" x14ac:dyDescent="0.35">
      <c r="D184" s="2">
        <f t="shared" si="26"/>
        <v>178</v>
      </c>
      <c r="E184" s="6">
        <v>0.73514153244842795</v>
      </c>
      <c r="F184" s="24"/>
      <c r="G184" s="24"/>
      <c r="H184" s="24"/>
      <c r="I184" s="24"/>
      <c r="J184" s="3"/>
      <c r="K184" s="8"/>
      <c r="L184" s="8"/>
      <c r="M184" s="8"/>
      <c r="N184" s="13"/>
      <c r="O184" s="32">
        <v>178</v>
      </c>
      <c r="P184" s="20">
        <f t="shared" ca="1" si="27"/>
        <v>2.1160017126722979</v>
      </c>
      <c r="Q184" s="20"/>
      <c r="R184" s="20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4:49" ht="15" thickBot="1" x14ac:dyDescent="0.35">
      <c r="D185" s="2">
        <f t="shared" si="26"/>
        <v>179</v>
      </c>
      <c r="E185" s="6">
        <v>2.9634880280529479</v>
      </c>
      <c r="F185" s="24"/>
      <c r="G185" s="24"/>
      <c r="H185" s="24"/>
      <c r="I185" s="24"/>
      <c r="J185" s="3"/>
      <c r="K185" s="8"/>
      <c r="L185" s="8"/>
      <c r="M185" s="8"/>
      <c r="N185" s="22"/>
      <c r="O185" s="32">
        <v>179</v>
      </c>
      <c r="P185" s="20">
        <f t="shared" ca="1" si="27"/>
        <v>1.6505558582781847</v>
      </c>
      <c r="Q185" s="20"/>
      <c r="R185" s="20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4:49" ht="15" thickBot="1" x14ac:dyDescent="0.35">
      <c r="D186" s="2">
        <f t="shared" si="26"/>
        <v>180</v>
      </c>
      <c r="E186" s="6">
        <v>1.6152741230896186</v>
      </c>
      <c r="F186" s="24"/>
      <c r="G186" s="24"/>
      <c r="H186" s="24"/>
      <c r="I186" s="24"/>
      <c r="J186" s="3"/>
      <c r="K186" s="8"/>
      <c r="L186" s="8"/>
      <c r="M186" s="8"/>
      <c r="N186" s="13"/>
      <c r="O186" s="32">
        <v>180</v>
      </c>
      <c r="P186" s="20">
        <f t="shared" ca="1" si="27"/>
        <v>1.9692310870133303</v>
      </c>
      <c r="Q186" s="20">
        <f t="shared" ref="Q186" ca="1" si="36">AVERAGE(P177:P186)</f>
        <v>4.1154325031084431</v>
      </c>
      <c r="R186" s="33">
        <f t="shared" ref="R186" ca="1" si="37">1/Q186</f>
        <v>0.24298782673380895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4:49" ht="15" thickBot="1" x14ac:dyDescent="0.35">
      <c r="D187" s="2">
        <f t="shared" si="26"/>
        <v>181</v>
      </c>
      <c r="E187" s="6">
        <v>4.9442291751510048</v>
      </c>
      <c r="F187" s="24"/>
      <c r="G187" s="24"/>
      <c r="H187" s="24"/>
      <c r="I187" s="24"/>
      <c r="J187" s="3"/>
      <c r="K187" s="8"/>
      <c r="L187" s="8"/>
      <c r="M187" s="8"/>
      <c r="N187" s="13"/>
      <c r="O187" s="32">
        <v>181</v>
      </c>
      <c r="P187" s="20">
        <f t="shared" ca="1" si="27"/>
        <v>0.90149632184741701</v>
      </c>
      <c r="Q187" s="20"/>
      <c r="R187" s="21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4:49" ht="15" thickBot="1" x14ac:dyDescent="0.35">
      <c r="D188" s="2">
        <f t="shared" si="26"/>
        <v>182</v>
      </c>
      <c r="E188" s="6">
        <v>5.3571825458723863</v>
      </c>
      <c r="F188" s="24"/>
      <c r="G188" s="24"/>
      <c r="H188" s="24"/>
      <c r="I188" s="24"/>
      <c r="J188" s="3"/>
      <c r="K188" s="8"/>
      <c r="L188" s="8"/>
      <c r="M188" s="8"/>
      <c r="N188" s="22"/>
      <c r="O188" s="32">
        <v>182</v>
      </c>
      <c r="P188" s="20">
        <f t="shared" ca="1" si="27"/>
        <v>5.0408214307218433</v>
      </c>
      <c r="Q188" s="20"/>
      <c r="R188" s="20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4:49" ht="15" thickBot="1" x14ac:dyDescent="0.35">
      <c r="D189" s="2">
        <f t="shared" si="26"/>
        <v>183</v>
      </c>
      <c r="E189" s="6">
        <v>7.3994321037101768E-2</v>
      </c>
      <c r="F189" s="24"/>
      <c r="G189" s="24"/>
      <c r="H189" s="24"/>
      <c r="I189" s="24"/>
      <c r="J189" s="3"/>
      <c r="K189" s="8"/>
      <c r="L189" s="8"/>
      <c r="M189" s="8"/>
      <c r="N189" s="13"/>
      <c r="O189" s="32">
        <v>183</v>
      </c>
      <c r="P189" s="20">
        <f t="shared" ca="1" si="27"/>
        <v>7.7819106142979289</v>
      </c>
      <c r="Q189" s="20"/>
      <c r="R189" s="20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4:49" ht="15" thickBot="1" x14ac:dyDescent="0.35">
      <c r="D190" s="2">
        <f t="shared" si="26"/>
        <v>184</v>
      </c>
      <c r="E190" s="6">
        <v>1.793002992858187</v>
      </c>
      <c r="F190" s="24"/>
      <c r="G190" s="24"/>
      <c r="H190" s="24"/>
      <c r="I190" s="24"/>
      <c r="J190" s="3"/>
      <c r="K190" s="8"/>
      <c r="L190" s="8"/>
      <c r="M190" s="8"/>
      <c r="N190" s="22"/>
      <c r="O190" s="32">
        <v>184</v>
      </c>
      <c r="P190" s="20">
        <f t="shared" ca="1" si="27"/>
        <v>1.2315887777716714</v>
      </c>
      <c r="Q190" s="20"/>
      <c r="R190" s="20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4:49" ht="15" thickBot="1" x14ac:dyDescent="0.35">
      <c r="D191" s="2">
        <f t="shared" si="26"/>
        <v>185</v>
      </c>
      <c r="E191" s="6">
        <v>3.4063176147400691</v>
      </c>
      <c r="F191" s="24"/>
      <c r="G191" s="24"/>
      <c r="H191" s="24"/>
      <c r="I191" s="24"/>
      <c r="J191" s="3"/>
      <c r="K191" s="8"/>
      <c r="L191" s="8"/>
      <c r="M191" s="8"/>
      <c r="N191" s="13"/>
      <c r="O191" s="32">
        <v>185</v>
      </c>
      <c r="P191" s="20">
        <f t="shared" ca="1" si="27"/>
        <v>1.3532313315539384</v>
      </c>
      <c r="Q191" s="20"/>
      <c r="R191" s="20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4:49" ht="15" thickBot="1" x14ac:dyDescent="0.35">
      <c r="D192" s="2">
        <f t="shared" si="26"/>
        <v>186</v>
      </c>
      <c r="E192" s="6">
        <v>4.5628876721530887</v>
      </c>
      <c r="F192" s="24"/>
      <c r="G192" s="24"/>
      <c r="H192" s="24"/>
      <c r="I192" s="24"/>
      <c r="J192" s="3"/>
      <c r="K192" s="8"/>
      <c r="L192" s="8"/>
      <c r="M192" s="8"/>
      <c r="N192" s="13"/>
      <c r="O192" s="32">
        <v>186</v>
      </c>
      <c r="P192" s="20">
        <f t="shared" ca="1" si="27"/>
        <v>0.57353665382160191</v>
      </c>
      <c r="Q192" s="20"/>
      <c r="R192" s="20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4:49" ht="15" thickBot="1" x14ac:dyDescent="0.35">
      <c r="D193" s="2">
        <f t="shared" si="26"/>
        <v>187</v>
      </c>
      <c r="E193" s="6">
        <v>6.4445671580731299</v>
      </c>
      <c r="F193" s="24"/>
      <c r="G193" s="24"/>
      <c r="H193" s="24"/>
      <c r="I193" s="24"/>
      <c r="J193" s="3"/>
      <c r="K193" s="8"/>
      <c r="L193" s="8"/>
      <c r="M193" s="8"/>
      <c r="N193" s="22"/>
      <c r="O193" s="32">
        <v>187</v>
      </c>
      <c r="P193" s="20">
        <f t="shared" ca="1" si="27"/>
        <v>5.8312809587163423</v>
      </c>
      <c r="Q193" s="20"/>
      <c r="R193" s="20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4:49" ht="15" thickBot="1" x14ac:dyDescent="0.35">
      <c r="D194" s="2">
        <f t="shared" si="26"/>
        <v>188</v>
      </c>
      <c r="E194" s="6">
        <v>3.2637188917805116</v>
      </c>
      <c r="F194" s="24"/>
      <c r="G194" s="24"/>
      <c r="H194" s="24"/>
      <c r="I194" s="24"/>
      <c r="J194" s="3"/>
      <c r="K194" s="8"/>
      <c r="L194" s="8"/>
      <c r="M194" s="8"/>
      <c r="N194" s="13"/>
      <c r="O194" s="32">
        <v>188</v>
      </c>
      <c r="P194" s="20">
        <f t="shared" ca="1" si="27"/>
        <v>6.7238657493116438</v>
      </c>
      <c r="Q194" s="20"/>
      <c r="R194" s="20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4:49" ht="15" thickBot="1" x14ac:dyDescent="0.35">
      <c r="D195" s="2">
        <f t="shared" si="26"/>
        <v>189</v>
      </c>
      <c r="E195" s="6">
        <v>6.2598728126137964</v>
      </c>
      <c r="F195" s="24"/>
      <c r="G195" s="24"/>
      <c r="H195" s="24"/>
      <c r="I195" s="24"/>
      <c r="J195" s="3"/>
      <c r="K195" s="8"/>
      <c r="L195" s="8"/>
      <c r="M195" s="8"/>
      <c r="N195" s="22"/>
      <c r="O195" s="32">
        <v>189</v>
      </c>
      <c r="P195" s="20">
        <f t="shared" ca="1" si="27"/>
        <v>1.6309834777097094</v>
      </c>
      <c r="Q195" s="20"/>
      <c r="R195" s="20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4:49" ht="15" thickBot="1" x14ac:dyDescent="0.35">
      <c r="D196" s="2">
        <f t="shared" si="26"/>
        <v>190</v>
      </c>
      <c r="E196" s="6">
        <v>1.2063175818650411</v>
      </c>
      <c r="F196" s="24"/>
      <c r="G196" s="24"/>
      <c r="H196" s="24"/>
      <c r="I196" s="24"/>
      <c r="J196" s="3"/>
      <c r="K196" s="8"/>
      <c r="L196" s="8"/>
      <c r="M196" s="8"/>
      <c r="N196" s="13"/>
      <c r="O196" s="32">
        <v>190</v>
      </c>
      <c r="P196" s="20">
        <f t="shared" ca="1" si="27"/>
        <v>7.5027446664974908</v>
      </c>
      <c r="Q196" s="20">
        <f t="shared" ref="Q196" ca="1" si="38">AVERAGE(P187:P196)</f>
        <v>3.8571459982249587</v>
      </c>
      <c r="R196" s="33">
        <f t="shared" ref="R196" ca="1" si="39">1/Q196</f>
        <v>0.25925904813045592</v>
      </c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4:49" ht="15" thickBot="1" x14ac:dyDescent="0.35">
      <c r="D197" s="2">
        <f t="shared" si="26"/>
        <v>191</v>
      </c>
      <c r="E197" s="6">
        <v>3.7653863270906571</v>
      </c>
      <c r="F197" s="24"/>
      <c r="G197" s="24"/>
      <c r="H197" s="24"/>
      <c r="I197" s="24"/>
      <c r="J197" s="3"/>
      <c r="K197" s="8"/>
      <c r="L197" s="8"/>
      <c r="M197" s="8"/>
      <c r="N197" s="13"/>
      <c r="O197" s="32">
        <v>191</v>
      </c>
      <c r="P197" s="20">
        <f t="shared" ca="1" si="27"/>
        <v>4.040977130275615</v>
      </c>
      <c r="Q197" s="20"/>
      <c r="R197" s="21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4:49" ht="15" thickBot="1" x14ac:dyDescent="0.35">
      <c r="D198" s="2">
        <f t="shared" si="26"/>
        <v>192</v>
      </c>
      <c r="E198" s="6">
        <v>0.87685820173919182</v>
      </c>
      <c r="F198" s="24"/>
      <c r="G198" s="24"/>
      <c r="H198" s="24"/>
      <c r="I198" s="24"/>
      <c r="J198" s="3"/>
      <c r="K198" s="8"/>
      <c r="L198" s="8"/>
      <c r="M198" s="8"/>
      <c r="N198" s="22"/>
      <c r="O198" s="32">
        <v>192</v>
      </c>
      <c r="P198" s="20">
        <f t="shared" ca="1" si="27"/>
        <v>6.2971900988027283</v>
      </c>
      <c r="Q198" s="20"/>
      <c r="R198" s="20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4:49" ht="15" thickBot="1" x14ac:dyDescent="0.35">
      <c r="D199" s="2">
        <f t="shared" ref="D199:D262" si="40">ROW()-6</f>
        <v>193</v>
      </c>
      <c r="E199" s="6">
        <v>16.455106202855731</v>
      </c>
      <c r="F199" s="24"/>
      <c r="G199" s="24"/>
      <c r="H199" s="24"/>
      <c r="I199" s="24"/>
      <c r="J199" s="3"/>
      <c r="K199" s="8"/>
      <c r="L199" s="8"/>
      <c r="M199" s="8"/>
      <c r="N199" s="13"/>
      <c r="O199" s="32">
        <v>193</v>
      </c>
      <c r="P199" s="20">
        <f t="shared" ca="1" si="27"/>
        <v>6.6424373844967857</v>
      </c>
      <c r="Q199" s="20"/>
      <c r="R199" s="20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4:49" ht="15" thickBot="1" x14ac:dyDescent="0.35">
      <c r="D200" s="2">
        <f t="shared" si="40"/>
        <v>194</v>
      </c>
      <c r="E200" s="6">
        <v>5.0912775002994124</v>
      </c>
      <c r="F200" s="24"/>
      <c r="G200" s="24"/>
      <c r="H200" s="24"/>
      <c r="I200" s="24"/>
      <c r="J200" s="3"/>
      <c r="K200" s="8"/>
      <c r="L200" s="8"/>
      <c r="M200" s="8"/>
      <c r="N200" s="22"/>
      <c r="O200" s="32">
        <v>194</v>
      </c>
      <c r="P200" s="20">
        <f t="shared" ref="P200:P206" ca="1" si="41">-(1/$N$7)*LN(RAND())</f>
        <v>2.11966285024601</v>
      </c>
      <c r="Q200" s="20"/>
      <c r="R200" s="20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4:49" ht="15" thickBot="1" x14ac:dyDescent="0.35">
      <c r="D201" s="2">
        <f t="shared" si="40"/>
        <v>195</v>
      </c>
      <c r="E201" s="6">
        <v>0.21326617021714295</v>
      </c>
      <c r="F201" s="24"/>
      <c r="G201" s="24"/>
      <c r="H201" s="24"/>
      <c r="I201" s="24"/>
      <c r="J201" s="3"/>
      <c r="K201" s="8"/>
      <c r="L201" s="8"/>
      <c r="M201" s="8"/>
      <c r="N201" s="13"/>
      <c r="O201" s="32">
        <v>195</v>
      </c>
      <c r="P201" s="20">
        <f t="shared" ca="1" si="41"/>
        <v>3.9211693246136536</v>
      </c>
      <c r="Q201" s="20"/>
      <c r="R201" s="20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4:49" ht="15" thickBot="1" x14ac:dyDescent="0.35">
      <c r="D202" s="2">
        <f t="shared" si="40"/>
        <v>196</v>
      </c>
      <c r="E202" s="6">
        <v>1.301089060317663</v>
      </c>
      <c r="F202" s="24"/>
      <c r="G202" s="24"/>
      <c r="H202" s="24"/>
      <c r="I202" s="24"/>
      <c r="J202" s="3"/>
      <c r="K202" s="8"/>
      <c r="L202" s="8"/>
      <c r="M202" s="8"/>
      <c r="N202" s="13"/>
      <c r="O202" s="32">
        <v>196</v>
      </c>
      <c r="P202" s="20">
        <f t="shared" ca="1" si="41"/>
        <v>17.289487186033476</v>
      </c>
      <c r="Q202" s="20"/>
      <c r="R202" s="20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4:49" ht="15" thickBot="1" x14ac:dyDescent="0.35">
      <c r="D203" s="2">
        <f t="shared" si="40"/>
        <v>197</v>
      </c>
      <c r="E203" s="6">
        <v>14.577648919715259</v>
      </c>
      <c r="F203" s="24"/>
      <c r="G203" s="24"/>
      <c r="H203" s="24"/>
      <c r="I203" s="24"/>
      <c r="J203" s="3"/>
      <c r="K203" s="8"/>
      <c r="L203" s="8"/>
      <c r="M203" s="8"/>
      <c r="N203" s="22"/>
      <c r="O203" s="32">
        <v>197</v>
      </c>
      <c r="P203" s="20">
        <f t="shared" ca="1" si="41"/>
        <v>2.6952821045243569</v>
      </c>
      <c r="Q203" s="20"/>
      <c r="R203" s="20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4:49" ht="15" thickBot="1" x14ac:dyDescent="0.35">
      <c r="D204" s="2">
        <f t="shared" si="40"/>
        <v>198</v>
      </c>
      <c r="E204" s="6">
        <v>0.99484975313062829</v>
      </c>
      <c r="F204" s="24"/>
      <c r="G204" s="24"/>
      <c r="H204" s="24"/>
      <c r="I204" s="24"/>
      <c r="J204" s="3"/>
      <c r="K204" s="8"/>
      <c r="L204" s="8"/>
      <c r="M204" s="8"/>
      <c r="N204" s="13"/>
      <c r="O204" s="32">
        <v>198</v>
      </c>
      <c r="P204" s="20">
        <f t="shared" ca="1" si="41"/>
        <v>0.91144388093249695</v>
      </c>
      <c r="Q204" s="20"/>
      <c r="R204" s="20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4:49" ht="15" thickBot="1" x14ac:dyDescent="0.35">
      <c r="D205" s="2">
        <f t="shared" si="40"/>
        <v>199</v>
      </c>
      <c r="E205" s="6">
        <v>8.4578728699337553</v>
      </c>
      <c r="F205" s="24"/>
      <c r="G205" s="24"/>
      <c r="H205" s="24"/>
      <c r="I205" s="24"/>
      <c r="J205" s="3"/>
      <c r="K205" s="8"/>
      <c r="L205" s="8"/>
      <c r="M205" s="8"/>
      <c r="N205" s="22"/>
      <c r="O205" s="32">
        <v>199</v>
      </c>
      <c r="P205" s="20">
        <f t="shared" ca="1" si="41"/>
        <v>0.51359016086581599</v>
      </c>
      <c r="Q205" s="20"/>
      <c r="R205" s="20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4:49" ht="15" thickBot="1" x14ac:dyDescent="0.35">
      <c r="D206" s="2">
        <f t="shared" si="40"/>
        <v>200</v>
      </c>
      <c r="E206" s="6">
        <v>1.0423099182730922</v>
      </c>
      <c r="F206" s="24"/>
      <c r="G206" s="24"/>
      <c r="H206" s="24"/>
      <c r="I206" s="24"/>
      <c r="J206" s="3"/>
      <c r="K206" s="8"/>
      <c r="L206" s="8"/>
      <c r="M206" s="8"/>
      <c r="N206" s="13"/>
      <c r="O206" s="32">
        <v>200</v>
      </c>
      <c r="P206" s="20">
        <f t="shared" ca="1" si="41"/>
        <v>5.9067438419016449</v>
      </c>
      <c r="Q206" s="20">
        <f t="shared" ref="Q206" ca="1" si="42">AVERAGE(P197:P206)</f>
        <v>5.0337983962692583</v>
      </c>
      <c r="R206" s="33">
        <f t="shared" ref="R206" ca="1" si="43">1/Q206</f>
        <v>0.1986571414423626</v>
      </c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4:49" ht="15" thickBot="1" x14ac:dyDescent="0.35">
      <c r="D207" s="2">
        <f t="shared" si="40"/>
        <v>201</v>
      </c>
      <c r="E207" s="6">
        <v>2.8332503620065128</v>
      </c>
      <c r="F207" s="24"/>
      <c r="G207" s="24"/>
      <c r="H207" s="24"/>
      <c r="I207" s="24"/>
      <c r="J207" s="3"/>
      <c r="K207" s="8"/>
      <c r="L207" s="8"/>
      <c r="M207" s="8"/>
      <c r="N207" s="13"/>
      <c r="O207" s="9"/>
      <c r="P207" s="20"/>
      <c r="Q207" s="20"/>
      <c r="R207" s="20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4:49" ht="15" thickBot="1" x14ac:dyDescent="0.35">
      <c r="D208" s="2">
        <f t="shared" si="40"/>
        <v>202</v>
      </c>
      <c r="E208" s="6">
        <v>2.0380812426594219</v>
      </c>
      <c r="F208" s="24"/>
      <c r="G208" s="24"/>
      <c r="H208" s="24"/>
      <c r="I208" s="24"/>
      <c r="J208" s="3"/>
      <c r="K208" s="8"/>
      <c r="L208" s="8"/>
      <c r="M208" s="8"/>
      <c r="N208" s="22"/>
      <c r="O208" s="9"/>
      <c r="P208" s="20"/>
      <c r="Q208" s="20"/>
      <c r="R208" s="20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4:49" ht="15" thickBot="1" x14ac:dyDescent="0.35">
      <c r="D209" s="2">
        <f t="shared" si="40"/>
        <v>203</v>
      </c>
      <c r="E209" s="6">
        <v>6.0204433619691997</v>
      </c>
      <c r="F209" s="24"/>
      <c r="G209" s="24"/>
      <c r="H209" s="24"/>
      <c r="I209" s="24"/>
      <c r="J209" s="3"/>
      <c r="K209" s="8"/>
      <c r="L209" s="8"/>
      <c r="M209" s="8"/>
      <c r="N209" s="13"/>
      <c r="O209" s="9"/>
      <c r="P209" s="20"/>
      <c r="Q209" s="20"/>
      <c r="R209" s="20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4:49" ht="15" thickBot="1" x14ac:dyDescent="0.35">
      <c r="D210" s="2">
        <f t="shared" si="40"/>
        <v>204</v>
      </c>
      <c r="E210" s="6">
        <v>5.486405930020041</v>
      </c>
      <c r="F210" s="24"/>
      <c r="G210" s="24"/>
      <c r="H210" s="24"/>
      <c r="I210" s="24"/>
      <c r="J210" s="3"/>
      <c r="K210" s="8"/>
      <c r="L210" s="8"/>
      <c r="M210" s="8"/>
      <c r="N210" s="22"/>
      <c r="O210" s="9"/>
      <c r="P210" s="20"/>
      <c r="Q210" s="20"/>
      <c r="R210" s="20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4:49" ht="15" thickBot="1" x14ac:dyDescent="0.35">
      <c r="D211" s="2">
        <f t="shared" si="40"/>
        <v>205</v>
      </c>
      <c r="E211" s="6">
        <v>0.26945407320656334</v>
      </c>
      <c r="F211" s="24"/>
      <c r="G211" s="24"/>
      <c r="H211" s="24"/>
      <c r="I211" s="24"/>
      <c r="J211" s="3"/>
      <c r="K211" s="8"/>
      <c r="L211" s="8"/>
      <c r="M211" s="8"/>
      <c r="N211" s="13"/>
      <c r="O211" s="9"/>
      <c r="P211" s="20"/>
      <c r="Q211" s="20"/>
      <c r="R211" s="20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4:49" ht="15" thickBot="1" x14ac:dyDescent="0.35">
      <c r="D212" s="2">
        <f t="shared" si="40"/>
        <v>206</v>
      </c>
      <c r="E212" s="6">
        <v>0.37344689593616304</v>
      </c>
      <c r="F212" s="24"/>
      <c r="G212" s="24"/>
      <c r="H212" s="24"/>
      <c r="I212" s="24"/>
      <c r="J212" s="3"/>
      <c r="K212" s="8"/>
      <c r="L212" s="8"/>
      <c r="M212" s="8"/>
      <c r="N212" s="13"/>
      <c r="O212" s="9"/>
      <c r="P212" s="20"/>
      <c r="Q212" s="20"/>
      <c r="R212" s="20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4:49" ht="15" thickBot="1" x14ac:dyDescent="0.35">
      <c r="D213" s="2">
        <f t="shared" si="40"/>
        <v>207</v>
      </c>
      <c r="E213" s="6">
        <v>1.3958007879891108</v>
      </c>
      <c r="F213" s="24"/>
      <c r="G213" s="24"/>
      <c r="H213" s="24"/>
      <c r="I213" s="24"/>
      <c r="J213" s="3"/>
      <c r="K213" s="8"/>
      <c r="L213" s="8"/>
      <c r="M213" s="8"/>
      <c r="N213" s="22"/>
      <c r="O213" s="9"/>
      <c r="P213" s="20"/>
      <c r="Q213" s="20"/>
      <c r="R213" s="20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4:49" ht="15" thickBot="1" x14ac:dyDescent="0.35">
      <c r="D214" s="2">
        <f t="shared" si="40"/>
        <v>208</v>
      </c>
      <c r="E214" s="6">
        <v>12.784896970980663</v>
      </c>
      <c r="F214" s="24"/>
      <c r="G214" s="24"/>
      <c r="H214" s="24"/>
      <c r="I214" s="24"/>
      <c r="J214" s="3"/>
      <c r="K214" s="8"/>
      <c r="L214" s="8"/>
      <c r="M214" s="8"/>
      <c r="N214" s="13"/>
      <c r="O214" s="9"/>
      <c r="P214" s="20"/>
      <c r="Q214" s="20"/>
      <c r="R214" s="20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4:49" ht="15" thickBot="1" x14ac:dyDescent="0.35">
      <c r="D215" s="2">
        <f t="shared" si="40"/>
        <v>209</v>
      </c>
      <c r="E215" s="6">
        <v>3.990637038469429</v>
      </c>
      <c r="F215" s="24"/>
      <c r="G215" s="24"/>
      <c r="H215" s="24"/>
      <c r="I215" s="24"/>
      <c r="J215" s="3"/>
      <c r="K215" s="8"/>
      <c r="L215" s="8"/>
      <c r="M215" s="8"/>
      <c r="N215" s="22"/>
      <c r="O215" s="9"/>
      <c r="P215" s="20"/>
      <c r="Q215" s="20"/>
      <c r="R215" s="20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4:49" ht="15" thickBot="1" x14ac:dyDescent="0.35">
      <c r="D216" s="2">
        <f t="shared" si="40"/>
        <v>210</v>
      </c>
      <c r="E216" s="6">
        <v>2.1473099124182249</v>
      </c>
      <c r="F216" s="24"/>
      <c r="G216" s="24"/>
      <c r="H216" s="24"/>
      <c r="I216" s="24"/>
      <c r="J216" s="3"/>
      <c r="K216" s="8"/>
      <c r="L216" s="8"/>
      <c r="M216" s="8"/>
      <c r="N216" s="13"/>
      <c r="O216" s="9"/>
      <c r="P216" s="20"/>
      <c r="Q216" s="20"/>
      <c r="R216" s="20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4:49" ht="15" thickBot="1" x14ac:dyDescent="0.35">
      <c r="D217" s="2">
        <f t="shared" si="40"/>
        <v>211</v>
      </c>
      <c r="E217" s="6">
        <v>4.0276152264782157</v>
      </c>
      <c r="F217" s="24"/>
      <c r="G217" s="24"/>
      <c r="H217" s="24"/>
      <c r="I217" s="24"/>
      <c r="J217" s="3"/>
      <c r="K217" s="8"/>
      <c r="L217" s="8"/>
      <c r="M217" s="8"/>
      <c r="N217" s="13"/>
      <c r="O217" s="9"/>
      <c r="P217" s="20"/>
      <c r="Q217" s="20"/>
      <c r="R217" s="20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4:49" ht="15" thickBot="1" x14ac:dyDescent="0.35">
      <c r="D218" s="2">
        <f t="shared" si="40"/>
        <v>212</v>
      </c>
      <c r="E218" s="6">
        <v>26.2350721428346</v>
      </c>
      <c r="F218" s="24"/>
      <c r="G218" s="24"/>
      <c r="H218" s="24"/>
      <c r="I218" s="24"/>
      <c r="J218" s="3"/>
      <c r="K218" s="8"/>
      <c r="L218" s="8"/>
      <c r="M218" s="8"/>
      <c r="N218" s="22"/>
      <c r="O218" s="9"/>
      <c r="P218" s="20"/>
      <c r="Q218" s="20"/>
      <c r="R218" s="20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4:49" ht="15" thickBot="1" x14ac:dyDescent="0.35">
      <c r="D219" s="2">
        <f t="shared" si="40"/>
        <v>213</v>
      </c>
      <c r="E219" s="6">
        <v>3.7356579896214503</v>
      </c>
      <c r="F219" s="24"/>
      <c r="G219" s="24"/>
      <c r="H219" s="24"/>
      <c r="I219" s="24"/>
      <c r="J219" s="3"/>
      <c r="K219" s="8"/>
      <c r="L219" s="8"/>
      <c r="M219" s="8"/>
      <c r="N219" s="13"/>
      <c r="O219" s="9"/>
      <c r="P219" s="20"/>
      <c r="Q219" s="20"/>
      <c r="R219" s="20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4:49" ht="15" thickBot="1" x14ac:dyDescent="0.35">
      <c r="D220" s="2">
        <f t="shared" si="40"/>
        <v>214</v>
      </c>
      <c r="E220" s="6">
        <v>8.7488510389299989</v>
      </c>
      <c r="F220" s="24"/>
      <c r="G220" s="24"/>
      <c r="H220" s="24"/>
      <c r="I220" s="24"/>
      <c r="J220" s="3"/>
      <c r="K220" s="8"/>
      <c r="L220" s="8"/>
      <c r="M220" s="8"/>
      <c r="N220" s="22"/>
      <c r="O220" s="9"/>
      <c r="P220" s="20"/>
      <c r="Q220" s="20"/>
      <c r="R220" s="20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4:49" ht="15" thickBot="1" x14ac:dyDescent="0.35">
      <c r="D221" s="2">
        <f t="shared" si="40"/>
        <v>215</v>
      </c>
      <c r="E221" s="6">
        <v>1.8681019577952571</v>
      </c>
      <c r="F221" s="24"/>
      <c r="G221" s="24"/>
      <c r="H221" s="24"/>
      <c r="I221" s="24"/>
      <c r="J221" s="3"/>
      <c r="K221" s="8"/>
      <c r="L221" s="8"/>
      <c r="M221" s="8"/>
      <c r="N221" s="13"/>
      <c r="O221" s="9"/>
      <c r="P221" s="20"/>
      <c r="Q221" s="20"/>
      <c r="R221" s="20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4:49" ht="15" thickBot="1" x14ac:dyDescent="0.35">
      <c r="D222" s="2">
        <f t="shared" si="40"/>
        <v>216</v>
      </c>
      <c r="E222" s="6">
        <v>2.9062434059106828</v>
      </c>
      <c r="F222" s="24"/>
      <c r="G222" s="24"/>
      <c r="H222" s="24"/>
      <c r="I222" s="24"/>
      <c r="J222" s="3"/>
      <c r="K222" s="8"/>
      <c r="L222" s="8"/>
      <c r="M222" s="8"/>
      <c r="N222" s="13"/>
      <c r="O222" s="9"/>
      <c r="P222" s="20"/>
      <c r="Q222" s="20"/>
      <c r="R222" s="20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4:49" ht="15" thickBot="1" x14ac:dyDescent="0.35">
      <c r="D223" s="2">
        <f t="shared" si="40"/>
        <v>217</v>
      </c>
      <c r="E223" s="6">
        <v>0.33354027473172887</v>
      </c>
      <c r="F223" s="24"/>
      <c r="G223" s="24"/>
      <c r="H223" s="24"/>
      <c r="I223" s="24"/>
      <c r="J223" s="3"/>
      <c r="K223" s="8"/>
      <c r="L223" s="8"/>
      <c r="M223" s="8"/>
      <c r="N223" s="22"/>
      <c r="O223" s="9"/>
      <c r="P223" s="20"/>
      <c r="Q223" s="20"/>
      <c r="R223" s="20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4:49" ht="15" thickBot="1" x14ac:dyDescent="0.35">
      <c r="D224" s="2">
        <f t="shared" si="40"/>
        <v>218</v>
      </c>
      <c r="E224" s="6">
        <v>1.9985771053303911</v>
      </c>
      <c r="F224" s="24"/>
      <c r="G224" s="24"/>
      <c r="H224" s="24"/>
      <c r="I224" s="24"/>
      <c r="J224" s="3"/>
      <c r="K224" s="8"/>
      <c r="L224" s="8"/>
      <c r="M224" s="8"/>
      <c r="N224" s="13"/>
      <c r="O224" s="9"/>
      <c r="P224" s="20"/>
      <c r="Q224" s="20"/>
      <c r="R224" s="20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4:49" ht="15" thickBot="1" x14ac:dyDescent="0.35">
      <c r="D225" s="2">
        <f t="shared" si="40"/>
        <v>219</v>
      </c>
      <c r="E225" s="6">
        <v>2.8298564245966555</v>
      </c>
      <c r="F225" s="24"/>
      <c r="G225" s="24"/>
      <c r="H225" s="24"/>
      <c r="I225" s="24"/>
      <c r="J225" s="3"/>
      <c r="K225" s="8"/>
      <c r="L225" s="8"/>
      <c r="M225" s="8"/>
      <c r="N225" s="22"/>
      <c r="O225" s="9"/>
      <c r="P225" s="20"/>
      <c r="Q225" s="20"/>
      <c r="R225" s="20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4:49" ht="15" thickBot="1" x14ac:dyDescent="0.35">
      <c r="D226" s="2">
        <f t="shared" si="40"/>
        <v>220</v>
      </c>
      <c r="E226" s="6">
        <v>0.47670014725882043</v>
      </c>
      <c r="F226" s="24"/>
      <c r="G226" s="24"/>
      <c r="H226" s="24"/>
      <c r="I226" s="24"/>
      <c r="J226" s="3"/>
      <c r="K226" s="8"/>
      <c r="L226" s="8"/>
      <c r="M226" s="8"/>
      <c r="N226" s="13"/>
      <c r="O226" s="9"/>
      <c r="P226" s="20"/>
      <c r="Q226" s="20"/>
      <c r="R226" s="20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4:49" ht="15" thickBot="1" x14ac:dyDescent="0.35">
      <c r="D227" s="2">
        <f t="shared" si="40"/>
        <v>221</v>
      </c>
      <c r="E227" s="6">
        <v>0.16770335503965267</v>
      </c>
      <c r="F227" s="24"/>
      <c r="G227" s="24"/>
      <c r="H227" s="24"/>
      <c r="I227" s="24"/>
      <c r="J227" s="3"/>
      <c r="K227" s="8"/>
      <c r="L227" s="8"/>
      <c r="M227" s="8"/>
      <c r="N227" s="13"/>
      <c r="O227" s="9"/>
      <c r="P227" s="20"/>
      <c r="Q227" s="20"/>
      <c r="R227" s="20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4:49" ht="15" thickBot="1" x14ac:dyDescent="0.35">
      <c r="D228" s="2">
        <f t="shared" si="40"/>
        <v>222</v>
      </c>
      <c r="E228" s="6">
        <v>1.5007706588785106</v>
      </c>
      <c r="F228" s="24"/>
      <c r="G228" s="24"/>
      <c r="H228" s="24"/>
      <c r="I228" s="24"/>
      <c r="J228" s="3"/>
      <c r="K228" s="8"/>
      <c r="L228" s="8"/>
      <c r="M228" s="8"/>
      <c r="N228" s="22"/>
      <c r="O228" s="9"/>
      <c r="P228" s="20"/>
      <c r="Q228" s="20"/>
      <c r="R228" s="20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4:49" ht="15" thickBot="1" x14ac:dyDescent="0.35">
      <c r="D229" s="2">
        <f t="shared" si="40"/>
        <v>223</v>
      </c>
      <c r="E229" s="6">
        <v>3.3649237732477322</v>
      </c>
      <c r="F229" s="24"/>
      <c r="G229" s="24"/>
      <c r="H229" s="24"/>
      <c r="I229" s="24"/>
      <c r="J229" s="3"/>
      <c r="K229" s="8"/>
      <c r="L229" s="8"/>
      <c r="M229" s="8"/>
      <c r="N229" s="13"/>
      <c r="O229" s="9"/>
      <c r="P229" s="20"/>
      <c r="Q229" s="20"/>
      <c r="R229" s="20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4:49" ht="15" thickBot="1" x14ac:dyDescent="0.35">
      <c r="D230" s="2">
        <f t="shared" si="40"/>
        <v>224</v>
      </c>
      <c r="E230" s="6">
        <v>0.18613776875165991</v>
      </c>
      <c r="F230" s="24"/>
      <c r="G230" s="24"/>
      <c r="H230" s="24"/>
      <c r="I230" s="24"/>
      <c r="J230" s="3"/>
      <c r="K230" s="8"/>
      <c r="L230" s="8"/>
      <c r="M230" s="8"/>
      <c r="N230" s="22"/>
      <c r="O230" s="9"/>
      <c r="P230" s="20"/>
      <c r="Q230" s="20"/>
      <c r="R230" s="20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4:49" ht="15" thickBot="1" x14ac:dyDescent="0.35">
      <c r="D231" s="2">
        <f t="shared" si="40"/>
        <v>225</v>
      </c>
      <c r="E231" s="6">
        <v>6.4942905112602851</v>
      </c>
      <c r="F231" s="24"/>
      <c r="G231" s="24"/>
      <c r="H231" s="24"/>
      <c r="I231" s="24"/>
      <c r="J231" s="3"/>
      <c r="K231" s="8"/>
      <c r="L231" s="8"/>
      <c r="M231" s="8"/>
      <c r="N231" s="13"/>
      <c r="O231" s="9"/>
      <c r="P231" s="20"/>
      <c r="Q231" s="20"/>
      <c r="R231" s="20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4:49" ht="15" thickBot="1" x14ac:dyDescent="0.35">
      <c r="D232" s="2">
        <f t="shared" si="40"/>
        <v>226</v>
      </c>
      <c r="E232" s="6">
        <v>4.1524178010171786</v>
      </c>
      <c r="F232" s="24"/>
      <c r="G232" s="24"/>
      <c r="H232" s="24"/>
      <c r="I232" s="24"/>
      <c r="J232" s="3"/>
      <c r="K232" s="8"/>
      <c r="L232" s="8"/>
      <c r="M232" s="8"/>
      <c r="N232" s="13"/>
      <c r="O232" s="9"/>
      <c r="P232" s="20"/>
      <c r="Q232" s="20"/>
      <c r="R232" s="20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4:49" ht="15" thickBot="1" x14ac:dyDescent="0.35">
      <c r="D233" s="2">
        <f t="shared" si="40"/>
        <v>227</v>
      </c>
      <c r="E233" s="6">
        <v>4.5762621809058501</v>
      </c>
      <c r="F233" s="24"/>
      <c r="G233" s="24"/>
      <c r="H233" s="24"/>
      <c r="I233" s="24"/>
      <c r="J233" s="3"/>
      <c r="K233" s="8"/>
      <c r="L233" s="8"/>
      <c r="M233" s="8"/>
      <c r="N233" s="22"/>
      <c r="O233" s="9"/>
      <c r="P233" s="20"/>
      <c r="Q233" s="20"/>
      <c r="R233" s="20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4:49" ht="15" thickBot="1" x14ac:dyDescent="0.35">
      <c r="D234" s="2">
        <f t="shared" si="40"/>
        <v>228</v>
      </c>
      <c r="E234" s="6">
        <v>0.95100981827070286</v>
      </c>
      <c r="F234" s="24"/>
      <c r="G234" s="24"/>
      <c r="H234" s="24"/>
      <c r="I234" s="24"/>
      <c r="J234" s="3"/>
      <c r="K234" s="8"/>
      <c r="L234" s="8"/>
      <c r="M234" s="8"/>
      <c r="N234" s="13"/>
      <c r="O234" s="9"/>
      <c r="P234" s="20"/>
      <c r="Q234" s="20"/>
      <c r="R234" s="20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4:49" ht="15" thickBot="1" x14ac:dyDescent="0.35">
      <c r="D235" s="2">
        <f t="shared" si="40"/>
        <v>229</v>
      </c>
      <c r="E235" s="6">
        <v>0.54603584847140019</v>
      </c>
      <c r="F235" s="24"/>
      <c r="G235" s="24"/>
      <c r="H235" s="24"/>
      <c r="I235" s="24"/>
      <c r="J235" s="3"/>
      <c r="K235" s="8"/>
      <c r="L235" s="8"/>
      <c r="M235" s="8"/>
      <c r="N235" s="22"/>
      <c r="O235" s="9"/>
      <c r="P235" s="20"/>
      <c r="Q235" s="20"/>
      <c r="R235" s="20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4:49" ht="15" thickBot="1" x14ac:dyDescent="0.35">
      <c r="D236" s="2">
        <f t="shared" si="40"/>
        <v>230</v>
      </c>
      <c r="E236" s="6">
        <v>0.15193942790049716</v>
      </c>
      <c r="F236" s="24"/>
      <c r="G236" s="24"/>
      <c r="H236" s="24"/>
      <c r="I236" s="24"/>
      <c r="J236" s="3"/>
      <c r="K236" s="8"/>
      <c r="L236" s="8"/>
      <c r="M236" s="8"/>
      <c r="N236" s="13"/>
      <c r="O236" s="9"/>
      <c r="P236" s="20"/>
      <c r="Q236" s="20"/>
      <c r="R236" s="20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4:49" ht="15" thickBot="1" x14ac:dyDescent="0.35">
      <c r="D237" s="2">
        <f t="shared" si="40"/>
        <v>231</v>
      </c>
      <c r="E237" s="6">
        <v>4.0029132439086839</v>
      </c>
      <c r="F237" s="24"/>
      <c r="G237" s="24"/>
      <c r="H237" s="24"/>
      <c r="I237" s="24"/>
      <c r="J237" s="3"/>
      <c r="K237" s="8"/>
      <c r="L237" s="8"/>
      <c r="M237" s="8"/>
      <c r="N237" s="13"/>
      <c r="O237" s="9"/>
      <c r="P237" s="20"/>
      <c r="Q237" s="20"/>
      <c r="R237" s="20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4:49" ht="15" thickBot="1" x14ac:dyDescent="0.35">
      <c r="D238" s="2">
        <f t="shared" si="40"/>
        <v>232</v>
      </c>
      <c r="E238" s="6">
        <v>2.2454338489293613</v>
      </c>
      <c r="F238" s="24"/>
      <c r="G238" s="24"/>
      <c r="H238" s="24"/>
      <c r="I238" s="24"/>
      <c r="J238" s="3"/>
      <c r="K238" s="8"/>
      <c r="L238" s="8"/>
      <c r="M238" s="8"/>
      <c r="N238" s="22"/>
      <c r="O238" s="9"/>
      <c r="P238" s="20"/>
      <c r="Q238" s="20"/>
      <c r="R238" s="20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4:49" ht="15" thickBot="1" x14ac:dyDescent="0.35">
      <c r="D239" s="2">
        <f t="shared" si="40"/>
        <v>233</v>
      </c>
      <c r="E239" s="6">
        <v>11.040743490333149</v>
      </c>
      <c r="F239" s="24"/>
      <c r="G239" s="24"/>
      <c r="H239" s="24"/>
      <c r="I239" s="24"/>
      <c r="J239" s="3"/>
      <c r="K239" s="8"/>
      <c r="L239" s="8"/>
      <c r="M239" s="8"/>
      <c r="N239" s="13"/>
      <c r="O239" s="9"/>
      <c r="P239" s="20"/>
      <c r="Q239" s="20"/>
      <c r="R239" s="20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4:49" ht="15" thickBot="1" x14ac:dyDescent="0.35">
      <c r="D240" s="2">
        <f t="shared" si="40"/>
        <v>234</v>
      </c>
      <c r="E240" s="6">
        <v>25.522364653937856</v>
      </c>
      <c r="F240" s="24"/>
      <c r="G240" s="24"/>
      <c r="H240" s="24"/>
      <c r="I240" s="24"/>
      <c r="J240" s="3"/>
      <c r="K240" s="8"/>
      <c r="L240" s="8"/>
      <c r="M240" s="8"/>
      <c r="N240" s="22"/>
      <c r="O240" s="9"/>
      <c r="P240" s="20"/>
      <c r="Q240" s="20"/>
      <c r="R240" s="20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4:49" ht="15" thickBot="1" x14ac:dyDescent="0.35">
      <c r="D241" s="2">
        <f t="shared" si="40"/>
        <v>235</v>
      </c>
      <c r="E241" s="6">
        <v>2.182341876874744</v>
      </c>
      <c r="F241" s="24"/>
      <c r="G241" s="24"/>
      <c r="H241" s="24"/>
      <c r="I241" s="24"/>
      <c r="J241" s="3"/>
      <c r="K241" s="8"/>
      <c r="L241" s="8"/>
      <c r="M241" s="8"/>
      <c r="N241" s="13"/>
      <c r="O241" s="9"/>
      <c r="P241" s="20"/>
      <c r="Q241" s="20"/>
      <c r="R241" s="20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4:49" ht="15" thickBot="1" x14ac:dyDescent="0.35">
      <c r="D242" s="2">
        <f t="shared" si="40"/>
        <v>236</v>
      </c>
      <c r="E242" s="6">
        <v>1.5960713651429763</v>
      </c>
      <c r="F242" s="24"/>
      <c r="G242" s="24"/>
      <c r="H242" s="24"/>
      <c r="I242" s="24"/>
      <c r="J242" s="3"/>
      <c r="K242" s="8"/>
      <c r="L242" s="8"/>
      <c r="M242" s="8"/>
      <c r="N242" s="13"/>
      <c r="O242" s="9"/>
      <c r="P242" s="20"/>
      <c r="Q242" s="20"/>
      <c r="R242" s="20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4:49" ht="15" thickBot="1" x14ac:dyDescent="0.35">
      <c r="D243" s="2">
        <f t="shared" si="40"/>
        <v>237</v>
      </c>
      <c r="E243" s="6">
        <v>6.5781548086998454</v>
      </c>
      <c r="F243" s="24"/>
      <c r="G243" s="24"/>
      <c r="H243" s="24"/>
      <c r="I243" s="24"/>
      <c r="J243" s="3"/>
      <c r="K243" s="8"/>
      <c r="L243" s="8"/>
      <c r="M243" s="8"/>
      <c r="N243" s="22"/>
      <c r="O243" s="9"/>
      <c r="P243" s="20"/>
      <c r="Q243" s="20"/>
      <c r="R243" s="20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4:49" ht="15" thickBot="1" x14ac:dyDescent="0.35">
      <c r="D244" s="2">
        <f t="shared" si="40"/>
        <v>238</v>
      </c>
      <c r="E244" s="6">
        <v>1.093127264124842</v>
      </c>
      <c r="F244" s="24"/>
      <c r="G244" s="24"/>
      <c r="H244" s="24"/>
      <c r="I244" s="24"/>
      <c r="J244" s="3"/>
      <c r="K244" s="8"/>
      <c r="L244" s="8"/>
      <c r="M244" s="8"/>
      <c r="N244" s="13"/>
      <c r="O244" s="9"/>
      <c r="P244" s="20"/>
      <c r="Q244" s="20"/>
      <c r="R244" s="20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4:49" ht="15" thickBot="1" x14ac:dyDescent="0.35">
      <c r="D245" s="2">
        <f t="shared" si="40"/>
        <v>239</v>
      </c>
      <c r="E245" s="6">
        <v>8.3708692569453174</v>
      </c>
      <c r="F245" s="24"/>
      <c r="G245" s="24"/>
      <c r="H245" s="24"/>
      <c r="I245" s="24"/>
      <c r="J245" s="3"/>
      <c r="K245" s="8"/>
      <c r="L245" s="8"/>
      <c r="M245" s="8"/>
      <c r="N245" s="22"/>
      <c r="O245" s="9"/>
      <c r="P245" s="20"/>
      <c r="Q245" s="20"/>
      <c r="R245" s="20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4:49" ht="15" thickBot="1" x14ac:dyDescent="0.35">
      <c r="D246" s="2">
        <f t="shared" si="40"/>
        <v>240</v>
      </c>
      <c r="E246" s="6">
        <v>0.36012933652329643</v>
      </c>
      <c r="F246" s="24"/>
      <c r="G246" s="24"/>
      <c r="H246" s="24"/>
      <c r="I246" s="24"/>
      <c r="J246" s="3"/>
      <c r="K246" s="8"/>
      <c r="L246" s="8"/>
      <c r="M246" s="8"/>
      <c r="N246" s="13"/>
      <c r="O246" s="9"/>
      <c r="P246" s="20"/>
      <c r="Q246" s="20"/>
      <c r="R246" s="20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4:49" ht="15" thickBot="1" x14ac:dyDescent="0.35">
      <c r="D247" s="2">
        <f t="shared" si="40"/>
        <v>241</v>
      </c>
      <c r="E247" s="6">
        <v>0.93110242499666829</v>
      </c>
      <c r="F247" s="24"/>
      <c r="G247" s="24"/>
      <c r="H247" s="24"/>
      <c r="I247" s="24"/>
      <c r="J247" s="3"/>
      <c r="K247" s="8"/>
      <c r="L247" s="8"/>
      <c r="M247" s="8"/>
      <c r="N247" s="13"/>
      <c r="O247" s="9"/>
      <c r="P247" s="20"/>
      <c r="Q247" s="20"/>
      <c r="R247" s="20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4:49" ht="15" thickBot="1" x14ac:dyDescent="0.35">
      <c r="D248" s="2">
        <f t="shared" si="40"/>
        <v>242</v>
      </c>
      <c r="E248" s="6">
        <v>7.5979268503453445</v>
      </c>
      <c r="F248" s="24"/>
      <c r="G248" s="24"/>
      <c r="H248" s="24"/>
      <c r="I248" s="24"/>
      <c r="J248" s="3"/>
      <c r="K248" s="8"/>
      <c r="L248" s="8"/>
      <c r="M248" s="8"/>
      <c r="N248" s="22"/>
      <c r="O248" s="9"/>
      <c r="P248" s="20"/>
      <c r="Q248" s="20"/>
      <c r="R248" s="20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4:49" ht="15" thickBot="1" x14ac:dyDescent="0.35">
      <c r="D249" s="2">
        <f t="shared" si="40"/>
        <v>243</v>
      </c>
      <c r="E249" s="6">
        <v>0.63622535608906849</v>
      </c>
      <c r="F249" s="24"/>
      <c r="G249" s="24"/>
      <c r="H249" s="24"/>
      <c r="I249" s="24"/>
      <c r="J249" s="3"/>
      <c r="K249" s="8"/>
      <c r="L249" s="8"/>
      <c r="M249" s="8"/>
      <c r="N249" s="13"/>
      <c r="O249" s="9"/>
      <c r="P249" s="20"/>
      <c r="Q249" s="20"/>
      <c r="R249" s="20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4:49" ht="15" thickBot="1" x14ac:dyDescent="0.35">
      <c r="D250" s="2">
        <f t="shared" si="40"/>
        <v>244</v>
      </c>
      <c r="E250" s="6">
        <v>15.73525791811416</v>
      </c>
      <c r="F250" s="24"/>
      <c r="G250" s="24"/>
      <c r="H250" s="24"/>
      <c r="I250" s="24"/>
      <c r="J250" s="3"/>
      <c r="K250" s="8"/>
      <c r="L250" s="8"/>
      <c r="M250" s="8"/>
      <c r="N250" s="22"/>
      <c r="O250" s="9"/>
      <c r="P250" s="20"/>
      <c r="Q250" s="20"/>
      <c r="R250" s="20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4:49" ht="15" thickBot="1" x14ac:dyDescent="0.35">
      <c r="D251" s="2">
        <f t="shared" si="40"/>
        <v>245</v>
      </c>
      <c r="E251" s="6">
        <v>1.8452769290312001E-2</v>
      </c>
      <c r="F251" s="24"/>
      <c r="G251" s="24"/>
      <c r="H251" s="24"/>
      <c r="I251" s="24"/>
      <c r="J251" s="3"/>
      <c r="K251" s="8"/>
      <c r="L251" s="8"/>
      <c r="M251" s="8"/>
      <c r="N251" s="13"/>
      <c r="O251" s="9"/>
      <c r="P251" s="20"/>
      <c r="Q251" s="20"/>
      <c r="R251" s="20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4:49" ht="15" thickBot="1" x14ac:dyDescent="0.35">
      <c r="D252" s="2">
        <f t="shared" si="40"/>
        <v>246</v>
      </c>
      <c r="E252" s="6">
        <v>1.4538488353906074</v>
      </c>
      <c r="F252" s="24"/>
      <c r="G252" s="24"/>
      <c r="H252" s="24"/>
      <c r="I252" s="24"/>
      <c r="J252" s="3"/>
      <c r="K252" s="8"/>
      <c r="L252" s="8"/>
      <c r="M252" s="8"/>
      <c r="N252" s="13"/>
      <c r="O252" s="9"/>
      <c r="P252" s="20"/>
      <c r="Q252" s="20"/>
      <c r="R252" s="20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4:49" ht="15" thickBot="1" x14ac:dyDescent="0.35">
      <c r="D253" s="2">
        <f t="shared" si="40"/>
        <v>247</v>
      </c>
      <c r="E253" s="6">
        <v>3.7343016261970403</v>
      </c>
      <c r="F253" s="24"/>
      <c r="G253" s="24"/>
      <c r="H253" s="24"/>
      <c r="I253" s="24"/>
      <c r="J253" s="3"/>
      <c r="K253" s="8"/>
      <c r="L253" s="8"/>
      <c r="M253" s="8"/>
      <c r="N253" s="22"/>
      <c r="O253" s="9"/>
      <c r="P253" s="20"/>
      <c r="Q253" s="20"/>
      <c r="R253" s="20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4:49" ht="15" thickBot="1" x14ac:dyDescent="0.35">
      <c r="D254" s="2">
        <f t="shared" si="40"/>
        <v>248</v>
      </c>
      <c r="E254" s="6">
        <v>2.9262977109385933</v>
      </c>
      <c r="F254" s="24"/>
      <c r="G254" s="24"/>
      <c r="H254" s="24"/>
      <c r="I254" s="24"/>
      <c r="J254" s="3"/>
      <c r="K254" s="8"/>
      <c r="L254" s="8"/>
      <c r="M254" s="8"/>
      <c r="N254" s="13"/>
      <c r="O254" s="9"/>
      <c r="P254" s="20"/>
      <c r="Q254" s="20"/>
      <c r="R254" s="20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4:49" ht="15" thickBot="1" x14ac:dyDescent="0.35">
      <c r="D255" s="2">
        <f t="shared" si="40"/>
        <v>249</v>
      </c>
      <c r="E255" s="6">
        <v>17.610370691738876</v>
      </c>
      <c r="F255" s="24"/>
      <c r="G255" s="24"/>
      <c r="H255" s="24"/>
      <c r="I255" s="24"/>
      <c r="J255" s="3"/>
      <c r="K255" s="8"/>
      <c r="L255" s="8"/>
      <c r="M255" s="8"/>
      <c r="N255" s="22"/>
      <c r="O255" s="9"/>
      <c r="P255" s="20"/>
      <c r="Q255" s="20"/>
      <c r="R255" s="20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4:49" ht="15" thickBot="1" x14ac:dyDescent="0.35">
      <c r="D256" s="2">
        <f t="shared" si="40"/>
        <v>250</v>
      </c>
      <c r="E256" s="6">
        <v>3.4179990328722285</v>
      </c>
      <c r="F256" s="24"/>
      <c r="G256" s="24"/>
      <c r="H256" s="24"/>
      <c r="I256" s="24"/>
      <c r="J256" s="3"/>
      <c r="K256" s="8"/>
      <c r="L256" s="8"/>
      <c r="M256" s="8"/>
      <c r="N256" s="13"/>
      <c r="O256" s="9"/>
      <c r="P256" s="20"/>
      <c r="Q256" s="20"/>
      <c r="R256" s="20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4:49" ht="15" thickBot="1" x14ac:dyDescent="0.35">
      <c r="D257" s="2">
        <f t="shared" si="40"/>
        <v>251</v>
      </c>
      <c r="E257" s="6">
        <v>0.91739131837986765</v>
      </c>
      <c r="F257" s="24"/>
      <c r="G257" s="24"/>
      <c r="H257" s="24"/>
      <c r="I257" s="24"/>
      <c r="J257" s="3"/>
      <c r="K257" s="8"/>
      <c r="L257" s="8"/>
      <c r="M257" s="8"/>
      <c r="N257" s="13"/>
      <c r="O257" s="9"/>
      <c r="P257" s="20"/>
      <c r="Q257" s="20"/>
      <c r="R257" s="20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4:49" ht="15" thickBot="1" x14ac:dyDescent="0.35">
      <c r="D258" s="2">
        <f t="shared" si="40"/>
        <v>252</v>
      </c>
      <c r="E258" s="6">
        <v>6.8471586067338412</v>
      </c>
      <c r="F258" s="24"/>
      <c r="G258" s="24"/>
      <c r="H258" s="24"/>
      <c r="I258" s="24"/>
      <c r="J258" s="3"/>
      <c r="K258" s="8"/>
      <c r="L258" s="8"/>
      <c r="M258" s="8"/>
      <c r="N258" s="22"/>
      <c r="O258" s="9"/>
      <c r="P258" s="20"/>
      <c r="Q258" s="20"/>
      <c r="R258" s="20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4:49" ht="15" thickBot="1" x14ac:dyDescent="0.35">
      <c r="D259" s="2">
        <f t="shared" si="40"/>
        <v>253</v>
      </c>
      <c r="E259" s="6">
        <v>0.53855833532231145</v>
      </c>
      <c r="F259" s="24"/>
      <c r="G259" s="24"/>
      <c r="H259" s="24"/>
      <c r="I259" s="24"/>
      <c r="J259" s="3"/>
      <c r="K259" s="8"/>
      <c r="L259" s="8"/>
      <c r="M259" s="8"/>
      <c r="N259" s="13"/>
      <c r="O259" s="9"/>
      <c r="P259" s="20"/>
      <c r="Q259" s="20"/>
      <c r="R259" s="20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4:49" ht="15" thickBot="1" x14ac:dyDescent="0.35">
      <c r="D260" s="2">
        <f t="shared" si="40"/>
        <v>254</v>
      </c>
      <c r="E260" s="6">
        <v>3.2615677290725786</v>
      </c>
      <c r="F260" s="24"/>
      <c r="G260" s="24"/>
      <c r="H260" s="24"/>
      <c r="I260" s="24"/>
      <c r="J260" s="3"/>
      <c r="K260" s="8"/>
      <c r="L260" s="8"/>
      <c r="M260" s="8"/>
      <c r="N260" s="22"/>
      <c r="O260" s="9"/>
      <c r="P260" s="20"/>
      <c r="Q260" s="20"/>
      <c r="R260" s="20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4:49" ht="15" thickBot="1" x14ac:dyDescent="0.35">
      <c r="D261" s="2">
        <f t="shared" si="40"/>
        <v>255</v>
      </c>
      <c r="E261" s="6">
        <v>2.3777975511166152</v>
      </c>
      <c r="F261" s="24"/>
      <c r="G261" s="24"/>
      <c r="H261" s="24"/>
      <c r="I261" s="24"/>
      <c r="J261" s="3"/>
      <c r="K261" s="8"/>
      <c r="L261" s="8"/>
      <c r="M261" s="8"/>
      <c r="N261" s="13"/>
      <c r="O261" s="9"/>
      <c r="P261" s="20"/>
      <c r="Q261" s="20"/>
      <c r="R261" s="20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4:49" ht="15" thickBot="1" x14ac:dyDescent="0.35">
      <c r="D262" s="2">
        <f t="shared" si="40"/>
        <v>256</v>
      </c>
      <c r="E262" s="6">
        <v>3.0786920604417745</v>
      </c>
      <c r="F262" s="24"/>
      <c r="G262" s="24"/>
      <c r="H262" s="24"/>
      <c r="I262" s="24"/>
      <c r="J262" s="3"/>
      <c r="K262" s="8"/>
      <c r="L262" s="8"/>
      <c r="M262" s="8"/>
      <c r="N262" s="13"/>
      <c r="O262" s="9"/>
      <c r="P262" s="20"/>
      <c r="Q262" s="20"/>
      <c r="R262" s="20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4:49" ht="15" thickBot="1" x14ac:dyDescent="0.35">
      <c r="D263" s="2">
        <f t="shared" ref="D263:D326" si="44">ROW()-6</f>
        <v>257</v>
      </c>
      <c r="E263" s="6">
        <v>5.6326453777123163E-2</v>
      </c>
      <c r="F263" s="24"/>
      <c r="G263" s="24"/>
      <c r="H263" s="24"/>
      <c r="I263" s="24"/>
      <c r="J263" s="3"/>
      <c r="K263" s="8"/>
      <c r="L263" s="8"/>
      <c r="M263" s="8"/>
      <c r="N263" s="22"/>
      <c r="O263" s="9"/>
      <c r="P263" s="20"/>
      <c r="Q263" s="20"/>
      <c r="R263" s="20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4:49" ht="15" thickBot="1" x14ac:dyDescent="0.35">
      <c r="D264" s="2">
        <f t="shared" si="44"/>
        <v>258</v>
      </c>
      <c r="E264" s="6">
        <v>13.982011754762398</v>
      </c>
      <c r="F264" s="24"/>
      <c r="G264" s="24"/>
      <c r="H264" s="24"/>
      <c r="I264" s="24"/>
      <c r="J264" s="3"/>
      <c r="K264" s="8"/>
      <c r="L264" s="8"/>
      <c r="M264" s="8"/>
      <c r="N264" s="13"/>
      <c r="O264" s="9"/>
      <c r="P264" s="20"/>
      <c r="Q264" s="20"/>
      <c r="R264" s="20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4:49" ht="15" thickBot="1" x14ac:dyDescent="0.35">
      <c r="D265" s="2">
        <f t="shared" si="44"/>
        <v>259</v>
      </c>
      <c r="E265" s="6">
        <v>8.0200239755571303</v>
      </c>
      <c r="F265" s="24"/>
      <c r="G265" s="24"/>
      <c r="H265" s="24"/>
      <c r="I265" s="24"/>
      <c r="J265" s="3"/>
      <c r="K265" s="8"/>
      <c r="L265" s="8"/>
      <c r="M265" s="8"/>
      <c r="N265" s="22"/>
      <c r="O265" s="9"/>
      <c r="P265" s="20"/>
      <c r="Q265" s="20"/>
      <c r="R265" s="20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4:49" ht="15" thickBot="1" x14ac:dyDescent="0.35">
      <c r="D266" s="2">
        <f t="shared" si="44"/>
        <v>260</v>
      </c>
      <c r="E266" s="6">
        <v>1.4023474175031747</v>
      </c>
      <c r="F266" s="24"/>
      <c r="G266" s="24"/>
      <c r="H266" s="24"/>
      <c r="I266" s="24"/>
      <c r="J266" s="3"/>
      <c r="K266" s="8"/>
      <c r="L266" s="8"/>
      <c r="M266" s="8"/>
      <c r="N266" s="13"/>
      <c r="O266" s="9"/>
      <c r="P266" s="20"/>
      <c r="Q266" s="20"/>
      <c r="R266" s="20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4:49" ht="15" thickBot="1" x14ac:dyDescent="0.35">
      <c r="D267" s="2">
        <f t="shared" si="44"/>
        <v>261</v>
      </c>
      <c r="E267" s="6">
        <v>4.0846554384497091</v>
      </c>
      <c r="F267" s="24"/>
      <c r="G267" s="24"/>
      <c r="H267" s="24"/>
      <c r="I267" s="24"/>
      <c r="J267" s="3"/>
      <c r="K267" s="8"/>
      <c r="L267" s="8"/>
      <c r="M267" s="8"/>
      <c r="N267" s="13"/>
      <c r="O267" s="9"/>
      <c r="P267" s="20"/>
      <c r="Q267" s="20"/>
      <c r="R267" s="20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4:49" ht="15" thickBot="1" x14ac:dyDescent="0.35">
      <c r="D268" s="2">
        <f t="shared" si="44"/>
        <v>262</v>
      </c>
      <c r="E268" s="6">
        <v>0.96511094701436517</v>
      </c>
      <c r="F268" s="24"/>
      <c r="G268" s="24"/>
      <c r="H268" s="24"/>
      <c r="I268" s="24"/>
      <c r="J268" s="3"/>
      <c r="K268" s="8"/>
      <c r="L268" s="8"/>
      <c r="M268" s="8"/>
      <c r="N268" s="22"/>
      <c r="O268" s="9"/>
      <c r="P268" s="20"/>
      <c r="Q268" s="20"/>
      <c r="R268" s="20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4:49" ht="15" thickBot="1" x14ac:dyDescent="0.35">
      <c r="D269" s="2">
        <f t="shared" si="44"/>
        <v>263</v>
      </c>
      <c r="E269" s="6">
        <v>3.234260760189807</v>
      </c>
      <c r="F269" s="24"/>
      <c r="G269" s="24"/>
      <c r="H269" s="24"/>
      <c r="I269" s="24"/>
      <c r="J269" s="3"/>
      <c r="K269" s="8"/>
      <c r="L269" s="8"/>
      <c r="M269" s="8"/>
      <c r="N269" s="13"/>
      <c r="O269" s="9"/>
      <c r="P269" s="20"/>
      <c r="Q269" s="20"/>
      <c r="R269" s="20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4:49" ht="15" thickBot="1" x14ac:dyDescent="0.35">
      <c r="D270" s="2">
        <f t="shared" si="44"/>
        <v>264</v>
      </c>
      <c r="E270" s="6">
        <v>4.386801580050367</v>
      </c>
      <c r="F270" s="24"/>
      <c r="G270" s="24"/>
      <c r="H270" s="24"/>
      <c r="I270" s="24"/>
      <c r="J270" s="3"/>
      <c r="K270" s="8"/>
      <c r="L270" s="8"/>
      <c r="M270" s="8"/>
      <c r="N270" s="22"/>
      <c r="O270" s="9"/>
      <c r="P270" s="20"/>
      <c r="Q270" s="20"/>
      <c r="R270" s="20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4:49" ht="15" thickBot="1" x14ac:dyDescent="0.35">
      <c r="D271" s="2">
        <f t="shared" si="44"/>
        <v>265</v>
      </c>
      <c r="E271" s="6">
        <v>0.24098441192313969</v>
      </c>
      <c r="F271" s="24"/>
      <c r="G271" s="24"/>
      <c r="H271" s="24"/>
      <c r="I271" s="24"/>
      <c r="J271" s="3"/>
      <c r="K271" s="8"/>
      <c r="L271" s="8"/>
      <c r="M271" s="8"/>
      <c r="N271" s="13"/>
      <c r="O271" s="9"/>
      <c r="P271" s="20"/>
      <c r="Q271" s="20"/>
      <c r="R271" s="20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4:49" ht="15" thickBot="1" x14ac:dyDescent="0.35">
      <c r="D272" s="2">
        <f t="shared" si="44"/>
        <v>266</v>
      </c>
      <c r="E272" s="6">
        <v>0.7292144330759156</v>
      </c>
      <c r="F272" s="24"/>
      <c r="G272" s="24"/>
      <c r="H272" s="24"/>
      <c r="I272" s="24"/>
      <c r="J272" s="3"/>
      <c r="K272" s="8"/>
      <c r="L272" s="8"/>
      <c r="M272" s="8"/>
      <c r="N272" s="13"/>
      <c r="O272" s="9"/>
      <c r="P272" s="20"/>
      <c r="Q272" s="20"/>
      <c r="R272" s="20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4:49" ht="15" thickBot="1" x14ac:dyDescent="0.35">
      <c r="D273" s="2">
        <f t="shared" si="44"/>
        <v>267</v>
      </c>
      <c r="E273" s="6">
        <v>5.2524230783674852</v>
      </c>
      <c r="F273" s="24"/>
      <c r="G273" s="24"/>
      <c r="H273" s="24"/>
      <c r="I273" s="24"/>
      <c r="J273" s="3"/>
      <c r="K273" s="8"/>
      <c r="L273" s="8"/>
      <c r="M273" s="8"/>
      <c r="N273" s="22"/>
      <c r="O273" s="9"/>
      <c r="P273" s="20"/>
      <c r="Q273" s="20"/>
      <c r="R273" s="20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4:49" ht="15" thickBot="1" x14ac:dyDescent="0.35">
      <c r="D274" s="2">
        <f t="shared" si="44"/>
        <v>268</v>
      </c>
      <c r="E274" s="6">
        <v>2.2053334746221993</v>
      </c>
      <c r="F274" s="24"/>
      <c r="G274" s="24"/>
      <c r="H274" s="24"/>
      <c r="I274" s="24"/>
      <c r="J274" s="3"/>
      <c r="K274" s="8"/>
      <c r="L274" s="8"/>
      <c r="M274" s="8"/>
      <c r="N274" s="13"/>
      <c r="O274" s="9"/>
      <c r="P274" s="20"/>
      <c r="Q274" s="20"/>
      <c r="R274" s="20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4:49" ht="15" thickBot="1" x14ac:dyDescent="0.35">
      <c r="D275" s="2">
        <f t="shared" si="44"/>
        <v>269</v>
      </c>
      <c r="E275" s="6">
        <v>0.31783875552151147</v>
      </c>
      <c r="F275" s="24"/>
      <c r="G275" s="24"/>
      <c r="H275" s="24"/>
      <c r="I275" s="24"/>
      <c r="J275" s="3"/>
      <c r="K275" s="8"/>
      <c r="L275" s="8"/>
      <c r="M275" s="8"/>
      <c r="N275" s="22"/>
      <c r="O275" s="9"/>
      <c r="P275" s="20"/>
      <c r="Q275" s="20"/>
      <c r="R275" s="20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4:49" ht="15" thickBot="1" x14ac:dyDescent="0.35">
      <c r="D276" s="2">
        <f t="shared" si="44"/>
        <v>270</v>
      </c>
      <c r="E276" s="6">
        <v>3.8942163345951322</v>
      </c>
      <c r="F276" s="24"/>
      <c r="G276" s="24"/>
      <c r="H276" s="24"/>
      <c r="I276" s="24"/>
      <c r="J276" s="3"/>
      <c r="K276" s="8"/>
      <c r="L276" s="8"/>
      <c r="M276" s="8"/>
      <c r="N276" s="13"/>
      <c r="O276" s="9"/>
      <c r="P276" s="20"/>
      <c r="Q276" s="20"/>
      <c r="R276" s="20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4:49" ht="15" thickBot="1" x14ac:dyDescent="0.35">
      <c r="D277" s="2">
        <f t="shared" si="44"/>
        <v>271</v>
      </c>
      <c r="E277" s="6">
        <v>1.1147234158078974</v>
      </c>
      <c r="F277" s="24"/>
      <c r="G277" s="24"/>
      <c r="H277" s="24"/>
      <c r="I277" s="24"/>
      <c r="J277" s="3"/>
      <c r="K277" s="8"/>
      <c r="L277" s="8"/>
      <c r="M277" s="8"/>
      <c r="N277" s="13"/>
      <c r="O277" s="9"/>
      <c r="P277" s="20"/>
      <c r="Q277" s="20"/>
      <c r="R277" s="20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4:49" ht="15" thickBot="1" x14ac:dyDescent="0.35">
      <c r="D278" s="2">
        <f t="shared" si="44"/>
        <v>272</v>
      </c>
      <c r="E278" s="6">
        <v>3.3254065452767314</v>
      </c>
      <c r="F278" s="24"/>
      <c r="G278" s="24"/>
      <c r="H278" s="24"/>
      <c r="I278" s="24"/>
      <c r="J278" s="3"/>
      <c r="K278" s="8"/>
      <c r="L278" s="8"/>
      <c r="M278" s="8"/>
      <c r="N278" s="22"/>
      <c r="O278" s="9"/>
      <c r="P278" s="20"/>
      <c r="Q278" s="20"/>
      <c r="R278" s="20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4:49" ht="15" thickBot="1" x14ac:dyDescent="0.35">
      <c r="D279" s="2">
        <f t="shared" si="44"/>
        <v>273</v>
      </c>
      <c r="E279" s="6">
        <v>6.8177279817445946</v>
      </c>
      <c r="F279" s="24"/>
      <c r="G279" s="24"/>
      <c r="H279" s="24"/>
      <c r="I279" s="24"/>
      <c r="J279" s="3"/>
      <c r="K279" s="8"/>
      <c r="L279" s="8"/>
      <c r="M279" s="8"/>
      <c r="N279" s="13"/>
      <c r="O279" s="9"/>
      <c r="P279" s="20"/>
      <c r="Q279" s="20"/>
      <c r="R279" s="20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4:49" ht="15" thickBot="1" x14ac:dyDescent="0.35">
      <c r="D280" s="2">
        <f t="shared" si="44"/>
        <v>274</v>
      </c>
      <c r="E280" s="6">
        <v>2.0871686363602784</v>
      </c>
      <c r="F280" s="24"/>
      <c r="G280" s="24"/>
      <c r="H280" s="24"/>
      <c r="I280" s="24"/>
      <c r="J280" s="3"/>
      <c r="K280" s="8"/>
      <c r="L280" s="8"/>
      <c r="M280" s="8"/>
      <c r="N280" s="22"/>
      <c r="O280" s="9"/>
      <c r="P280" s="20"/>
      <c r="Q280" s="20"/>
      <c r="R280" s="20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4:49" ht="15" thickBot="1" x14ac:dyDescent="0.35">
      <c r="D281" s="2">
        <f t="shared" si="44"/>
        <v>275</v>
      </c>
      <c r="E281" s="6">
        <v>1.0808668902491236</v>
      </c>
      <c r="F281" s="24"/>
      <c r="G281" s="24"/>
      <c r="H281" s="24"/>
      <c r="I281" s="24"/>
      <c r="J281" s="3"/>
      <c r="K281" s="8"/>
      <c r="L281" s="8"/>
      <c r="M281" s="8"/>
      <c r="N281" s="13"/>
      <c r="O281" s="9"/>
      <c r="P281" s="20"/>
      <c r="Q281" s="20"/>
      <c r="R281" s="20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4:49" ht="15" thickBot="1" x14ac:dyDescent="0.35">
      <c r="D282" s="2">
        <f t="shared" si="44"/>
        <v>276</v>
      </c>
      <c r="E282" s="6">
        <v>2.5759056845728421</v>
      </c>
      <c r="F282" s="24"/>
      <c r="G282" s="24"/>
      <c r="H282" s="24"/>
      <c r="I282" s="24"/>
      <c r="J282" s="3"/>
      <c r="K282" s="8"/>
      <c r="L282" s="8"/>
      <c r="M282" s="8"/>
      <c r="N282" s="13"/>
      <c r="O282" s="9"/>
      <c r="P282" s="20"/>
      <c r="Q282" s="20"/>
      <c r="R282" s="20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4:49" ht="15" thickBot="1" x14ac:dyDescent="0.35">
      <c r="D283" s="2">
        <f t="shared" si="44"/>
        <v>277</v>
      </c>
      <c r="E283" s="6">
        <v>4.6224269367900614</v>
      </c>
      <c r="F283" s="24"/>
      <c r="G283" s="24"/>
      <c r="H283" s="24"/>
      <c r="I283" s="24"/>
      <c r="J283" s="3"/>
      <c r="K283" s="8"/>
      <c r="L283" s="8"/>
      <c r="M283" s="8"/>
      <c r="N283" s="22"/>
      <c r="O283" s="9"/>
      <c r="P283" s="20"/>
      <c r="Q283" s="20"/>
      <c r="R283" s="20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4:49" ht="15" thickBot="1" x14ac:dyDescent="0.35">
      <c r="D284" s="2">
        <f t="shared" si="44"/>
        <v>278</v>
      </c>
      <c r="E284" s="6">
        <v>4.7861156095396167</v>
      </c>
      <c r="F284" s="24"/>
      <c r="G284" s="24"/>
      <c r="H284" s="24"/>
      <c r="I284" s="24"/>
      <c r="J284" s="3"/>
      <c r="K284" s="8"/>
      <c r="L284" s="8"/>
      <c r="M284" s="8"/>
      <c r="N284" s="13"/>
      <c r="O284" s="9"/>
      <c r="P284" s="20"/>
      <c r="Q284" s="20"/>
      <c r="R284" s="20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4:49" ht="15" thickBot="1" x14ac:dyDescent="0.35">
      <c r="D285" s="2">
        <f t="shared" si="44"/>
        <v>279</v>
      </c>
      <c r="E285" s="6">
        <v>8.4920647376721359</v>
      </c>
      <c r="F285" s="24"/>
      <c r="G285" s="24"/>
      <c r="H285" s="24"/>
      <c r="I285" s="24"/>
      <c r="J285" s="3"/>
      <c r="K285" s="8"/>
      <c r="L285" s="8"/>
      <c r="M285" s="8"/>
      <c r="N285" s="22"/>
      <c r="O285" s="9"/>
      <c r="P285" s="20"/>
      <c r="Q285" s="20"/>
      <c r="R285" s="20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4:49" ht="15" thickBot="1" x14ac:dyDescent="0.35">
      <c r="D286" s="2">
        <f t="shared" si="44"/>
        <v>280</v>
      </c>
      <c r="E286" s="6">
        <v>3.0371432192160124</v>
      </c>
      <c r="F286" s="24"/>
      <c r="G286" s="24"/>
      <c r="H286" s="24"/>
      <c r="I286" s="24"/>
      <c r="J286" s="3"/>
      <c r="K286" s="8"/>
      <c r="L286" s="8"/>
      <c r="M286" s="8"/>
      <c r="N286" s="13"/>
      <c r="O286" s="9"/>
      <c r="P286" s="20"/>
      <c r="Q286" s="20"/>
      <c r="R286" s="20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4:49" ht="15" thickBot="1" x14ac:dyDescent="0.35">
      <c r="D287" s="2">
        <f t="shared" si="44"/>
        <v>281</v>
      </c>
      <c r="E287" s="6">
        <v>6.4159773509017786</v>
      </c>
      <c r="F287" s="24"/>
      <c r="G287" s="24"/>
      <c r="H287" s="24"/>
      <c r="I287" s="24"/>
      <c r="J287" s="3"/>
      <c r="K287" s="8"/>
      <c r="L287" s="8"/>
      <c r="M287" s="8"/>
      <c r="N287" s="13"/>
      <c r="O287" s="9"/>
      <c r="P287" s="20"/>
      <c r="Q287" s="20"/>
      <c r="R287" s="20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4:49" ht="15" thickBot="1" x14ac:dyDescent="0.35">
      <c r="D288" s="2">
        <f t="shared" si="44"/>
        <v>282</v>
      </c>
      <c r="E288" s="6">
        <v>1.1266557270882294</v>
      </c>
      <c r="F288" s="24"/>
      <c r="G288" s="24"/>
      <c r="H288" s="24"/>
      <c r="I288" s="24"/>
      <c r="J288" s="3"/>
      <c r="K288" s="8"/>
      <c r="L288" s="8"/>
      <c r="M288" s="8"/>
      <c r="N288" s="22"/>
      <c r="O288" s="9"/>
      <c r="P288" s="20"/>
      <c r="Q288" s="20"/>
      <c r="R288" s="20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4:49" ht="15" thickBot="1" x14ac:dyDescent="0.35">
      <c r="D289" s="2">
        <f t="shared" si="44"/>
        <v>283</v>
      </c>
      <c r="E289" s="6">
        <v>3.9817454168860271</v>
      </c>
      <c r="F289" s="24"/>
      <c r="G289" s="24"/>
      <c r="H289" s="24"/>
      <c r="I289" s="24"/>
      <c r="J289" s="3"/>
      <c r="K289" s="8"/>
      <c r="L289" s="8"/>
      <c r="M289" s="8"/>
      <c r="N289" s="13"/>
      <c r="O289" s="9"/>
      <c r="P289" s="20"/>
      <c r="Q289" s="20"/>
      <c r="R289" s="20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4:49" ht="15" thickBot="1" x14ac:dyDescent="0.35">
      <c r="D290" s="2">
        <f t="shared" si="44"/>
        <v>284</v>
      </c>
      <c r="E290" s="6">
        <v>0.2334408083236289</v>
      </c>
      <c r="F290" s="24"/>
      <c r="G290" s="24"/>
      <c r="H290" s="24"/>
      <c r="I290" s="24"/>
      <c r="J290" s="3"/>
      <c r="K290" s="8"/>
      <c r="L290" s="8"/>
      <c r="M290" s="8"/>
      <c r="N290" s="22"/>
      <c r="O290" s="9"/>
      <c r="P290" s="20"/>
      <c r="Q290" s="20"/>
      <c r="R290" s="20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4:49" ht="15" thickBot="1" x14ac:dyDescent="0.35">
      <c r="D291" s="2">
        <f t="shared" si="44"/>
        <v>285</v>
      </c>
      <c r="E291" s="6">
        <v>0.90533778898024053</v>
      </c>
      <c r="F291" s="24"/>
      <c r="G291" s="24"/>
      <c r="H291" s="24"/>
      <c r="I291" s="24"/>
      <c r="J291" s="3"/>
      <c r="K291" s="8"/>
      <c r="L291" s="8"/>
      <c r="M291" s="8"/>
      <c r="N291" s="13"/>
      <c r="O291" s="9"/>
      <c r="P291" s="20"/>
      <c r="Q291" s="20"/>
      <c r="R291" s="20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4:49" ht="15" thickBot="1" x14ac:dyDescent="0.35">
      <c r="D292" s="2">
        <f t="shared" si="44"/>
        <v>286</v>
      </c>
      <c r="E292" s="6">
        <v>6.2644399497832612</v>
      </c>
      <c r="F292" s="24"/>
      <c r="G292" s="24"/>
      <c r="H292" s="24"/>
      <c r="I292" s="24"/>
      <c r="J292" s="3"/>
      <c r="K292" s="8"/>
      <c r="L292" s="8"/>
      <c r="M292" s="8"/>
      <c r="N292" s="13"/>
      <c r="O292" s="9"/>
      <c r="P292" s="20"/>
      <c r="Q292" s="20"/>
      <c r="R292" s="20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4:49" ht="15" thickBot="1" x14ac:dyDescent="0.35">
      <c r="D293" s="2">
        <f t="shared" si="44"/>
        <v>287</v>
      </c>
      <c r="E293" s="6">
        <v>0.98192641999494923</v>
      </c>
      <c r="F293" s="24"/>
      <c r="G293" s="24"/>
      <c r="H293" s="24"/>
      <c r="I293" s="24"/>
      <c r="J293" s="3"/>
      <c r="K293" s="8"/>
      <c r="L293" s="8"/>
      <c r="M293" s="8"/>
      <c r="N293" s="22"/>
      <c r="O293" s="9"/>
      <c r="P293" s="20"/>
      <c r="Q293" s="20"/>
      <c r="R293" s="20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4:49" ht="15" thickBot="1" x14ac:dyDescent="0.35">
      <c r="D294" s="2">
        <f t="shared" si="44"/>
        <v>288</v>
      </c>
      <c r="E294" s="6">
        <v>1.3070346401004407</v>
      </c>
      <c r="F294" s="24"/>
      <c r="G294" s="24"/>
      <c r="H294" s="24"/>
      <c r="I294" s="24"/>
      <c r="J294" s="3"/>
      <c r="K294" s="8"/>
      <c r="L294" s="8"/>
      <c r="M294" s="8"/>
      <c r="N294" s="13"/>
      <c r="O294" s="9"/>
      <c r="P294" s="20"/>
      <c r="Q294" s="20"/>
      <c r="R294" s="20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4:49" ht="15" thickBot="1" x14ac:dyDescent="0.35">
      <c r="D295" s="2">
        <f t="shared" si="44"/>
        <v>289</v>
      </c>
      <c r="E295" s="6">
        <v>9.5193371116567302</v>
      </c>
      <c r="F295" s="24"/>
      <c r="G295" s="24"/>
      <c r="H295" s="24"/>
      <c r="I295" s="24"/>
      <c r="J295" s="3"/>
      <c r="K295" s="8"/>
      <c r="L295" s="8"/>
      <c r="M295" s="8"/>
      <c r="N295" s="22"/>
      <c r="O295" s="9"/>
      <c r="P295" s="20"/>
      <c r="Q295" s="20"/>
      <c r="R295" s="20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4:49" ht="15" thickBot="1" x14ac:dyDescent="0.35">
      <c r="D296" s="2">
        <f t="shared" si="44"/>
        <v>290</v>
      </c>
      <c r="E296" s="6">
        <v>0.82840150965333881</v>
      </c>
      <c r="F296" s="24"/>
      <c r="G296" s="24"/>
      <c r="H296" s="24"/>
      <c r="I296" s="24"/>
      <c r="J296" s="3"/>
      <c r="K296" s="8"/>
      <c r="L296" s="8"/>
      <c r="M296" s="8"/>
      <c r="N296" s="13"/>
      <c r="O296" s="9"/>
      <c r="P296" s="20"/>
      <c r="Q296" s="20"/>
      <c r="R296" s="20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4:49" ht="15" thickBot="1" x14ac:dyDescent="0.35">
      <c r="D297" s="2">
        <f t="shared" si="44"/>
        <v>291</v>
      </c>
      <c r="E297" s="6">
        <v>1.3366049665620749</v>
      </c>
      <c r="F297" s="24"/>
      <c r="G297" s="24"/>
      <c r="H297" s="24"/>
      <c r="I297" s="24"/>
      <c r="J297" s="3"/>
      <c r="K297" s="8"/>
      <c r="L297" s="8"/>
      <c r="M297" s="8"/>
      <c r="N297" s="13"/>
      <c r="O297" s="9"/>
      <c r="P297" s="20"/>
      <c r="Q297" s="20"/>
      <c r="R297" s="20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4:49" ht="15" thickBot="1" x14ac:dyDescent="0.35">
      <c r="D298" s="2">
        <f t="shared" si="44"/>
        <v>292</v>
      </c>
      <c r="E298" s="6">
        <v>5.6569219115360987</v>
      </c>
      <c r="F298" s="24"/>
      <c r="G298" s="24"/>
      <c r="H298" s="24"/>
      <c r="I298" s="24"/>
      <c r="J298" s="3"/>
      <c r="K298" s="8"/>
      <c r="L298" s="8"/>
      <c r="M298" s="8"/>
      <c r="N298" s="22"/>
      <c r="O298" s="9"/>
      <c r="P298" s="20"/>
      <c r="Q298" s="20"/>
      <c r="R298" s="20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4:49" ht="15" thickBot="1" x14ac:dyDescent="0.35">
      <c r="D299" s="2">
        <f t="shared" si="44"/>
        <v>293</v>
      </c>
      <c r="E299" s="6">
        <v>0.77838092152436555</v>
      </c>
      <c r="F299" s="24"/>
      <c r="G299" s="24"/>
      <c r="H299" s="24"/>
      <c r="I299" s="24"/>
      <c r="J299" s="3"/>
      <c r="K299" s="8"/>
      <c r="L299" s="8"/>
      <c r="M299" s="8"/>
      <c r="N299" s="13"/>
      <c r="O299" s="9"/>
      <c r="P299" s="20"/>
      <c r="Q299" s="20"/>
      <c r="R299" s="20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4:49" ht="15" thickBot="1" x14ac:dyDescent="0.35">
      <c r="D300" s="2">
        <f t="shared" si="44"/>
        <v>294</v>
      </c>
      <c r="E300" s="6">
        <v>2.4514163957848982</v>
      </c>
      <c r="F300" s="24"/>
      <c r="G300" s="24"/>
      <c r="H300" s="24"/>
      <c r="I300" s="24"/>
      <c r="J300" s="3"/>
      <c r="K300" s="8"/>
      <c r="L300" s="8"/>
      <c r="M300" s="8"/>
      <c r="N300" s="22"/>
      <c r="O300" s="9"/>
      <c r="P300" s="20"/>
      <c r="Q300" s="20"/>
      <c r="R300" s="20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4:49" ht="15" thickBot="1" x14ac:dyDescent="0.35">
      <c r="D301" s="2">
        <f t="shared" si="44"/>
        <v>295</v>
      </c>
      <c r="E301" s="6">
        <v>0.92671134036958047</v>
      </c>
      <c r="F301" s="24"/>
      <c r="G301" s="24"/>
      <c r="H301" s="24"/>
      <c r="I301" s="24"/>
      <c r="J301" s="3"/>
      <c r="K301" s="8"/>
      <c r="L301" s="8"/>
      <c r="M301" s="8"/>
      <c r="N301" s="13"/>
      <c r="O301" s="9"/>
      <c r="P301" s="20"/>
      <c r="Q301" s="20"/>
      <c r="R301" s="20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4:49" ht="15" thickBot="1" x14ac:dyDescent="0.35">
      <c r="D302" s="2">
        <f t="shared" si="44"/>
        <v>296</v>
      </c>
      <c r="E302" s="6">
        <v>1.7208888106256783</v>
      </c>
      <c r="F302" s="24"/>
      <c r="G302" s="24"/>
      <c r="H302" s="24"/>
      <c r="I302" s="24"/>
      <c r="J302" s="3"/>
      <c r="K302" s="8"/>
      <c r="L302" s="8"/>
      <c r="M302" s="8"/>
      <c r="N302" s="13"/>
      <c r="O302" s="9"/>
      <c r="P302" s="20"/>
      <c r="Q302" s="20"/>
      <c r="R302" s="20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4:49" ht="15" thickBot="1" x14ac:dyDescent="0.35">
      <c r="D303" s="2">
        <f t="shared" si="44"/>
        <v>297</v>
      </c>
      <c r="E303" s="6">
        <v>2.3964156179774108</v>
      </c>
      <c r="F303" s="24"/>
      <c r="G303" s="24"/>
      <c r="H303" s="24"/>
      <c r="I303" s="24"/>
      <c r="J303" s="3"/>
      <c r="K303" s="8"/>
      <c r="L303" s="8"/>
      <c r="M303" s="8"/>
      <c r="N303" s="22"/>
      <c r="O303" s="9"/>
      <c r="P303" s="20"/>
      <c r="Q303" s="20"/>
      <c r="R303" s="20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4:49" ht="15" thickBot="1" x14ac:dyDescent="0.35">
      <c r="D304" s="2">
        <f t="shared" si="44"/>
        <v>298</v>
      </c>
      <c r="E304" s="6">
        <v>3.1215149455142588</v>
      </c>
      <c r="F304" s="24"/>
      <c r="G304" s="24"/>
      <c r="H304" s="24"/>
      <c r="I304" s="24"/>
      <c r="J304" s="3"/>
      <c r="K304" s="8"/>
      <c r="L304" s="8"/>
      <c r="M304" s="8"/>
      <c r="N304" s="13"/>
      <c r="O304" s="9"/>
      <c r="P304" s="20"/>
      <c r="Q304" s="20"/>
      <c r="R304" s="20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4:49" ht="15" thickBot="1" x14ac:dyDescent="0.35">
      <c r="D305" s="2">
        <f t="shared" si="44"/>
        <v>299</v>
      </c>
      <c r="E305" s="6">
        <v>1.0334203884315853</v>
      </c>
      <c r="F305" s="24"/>
      <c r="G305" s="24"/>
      <c r="H305" s="24"/>
      <c r="I305" s="24"/>
      <c r="J305" s="3"/>
      <c r="K305" s="8"/>
      <c r="L305" s="8"/>
      <c r="M305" s="8"/>
      <c r="N305" s="22"/>
      <c r="O305" s="9"/>
      <c r="P305" s="20"/>
      <c r="Q305" s="20"/>
      <c r="R305" s="20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4:49" ht="15" thickBot="1" x14ac:dyDescent="0.35">
      <c r="D306" s="2">
        <f t="shared" si="44"/>
        <v>300</v>
      </c>
      <c r="E306" s="6">
        <v>2.8030043262540527</v>
      </c>
      <c r="F306" s="24"/>
      <c r="G306" s="24"/>
      <c r="H306" s="24"/>
      <c r="I306" s="24"/>
      <c r="J306" s="3"/>
      <c r="K306" s="8"/>
      <c r="L306" s="8"/>
      <c r="M306" s="8"/>
      <c r="N306" s="13"/>
      <c r="O306" s="9"/>
      <c r="P306" s="20"/>
      <c r="Q306" s="20"/>
      <c r="R306" s="20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4:49" ht="15" thickBot="1" x14ac:dyDescent="0.35">
      <c r="D307" s="2">
        <f t="shared" si="44"/>
        <v>301</v>
      </c>
      <c r="E307" s="6">
        <v>2.6303475226459958</v>
      </c>
      <c r="F307" s="24"/>
      <c r="G307" s="24"/>
      <c r="H307" s="24"/>
      <c r="I307" s="24"/>
      <c r="J307" s="3"/>
      <c r="K307" s="8"/>
      <c r="L307" s="8"/>
      <c r="M307" s="8"/>
      <c r="N307" s="13"/>
      <c r="O307" s="9"/>
      <c r="P307" s="20"/>
      <c r="Q307" s="20"/>
      <c r="R307" s="20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4:49" ht="15" thickBot="1" x14ac:dyDescent="0.35">
      <c r="D308" s="2">
        <f t="shared" si="44"/>
        <v>302</v>
      </c>
      <c r="E308" s="6">
        <v>4.9620857357204748</v>
      </c>
      <c r="F308" s="24"/>
      <c r="G308" s="24"/>
      <c r="H308" s="24"/>
      <c r="I308" s="24"/>
      <c r="J308" s="3"/>
      <c r="K308" s="8"/>
      <c r="L308" s="8"/>
      <c r="M308" s="8"/>
      <c r="N308" s="22"/>
      <c r="O308" s="9"/>
      <c r="P308" s="20"/>
      <c r="Q308" s="20"/>
      <c r="R308" s="20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4:49" ht="15" thickBot="1" x14ac:dyDescent="0.35">
      <c r="D309" s="2">
        <f t="shared" si="44"/>
        <v>303</v>
      </c>
      <c r="E309" s="6">
        <v>4.2637986188687274</v>
      </c>
      <c r="F309" s="24"/>
      <c r="G309" s="24"/>
      <c r="H309" s="24"/>
      <c r="I309" s="24"/>
      <c r="J309" s="3"/>
      <c r="K309" s="8"/>
      <c r="L309" s="8"/>
      <c r="M309" s="8"/>
      <c r="N309" s="13"/>
      <c r="O309" s="9"/>
      <c r="P309" s="20"/>
      <c r="Q309" s="20"/>
      <c r="R309" s="20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4:49" ht="15" thickBot="1" x14ac:dyDescent="0.35">
      <c r="D310" s="2">
        <f t="shared" si="44"/>
        <v>304</v>
      </c>
      <c r="E310" s="6">
        <v>0.59282033501209763</v>
      </c>
      <c r="F310" s="24"/>
      <c r="G310" s="24"/>
      <c r="H310" s="24"/>
      <c r="I310" s="24"/>
      <c r="J310" s="3"/>
      <c r="K310" s="8"/>
      <c r="L310" s="8"/>
      <c r="M310" s="8"/>
      <c r="N310" s="22"/>
      <c r="O310" s="9"/>
      <c r="P310" s="20"/>
      <c r="Q310" s="20"/>
      <c r="R310" s="20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4:49" ht="15" thickBot="1" x14ac:dyDescent="0.35">
      <c r="D311" s="2">
        <f t="shared" si="44"/>
        <v>305</v>
      </c>
      <c r="E311" s="6">
        <v>7.0590079285718623</v>
      </c>
      <c r="F311" s="24"/>
      <c r="G311" s="24"/>
      <c r="H311" s="24"/>
      <c r="I311" s="24"/>
      <c r="J311" s="3"/>
      <c r="K311" s="8"/>
      <c r="L311" s="8"/>
      <c r="M311" s="8"/>
      <c r="N311" s="13"/>
      <c r="O311" s="9"/>
      <c r="P311" s="20"/>
      <c r="Q311" s="20"/>
      <c r="R311" s="20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4:49" ht="15" thickBot="1" x14ac:dyDescent="0.35">
      <c r="D312" s="2">
        <f t="shared" si="44"/>
        <v>306</v>
      </c>
      <c r="E312" s="6">
        <v>1.3639503649840132</v>
      </c>
      <c r="F312" s="24"/>
      <c r="G312" s="24"/>
      <c r="H312" s="24"/>
      <c r="I312" s="24"/>
      <c r="J312" s="3"/>
      <c r="K312" s="8"/>
      <c r="L312" s="8"/>
      <c r="M312" s="8"/>
      <c r="N312" s="13"/>
      <c r="O312" s="9"/>
      <c r="P312" s="20"/>
      <c r="Q312" s="20"/>
      <c r="R312" s="20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4:49" ht="15" thickBot="1" x14ac:dyDescent="0.35">
      <c r="D313" s="2">
        <f t="shared" si="44"/>
        <v>307</v>
      </c>
      <c r="E313" s="6">
        <v>9.5591056561499901</v>
      </c>
      <c r="F313" s="24"/>
      <c r="G313" s="24"/>
      <c r="H313" s="24"/>
      <c r="I313" s="24"/>
      <c r="J313" s="3"/>
      <c r="K313" s="8"/>
      <c r="L313" s="8"/>
      <c r="M313" s="8"/>
      <c r="N313" s="22"/>
      <c r="O313" s="9"/>
      <c r="P313" s="20"/>
      <c r="Q313" s="20"/>
      <c r="R313" s="20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4:49" ht="15" thickBot="1" x14ac:dyDescent="0.35">
      <c r="D314" s="2">
        <f t="shared" si="44"/>
        <v>308</v>
      </c>
      <c r="E314" s="6">
        <v>6.3568084329201691</v>
      </c>
      <c r="F314" s="24"/>
      <c r="G314" s="24"/>
      <c r="H314" s="24"/>
      <c r="I314" s="24"/>
      <c r="J314" s="3"/>
      <c r="K314" s="8"/>
      <c r="L314" s="8"/>
      <c r="M314" s="8"/>
      <c r="N314" s="13"/>
      <c r="O314" s="9"/>
      <c r="P314" s="20"/>
      <c r="Q314" s="20"/>
      <c r="R314" s="20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4:49" ht="15" thickBot="1" x14ac:dyDescent="0.35">
      <c r="D315" s="2">
        <f t="shared" si="44"/>
        <v>309</v>
      </c>
      <c r="E315" s="6">
        <v>0.50379373405130912</v>
      </c>
      <c r="F315" s="24"/>
      <c r="G315" s="24"/>
      <c r="H315" s="24"/>
      <c r="I315" s="24"/>
      <c r="J315" s="3"/>
      <c r="K315" s="8"/>
      <c r="L315" s="8"/>
      <c r="M315" s="8"/>
      <c r="N315" s="22"/>
      <c r="O315" s="9"/>
      <c r="P315" s="20"/>
      <c r="Q315" s="20"/>
      <c r="R315" s="20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4:49" ht="15" thickBot="1" x14ac:dyDescent="0.35">
      <c r="D316" s="2">
        <f t="shared" si="44"/>
        <v>310</v>
      </c>
      <c r="E316" s="6">
        <v>5.0669480200945811E-2</v>
      </c>
      <c r="F316" s="24"/>
      <c r="G316" s="24"/>
      <c r="H316" s="24"/>
      <c r="I316" s="24"/>
      <c r="J316" s="3"/>
      <c r="K316" s="8"/>
      <c r="L316" s="8"/>
      <c r="M316" s="8"/>
      <c r="N316" s="13"/>
      <c r="O316" s="9"/>
      <c r="P316" s="20"/>
      <c r="Q316" s="20"/>
      <c r="R316" s="20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4:49" ht="15" thickBot="1" x14ac:dyDescent="0.35">
      <c r="D317" s="2">
        <f t="shared" si="44"/>
        <v>311</v>
      </c>
      <c r="E317" s="6">
        <v>2.2055672669445125</v>
      </c>
      <c r="F317" s="24"/>
      <c r="G317" s="24"/>
      <c r="H317" s="24"/>
      <c r="I317" s="24"/>
      <c r="J317" s="3"/>
      <c r="K317" s="8"/>
      <c r="L317" s="8"/>
      <c r="M317" s="8"/>
      <c r="N317" s="13"/>
      <c r="O317" s="9"/>
      <c r="P317" s="20"/>
      <c r="Q317" s="20"/>
      <c r="R317" s="20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4:49" ht="15" thickBot="1" x14ac:dyDescent="0.35">
      <c r="D318" s="2">
        <f t="shared" si="44"/>
        <v>312</v>
      </c>
      <c r="E318" s="6">
        <v>0.62430600869602926</v>
      </c>
      <c r="F318" s="24"/>
      <c r="G318" s="24"/>
      <c r="H318" s="24"/>
      <c r="I318" s="24"/>
      <c r="J318" s="3"/>
      <c r="K318" s="8"/>
      <c r="L318" s="8"/>
      <c r="M318" s="8"/>
      <c r="N318" s="22"/>
      <c r="O318" s="9"/>
      <c r="P318" s="20"/>
      <c r="Q318" s="20"/>
      <c r="R318" s="20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4:49" ht="15" thickBot="1" x14ac:dyDescent="0.35">
      <c r="D319" s="2">
        <f t="shared" si="44"/>
        <v>313</v>
      </c>
      <c r="E319" s="6">
        <v>1.4503106866502657</v>
      </c>
      <c r="F319" s="24"/>
      <c r="G319" s="24"/>
      <c r="H319" s="24"/>
      <c r="I319" s="24"/>
      <c r="J319" s="3"/>
      <c r="K319" s="8"/>
      <c r="L319" s="8"/>
      <c r="M319" s="8"/>
      <c r="N319" s="13"/>
      <c r="O319" s="9"/>
      <c r="P319" s="20"/>
      <c r="Q319" s="20"/>
      <c r="R319" s="20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4:49" ht="15" thickBot="1" x14ac:dyDescent="0.35">
      <c r="D320" s="2">
        <f t="shared" si="44"/>
        <v>314</v>
      </c>
      <c r="E320" s="6">
        <v>1.9674467433150447</v>
      </c>
      <c r="F320" s="24"/>
      <c r="G320" s="24"/>
      <c r="H320" s="24"/>
      <c r="I320" s="24"/>
      <c r="J320" s="3"/>
      <c r="K320" s="8"/>
      <c r="L320" s="8"/>
      <c r="M320" s="8"/>
      <c r="N320" s="22"/>
      <c r="O320" s="9"/>
      <c r="P320" s="20"/>
      <c r="Q320" s="20"/>
      <c r="R320" s="20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4:49" ht="15" thickBot="1" x14ac:dyDescent="0.35">
      <c r="D321" s="2">
        <f t="shared" si="44"/>
        <v>315</v>
      </c>
      <c r="E321" s="6">
        <v>4.2161426253309431</v>
      </c>
      <c r="F321" s="24"/>
      <c r="G321" s="24"/>
      <c r="H321" s="24"/>
      <c r="I321" s="24"/>
      <c r="J321" s="3"/>
      <c r="K321" s="8"/>
      <c r="L321" s="8"/>
      <c r="M321" s="8"/>
      <c r="N321" s="13"/>
      <c r="O321" s="9"/>
      <c r="P321" s="20"/>
      <c r="Q321" s="20"/>
      <c r="R321" s="20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4:49" ht="15" thickBot="1" x14ac:dyDescent="0.35">
      <c r="D322" s="2">
        <f t="shared" si="44"/>
        <v>316</v>
      </c>
      <c r="E322" s="6">
        <v>8.1989975393665109</v>
      </c>
      <c r="F322" s="24"/>
      <c r="G322" s="24"/>
      <c r="H322" s="24"/>
      <c r="I322" s="24"/>
      <c r="J322" s="3"/>
      <c r="K322" s="8"/>
      <c r="L322" s="8"/>
      <c r="M322" s="8"/>
      <c r="N322" s="13"/>
      <c r="O322" s="9"/>
      <c r="P322" s="20"/>
      <c r="Q322" s="20"/>
      <c r="R322" s="20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4:49" ht="15" thickBot="1" x14ac:dyDescent="0.35">
      <c r="D323" s="2">
        <f t="shared" si="44"/>
        <v>317</v>
      </c>
      <c r="E323" s="6">
        <v>2.8965247070519129</v>
      </c>
      <c r="F323" s="24"/>
      <c r="G323" s="24"/>
      <c r="H323" s="24"/>
      <c r="I323" s="24"/>
      <c r="J323" s="3"/>
      <c r="K323" s="8"/>
      <c r="L323" s="8"/>
      <c r="M323" s="8"/>
      <c r="N323" s="22"/>
      <c r="O323" s="9"/>
      <c r="P323" s="20"/>
      <c r="Q323" s="20"/>
      <c r="R323" s="20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4:49" ht="15" thickBot="1" x14ac:dyDescent="0.35">
      <c r="D324" s="2">
        <f t="shared" si="44"/>
        <v>318</v>
      </c>
      <c r="E324" s="6">
        <v>2.1083495019470195</v>
      </c>
      <c r="F324" s="24"/>
      <c r="G324" s="24"/>
      <c r="H324" s="24"/>
      <c r="I324" s="24"/>
      <c r="J324" s="3"/>
      <c r="K324" s="8"/>
      <c r="L324" s="8"/>
      <c r="M324" s="8"/>
      <c r="N324" s="13"/>
      <c r="O324" s="9"/>
      <c r="P324" s="20"/>
      <c r="Q324" s="20"/>
      <c r="R324" s="20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4:49" ht="15" thickBot="1" x14ac:dyDescent="0.35">
      <c r="D325" s="2">
        <f t="shared" si="44"/>
        <v>319</v>
      </c>
      <c r="E325" s="6">
        <v>8.3598187063361475</v>
      </c>
      <c r="F325" s="24"/>
      <c r="G325" s="24"/>
      <c r="H325" s="24"/>
      <c r="I325" s="24"/>
      <c r="J325" s="3"/>
      <c r="K325" s="8"/>
      <c r="L325" s="8"/>
      <c r="M325" s="8"/>
      <c r="N325" s="22"/>
      <c r="O325" s="9"/>
      <c r="P325" s="20"/>
      <c r="Q325" s="20"/>
      <c r="R325" s="20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4:49" ht="15" thickBot="1" x14ac:dyDescent="0.35">
      <c r="D326" s="2">
        <f t="shared" si="44"/>
        <v>320</v>
      </c>
      <c r="E326" s="6">
        <v>2.373979631653012</v>
      </c>
      <c r="F326" s="24"/>
      <c r="G326" s="24"/>
      <c r="H326" s="24"/>
      <c r="I326" s="24"/>
      <c r="J326" s="3"/>
      <c r="K326" s="8"/>
      <c r="L326" s="8"/>
      <c r="M326" s="8"/>
      <c r="N326" s="13"/>
      <c r="O326" s="9"/>
      <c r="P326" s="20"/>
      <c r="Q326" s="20"/>
      <c r="R326" s="20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4:49" ht="15" thickBot="1" x14ac:dyDescent="0.35">
      <c r="D327" s="2">
        <f t="shared" ref="D327:D390" si="45">ROW()-6</f>
        <v>321</v>
      </c>
      <c r="E327" s="6">
        <v>7.9938095523007364</v>
      </c>
      <c r="F327" s="24"/>
      <c r="G327" s="24"/>
      <c r="H327" s="24"/>
      <c r="I327" s="24"/>
      <c r="J327" s="3"/>
      <c r="K327" s="8"/>
      <c r="L327" s="8"/>
      <c r="M327" s="8"/>
      <c r="N327" s="13"/>
      <c r="O327" s="9"/>
      <c r="P327" s="20"/>
      <c r="Q327" s="20"/>
      <c r="R327" s="20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4:49" ht="15" thickBot="1" x14ac:dyDescent="0.35">
      <c r="D328" s="2">
        <f t="shared" si="45"/>
        <v>322</v>
      </c>
      <c r="E328" s="6">
        <v>0.6683841791644014</v>
      </c>
      <c r="F328" s="24"/>
      <c r="G328" s="24"/>
      <c r="H328" s="24"/>
      <c r="I328" s="24"/>
      <c r="J328" s="3"/>
      <c r="K328" s="8"/>
      <c r="L328" s="8"/>
      <c r="M328" s="8"/>
      <c r="N328" s="22"/>
      <c r="O328" s="9"/>
      <c r="P328" s="20"/>
      <c r="Q328" s="20"/>
      <c r="R328" s="20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4:49" ht="15" thickBot="1" x14ac:dyDescent="0.35">
      <c r="D329" s="2">
        <f t="shared" si="45"/>
        <v>323</v>
      </c>
      <c r="E329" s="6">
        <v>1.3302118274462951</v>
      </c>
      <c r="F329" s="24"/>
      <c r="G329" s="24"/>
      <c r="H329" s="24"/>
      <c r="I329" s="24"/>
      <c r="J329" s="3"/>
      <c r="K329" s="8"/>
      <c r="L329" s="8"/>
      <c r="M329" s="8"/>
      <c r="N329" s="13"/>
      <c r="O329" s="9"/>
      <c r="P329" s="20"/>
      <c r="Q329" s="20"/>
      <c r="R329" s="20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4:49" ht="15" thickBot="1" x14ac:dyDescent="0.35">
      <c r="D330" s="2">
        <f t="shared" si="45"/>
        <v>324</v>
      </c>
      <c r="E330" s="6">
        <v>1.2412935207675573</v>
      </c>
      <c r="F330" s="24"/>
      <c r="G330" s="24"/>
      <c r="H330" s="24"/>
      <c r="I330" s="24"/>
      <c r="J330" s="3"/>
      <c r="K330" s="8"/>
      <c r="L330" s="8"/>
      <c r="M330" s="8"/>
      <c r="N330" s="22"/>
      <c r="O330" s="9"/>
      <c r="P330" s="20"/>
      <c r="Q330" s="20"/>
      <c r="R330" s="20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4:49" ht="15" thickBot="1" x14ac:dyDescent="0.35">
      <c r="D331" s="2">
        <f t="shared" si="45"/>
        <v>325</v>
      </c>
      <c r="E331" s="6">
        <v>3.7480142815527824</v>
      </c>
      <c r="F331" s="24"/>
      <c r="G331" s="24"/>
      <c r="H331" s="24"/>
      <c r="I331" s="24"/>
      <c r="J331" s="3"/>
      <c r="K331" s="8"/>
      <c r="L331" s="8"/>
      <c r="M331" s="8"/>
      <c r="N331" s="13"/>
      <c r="O331" s="9"/>
      <c r="P331" s="20"/>
      <c r="Q331" s="20"/>
      <c r="R331" s="20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4:49" ht="15" thickBot="1" x14ac:dyDescent="0.35">
      <c r="D332" s="2">
        <f t="shared" si="45"/>
        <v>326</v>
      </c>
      <c r="E332" s="6">
        <v>2.991472947685526</v>
      </c>
      <c r="F332" s="24"/>
      <c r="G332" s="24"/>
      <c r="H332" s="24"/>
      <c r="I332" s="24"/>
      <c r="J332" s="3"/>
      <c r="K332" s="8"/>
      <c r="L332" s="8"/>
      <c r="M332" s="8"/>
      <c r="N332" s="13"/>
      <c r="O332" s="9"/>
      <c r="P332" s="20"/>
      <c r="Q332" s="20"/>
      <c r="R332" s="20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4:49" ht="15" thickBot="1" x14ac:dyDescent="0.35">
      <c r="D333" s="2">
        <f t="shared" si="45"/>
        <v>327</v>
      </c>
      <c r="E333" s="6">
        <v>2.8485737358528991</v>
      </c>
      <c r="F333" s="24"/>
      <c r="G333" s="24"/>
      <c r="H333" s="24"/>
      <c r="I333" s="24"/>
      <c r="J333" s="3"/>
      <c r="K333" s="8"/>
      <c r="L333" s="8"/>
      <c r="M333" s="8"/>
      <c r="N333" s="22"/>
      <c r="O333" s="9"/>
      <c r="P333" s="20"/>
      <c r="Q333" s="20"/>
      <c r="R333" s="20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4:49" ht="15" thickBot="1" x14ac:dyDescent="0.35">
      <c r="D334" s="2">
        <f t="shared" si="45"/>
        <v>328</v>
      </c>
      <c r="E334" s="6">
        <v>0.35545964172923611</v>
      </c>
      <c r="F334" s="24"/>
      <c r="G334" s="24"/>
      <c r="H334" s="24"/>
      <c r="I334" s="24"/>
      <c r="J334" s="3"/>
      <c r="K334" s="8"/>
      <c r="L334" s="8"/>
      <c r="M334" s="8"/>
      <c r="N334" s="13"/>
      <c r="O334" s="9"/>
      <c r="P334" s="20"/>
      <c r="Q334" s="20"/>
      <c r="R334" s="20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4:49" ht="15" thickBot="1" x14ac:dyDescent="0.35">
      <c r="D335" s="2">
        <f t="shared" si="45"/>
        <v>329</v>
      </c>
      <c r="E335" s="6">
        <v>4.5557630639388353</v>
      </c>
      <c r="F335" s="24"/>
      <c r="G335" s="24"/>
      <c r="H335" s="24"/>
      <c r="I335" s="24"/>
      <c r="J335" s="3"/>
      <c r="K335" s="8"/>
      <c r="L335" s="8"/>
      <c r="M335" s="8"/>
      <c r="N335" s="22"/>
      <c r="O335" s="9"/>
      <c r="P335" s="20"/>
      <c r="Q335" s="20"/>
      <c r="R335" s="20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4:49" ht="15" thickBot="1" x14ac:dyDescent="0.35">
      <c r="D336" s="2">
        <f t="shared" si="45"/>
        <v>330</v>
      </c>
      <c r="E336" s="6">
        <v>2.2914338451903538</v>
      </c>
      <c r="F336" s="24"/>
      <c r="G336" s="24"/>
      <c r="H336" s="24"/>
      <c r="I336" s="24"/>
      <c r="J336" s="3"/>
      <c r="K336" s="8"/>
      <c r="L336" s="8"/>
      <c r="M336" s="8"/>
      <c r="N336" s="13"/>
      <c r="O336" s="9"/>
      <c r="P336" s="20"/>
      <c r="Q336" s="20"/>
      <c r="R336" s="20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4:49" ht="15" thickBot="1" x14ac:dyDescent="0.35">
      <c r="D337" s="2">
        <f t="shared" si="45"/>
        <v>331</v>
      </c>
      <c r="E337" s="6">
        <v>5.1856434895985375</v>
      </c>
      <c r="F337" s="24"/>
      <c r="G337" s="24"/>
      <c r="H337" s="24"/>
      <c r="I337" s="24"/>
      <c r="J337" s="3"/>
      <c r="K337" s="8"/>
      <c r="L337" s="8"/>
      <c r="M337" s="8"/>
      <c r="N337" s="13"/>
      <c r="O337" s="9"/>
      <c r="P337" s="20"/>
      <c r="Q337" s="20"/>
      <c r="R337" s="20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4:49" ht="15" thickBot="1" x14ac:dyDescent="0.35">
      <c r="D338" s="2">
        <f t="shared" si="45"/>
        <v>332</v>
      </c>
      <c r="E338" s="6">
        <v>1.352807513425365</v>
      </c>
      <c r="F338" s="24"/>
      <c r="G338" s="24"/>
      <c r="H338" s="24"/>
      <c r="I338" s="24"/>
      <c r="J338" s="3"/>
      <c r="K338" s="8"/>
      <c r="L338" s="8"/>
      <c r="M338" s="8"/>
      <c r="N338" s="22"/>
      <c r="O338" s="9"/>
      <c r="P338" s="20"/>
      <c r="Q338" s="20"/>
      <c r="R338" s="20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4:49" ht="15" thickBot="1" x14ac:dyDescent="0.35">
      <c r="D339" s="2">
        <f t="shared" si="45"/>
        <v>333</v>
      </c>
      <c r="E339" s="6">
        <v>4.5537066124522951</v>
      </c>
      <c r="F339" s="24"/>
      <c r="G339" s="24"/>
      <c r="H339" s="24"/>
      <c r="I339" s="24"/>
      <c r="J339" s="3"/>
      <c r="K339" s="8"/>
      <c r="L339" s="8"/>
      <c r="M339" s="8"/>
      <c r="N339" s="13"/>
      <c r="O339" s="9"/>
      <c r="P339" s="20"/>
      <c r="Q339" s="20"/>
      <c r="R339" s="20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4:49" ht="15" thickBot="1" x14ac:dyDescent="0.35">
      <c r="D340" s="2">
        <f t="shared" si="45"/>
        <v>334</v>
      </c>
      <c r="E340" s="6">
        <v>5.9546399958801546</v>
      </c>
      <c r="F340" s="24"/>
      <c r="G340" s="24"/>
      <c r="H340" s="24"/>
      <c r="I340" s="24"/>
      <c r="J340" s="3"/>
      <c r="K340" s="8"/>
      <c r="L340" s="8"/>
      <c r="M340" s="8"/>
      <c r="N340" s="22"/>
      <c r="O340" s="9"/>
      <c r="P340" s="20"/>
      <c r="Q340" s="20"/>
      <c r="R340" s="20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4:49" ht="15" thickBot="1" x14ac:dyDescent="0.35">
      <c r="D341" s="2">
        <f t="shared" si="45"/>
        <v>335</v>
      </c>
      <c r="E341" s="6">
        <v>3.1431859907271247</v>
      </c>
      <c r="F341" s="24"/>
      <c r="G341" s="24"/>
      <c r="H341" s="24"/>
      <c r="I341" s="24"/>
      <c r="J341" s="3"/>
      <c r="K341" s="8"/>
      <c r="L341" s="8"/>
      <c r="M341" s="8"/>
      <c r="N341" s="13"/>
      <c r="O341" s="9"/>
      <c r="P341" s="20"/>
      <c r="Q341" s="20"/>
      <c r="R341" s="20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4:49" ht="15" thickBot="1" x14ac:dyDescent="0.35">
      <c r="D342" s="2">
        <f t="shared" si="45"/>
        <v>336</v>
      </c>
      <c r="E342" s="6">
        <v>1.3938751855698128</v>
      </c>
      <c r="F342" s="24"/>
      <c r="G342" s="24"/>
      <c r="H342" s="24"/>
      <c r="I342" s="24"/>
      <c r="J342" s="3"/>
      <c r="K342" s="8"/>
      <c r="L342" s="8"/>
      <c r="M342" s="8"/>
      <c r="N342" s="13"/>
      <c r="O342" s="9"/>
      <c r="P342" s="20"/>
      <c r="Q342" s="20"/>
      <c r="R342" s="20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4:49" ht="15" thickBot="1" x14ac:dyDescent="0.35">
      <c r="D343" s="2">
        <f t="shared" si="45"/>
        <v>337</v>
      </c>
      <c r="E343" s="6">
        <v>1.2986645922303073</v>
      </c>
      <c r="F343" s="24"/>
      <c r="G343" s="24"/>
      <c r="H343" s="24"/>
      <c r="I343" s="24"/>
      <c r="J343" s="3"/>
      <c r="K343" s="8"/>
      <c r="L343" s="8"/>
      <c r="M343" s="8"/>
      <c r="N343" s="22"/>
      <c r="O343" s="9"/>
      <c r="P343" s="20"/>
      <c r="Q343" s="20"/>
      <c r="R343" s="20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4:49" ht="15" thickBot="1" x14ac:dyDescent="0.35">
      <c r="D344" s="2">
        <f t="shared" si="45"/>
        <v>338</v>
      </c>
      <c r="E344" s="6">
        <v>11.70024946686997</v>
      </c>
      <c r="F344" s="24"/>
      <c r="G344" s="24"/>
      <c r="H344" s="24"/>
      <c r="I344" s="24"/>
      <c r="J344" s="3"/>
      <c r="K344" s="8"/>
      <c r="L344" s="8"/>
      <c r="M344" s="8"/>
      <c r="N344" s="13"/>
      <c r="O344" s="9"/>
      <c r="P344" s="20"/>
      <c r="Q344" s="20"/>
      <c r="R344" s="20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4:49" ht="15" thickBot="1" x14ac:dyDescent="0.35">
      <c r="D345" s="2">
        <f t="shared" si="45"/>
        <v>339</v>
      </c>
      <c r="E345" s="6">
        <v>2.0127307287473415</v>
      </c>
      <c r="F345" s="24"/>
      <c r="G345" s="24"/>
      <c r="H345" s="24"/>
      <c r="I345" s="24"/>
      <c r="J345" s="3"/>
      <c r="K345" s="8"/>
      <c r="L345" s="8"/>
      <c r="M345" s="8"/>
      <c r="N345" s="22"/>
      <c r="O345" s="9"/>
      <c r="P345" s="20"/>
      <c r="Q345" s="20"/>
      <c r="R345" s="20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4:49" ht="15" thickBot="1" x14ac:dyDescent="0.35">
      <c r="D346" s="2">
        <f t="shared" si="45"/>
        <v>340</v>
      </c>
      <c r="E346" s="6">
        <v>0.11286621147823192</v>
      </c>
      <c r="F346" s="24"/>
      <c r="G346" s="24"/>
      <c r="H346" s="24"/>
      <c r="I346" s="24"/>
      <c r="J346" s="3"/>
      <c r="K346" s="8"/>
      <c r="L346" s="8"/>
      <c r="M346" s="8"/>
      <c r="N346" s="13"/>
      <c r="O346" s="9"/>
      <c r="P346" s="20"/>
      <c r="Q346" s="20"/>
      <c r="R346" s="20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4:49" ht="15" thickBot="1" x14ac:dyDescent="0.35">
      <c r="D347" s="2">
        <f t="shared" si="45"/>
        <v>341</v>
      </c>
      <c r="E347" s="6">
        <v>0.92252041088327164</v>
      </c>
      <c r="F347" s="24"/>
      <c r="G347" s="24"/>
      <c r="H347" s="24"/>
      <c r="I347" s="24"/>
      <c r="J347" s="3"/>
      <c r="K347" s="8"/>
      <c r="L347" s="8"/>
      <c r="M347" s="8"/>
      <c r="N347" s="13"/>
      <c r="O347" s="9"/>
      <c r="P347" s="20"/>
      <c r="Q347" s="20"/>
      <c r="R347" s="20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4:49" ht="15" thickBot="1" x14ac:dyDescent="0.35">
      <c r="D348" s="2">
        <f t="shared" si="45"/>
        <v>342</v>
      </c>
      <c r="E348" s="6">
        <v>2.8772702054997361</v>
      </c>
      <c r="F348" s="24"/>
      <c r="G348" s="24"/>
      <c r="H348" s="24"/>
      <c r="I348" s="24"/>
      <c r="J348" s="3"/>
      <c r="K348" s="8"/>
      <c r="L348" s="8"/>
      <c r="M348" s="8"/>
      <c r="N348" s="22"/>
      <c r="O348" s="9"/>
      <c r="P348" s="20"/>
      <c r="Q348" s="20"/>
      <c r="R348" s="20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4:49" ht="15" thickBot="1" x14ac:dyDescent="0.35">
      <c r="D349" s="2">
        <f t="shared" si="45"/>
        <v>343</v>
      </c>
      <c r="E349" s="6">
        <v>10.132476302897286</v>
      </c>
      <c r="F349" s="24"/>
      <c r="G349" s="24"/>
      <c r="H349" s="24"/>
      <c r="I349" s="24"/>
      <c r="J349" s="3"/>
      <c r="K349" s="8"/>
      <c r="L349" s="8"/>
      <c r="M349" s="8"/>
      <c r="N349" s="13"/>
      <c r="O349" s="9"/>
      <c r="P349" s="20"/>
      <c r="Q349" s="20"/>
      <c r="R349" s="20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4:49" ht="15" thickBot="1" x14ac:dyDescent="0.35">
      <c r="D350" s="2">
        <f t="shared" si="45"/>
        <v>344</v>
      </c>
      <c r="E350" s="6">
        <v>9.5317341524006522</v>
      </c>
      <c r="F350" s="24"/>
      <c r="G350" s="24"/>
      <c r="H350" s="24"/>
      <c r="I350" s="24"/>
      <c r="J350" s="3"/>
      <c r="K350" s="8"/>
      <c r="L350" s="8"/>
      <c r="M350" s="8"/>
      <c r="N350" s="22"/>
      <c r="O350" s="9"/>
      <c r="P350" s="20"/>
      <c r="Q350" s="20"/>
      <c r="R350" s="20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4:49" ht="15" thickBot="1" x14ac:dyDescent="0.35">
      <c r="D351" s="2">
        <f t="shared" si="45"/>
        <v>345</v>
      </c>
      <c r="E351" s="6">
        <v>0.23516839389084099</v>
      </c>
      <c r="F351" s="24"/>
      <c r="G351" s="24"/>
      <c r="H351" s="24"/>
      <c r="I351" s="24"/>
      <c r="J351" s="3"/>
      <c r="K351" s="8"/>
      <c r="L351" s="8"/>
      <c r="M351" s="8"/>
      <c r="N351" s="13"/>
      <c r="O351" s="9"/>
      <c r="P351" s="20"/>
      <c r="Q351" s="20"/>
      <c r="R351" s="20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4:49" ht="15" thickBot="1" x14ac:dyDescent="0.35">
      <c r="D352" s="2">
        <f t="shared" si="45"/>
        <v>346</v>
      </c>
      <c r="E352" s="6">
        <v>3.6124619344221069</v>
      </c>
      <c r="F352" s="24"/>
      <c r="G352" s="24"/>
      <c r="H352" s="24"/>
      <c r="I352" s="24"/>
      <c r="J352" s="3"/>
      <c r="K352" s="8"/>
      <c r="L352" s="8"/>
      <c r="M352" s="8"/>
      <c r="N352" s="13"/>
      <c r="O352" s="9"/>
      <c r="P352" s="20"/>
      <c r="Q352" s="20"/>
      <c r="R352" s="20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4:49" ht="15" thickBot="1" x14ac:dyDescent="0.35">
      <c r="D353" s="2">
        <f t="shared" si="45"/>
        <v>347</v>
      </c>
      <c r="E353" s="6">
        <v>3.3536597253010703</v>
      </c>
      <c r="F353" s="24"/>
      <c r="G353" s="24"/>
      <c r="H353" s="24"/>
      <c r="I353" s="24"/>
      <c r="J353" s="3"/>
      <c r="K353" s="8"/>
      <c r="L353" s="8"/>
      <c r="M353" s="8"/>
      <c r="N353" s="22"/>
      <c r="O353" s="9"/>
      <c r="P353" s="20"/>
      <c r="Q353" s="20"/>
      <c r="R353" s="20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4:49" ht="15" thickBot="1" x14ac:dyDescent="0.35">
      <c r="D354" s="2">
        <f t="shared" si="45"/>
        <v>348</v>
      </c>
      <c r="E354" s="6">
        <v>2.3769132652101916</v>
      </c>
      <c r="F354" s="24"/>
      <c r="G354" s="24"/>
      <c r="H354" s="24"/>
      <c r="I354" s="24"/>
      <c r="J354" s="3"/>
      <c r="K354" s="8"/>
      <c r="L354" s="8"/>
      <c r="M354" s="8"/>
      <c r="N354" s="13"/>
      <c r="O354" s="9"/>
      <c r="P354" s="20"/>
      <c r="Q354" s="20"/>
      <c r="R354" s="20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4:49" ht="15" thickBot="1" x14ac:dyDescent="0.35">
      <c r="D355" s="2">
        <f t="shared" si="45"/>
        <v>349</v>
      </c>
      <c r="E355" s="6">
        <v>17.389139193384924</v>
      </c>
      <c r="F355" s="24"/>
      <c r="G355" s="24"/>
      <c r="H355" s="24"/>
      <c r="I355" s="24"/>
      <c r="J355" s="3"/>
      <c r="K355" s="8"/>
      <c r="L355" s="8"/>
      <c r="M355" s="8"/>
      <c r="N355" s="22"/>
      <c r="O355" s="9"/>
      <c r="P355" s="20"/>
      <c r="Q355" s="20"/>
      <c r="R355" s="20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4:49" ht="15" thickBot="1" x14ac:dyDescent="0.35">
      <c r="D356" s="2">
        <f t="shared" si="45"/>
        <v>350</v>
      </c>
      <c r="E356" s="6">
        <v>1.1617678865977248</v>
      </c>
      <c r="F356" s="24"/>
      <c r="G356" s="24"/>
      <c r="H356" s="24"/>
      <c r="I356" s="24"/>
      <c r="J356" s="3"/>
      <c r="K356" s="8"/>
      <c r="L356" s="8"/>
      <c r="M356" s="8"/>
      <c r="N356" s="13"/>
      <c r="O356" s="9"/>
      <c r="P356" s="20"/>
      <c r="Q356" s="20"/>
      <c r="R356" s="20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4:49" ht="15" thickBot="1" x14ac:dyDescent="0.35">
      <c r="D357" s="2">
        <f t="shared" si="45"/>
        <v>351</v>
      </c>
      <c r="E357" s="6">
        <v>6.4660773258003204</v>
      </c>
      <c r="F357" s="24"/>
      <c r="G357" s="24"/>
      <c r="H357" s="24"/>
      <c r="I357" s="24"/>
      <c r="J357" s="3"/>
      <c r="K357" s="8"/>
      <c r="L357" s="8"/>
      <c r="M357" s="8"/>
      <c r="N357" s="13"/>
      <c r="O357" s="9"/>
      <c r="P357" s="20"/>
      <c r="Q357" s="20"/>
      <c r="R357" s="20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4:49" ht="15" thickBot="1" x14ac:dyDescent="0.35">
      <c r="D358" s="2">
        <f t="shared" si="45"/>
        <v>352</v>
      </c>
      <c r="E358" s="6">
        <v>9.3885765432416157</v>
      </c>
      <c r="F358" s="24"/>
      <c r="G358" s="24"/>
      <c r="H358" s="24"/>
      <c r="I358" s="24"/>
      <c r="J358" s="3"/>
      <c r="K358" s="8"/>
      <c r="L358" s="8"/>
      <c r="M358" s="8"/>
      <c r="N358" s="22"/>
      <c r="O358" s="9"/>
      <c r="P358" s="20"/>
      <c r="Q358" s="20"/>
      <c r="R358" s="20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4:49" ht="15" thickBot="1" x14ac:dyDescent="0.35">
      <c r="D359" s="2">
        <f t="shared" si="45"/>
        <v>353</v>
      </c>
      <c r="E359" s="6">
        <v>3.1453568645897825</v>
      </c>
      <c r="F359" s="24"/>
      <c r="G359" s="24"/>
      <c r="H359" s="24"/>
      <c r="I359" s="24"/>
      <c r="J359" s="3"/>
      <c r="K359" s="8"/>
      <c r="L359" s="8"/>
      <c r="M359" s="8"/>
      <c r="N359" s="13"/>
      <c r="O359" s="9"/>
      <c r="P359" s="20"/>
      <c r="Q359" s="20"/>
      <c r="R359" s="20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4:49" ht="15" thickBot="1" x14ac:dyDescent="0.35">
      <c r="D360" s="2">
        <f t="shared" si="45"/>
        <v>354</v>
      </c>
      <c r="E360" s="6">
        <v>1.324674411153363</v>
      </c>
      <c r="F360" s="24"/>
      <c r="G360" s="24"/>
      <c r="H360" s="24"/>
      <c r="I360" s="24"/>
      <c r="J360" s="3"/>
      <c r="K360" s="8"/>
      <c r="L360" s="8"/>
      <c r="M360" s="8"/>
      <c r="N360" s="22"/>
      <c r="O360" s="9"/>
      <c r="P360" s="20"/>
      <c r="Q360" s="20"/>
      <c r="R360" s="20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4:49" ht="15" thickBot="1" x14ac:dyDescent="0.35">
      <c r="D361" s="2">
        <f t="shared" si="45"/>
        <v>355</v>
      </c>
      <c r="E361" s="6">
        <v>0.99382047131528362</v>
      </c>
      <c r="F361" s="24"/>
      <c r="G361" s="24"/>
      <c r="H361" s="24"/>
      <c r="I361" s="24"/>
      <c r="J361" s="3"/>
      <c r="K361" s="8"/>
      <c r="L361" s="8"/>
      <c r="M361" s="8"/>
      <c r="N361" s="13"/>
      <c r="O361" s="9"/>
      <c r="P361" s="20"/>
      <c r="Q361" s="20"/>
      <c r="R361" s="20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4:49" ht="15" thickBot="1" x14ac:dyDescent="0.35">
      <c r="D362" s="2">
        <f t="shared" si="45"/>
        <v>356</v>
      </c>
      <c r="E362" s="6">
        <v>1.5684430772662867</v>
      </c>
      <c r="F362" s="24"/>
      <c r="G362" s="24"/>
      <c r="H362" s="24"/>
      <c r="I362" s="24"/>
      <c r="J362" s="3"/>
      <c r="K362" s="8"/>
      <c r="L362" s="8"/>
      <c r="M362" s="8"/>
      <c r="N362" s="13"/>
      <c r="O362" s="9"/>
      <c r="P362" s="20"/>
      <c r="Q362" s="20"/>
      <c r="R362" s="20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4:49" ht="15" thickBot="1" x14ac:dyDescent="0.35">
      <c r="D363" s="2">
        <f t="shared" si="45"/>
        <v>357</v>
      </c>
      <c r="E363" s="6">
        <v>2.2051860361654505</v>
      </c>
      <c r="F363" s="24"/>
      <c r="G363" s="24"/>
      <c r="H363" s="24"/>
      <c r="I363" s="24"/>
      <c r="J363" s="3"/>
      <c r="K363" s="8"/>
      <c r="L363" s="8"/>
      <c r="M363" s="8"/>
      <c r="N363" s="22"/>
      <c r="O363" s="9"/>
      <c r="P363" s="20"/>
      <c r="Q363" s="20"/>
      <c r="R363" s="20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4:49" ht="15" thickBot="1" x14ac:dyDescent="0.35">
      <c r="D364" s="2">
        <f t="shared" si="45"/>
        <v>358</v>
      </c>
      <c r="E364" s="6">
        <v>0.35602977651778533</v>
      </c>
      <c r="F364" s="24"/>
      <c r="G364" s="24"/>
      <c r="H364" s="24"/>
      <c r="I364" s="24"/>
      <c r="J364" s="3"/>
      <c r="K364" s="8"/>
      <c r="L364" s="8"/>
      <c r="M364" s="8"/>
      <c r="N364" s="13"/>
      <c r="O364" s="9"/>
      <c r="P364" s="20"/>
      <c r="Q364" s="20"/>
      <c r="R364" s="20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4:49" ht="15" thickBot="1" x14ac:dyDescent="0.35">
      <c r="D365" s="2">
        <f t="shared" si="45"/>
        <v>359</v>
      </c>
      <c r="E365" s="6">
        <v>2.424038852653811</v>
      </c>
      <c r="F365" s="24"/>
      <c r="G365" s="24"/>
      <c r="H365" s="24"/>
      <c r="I365" s="24"/>
      <c r="J365" s="3"/>
      <c r="K365" s="8"/>
      <c r="L365" s="8"/>
      <c r="M365" s="8"/>
      <c r="N365" s="22"/>
      <c r="O365" s="9"/>
      <c r="P365" s="20"/>
      <c r="Q365" s="20"/>
      <c r="R365" s="20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4:49" ht="15" thickBot="1" x14ac:dyDescent="0.35">
      <c r="D366" s="2">
        <f t="shared" si="45"/>
        <v>360</v>
      </c>
      <c r="E366" s="6">
        <v>0.39557394738644075</v>
      </c>
      <c r="F366" s="24"/>
      <c r="G366" s="24"/>
      <c r="H366" s="24"/>
      <c r="I366" s="24"/>
      <c r="J366" s="3"/>
      <c r="K366" s="8"/>
      <c r="L366" s="8"/>
      <c r="M366" s="8"/>
      <c r="N366" s="13"/>
      <c r="O366" s="9"/>
      <c r="P366" s="20"/>
      <c r="Q366" s="20"/>
      <c r="R366" s="20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4:49" ht="15" thickBot="1" x14ac:dyDescent="0.35">
      <c r="D367" s="2">
        <f t="shared" si="45"/>
        <v>361</v>
      </c>
      <c r="E367" s="6">
        <v>5.0817887833244404</v>
      </c>
      <c r="F367" s="24"/>
      <c r="G367" s="24"/>
      <c r="H367" s="24"/>
      <c r="I367" s="24"/>
      <c r="J367" s="3"/>
      <c r="K367" s="8"/>
      <c r="L367" s="8"/>
      <c r="M367" s="8"/>
      <c r="N367" s="13"/>
      <c r="O367" s="9"/>
      <c r="P367" s="20"/>
      <c r="Q367" s="20"/>
      <c r="R367" s="20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4:49" ht="15" thickBot="1" x14ac:dyDescent="0.35">
      <c r="D368" s="2">
        <f t="shared" si="45"/>
        <v>362</v>
      </c>
      <c r="E368" s="6">
        <v>2.7390349891026493</v>
      </c>
      <c r="F368" s="24"/>
      <c r="G368" s="24"/>
      <c r="H368" s="24"/>
      <c r="I368" s="24"/>
      <c r="J368" s="3"/>
      <c r="K368" s="8"/>
      <c r="L368" s="8"/>
      <c r="M368" s="8"/>
      <c r="N368" s="22"/>
      <c r="O368" s="9"/>
      <c r="P368" s="20"/>
      <c r="Q368" s="20"/>
      <c r="R368" s="20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4:49" ht="15" thickBot="1" x14ac:dyDescent="0.35">
      <c r="D369" s="2">
        <f t="shared" si="45"/>
        <v>363</v>
      </c>
      <c r="E369" s="6">
        <v>1.6394003468979927</v>
      </c>
      <c r="F369" s="24"/>
      <c r="G369" s="24"/>
      <c r="H369" s="24"/>
      <c r="I369" s="24"/>
      <c r="J369" s="3"/>
      <c r="K369" s="8"/>
      <c r="L369" s="8"/>
      <c r="M369" s="8"/>
      <c r="N369" s="13"/>
      <c r="O369" s="9"/>
      <c r="P369" s="20"/>
      <c r="Q369" s="20"/>
      <c r="R369" s="20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4:49" ht="15" thickBot="1" x14ac:dyDescent="0.35">
      <c r="D370" s="2">
        <f t="shared" si="45"/>
        <v>364</v>
      </c>
      <c r="E370" s="6">
        <v>1.1585937617787061</v>
      </c>
      <c r="F370" s="24"/>
      <c r="G370" s="24"/>
      <c r="H370" s="24"/>
      <c r="I370" s="24"/>
      <c r="J370" s="3"/>
      <c r="K370" s="8"/>
      <c r="L370" s="8"/>
      <c r="M370" s="8"/>
      <c r="N370" s="22"/>
      <c r="O370" s="9"/>
      <c r="P370" s="20"/>
      <c r="Q370" s="20"/>
      <c r="R370" s="20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4:49" ht="15" thickBot="1" x14ac:dyDescent="0.35">
      <c r="D371" s="2">
        <f t="shared" si="45"/>
        <v>365</v>
      </c>
      <c r="E371" s="6">
        <v>6.8131153099523898</v>
      </c>
      <c r="F371" s="24"/>
      <c r="G371" s="24"/>
      <c r="H371" s="24"/>
      <c r="I371" s="24"/>
      <c r="J371" s="3"/>
      <c r="K371" s="8"/>
      <c r="L371" s="8"/>
      <c r="M371" s="8"/>
      <c r="N371" s="13"/>
      <c r="O371" s="9"/>
      <c r="P371" s="20"/>
      <c r="Q371" s="20"/>
      <c r="R371" s="20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4:49" ht="15" thickBot="1" x14ac:dyDescent="0.35">
      <c r="D372" s="2">
        <f t="shared" si="45"/>
        <v>366</v>
      </c>
      <c r="E372" s="6">
        <v>1.9734689450552418</v>
      </c>
      <c r="F372" s="24"/>
      <c r="G372" s="24"/>
      <c r="H372" s="24"/>
      <c r="I372" s="24"/>
      <c r="J372" s="3"/>
      <c r="K372" s="8"/>
      <c r="L372" s="8"/>
      <c r="M372" s="8"/>
      <c r="N372" s="13"/>
      <c r="O372" s="9"/>
      <c r="P372" s="20"/>
      <c r="Q372" s="20"/>
      <c r="R372" s="20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4:49" ht="15" thickBot="1" x14ac:dyDescent="0.35">
      <c r="D373" s="2">
        <f t="shared" si="45"/>
        <v>367</v>
      </c>
      <c r="E373" s="6">
        <v>2.3778200888165544</v>
      </c>
      <c r="F373" s="24"/>
      <c r="G373" s="24"/>
      <c r="H373" s="24"/>
      <c r="I373" s="24"/>
      <c r="J373" s="3"/>
      <c r="K373" s="8"/>
      <c r="L373" s="8"/>
      <c r="M373" s="8"/>
      <c r="N373" s="22"/>
      <c r="O373" s="9"/>
      <c r="P373" s="20"/>
      <c r="Q373" s="20"/>
      <c r="R373" s="20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4:49" ht="15" thickBot="1" x14ac:dyDescent="0.35">
      <c r="D374" s="2">
        <f t="shared" si="45"/>
        <v>368</v>
      </c>
      <c r="E374" s="6">
        <v>0.18602559162156171</v>
      </c>
      <c r="F374" s="24"/>
      <c r="G374" s="24"/>
      <c r="H374" s="24"/>
      <c r="I374" s="24"/>
      <c r="J374" s="3"/>
      <c r="K374" s="8"/>
      <c r="L374" s="8"/>
      <c r="M374" s="8"/>
      <c r="N374" s="13"/>
      <c r="O374" s="9"/>
      <c r="P374" s="20"/>
      <c r="Q374" s="20"/>
      <c r="R374" s="20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4:49" ht="15" thickBot="1" x14ac:dyDescent="0.35">
      <c r="D375" s="2">
        <f t="shared" si="45"/>
        <v>369</v>
      </c>
      <c r="E375" s="6">
        <v>0.11097090487766556</v>
      </c>
      <c r="F375" s="24"/>
      <c r="G375" s="24"/>
      <c r="H375" s="24"/>
      <c r="I375" s="24"/>
      <c r="J375" s="3"/>
      <c r="K375" s="8"/>
      <c r="L375" s="8"/>
      <c r="M375" s="8"/>
      <c r="N375" s="22"/>
      <c r="O375" s="9"/>
      <c r="P375" s="20"/>
      <c r="Q375" s="20"/>
      <c r="R375" s="20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4:49" ht="15" thickBot="1" x14ac:dyDescent="0.35">
      <c r="D376" s="2">
        <f t="shared" si="45"/>
        <v>370</v>
      </c>
      <c r="E376" s="6">
        <v>6.9630558787192918</v>
      </c>
      <c r="F376" s="24"/>
      <c r="G376" s="24"/>
      <c r="H376" s="24"/>
      <c r="I376" s="24"/>
      <c r="J376" s="3"/>
      <c r="K376" s="8"/>
      <c r="L376" s="8"/>
      <c r="M376" s="8"/>
      <c r="N376" s="13"/>
      <c r="O376" s="9"/>
      <c r="P376" s="20"/>
      <c r="Q376" s="20"/>
      <c r="R376" s="20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4:49" ht="15" thickBot="1" x14ac:dyDescent="0.35">
      <c r="D377" s="2">
        <f t="shared" si="45"/>
        <v>371</v>
      </c>
      <c r="E377" s="6">
        <v>0.17790195304584289</v>
      </c>
      <c r="F377" s="24"/>
      <c r="G377" s="24"/>
      <c r="H377" s="24"/>
      <c r="I377" s="24"/>
      <c r="J377" s="3"/>
      <c r="K377" s="8"/>
      <c r="L377" s="8"/>
      <c r="M377" s="8"/>
      <c r="N377" s="13"/>
      <c r="O377" s="9"/>
      <c r="P377" s="20"/>
      <c r="Q377" s="20"/>
      <c r="R377" s="20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4:49" ht="15" thickBot="1" x14ac:dyDescent="0.35">
      <c r="D378" s="2">
        <f t="shared" si="45"/>
        <v>372</v>
      </c>
      <c r="E378" s="6">
        <v>1.7159761413694343</v>
      </c>
      <c r="F378" s="24"/>
      <c r="G378" s="24"/>
      <c r="H378" s="24"/>
      <c r="I378" s="24"/>
      <c r="J378" s="3"/>
      <c r="K378" s="8"/>
      <c r="L378" s="8"/>
      <c r="M378" s="8"/>
      <c r="N378" s="22"/>
      <c r="O378" s="9"/>
      <c r="P378" s="20"/>
      <c r="Q378" s="20"/>
      <c r="R378" s="20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4:49" ht="15" thickBot="1" x14ac:dyDescent="0.35">
      <c r="D379" s="2">
        <f t="shared" si="45"/>
        <v>373</v>
      </c>
      <c r="E379" s="6">
        <v>17.600523779034212</v>
      </c>
      <c r="F379" s="24"/>
      <c r="G379" s="24"/>
      <c r="H379" s="24"/>
      <c r="I379" s="24"/>
      <c r="J379" s="3"/>
      <c r="K379" s="8"/>
      <c r="L379" s="8"/>
      <c r="M379" s="8"/>
      <c r="N379" s="13"/>
      <c r="O379" s="9"/>
      <c r="P379" s="20"/>
      <c r="Q379" s="20"/>
      <c r="R379" s="20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4:49" ht="15" thickBot="1" x14ac:dyDescent="0.35">
      <c r="D380" s="2">
        <f t="shared" si="45"/>
        <v>374</v>
      </c>
      <c r="E380" s="6">
        <v>5.4240592572631732</v>
      </c>
      <c r="F380" s="24"/>
      <c r="G380" s="24"/>
      <c r="H380" s="24"/>
      <c r="I380" s="24"/>
      <c r="J380" s="3"/>
      <c r="K380" s="8"/>
      <c r="L380" s="8"/>
      <c r="M380" s="8"/>
      <c r="N380" s="22"/>
      <c r="O380" s="9"/>
      <c r="P380" s="20"/>
      <c r="Q380" s="20"/>
      <c r="R380" s="20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4:49" ht="15" thickBot="1" x14ac:dyDescent="0.35">
      <c r="D381" s="2">
        <f t="shared" si="45"/>
        <v>375</v>
      </c>
      <c r="E381" s="6">
        <v>1.4793142207480703</v>
      </c>
      <c r="F381" s="24"/>
      <c r="G381" s="24"/>
      <c r="H381" s="24"/>
      <c r="I381" s="24"/>
      <c r="J381" s="3"/>
      <c r="K381" s="8"/>
      <c r="L381" s="8"/>
      <c r="M381" s="8"/>
      <c r="N381" s="13"/>
      <c r="O381" s="9"/>
      <c r="P381" s="20"/>
      <c r="Q381" s="20"/>
      <c r="R381" s="20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4:49" ht="15" thickBot="1" x14ac:dyDescent="0.35">
      <c r="D382" s="2">
        <f t="shared" si="45"/>
        <v>376</v>
      </c>
      <c r="E382" s="6">
        <v>2.7298730002307323</v>
      </c>
      <c r="F382" s="24"/>
      <c r="G382" s="24"/>
      <c r="H382" s="24"/>
      <c r="I382" s="24"/>
      <c r="J382" s="3"/>
      <c r="K382" s="8"/>
      <c r="L382" s="8"/>
      <c r="M382" s="8"/>
      <c r="N382" s="13"/>
      <c r="O382" s="9"/>
      <c r="P382" s="20"/>
      <c r="Q382" s="20"/>
      <c r="R382" s="20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4:49" ht="15" thickBot="1" x14ac:dyDescent="0.35">
      <c r="D383" s="2">
        <f t="shared" si="45"/>
        <v>377</v>
      </c>
      <c r="E383" s="6">
        <v>2.044574783793538</v>
      </c>
      <c r="F383" s="24"/>
      <c r="G383" s="24"/>
      <c r="H383" s="24"/>
      <c r="I383" s="24"/>
      <c r="J383" s="3"/>
      <c r="K383" s="8"/>
      <c r="L383" s="8"/>
      <c r="M383" s="8"/>
      <c r="N383" s="22"/>
      <c r="O383" s="9"/>
      <c r="P383" s="20"/>
      <c r="Q383" s="20"/>
      <c r="R383" s="20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4:49" ht="15" thickBot="1" x14ac:dyDescent="0.35">
      <c r="D384" s="2">
        <f t="shared" si="45"/>
        <v>378</v>
      </c>
      <c r="E384" s="6">
        <v>10.370493157912048</v>
      </c>
      <c r="F384" s="24"/>
      <c r="G384" s="24"/>
      <c r="H384" s="24"/>
      <c r="I384" s="24"/>
      <c r="J384" s="3"/>
      <c r="K384" s="8"/>
      <c r="L384" s="8"/>
      <c r="M384" s="8"/>
      <c r="N384" s="13"/>
      <c r="O384" s="9"/>
      <c r="P384" s="20"/>
      <c r="Q384" s="20"/>
      <c r="R384" s="20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4:49" ht="15" thickBot="1" x14ac:dyDescent="0.35">
      <c r="D385" s="2">
        <f t="shared" si="45"/>
        <v>379</v>
      </c>
      <c r="E385" s="6">
        <v>9.187826166954526</v>
      </c>
      <c r="F385" s="24"/>
      <c r="G385" s="24"/>
      <c r="H385" s="24"/>
      <c r="I385" s="24"/>
      <c r="J385" s="3"/>
      <c r="K385" s="8"/>
      <c r="L385" s="8"/>
      <c r="M385" s="8"/>
      <c r="N385" s="22"/>
      <c r="O385" s="9"/>
      <c r="P385" s="20"/>
      <c r="Q385" s="20"/>
      <c r="R385" s="20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4:49" ht="15" thickBot="1" x14ac:dyDescent="0.35">
      <c r="D386" s="2">
        <f t="shared" si="45"/>
        <v>380</v>
      </c>
      <c r="E386" s="6">
        <v>1.9297190429371764</v>
      </c>
      <c r="F386" s="24"/>
      <c r="G386" s="24"/>
      <c r="H386" s="24"/>
      <c r="I386" s="24"/>
      <c r="J386" s="3"/>
      <c r="K386" s="8"/>
      <c r="L386" s="8"/>
      <c r="M386" s="8"/>
      <c r="N386" s="13"/>
      <c r="O386" s="9"/>
      <c r="P386" s="20"/>
      <c r="Q386" s="20"/>
      <c r="R386" s="20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4:49" ht="15" thickBot="1" x14ac:dyDescent="0.35">
      <c r="D387" s="2">
        <f t="shared" si="45"/>
        <v>381</v>
      </c>
      <c r="E387" s="6">
        <v>2.7682765002941823</v>
      </c>
      <c r="F387" s="24"/>
      <c r="G387" s="24"/>
      <c r="H387" s="24"/>
      <c r="I387" s="24"/>
      <c r="J387" s="3"/>
      <c r="K387" s="8"/>
      <c r="L387" s="8"/>
      <c r="M387" s="8"/>
      <c r="N387" s="13"/>
      <c r="O387" s="9"/>
      <c r="P387" s="20"/>
      <c r="Q387" s="20"/>
      <c r="R387" s="20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4:49" ht="15" thickBot="1" x14ac:dyDescent="0.35">
      <c r="D388" s="2">
        <f t="shared" si="45"/>
        <v>382</v>
      </c>
      <c r="E388" s="6">
        <v>4.9213688935576467</v>
      </c>
      <c r="F388" s="24"/>
      <c r="G388" s="24"/>
      <c r="H388" s="24"/>
      <c r="I388" s="24"/>
      <c r="J388" s="3"/>
      <c r="K388" s="8"/>
      <c r="L388" s="8"/>
      <c r="M388" s="8"/>
      <c r="N388" s="22"/>
      <c r="O388" s="9"/>
      <c r="P388" s="20"/>
      <c r="Q388" s="20"/>
      <c r="R388" s="20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4:49" ht="15" thickBot="1" x14ac:dyDescent="0.35">
      <c r="D389" s="2">
        <f t="shared" si="45"/>
        <v>383</v>
      </c>
      <c r="E389" s="6">
        <v>1.709373632796471</v>
      </c>
      <c r="F389" s="24"/>
      <c r="G389" s="24"/>
      <c r="H389" s="24"/>
      <c r="I389" s="24"/>
      <c r="J389" s="3"/>
      <c r="K389" s="8"/>
      <c r="L389" s="8"/>
      <c r="M389" s="8"/>
      <c r="N389" s="13"/>
      <c r="O389" s="9"/>
      <c r="P389" s="20"/>
      <c r="Q389" s="20"/>
      <c r="R389" s="20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4:49" ht="15" thickBot="1" x14ac:dyDescent="0.35">
      <c r="D390" s="2">
        <f t="shared" si="45"/>
        <v>384</v>
      </c>
      <c r="E390" s="6">
        <v>2.9833155112396139</v>
      </c>
      <c r="F390" s="24"/>
      <c r="G390" s="24"/>
      <c r="H390" s="24"/>
      <c r="I390" s="24"/>
      <c r="J390" s="3"/>
      <c r="K390" s="8"/>
      <c r="L390" s="8"/>
      <c r="M390" s="8"/>
      <c r="N390" s="22"/>
      <c r="O390" s="9"/>
      <c r="P390" s="20"/>
      <c r="Q390" s="20"/>
      <c r="R390" s="20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4:49" ht="15" thickBot="1" x14ac:dyDescent="0.35">
      <c r="D391" s="2">
        <f t="shared" ref="D391:D454" si="46">ROW()-6</f>
        <v>385</v>
      </c>
      <c r="E391" s="6">
        <v>7.1604167570991173</v>
      </c>
      <c r="F391" s="24"/>
      <c r="G391" s="24"/>
      <c r="H391" s="24"/>
      <c r="I391" s="24"/>
      <c r="J391" s="3"/>
      <c r="K391" s="8"/>
      <c r="L391" s="8"/>
      <c r="M391" s="8"/>
      <c r="N391" s="13"/>
      <c r="O391" s="9"/>
      <c r="P391" s="20"/>
      <c r="Q391" s="20"/>
      <c r="R391" s="20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4:49" ht="15" thickBot="1" x14ac:dyDescent="0.35">
      <c r="D392" s="2">
        <f t="shared" si="46"/>
        <v>386</v>
      </c>
      <c r="E392" s="6">
        <v>0.8131167192094495</v>
      </c>
      <c r="F392" s="24"/>
      <c r="G392" s="24"/>
      <c r="H392" s="24"/>
      <c r="I392" s="24"/>
      <c r="J392" s="3"/>
      <c r="K392" s="8"/>
      <c r="L392" s="8"/>
      <c r="M392" s="8"/>
      <c r="N392" s="13"/>
      <c r="O392" s="9"/>
      <c r="P392" s="20"/>
      <c r="Q392" s="20"/>
      <c r="R392" s="20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4:49" ht="15" thickBot="1" x14ac:dyDescent="0.35">
      <c r="D393" s="2">
        <f t="shared" si="46"/>
        <v>387</v>
      </c>
      <c r="E393" s="6">
        <v>6.2092199245550708</v>
      </c>
      <c r="F393" s="24"/>
      <c r="G393" s="24"/>
      <c r="H393" s="24"/>
      <c r="I393" s="24"/>
      <c r="J393" s="3"/>
      <c r="K393" s="8"/>
      <c r="L393" s="8"/>
      <c r="M393" s="8"/>
      <c r="N393" s="22"/>
      <c r="O393" s="9"/>
      <c r="P393" s="20"/>
      <c r="Q393" s="20"/>
      <c r="R393" s="20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4:49" ht="15" thickBot="1" x14ac:dyDescent="0.35">
      <c r="D394" s="2">
        <f t="shared" si="46"/>
        <v>388</v>
      </c>
      <c r="E394" s="6">
        <v>0.25643278502828898</v>
      </c>
      <c r="F394" s="24"/>
      <c r="G394" s="24"/>
      <c r="H394" s="24"/>
      <c r="I394" s="24"/>
      <c r="J394" s="3"/>
      <c r="K394" s="8"/>
      <c r="L394" s="8"/>
      <c r="M394" s="8"/>
      <c r="N394" s="13"/>
      <c r="O394" s="9"/>
      <c r="P394" s="20"/>
      <c r="Q394" s="20"/>
      <c r="R394" s="20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4:49" ht="15" thickBot="1" x14ac:dyDescent="0.35">
      <c r="D395" s="2">
        <f t="shared" si="46"/>
        <v>389</v>
      </c>
      <c r="E395" s="6">
        <v>5.5764352324768414</v>
      </c>
      <c r="F395" s="24"/>
      <c r="G395" s="24"/>
      <c r="H395" s="24"/>
      <c r="I395" s="24"/>
      <c r="J395" s="3"/>
      <c r="K395" s="8"/>
      <c r="L395" s="8"/>
      <c r="M395" s="8"/>
      <c r="N395" s="22"/>
      <c r="O395" s="9"/>
      <c r="P395" s="20"/>
      <c r="Q395" s="20"/>
      <c r="R395" s="20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4:49" ht="15" thickBot="1" x14ac:dyDescent="0.35">
      <c r="D396" s="2">
        <f t="shared" si="46"/>
        <v>390</v>
      </c>
      <c r="E396" s="6">
        <v>0.3435345999172944</v>
      </c>
      <c r="F396" s="24"/>
      <c r="G396" s="24"/>
      <c r="H396" s="24"/>
      <c r="I396" s="24"/>
      <c r="J396" s="3"/>
      <c r="K396" s="8"/>
      <c r="L396" s="8"/>
      <c r="M396" s="8"/>
      <c r="N396" s="13"/>
      <c r="O396" s="9"/>
      <c r="P396" s="20"/>
      <c r="Q396" s="20"/>
      <c r="R396" s="20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4:49" ht="15" thickBot="1" x14ac:dyDescent="0.35">
      <c r="D397" s="2">
        <f t="shared" si="46"/>
        <v>391</v>
      </c>
      <c r="E397" s="6">
        <v>0.92557378756529296</v>
      </c>
      <c r="F397" s="24"/>
      <c r="G397" s="24"/>
      <c r="H397" s="24"/>
      <c r="I397" s="24"/>
      <c r="J397" s="3"/>
      <c r="K397" s="8"/>
      <c r="L397" s="8"/>
      <c r="M397" s="8"/>
      <c r="N397" s="13"/>
      <c r="O397" s="9"/>
      <c r="P397" s="20"/>
      <c r="Q397" s="20"/>
      <c r="R397" s="20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4:49" ht="15" thickBot="1" x14ac:dyDescent="0.35">
      <c r="D398" s="2">
        <f t="shared" si="46"/>
        <v>392</v>
      </c>
      <c r="E398" s="6">
        <v>1.5322208389302605</v>
      </c>
      <c r="F398" s="24"/>
      <c r="G398" s="24"/>
      <c r="H398" s="24"/>
      <c r="I398" s="24"/>
      <c r="J398" s="3"/>
      <c r="K398" s="8"/>
      <c r="L398" s="8"/>
      <c r="M398" s="8"/>
      <c r="N398" s="22"/>
      <c r="O398" s="9"/>
      <c r="P398" s="20"/>
      <c r="Q398" s="20"/>
      <c r="R398" s="20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4:49" ht="15" thickBot="1" x14ac:dyDescent="0.35">
      <c r="D399" s="2">
        <f t="shared" si="46"/>
        <v>393</v>
      </c>
      <c r="E399" s="6">
        <v>4.6765816067864243</v>
      </c>
      <c r="F399" s="24"/>
      <c r="G399" s="24"/>
      <c r="H399" s="24"/>
      <c r="I399" s="24"/>
      <c r="J399" s="3"/>
      <c r="K399" s="8"/>
      <c r="L399" s="8"/>
      <c r="M399" s="8"/>
      <c r="N399" s="13"/>
      <c r="O399" s="9"/>
      <c r="P399" s="20"/>
      <c r="Q399" s="20"/>
      <c r="R399" s="20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4:49" ht="15" thickBot="1" x14ac:dyDescent="0.35">
      <c r="D400" s="2">
        <f t="shared" si="46"/>
        <v>394</v>
      </c>
      <c r="E400" s="6">
        <v>9.0800465888544259</v>
      </c>
      <c r="F400" s="24"/>
      <c r="G400" s="24"/>
      <c r="H400" s="24"/>
      <c r="I400" s="24"/>
      <c r="J400" s="3"/>
      <c r="K400" s="8"/>
      <c r="L400" s="8"/>
      <c r="M400" s="8"/>
      <c r="N400" s="22"/>
      <c r="O400" s="9"/>
      <c r="P400" s="20"/>
      <c r="Q400" s="20"/>
      <c r="R400" s="20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4:49" ht="15" thickBot="1" x14ac:dyDescent="0.35">
      <c r="D401" s="2">
        <f t="shared" si="46"/>
        <v>395</v>
      </c>
      <c r="E401" s="6">
        <v>7.1933949872905023</v>
      </c>
      <c r="F401" s="24"/>
      <c r="G401" s="24"/>
      <c r="H401" s="24"/>
      <c r="I401" s="24"/>
      <c r="J401" s="3"/>
      <c r="K401" s="8"/>
      <c r="L401" s="8"/>
      <c r="M401" s="8"/>
      <c r="N401" s="13"/>
      <c r="O401" s="9"/>
      <c r="P401" s="20"/>
      <c r="Q401" s="20"/>
      <c r="R401" s="20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4:49" ht="15" thickBot="1" x14ac:dyDescent="0.35">
      <c r="D402" s="2">
        <f t="shared" si="46"/>
        <v>396</v>
      </c>
      <c r="E402" s="6">
        <v>8.5348252084028129</v>
      </c>
      <c r="F402" s="24"/>
      <c r="G402" s="24"/>
      <c r="H402" s="24"/>
      <c r="I402" s="24"/>
      <c r="J402" s="3"/>
      <c r="K402" s="8"/>
      <c r="L402" s="8"/>
      <c r="M402" s="8"/>
      <c r="N402" s="13"/>
      <c r="O402" s="9"/>
      <c r="P402" s="20"/>
      <c r="Q402" s="20"/>
      <c r="R402" s="20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4:49" ht="15" thickBot="1" x14ac:dyDescent="0.35">
      <c r="D403" s="2">
        <f t="shared" si="46"/>
        <v>397</v>
      </c>
      <c r="E403" s="6">
        <v>0.95770808881769864</v>
      </c>
      <c r="F403" s="24"/>
      <c r="G403" s="24"/>
      <c r="H403" s="24"/>
      <c r="I403" s="24"/>
      <c r="J403" s="3"/>
      <c r="K403" s="8"/>
      <c r="L403" s="8"/>
      <c r="M403" s="8"/>
      <c r="N403" s="22"/>
      <c r="O403" s="9"/>
      <c r="P403" s="20"/>
      <c r="Q403" s="20"/>
      <c r="R403" s="20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4:49" ht="15" thickBot="1" x14ac:dyDescent="0.35">
      <c r="D404" s="2">
        <f t="shared" si="46"/>
        <v>398</v>
      </c>
      <c r="E404" s="6">
        <v>1.8299247801117953</v>
      </c>
      <c r="F404" s="24"/>
      <c r="G404" s="24"/>
      <c r="H404" s="24"/>
      <c r="I404" s="24"/>
      <c r="J404" s="3"/>
      <c r="K404" s="8"/>
      <c r="L404" s="8"/>
      <c r="M404" s="8"/>
      <c r="N404" s="13"/>
      <c r="O404" s="9"/>
      <c r="P404" s="20"/>
      <c r="Q404" s="20"/>
      <c r="R404" s="20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4:49" ht="15" thickBot="1" x14ac:dyDescent="0.35">
      <c r="D405" s="2">
        <f t="shared" si="46"/>
        <v>399</v>
      </c>
      <c r="E405" s="6">
        <v>5.1296629506734348</v>
      </c>
      <c r="F405" s="24"/>
      <c r="G405" s="24"/>
      <c r="H405" s="24"/>
      <c r="I405" s="24"/>
      <c r="J405" s="3"/>
      <c r="K405" s="8"/>
      <c r="L405" s="8"/>
      <c r="M405" s="8"/>
      <c r="N405" s="22"/>
      <c r="O405" s="9"/>
      <c r="P405" s="20"/>
      <c r="Q405" s="20"/>
      <c r="R405" s="20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4:49" ht="15" thickBot="1" x14ac:dyDescent="0.35">
      <c r="D406" s="2">
        <f t="shared" si="46"/>
        <v>400</v>
      </c>
      <c r="E406" s="6">
        <v>10.677302396932692</v>
      </c>
      <c r="F406" s="24"/>
      <c r="G406" s="24"/>
      <c r="H406" s="24"/>
      <c r="I406" s="24"/>
      <c r="J406" s="3"/>
      <c r="K406" s="8"/>
      <c r="L406" s="8"/>
      <c r="M406" s="8"/>
      <c r="N406" s="13"/>
      <c r="O406" s="9"/>
      <c r="P406" s="20"/>
      <c r="Q406" s="20"/>
      <c r="R406" s="20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4:49" ht="15" thickBot="1" x14ac:dyDescent="0.35">
      <c r="D407" s="2">
        <f t="shared" si="46"/>
        <v>401</v>
      </c>
      <c r="E407" s="6">
        <v>1.0207822983115435</v>
      </c>
      <c r="F407" s="24"/>
      <c r="G407" s="24"/>
      <c r="H407" s="24"/>
      <c r="I407" s="24"/>
      <c r="J407" s="3"/>
      <c r="K407" s="8"/>
      <c r="L407" s="8"/>
      <c r="M407" s="8"/>
      <c r="N407" s="13"/>
      <c r="O407" s="9"/>
      <c r="P407" s="20"/>
      <c r="Q407" s="20"/>
      <c r="R407" s="20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4:49" ht="15" thickBot="1" x14ac:dyDescent="0.35">
      <c r="D408" s="2">
        <f t="shared" si="46"/>
        <v>402</v>
      </c>
      <c r="E408" s="6">
        <v>11.401778176969961</v>
      </c>
      <c r="F408" s="24"/>
      <c r="G408" s="24"/>
      <c r="H408" s="24"/>
      <c r="I408" s="24"/>
      <c r="J408" s="3"/>
      <c r="K408" s="8"/>
      <c r="L408" s="8"/>
      <c r="M408" s="8"/>
      <c r="N408" s="22"/>
      <c r="O408" s="9"/>
      <c r="P408" s="20"/>
      <c r="Q408" s="20"/>
      <c r="R408" s="20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4:49" ht="15" thickBot="1" x14ac:dyDescent="0.35">
      <c r="D409" s="2">
        <f t="shared" si="46"/>
        <v>403</v>
      </c>
      <c r="E409" s="6">
        <v>4.4954960236505102</v>
      </c>
      <c r="F409" s="24"/>
      <c r="G409" s="24"/>
      <c r="H409" s="24"/>
      <c r="I409" s="24"/>
      <c r="J409" s="3"/>
      <c r="K409" s="8"/>
      <c r="L409" s="8"/>
      <c r="M409" s="8"/>
      <c r="N409" s="13"/>
      <c r="O409" s="9"/>
      <c r="P409" s="20"/>
      <c r="Q409" s="20"/>
      <c r="R409" s="20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4:49" ht="15" thickBot="1" x14ac:dyDescent="0.35">
      <c r="D410" s="2">
        <f t="shared" si="46"/>
        <v>404</v>
      </c>
      <c r="E410" s="6">
        <v>6.4520976458282782</v>
      </c>
      <c r="F410" s="24"/>
      <c r="G410" s="24"/>
      <c r="H410" s="24"/>
      <c r="I410" s="24"/>
      <c r="J410" s="3"/>
      <c r="K410" s="8"/>
      <c r="L410" s="8"/>
      <c r="M410" s="8"/>
      <c r="N410" s="22"/>
      <c r="O410" s="9"/>
      <c r="P410" s="20"/>
      <c r="Q410" s="20"/>
      <c r="R410" s="20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4:49" ht="15" thickBot="1" x14ac:dyDescent="0.35">
      <c r="D411" s="2">
        <f t="shared" si="46"/>
        <v>405</v>
      </c>
      <c r="E411" s="6">
        <v>7.2637004295598064</v>
      </c>
      <c r="F411" s="24"/>
      <c r="G411" s="24"/>
      <c r="H411" s="24"/>
      <c r="I411" s="24"/>
      <c r="J411" s="3"/>
      <c r="K411" s="8"/>
      <c r="L411" s="8"/>
      <c r="M411" s="8"/>
      <c r="N411" s="13"/>
      <c r="O411" s="9"/>
      <c r="P411" s="20"/>
      <c r="Q411" s="20"/>
      <c r="R411" s="20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4:49" ht="15" thickBot="1" x14ac:dyDescent="0.35">
      <c r="D412" s="2">
        <f t="shared" si="46"/>
        <v>406</v>
      </c>
      <c r="E412" s="6">
        <v>0.87819281387892134</v>
      </c>
      <c r="F412" s="24"/>
      <c r="G412" s="24"/>
      <c r="H412" s="24"/>
      <c r="I412" s="24"/>
      <c r="J412" s="3"/>
      <c r="K412" s="8"/>
      <c r="L412" s="8"/>
      <c r="M412" s="8"/>
      <c r="N412" s="13"/>
      <c r="O412" s="9"/>
      <c r="P412" s="20"/>
      <c r="Q412" s="20"/>
      <c r="R412" s="20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4:49" ht="15" thickBot="1" x14ac:dyDescent="0.35">
      <c r="D413" s="2">
        <f t="shared" si="46"/>
        <v>407</v>
      </c>
      <c r="E413" s="6">
        <v>2.5747073832602054</v>
      </c>
      <c r="F413" s="24"/>
      <c r="G413" s="24"/>
      <c r="H413" s="24"/>
      <c r="I413" s="24"/>
      <c r="J413" s="3"/>
      <c r="K413" s="8"/>
      <c r="L413" s="8"/>
      <c r="M413" s="8"/>
      <c r="N413" s="22"/>
      <c r="O413" s="9"/>
      <c r="P413" s="20"/>
      <c r="Q413" s="20"/>
      <c r="R413" s="20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4:49" ht="15" thickBot="1" x14ac:dyDescent="0.35">
      <c r="D414" s="2">
        <f t="shared" si="46"/>
        <v>408</v>
      </c>
      <c r="E414" s="6">
        <v>11.349655355056818</v>
      </c>
      <c r="F414" s="24"/>
      <c r="G414" s="24"/>
      <c r="H414" s="24"/>
      <c r="I414" s="24"/>
      <c r="J414" s="3"/>
      <c r="K414" s="8"/>
      <c r="L414" s="8"/>
      <c r="M414" s="8"/>
      <c r="N414" s="13"/>
      <c r="O414" s="9"/>
      <c r="P414" s="20"/>
      <c r="Q414" s="20"/>
      <c r="R414" s="20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4:49" ht="15" thickBot="1" x14ac:dyDescent="0.35">
      <c r="D415" s="2">
        <f t="shared" si="46"/>
        <v>409</v>
      </c>
      <c r="E415" s="6">
        <v>0.71005101895274636</v>
      </c>
      <c r="F415" s="24"/>
      <c r="G415" s="24"/>
      <c r="H415" s="24"/>
      <c r="I415" s="24"/>
      <c r="J415" s="3"/>
      <c r="K415" s="8"/>
      <c r="L415" s="8"/>
      <c r="M415" s="8"/>
      <c r="N415" s="22"/>
      <c r="O415" s="9"/>
      <c r="P415" s="20"/>
      <c r="Q415" s="20"/>
      <c r="R415" s="20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4:49" ht="15" thickBot="1" x14ac:dyDescent="0.35">
      <c r="D416" s="2">
        <f t="shared" si="46"/>
        <v>410</v>
      </c>
      <c r="E416" s="6">
        <v>1.8588300589253903</v>
      </c>
      <c r="F416" s="24"/>
      <c r="G416" s="24"/>
      <c r="H416" s="24"/>
      <c r="I416" s="24"/>
      <c r="J416" s="3"/>
      <c r="K416" s="8"/>
      <c r="L416" s="8"/>
      <c r="M416" s="8"/>
      <c r="N416" s="13"/>
      <c r="O416" s="9"/>
      <c r="P416" s="20"/>
      <c r="Q416" s="20"/>
      <c r="R416" s="20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4:49" ht="15" thickBot="1" x14ac:dyDescent="0.35">
      <c r="D417" s="2">
        <f t="shared" si="46"/>
        <v>411</v>
      </c>
      <c r="E417" s="6">
        <v>9.0871596818990295</v>
      </c>
      <c r="F417" s="24"/>
      <c r="G417" s="24"/>
      <c r="H417" s="24"/>
      <c r="I417" s="24"/>
      <c r="J417" s="3"/>
      <c r="K417" s="8"/>
      <c r="L417" s="8"/>
      <c r="M417" s="8"/>
      <c r="N417" s="13"/>
      <c r="O417" s="9"/>
      <c r="P417" s="20"/>
      <c r="Q417" s="20"/>
      <c r="R417" s="20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4:49" ht="15" thickBot="1" x14ac:dyDescent="0.35">
      <c r="D418" s="2">
        <f t="shared" si="46"/>
        <v>412</v>
      </c>
      <c r="E418" s="6">
        <v>0.91776005294951735</v>
      </c>
      <c r="F418" s="24"/>
      <c r="G418" s="24"/>
      <c r="H418" s="24"/>
      <c r="I418" s="24"/>
      <c r="J418" s="3"/>
      <c r="K418" s="8"/>
      <c r="L418" s="8"/>
      <c r="M418" s="8"/>
      <c r="N418" s="22"/>
      <c r="O418" s="9"/>
      <c r="P418" s="20"/>
      <c r="Q418" s="20"/>
      <c r="R418" s="20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4:49" ht="15" thickBot="1" x14ac:dyDescent="0.35">
      <c r="D419" s="2">
        <f t="shared" si="46"/>
        <v>413</v>
      </c>
      <c r="E419" s="6">
        <v>9.1998646026732178</v>
      </c>
      <c r="F419" s="24"/>
      <c r="G419" s="24"/>
      <c r="H419" s="24"/>
      <c r="I419" s="24"/>
      <c r="J419" s="3"/>
      <c r="K419" s="8"/>
      <c r="L419" s="8"/>
      <c r="M419" s="8"/>
      <c r="N419" s="13"/>
      <c r="O419" s="9"/>
      <c r="P419" s="20"/>
      <c r="Q419" s="20"/>
      <c r="R419" s="20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4:49" ht="15" thickBot="1" x14ac:dyDescent="0.35">
      <c r="D420" s="2">
        <f t="shared" si="46"/>
        <v>414</v>
      </c>
      <c r="E420" s="6">
        <v>6.4890798671630456</v>
      </c>
      <c r="F420" s="24"/>
      <c r="G420" s="24"/>
      <c r="H420" s="24"/>
      <c r="I420" s="24"/>
      <c r="J420" s="3"/>
      <c r="K420" s="8"/>
      <c r="L420" s="8"/>
      <c r="M420" s="8"/>
      <c r="N420" s="22"/>
      <c r="O420" s="9"/>
      <c r="P420" s="20"/>
      <c r="Q420" s="20"/>
      <c r="R420" s="20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4:49" ht="15" thickBot="1" x14ac:dyDescent="0.35">
      <c r="D421" s="2">
        <f t="shared" si="46"/>
        <v>415</v>
      </c>
      <c r="E421" s="6">
        <v>1.4275512442916343</v>
      </c>
      <c r="F421" s="24"/>
      <c r="G421" s="24"/>
      <c r="H421" s="24"/>
      <c r="I421" s="24"/>
      <c r="J421" s="3"/>
      <c r="K421" s="8"/>
      <c r="L421" s="8"/>
      <c r="M421" s="8"/>
      <c r="N421" s="13"/>
      <c r="O421" s="9"/>
      <c r="P421" s="20"/>
      <c r="Q421" s="20"/>
      <c r="R421" s="20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4:49" ht="15" thickBot="1" x14ac:dyDescent="0.35">
      <c r="D422" s="2">
        <f t="shared" si="46"/>
        <v>416</v>
      </c>
      <c r="E422" s="6">
        <v>9.3047964664573541</v>
      </c>
      <c r="F422" s="24"/>
      <c r="G422" s="24"/>
      <c r="H422" s="24"/>
      <c r="I422" s="24"/>
      <c r="J422" s="3"/>
      <c r="K422" s="8"/>
      <c r="L422" s="8"/>
      <c r="M422" s="8"/>
      <c r="N422" s="13"/>
      <c r="O422" s="9"/>
      <c r="P422" s="20"/>
      <c r="Q422" s="20"/>
      <c r="R422" s="20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4:49" ht="15" thickBot="1" x14ac:dyDescent="0.35">
      <c r="D423" s="2">
        <f t="shared" si="46"/>
        <v>417</v>
      </c>
      <c r="E423" s="6">
        <v>1.4843960408623182</v>
      </c>
      <c r="F423" s="24"/>
      <c r="G423" s="24"/>
      <c r="H423" s="24"/>
      <c r="I423" s="24"/>
      <c r="J423" s="3"/>
      <c r="K423" s="8"/>
      <c r="L423" s="8"/>
      <c r="M423" s="8"/>
      <c r="N423" s="22"/>
      <c r="O423" s="9"/>
      <c r="P423" s="20"/>
      <c r="Q423" s="20"/>
      <c r="R423" s="20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4:49" ht="15" thickBot="1" x14ac:dyDescent="0.35">
      <c r="D424" s="2">
        <f t="shared" si="46"/>
        <v>418</v>
      </c>
      <c r="E424" s="6">
        <v>6.9615600152739159</v>
      </c>
      <c r="F424" s="24"/>
      <c r="G424" s="24"/>
      <c r="H424" s="24"/>
      <c r="I424" s="24"/>
      <c r="J424" s="3"/>
      <c r="K424" s="8"/>
      <c r="L424" s="8"/>
      <c r="M424" s="8"/>
      <c r="N424" s="13"/>
      <c r="O424" s="9"/>
      <c r="P424" s="20"/>
      <c r="Q424" s="20"/>
      <c r="R424" s="20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4:49" ht="15" thickBot="1" x14ac:dyDescent="0.35">
      <c r="D425" s="2">
        <f t="shared" si="46"/>
        <v>419</v>
      </c>
      <c r="E425" s="6">
        <v>4.2361021996799622</v>
      </c>
      <c r="F425" s="24"/>
      <c r="G425" s="24"/>
      <c r="H425" s="24"/>
      <c r="I425" s="24"/>
      <c r="J425" s="3"/>
      <c r="K425" s="8"/>
      <c r="L425" s="8"/>
      <c r="M425" s="8"/>
      <c r="N425" s="22"/>
      <c r="O425" s="9"/>
      <c r="P425" s="20"/>
      <c r="Q425" s="20"/>
      <c r="R425" s="20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4:49" ht="15" thickBot="1" x14ac:dyDescent="0.35">
      <c r="D426" s="2">
        <f t="shared" si="46"/>
        <v>420</v>
      </c>
      <c r="E426" s="6">
        <v>6.808556407194148</v>
      </c>
      <c r="F426" s="24"/>
      <c r="G426" s="24"/>
      <c r="H426" s="24"/>
      <c r="I426" s="24"/>
      <c r="J426" s="3"/>
      <c r="K426" s="8"/>
      <c r="L426" s="8"/>
      <c r="M426" s="8"/>
      <c r="N426" s="13"/>
      <c r="O426" s="9"/>
      <c r="P426" s="20"/>
      <c r="Q426" s="20"/>
      <c r="R426" s="20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4:49" ht="15" thickBot="1" x14ac:dyDescent="0.35">
      <c r="D427" s="2">
        <f t="shared" si="46"/>
        <v>421</v>
      </c>
      <c r="E427" s="6">
        <v>4.1925771276100143E-2</v>
      </c>
      <c r="F427" s="24"/>
      <c r="G427" s="24"/>
      <c r="H427" s="24"/>
      <c r="I427" s="24"/>
      <c r="J427" s="3"/>
      <c r="K427" s="8"/>
      <c r="L427" s="8"/>
      <c r="M427" s="8"/>
      <c r="N427" s="13"/>
      <c r="O427" s="9"/>
      <c r="P427" s="20"/>
      <c r="Q427" s="20"/>
      <c r="R427" s="20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4:49" ht="15" thickBot="1" x14ac:dyDescent="0.35">
      <c r="D428" s="2">
        <f t="shared" si="46"/>
        <v>422</v>
      </c>
      <c r="E428" s="6">
        <v>6.935761315404021E-2</v>
      </c>
      <c r="F428" s="24"/>
      <c r="G428" s="24"/>
      <c r="H428" s="24"/>
      <c r="I428" s="24"/>
      <c r="J428" s="3"/>
      <c r="K428" s="8"/>
      <c r="L428" s="8"/>
      <c r="M428" s="8"/>
      <c r="N428" s="22"/>
      <c r="O428" s="9"/>
      <c r="P428" s="20"/>
      <c r="Q428" s="20"/>
      <c r="R428" s="20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4:49" ht="15" thickBot="1" x14ac:dyDescent="0.35">
      <c r="D429" s="2">
        <f t="shared" si="46"/>
        <v>423</v>
      </c>
      <c r="E429" s="6">
        <v>0.25235313001872328</v>
      </c>
      <c r="F429" s="24"/>
      <c r="G429" s="24"/>
      <c r="H429" s="24"/>
      <c r="I429" s="24"/>
      <c r="J429" s="3"/>
      <c r="K429" s="8"/>
      <c r="L429" s="8"/>
      <c r="M429" s="8"/>
      <c r="N429" s="13"/>
      <c r="O429" s="9"/>
      <c r="P429" s="20"/>
      <c r="Q429" s="20"/>
      <c r="R429" s="20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4:49" ht="15" thickBot="1" x14ac:dyDescent="0.35">
      <c r="D430" s="2">
        <f t="shared" si="46"/>
        <v>424</v>
      </c>
      <c r="E430" s="6">
        <v>7.5479729822042277E-2</v>
      </c>
      <c r="F430" s="24"/>
      <c r="G430" s="24"/>
      <c r="H430" s="24"/>
      <c r="I430" s="24"/>
      <c r="J430" s="3"/>
      <c r="K430" s="8"/>
      <c r="L430" s="8"/>
      <c r="M430" s="8"/>
      <c r="N430" s="22"/>
      <c r="O430" s="9"/>
      <c r="P430" s="20"/>
      <c r="Q430" s="20"/>
      <c r="R430" s="20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4:49" ht="15" thickBot="1" x14ac:dyDescent="0.35">
      <c r="D431" s="2">
        <f t="shared" si="46"/>
        <v>425</v>
      </c>
      <c r="E431" s="6">
        <v>8.1945653984592859</v>
      </c>
      <c r="F431" s="24"/>
      <c r="G431" s="24"/>
      <c r="H431" s="24"/>
      <c r="I431" s="24"/>
      <c r="J431" s="3"/>
      <c r="K431" s="8"/>
      <c r="L431" s="8"/>
      <c r="M431" s="8"/>
      <c r="N431" s="13"/>
      <c r="O431" s="9"/>
      <c r="P431" s="20"/>
      <c r="Q431" s="20"/>
      <c r="R431" s="20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4:49" ht="15" thickBot="1" x14ac:dyDescent="0.35">
      <c r="D432" s="2">
        <f t="shared" si="46"/>
        <v>426</v>
      </c>
      <c r="E432" s="6">
        <v>4.1594048049550949</v>
      </c>
      <c r="F432" s="24"/>
      <c r="G432" s="24"/>
      <c r="H432" s="24"/>
      <c r="I432" s="24"/>
      <c r="J432" s="3"/>
      <c r="K432" s="8"/>
      <c r="L432" s="8"/>
      <c r="M432" s="8"/>
      <c r="N432" s="13"/>
      <c r="O432" s="9"/>
      <c r="P432" s="20"/>
      <c r="Q432" s="20"/>
      <c r="R432" s="20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4:49" ht="15" thickBot="1" x14ac:dyDescent="0.35">
      <c r="D433" s="2">
        <f t="shared" si="46"/>
        <v>427</v>
      </c>
      <c r="E433" s="6">
        <v>1.6434008754829836</v>
      </c>
      <c r="F433" s="24"/>
      <c r="G433" s="24"/>
      <c r="H433" s="24"/>
      <c r="I433" s="24"/>
      <c r="J433" s="3"/>
      <c r="K433" s="8"/>
      <c r="L433" s="8"/>
      <c r="M433" s="8"/>
      <c r="N433" s="22"/>
      <c r="O433" s="9"/>
      <c r="P433" s="20"/>
      <c r="Q433" s="20"/>
      <c r="R433" s="20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4:49" ht="15" thickBot="1" x14ac:dyDescent="0.35">
      <c r="D434" s="2">
        <f t="shared" si="46"/>
        <v>428</v>
      </c>
      <c r="E434" s="6">
        <v>7.3639668102855965E-2</v>
      </c>
      <c r="F434" s="24"/>
      <c r="G434" s="24"/>
      <c r="H434" s="24"/>
      <c r="I434" s="24"/>
      <c r="J434" s="3"/>
      <c r="K434" s="8"/>
      <c r="L434" s="8"/>
      <c r="M434" s="8"/>
      <c r="N434" s="13"/>
      <c r="O434" s="9"/>
      <c r="P434" s="20"/>
      <c r="Q434" s="20"/>
      <c r="R434" s="20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4:49" ht="15" thickBot="1" x14ac:dyDescent="0.35">
      <c r="D435" s="2">
        <f t="shared" si="46"/>
        <v>429</v>
      </c>
      <c r="E435" s="6">
        <v>1.1499346464429772</v>
      </c>
      <c r="F435" s="24"/>
      <c r="G435" s="24"/>
      <c r="H435" s="24"/>
      <c r="I435" s="24"/>
      <c r="J435" s="3"/>
      <c r="K435" s="8"/>
      <c r="L435" s="8"/>
      <c r="M435" s="8"/>
      <c r="N435" s="22"/>
      <c r="O435" s="9"/>
      <c r="P435" s="20"/>
      <c r="Q435" s="20"/>
      <c r="R435" s="20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4:49" ht="15" thickBot="1" x14ac:dyDescent="0.35">
      <c r="D436" s="2">
        <f t="shared" si="46"/>
        <v>430</v>
      </c>
      <c r="E436" s="6">
        <v>0.55052785211304811</v>
      </c>
      <c r="F436" s="24"/>
      <c r="G436" s="24"/>
      <c r="H436" s="24"/>
      <c r="I436" s="24"/>
      <c r="J436" s="3"/>
      <c r="K436" s="8"/>
      <c r="L436" s="8"/>
      <c r="M436" s="8"/>
      <c r="N436" s="13"/>
      <c r="O436" s="9"/>
      <c r="P436" s="20"/>
      <c r="Q436" s="20"/>
      <c r="R436" s="20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4:49" ht="15" thickBot="1" x14ac:dyDescent="0.35">
      <c r="D437" s="2">
        <f t="shared" si="46"/>
        <v>431</v>
      </c>
      <c r="E437" s="6">
        <v>0.72886268325509451</v>
      </c>
      <c r="F437" s="24"/>
      <c r="G437" s="24"/>
      <c r="H437" s="24"/>
      <c r="I437" s="24"/>
      <c r="J437" s="3"/>
      <c r="K437" s="8"/>
      <c r="L437" s="8"/>
      <c r="M437" s="8"/>
      <c r="N437" s="13"/>
      <c r="O437" s="9"/>
      <c r="P437" s="20"/>
      <c r="Q437" s="20"/>
      <c r="R437" s="20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4:49" ht="15" thickBot="1" x14ac:dyDescent="0.35">
      <c r="D438" s="2">
        <f t="shared" si="46"/>
        <v>432</v>
      </c>
      <c r="E438" s="6">
        <v>2.2392047520866303</v>
      </c>
      <c r="F438" s="24"/>
      <c r="G438" s="24"/>
      <c r="H438" s="24"/>
      <c r="I438" s="24"/>
      <c r="J438" s="3"/>
      <c r="K438" s="8"/>
      <c r="L438" s="8"/>
      <c r="M438" s="8"/>
      <c r="N438" s="22"/>
      <c r="O438" s="9"/>
      <c r="P438" s="20"/>
      <c r="Q438" s="20"/>
      <c r="R438" s="20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4:49" ht="15" thickBot="1" x14ac:dyDescent="0.35">
      <c r="D439" s="2">
        <f t="shared" si="46"/>
        <v>433</v>
      </c>
      <c r="E439" s="6">
        <v>4.5144904287818219</v>
      </c>
      <c r="F439" s="24"/>
      <c r="G439" s="24"/>
      <c r="H439" s="24"/>
      <c r="I439" s="24"/>
      <c r="J439" s="3"/>
      <c r="K439" s="8"/>
      <c r="L439" s="8"/>
      <c r="M439" s="8"/>
      <c r="N439" s="13"/>
      <c r="O439" s="9"/>
      <c r="P439" s="20"/>
      <c r="Q439" s="20"/>
      <c r="R439" s="20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4:49" ht="15" thickBot="1" x14ac:dyDescent="0.35">
      <c r="D440" s="2">
        <f t="shared" si="46"/>
        <v>434</v>
      </c>
      <c r="E440" s="6">
        <v>0.72689913998042943</v>
      </c>
      <c r="F440" s="24"/>
      <c r="G440" s="24"/>
      <c r="H440" s="24"/>
      <c r="I440" s="24"/>
      <c r="J440" s="3"/>
      <c r="K440" s="8"/>
      <c r="L440" s="8"/>
      <c r="M440" s="8"/>
      <c r="N440" s="22"/>
      <c r="O440" s="9"/>
      <c r="P440" s="20"/>
      <c r="Q440" s="20"/>
      <c r="R440" s="20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4:49" ht="15" thickBot="1" x14ac:dyDescent="0.35">
      <c r="D441" s="2">
        <f t="shared" si="46"/>
        <v>435</v>
      </c>
      <c r="E441" s="6">
        <v>1.742943030300862</v>
      </c>
      <c r="F441" s="24"/>
      <c r="G441" s="24"/>
      <c r="H441" s="24"/>
      <c r="I441" s="24"/>
      <c r="J441" s="3"/>
      <c r="K441" s="8"/>
      <c r="L441" s="8"/>
      <c r="M441" s="8"/>
      <c r="N441" s="13"/>
      <c r="O441" s="9"/>
      <c r="P441" s="20"/>
      <c r="Q441" s="20"/>
      <c r="R441" s="20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4:49" ht="15" thickBot="1" x14ac:dyDescent="0.35">
      <c r="D442" s="2">
        <f t="shared" si="46"/>
        <v>436</v>
      </c>
      <c r="E442" s="6">
        <v>5.572014776559862</v>
      </c>
      <c r="F442" s="24"/>
      <c r="G442" s="24"/>
      <c r="H442" s="24"/>
      <c r="I442" s="24"/>
      <c r="J442" s="3"/>
      <c r="K442" s="8"/>
      <c r="L442" s="8"/>
      <c r="M442" s="8"/>
      <c r="N442" s="13"/>
      <c r="O442" s="9"/>
      <c r="P442" s="20"/>
      <c r="Q442" s="20"/>
      <c r="R442" s="20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4:49" ht="15" thickBot="1" x14ac:dyDescent="0.35">
      <c r="D443" s="2">
        <f t="shared" si="46"/>
        <v>437</v>
      </c>
      <c r="E443" s="6">
        <v>3.9426672835222161</v>
      </c>
      <c r="F443" s="24"/>
      <c r="G443" s="24"/>
      <c r="H443" s="24"/>
      <c r="I443" s="24"/>
      <c r="J443" s="3"/>
      <c r="K443" s="8"/>
      <c r="L443" s="8"/>
      <c r="M443" s="8"/>
      <c r="N443" s="22"/>
      <c r="O443" s="9"/>
      <c r="P443" s="20"/>
      <c r="Q443" s="20"/>
      <c r="R443" s="20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4:49" ht="15" thickBot="1" x14ac:dyDescent="0.35">
      <c r="D444" s="2">
        <f t="shared" si="46"/>
        <v>438</v>
      </c>
      <c r="E444" s="6">
        <v>2.3704115586568459</v>
      </c>
      <c r="F444" s="24"/>
      <c r="G444" s="24"/>
      <c r="H444" s="24"/>
      <c r="I444" s="24"/>
      <c r="J444" s="3"/>
      <c r="K444" s="8"/>
      <c r="L444" s="8"/>
      <c r="M444" s="8"/>
      <c r="N444" s="13"/>
      <c r="O444" s="9"/>
      <c r="P444" s="20"/>
      <c r="Q444" s="20"/>
      <c r="R444" s="20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4:49" ht="15" thickBot="1" x14ac:dyDescent="0.35">
      <c r="D445" s="2">
        <f t="shared" si="46"/>
        <v>439</v>
      </c>
      <c r="E445" s="6">
        <v>1.3746489238269821E-2</v>
      </c>
      <c r="F445" s="24"/>
      <c r="G445" s="24"/>
      <c r="H445" s="24"/>
      <c r="I445" s="24"/>
      <c r="J445" s="3"/>
      <c r="K445" s="8"/>
      <c r="L445" s="8"/>
      <c r="M445" s="8"/>
      <c r="N445" s="22"/>
      <c r="O445" s="9"/>
      <c r="P445" s="20"/>
      <c r="Q445" s="20"/>
      <c r="R445" s="20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4:49" ht="15" thickBot="1" x14ac:dyDescent="0.35">
      <c r="D446" s="2">
        <f t="shared" si="46"/>
        <v>440</v>
      </c>
      <c r="E446" s="6">
        <v>7.4678851318378898</v>
      </c>
      <c r="F446" s="24"/>
      <c r="G446" s="24"/>
      <c r="H446" s="24"/>
      <c r="I446" s="24"/>
      <c r="J446" s="3"/>
      <c r="K446" s="8"/>
      <c r="L446" s="8"/>
      <c r="M446" s="8"/>
      <c r="N446" s="13"/>
      <c r="O446" s="9"/>
      <c r="P446" s="20"/>
      <c r="Q446" s="20"/>
      <c r="R446" s="20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4:49" ht="15" thickBot="1" x14ac:dyDescent="0.35">
      <c r="D447" s="2">
        <f t="shared" si="46"/>
        <v>441</v>
      </c>
      <c r="E447" s="6">
        <v>0.60054062060001712</v>
      </c>
      <c r="F447" s="24"/>
      <c r="G447" s="24"/>
      <c r="H447" s="24"/>
      <c r="I447" s="24"/>
      <c r="J447" s="3"/>
      <c r="K447" s="8"/>
      <c r="L447" s="8"/>
      <c r="M447" s="8"/>
      <c r="N447" s="13"/>
      <c r="O447" s="9"/>
      <c r="P447" s="20"/>
      <c r="Q447" s="20"/>
      <c r="R447" s="20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4:49" ht="15" thickBot="1" x14ac:dyDescent="0.35">
      <c r="D448" s="2">
        <f t="shared" si="46"/>
        <v>442</v>
      </c>
      <c r="E448" s="6">
        <v>7.0759944946693185</v>
      </c>
      <c r="F448" s="24"/>
      <c r="G448" s="24"/>
      <c r="H448" s="24"/>
      <c r="I448" s="24"/>
      <c r="J448" s="3"/>
      <c r="K448" s="8"/>
      <c r="L448" s="8"/>
      <c r="M448" s="8"/>
      <c r="N448" s="22"/>
      <c r="O448" s="9"/>
      <c r="P448" s="20"/>
      <c r="Q448" s="20"/>
      <c r="R448" s="20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4:49" ht="15" thickBot="1" x14ac:dyDescent="0.35">
      <c r="D449" s="2">
        <f t="shared" si="46"/>
        <v>443</v>
      </c>
      <c r="E449" s="6">
        <v>8.1726197036603894E-3</v>
      </c>
      <c r="F449" s="24"/>
      <c r="G449" s="24"/>
      <c r="H449" s="24"/>
      <c r="I449" s="24"/>
      <c r="J449" s="3"/>
      <c r="K449" s="8"/>
      <c r="L449" s="8"/>
      <c r="M449" s="8"/>
      <c r="N449" s="13"/>
      <c r="O449" s="9"/>
      <c r="P449" s="20"/>
      <c r="Q449" s="20"/>
      <c r="R449" s="20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4:49" ht="15" thickBot="1" x14ac:dyDescent="0.35">
      <c r="D450" s="2">
        <f t="shared" si="46"/>
        <v>444</v>
      </c>
      <c r="E450" s="6">
        <v>4.1055238745028788</v>
      </c>
      <c r="F450" s="24"/>
      <c r="G450" s="24"/>
      <c r="H450" s="24"/>
      <c r="I450" s="24"/>
      <c r="J450" s="3"/>
      <c r="K450" s="8"/>
      <c r="L450" s="8"/>
      <c r="M450" s="8"/>
      <c r="N450" s="22"/>
      <c r="O450" s="9"/>
      <c r="P450" s="20"/>
      <c r="Q450" s="20"/>
      <c r="R450" s="20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4:49" ht="15" thickBot="1" x14ac:dyDescent="0.35">
      <c r="D451" s="2">
        <f t="shared" si="46"/>
        <v>445</v>
      </c>
      <c r="E451" s="6">
        <v>5.9411879819630533</v>
      </c>
      <c r="F451" s="24"/>
      <c r="G451" s="24"/>
      <c r="H451" s="24"/>
      <c r="I451" s="24"/>
      <c r="J451" s="3"/>
      <c r="K451" s="8"/>
      <c r="L451" s="8"/>
      <c r="M451" s="8"/>
      <c r="N451" s="13"/>
      <c r="O451" s="9"/>
      <c r="P451" s="20"/>
      <c r="Q451" s="20"/>
      <c r="R451" s="20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4:49" ht="15" thickBot="1" x14ac:dyDescent="0.35">
      <c r="D452" s="2">
        <f t="shared" si="46"/>
        <v>446</v>
      </c>
      <c r="E452" s="6">
        <v>3.9584330506199863</v>
      </c>
      <c r="F452" s="24"/>
      <c r="G452" s="24"/>
      <c r="H452" s="24"/>
      <c r="I452" s="24"/>
      <c r="J452" s="3"/>
      <c r="K452" s="8"/>
      <c r="L452" s="8"/>
      <c r="M452" s="8"/>
      <c r="N452" s="13"/>
      <c r="O452" s="9"/>
      <c r="P452" s="20"/>
      <c r="Q452" s="20"/>
      <c r="R452" s="20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4:49" ht="15" thickBot="1" x14ac:dyDescent="0.35">
      <c r="D453" s="2">
        <f t="shared" si="46"/>
        <v>447</v>
      </c>
      <c r="E453" s="6">
        <v>1.907483164431762</v>
      </c>
      <c r="F453" s="24"/>
      <c r="G453" s="24"/>
      <c r="H453" s="24"/>
      <c r="I453" s="24"/>
      <c r="J453" s="3"/>
      <c r="K453" s="8"/>
      <c r="L453" s="8"/>
      <c r="M453" s="8"/>
      <c r="N453" s="22"/>
      <c r="O453" s="9"/>
      <c r="P453" s="20"/>
      <c r="Q453" s="20"/>
      <c r="R453" s="20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4:49" ht="15" thickBot="1" x14ac:dyDescent="0.35">
      <c r="D454" s="2">
        <f t="shared" si="46"/>
        <v>448</v>
      </c>
      <c r="E454" s="6">
        <v>4.9410115917306427</v>
      </c>
      <c r="F454" s="24"/>
      <c r="G454" s="24"/>
      <c r="H454" s="24"/>
      <c r="I454" s="24"/>
      <c r="J454" s="3"/>
      <c r="K454" s="8"/>
      <c r="L454" s="8"/>
      <c r="M454" s="8"/>
      <c r="N454" s="13"/>
      <c r="O454" s="9"/>
      <c r="P454" s="20"/>
      <c r="Q454" s="20"/>
      <c r="R454" s="20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4:49" ht="15" thickBot="1" x14ac:dyDescent="0.35">
      <c r="D455" s="2">
        <f t="shared" ref="D455:D518" si="47">ROW()-6</f>
        <v>449</v>
      </c>
      <c r="E455" s="6">
        <v>5.6609890865027355</v>
      </c>
      <c r="F455" s="24"/>
      <c r="G455" s="24"/>
      <c r="H455" s="24"/>
      <c r="I455" s="24"/>
      <c r="J455" s="3"/>
      <c r="K455" s="8"/>
      <c r="L455" s="8"/>
      <c r="M455" s="8"/>
      <c r="N455" s="22"/>
      <c r="O455" s="9"/>
      <c r="P455" s="20"/>
      <c r="Q455" s="20"/>
      <c r="R455" s="20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4:49" ht="15" thickBot="1" x14ac:dyDescent="0.35">
      <c r="D456" s="2">
        <f t="shared" si="47"/>
        <v>450</v>
      </c>
      <c r="E456" s="6">
        <v>0.95687272630439102</v>
      </c>
      <c r="F456" s="24"/>
      <c r="G456" s="24"/>
      <c r="H456" s="24"/>
      <c r="I456" s="24"/>
      <c r="J456" s="3"/>
      <c r="K456" s="8"/>
      <c r="L456" s="8"/>
      <c r="M456" s="8"/>
      <c r="N456" s="13"/>
      <c r="O456" s="9"/>
      <c r="P456" s="20"/>
      <c r="Q456" s="20"/>
      <c r="R456" s="20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4:49" ht="15" thickBot="1" x14ac:dyDescent="0.35">
      <c r="D457" s="2">
        <f t="shared" si="47"/>
        <v>451</v>
      </c>
      <c r="E457" s="6">
        <v>1.0582523164183322</v>
      </c>
      <c r="F457" s="24"/>
      <c r="G457" s="24"/>
      <c r="H457" s="24"/>
      <c r="I457" s="24"/>
      <c r="J457" s="3"/>
      <c r="K457" s="8"/>
      <c r="L457" s="8"/>
      <c r="M457" s="8"/>
      <c r="N457" s="13"/>
      <c r="O457" s="9"/>
      <c r="P457" s="20"/>
      <c r="Q457" s="20"/>
      <c r="R457" s="20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4:49" ht="15" thickBot="1" x14ac:dyDescent="0.35">
      <c r="D458" s="2">
        <f t="shared" si="47"/>
        <v>452</v>
      </c>
      <c r="E458" s="6">
        <v>8.8629899458386738</v>
      </c>
      <c r="F458" s="24"/>
      <c r="G458" s="24"/>
      <c r="H458" s="24"/>
      <c r="I458" s="24"/>
      <c r="J458" s="3"/>
      <c r="K458" s="8"/>
      <c r="L458" s="8"/>
      <c r="M458" s="8"/>
      <c r="N458" s="22"/>
      <c r="O458" s="9"/>
      <c r="P458" s="20"/>
      <c r="Q458" s="20"/>
      <c r="R458" s="20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4:49" ht="15" thickBot="1" x14ac:dyDescent="0.35">
      <c r="D459" s="2">
        <f t="shared" si="47"/>
        <v>453</v>
      </c>
      <c r="E459" s="6">
        <v>9.9257271177193393E-2</v>
      </c>
      <c r="F459" s="24"/>
      <c r="G459" s="24"/>
      <c r="H459" s="24"/>
      <c r="I459" s="24"/>
      <c r="J459" s="3"/>
      <c r="K459" s="8"/>
      <c r="L459" s="8"/>
      <c r="M459" s="8"/>
      <c r="N459" s="13"/>
      <c r="O459" s="9"/>
      <c r="P459" s="20"/>
      <c r="Q459" s="20"/>
      <c r="R459" s="20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4:49" ht="15" thickBot="1" x14ac:dyDescent="0.35">
      <c r="D460" s="2">
        <f t="shared" si="47"/>
        <v>454</v>
      </c>
      <c r="E460" s="6">
        <v>1.1435129155406139</v>
      </c>
      <c r="F460" s="24"/>
      <c r="G460" s="24"/>
      <c r="H460" s="24"/>
      <c r="I460" s="24"/>
      <c r="J460" s="3"/>
      <c r="K460" s="8"/>
      <c r="L460" s="8"/>
      <c r="M460" s="8"/>
      <c r="N460" s="22"/>
      <c r="O460" s="9"/>
      <c r="P460" s="20"/>
      <c r="Q460" s="20"/>
      <c r="R460" s="20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4:49" ht="15" thickBot="1" x14ac:dyDescent="0.35">
      <c r="D461" s="2">
        <f t="shared" si="47"/>
        <v>455</v>
      </c>
      <c r="E461" s="6">
        <v>0.1148543293059729</v>
      </c>
      <c r="F461" s="24"/>
      <c r="G461" s="24"/>
      <c r="H461" s="24"/>
      <c r="I461" s="24"/>
      <c r="J461" s="3"/>
      <c r="K461" s="8"/>
      <c r="L461" s="8"/>
      <c r="M461" s="8"/>
      <c r="N461" s="13"/>
      <c r="O461" s="9"/>
      <c r="P461" s="20"/>
      <c r="Q461" s="20"/>
      <c r="R461" s="20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4:49" ht="15" thickBot="1" x14ac:dyDescent="0.35">
      <c r="D462" s="2">
        <f t="shared" si="47"/>
        <v>456</v>
      </c>
      <c r="E462" s="6">
        <v>0.40262376131047239</v>
      </c>
      <c r="F462" s="24"/>
      <c r="G462" s="24"/>
      <c r="H462" s="24"/>
      <c r="I462" s="24"/>
      <c r="J462" s="3"/>
      <c r="K462" s="8"/>
      <c r="L462" s="8"/>
      <c r="M462" s="8"/>
      <c r="N462" s="13"/>
      <c r="O462" s="9"/>
      <c r="P462" s="20"/>
      <c r="Q462" s="20"/>
      <c r="R462" s="20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4:49" ht="15" thickBot="1" x14ac:dyDescent="0.35">
      <c r="D463" s="2">
        <f t="shared" si="47"/>
        <v>457</v>
      </c>
      <c r="E463" s="6">
        <v>1.422983115841397</v>
      </c>
      <c r="F463" s="24"/>
      <c r="G463" s="24"/>
      <c r="H463" s="24"/>
      <c r="I463" s="24"/>
      <c r="J463" s="3"/>
      <c r="K463" s="8"/>
      <c r="L463" s="8"/>
      <c r="M463" s="8"/>
      <c r="N463" s="22"/>
      <c r="O463" s="9"/>
      <c r="P463" s="20"/>
      <c r="Q463" s="20"/>
      <c r="R463" s="20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4:49" ht="15" thickBot="1" x14ac:dyDescent="0.35">
      <c r="D464" s="2">
        <f t="shared" si="47"/>
        <v>458</v>
      </c>
      <c r="E464" s="6">
        <v>5.2742559533406013</v>
      </c>
      <c r="F464" s="24"/>
      <c r="G464" s="24"/>
      <c r="H464" s="24"/>
      <c r="I464" s="24"/>
      <c r="J464" s="3"/>
      <c r="K464" s="8"/>
      <c r="L464" s="8"/>
      <c r="M464" s="8"/>
      <c r="N464" s="13"/>
      <c r="O464" s="9"/>
      <c r="P464" s="20"/>
      <c r="Q464" s="20"/>
      <c r="R464" s="20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4:49" ht="15" thickBot="1" x14ac:dyDescent="0.35">
      <c r="D465" s="2">
        <f t="shared" si="47"/>
        <v>459</v>
      </c>
      <c r="E465" s="6">
        <v>2.5234340092387377</v>
      </c>
      <c r="F465" s="24"/>
      <c r="G465" s="24"/>
      <c r="H465" s="24"/>
      <c r="I465" s="24"/>
      <c r="J465" s="3"/>
      <c r="K465" s="8"/>
      <c r="L465" s="8"/>
      <c r="M465" s="8"/>
      <c r="N465" s="22"/>
      <c r="O465" s="9"/>
      <c r="P465" s="20"/>
      <c r="Q465" s="20"/>
      <c r="R465" s="20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4:49" ht="15" thickBot="1" x14ac:dyDescent="0.35">
      <c r="D466" s="2">
        <f t="shared" si="47"/>
        <v>460</v>
      </c>
      <c r="E466" s="6">
        <v>0.24666086596735562</v>
      </c>
      <c r="F466" s="24"/>
      <c r="G466" s="24"/>
      <c r="H466" s="24"/>
      <c r="I466" s="24"/>
      <c r="J466" s="3"/>
      <c r="K466" s="8"/>
      <c r="L466" s="8"/>
      <c r="M466" s="8"/>
      <c r="N466" s="13"/>
      <c r="O466" s="9"/>
      <c r="P466" s="20"/>
      <c r="Q466" s="20"/>
      <c r="R466" s="20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4:49" ht="15" thickBot="1" x14ac:dyDescent="0.35">
      <c r="D467" s="2">
        <f t="shared" si="47"/>
        <v>461</v>
      </c>
      <c r="E467" s="6">
        <v>1.7727530771690467</v>
      </c>
      <c r="F467" s="24"/>
      <c r="G467" s="24"/>
      <c r="H467" s="24"/>
      <c r="I467" s="24"/>
      <c r="J467" s="3"/>
      <c r="K467" s="8"/>
      <c r="L467" s="8"/>
      <c r="M467" s="8"/>
      <c r="N467" s="13"/>
      <c r="O467" s="9"/>
      <c r="P467" s="20"/>
      <c r="Q467" s="20"/>
      <c r="R467" s="20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4:49" ht="15" thickBot="1" x14ac:dyDescent="0.35">
      <c r="D468" s="2">
        <f t="shared" si="47"/>
        <v>462</v>
      </c>
      <c r="E468" s="6">
        <v>1.2236723645860819</v>
      </c>
      <c r="F468" s="24"/>
      <c r="G468" s="24"/>
      <c r="H468" s="24"/>
      <c r="I468" s="24"/>
      <c r="J468" s="3"/>
      <c r="K468" s="8"/>
      <c r="L468" s="8"/>
      <c r="M468" s="8"/>
      <c r="N468" s="22"/>
      <c r="O468" s="9"/>
      <c r="P468" s="20"/>
      <c r="Q468" s="20"/>
      <c r="R468" s="20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4:49" ht="15" thickBot="1" x14ac:dyDescent="0.35">
      <c r="D469" s="2">
        <f t="shared" si="47"/>
        <v>463</v>
      </c>
      <c r="E469" s="6">
        <v>3.9624593700989248</v>
      </c>
      <c r="F469" s="24"/>
      <c r="G469" s="24"/>
      <c r="H469" s="24"/>
      <c r="I469" s="24"/>
      <c r="J469" s="3"/>
      <c r="K469" s="8"/>
      <c r="L469" s="8"/>
      <c r="M469" s="8"/>
      <c r="N469" s="13"/>
      <c r="O469" s="9"/>
      <c r="P469" s="20"/>
      <c r="Q469" s="20"/>
      <c r="R469" s="20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4:49" ht="15" thickBot="1" x14ac:dyDescent="0.35">
      <c r="D470" s="2">
        <f t="shared" si="47"/>
        <v>464</v>
      </c>
      <c r="E470" s="6">
        <v>2.0559682974113263</v>
      </c>
      <c r="F470" s="24"/>
      <c r="G470" s="24"/>
      <c r="H470" s="24"/>
      <c r="I470" s="24"/>
      <c r="J470" s="3"/>
      <c r="K470" s="8"/>
      <c r="L470" s="8"/>
      <c r="M470" s="8"/>
      <c r="N470" s="22"/>
      <c r="O470" s="9"/>
      <c r="P470" s="20"/>
      <c r="Q470" s="20"/>
      <c r="R470" s="20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4:49" ht="15" thickBot="1" x14ac:dyDescent="0.35">
      <c r="D471" s="2">
        <f t="shared" si="47"/>
        <v>465</v>
      </c>
      <c r="E471" s="6">
        <v>4.2689053843761195</v>
      </c>
      <c r="F471" s="24"/>
      <c r="G471" s="24"/>
      <c r="H471" s="24"/>
      <c r="I471" s="24"/>
      <c r="J471" s="3"/>
      <c r="K471" s="8"/>
      <c r="L471" s="8"/>
      <c r="M471" s="8"/>
      <c r="N471" s="13"/>
      <c r="O471" s="9"/>
      <c r="P471" s="20"/>
      <c r="Q471" s="20"/>
      <c r="R471" s="20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4:49" ht="15" thickBot="1" x14ac:dyDescent="0.35">
      <c r="D472" s="2">
        <f t="shared" si="47"/>
        <v>466</v>
      </c>
      <c r="E472" s="6">
        <v>2.9231023718760998</v>
      </c>
      <c r="F472" s="24"/>
      <c r="G472" s="24"/>
      <c r="H472" s="24"/>
      <c r="I472" s="24"/>
      <c r="J472" s="3"/>
      <c r="K472" s="8"/>
      <c r="L472" s="8"/>
      <c r="M472" s="8"/>
      <c r="N472" s="13"/>
      <c r="O472" s="9"/>
      <c r="P472" s="20"/>
      <c r="Q472" s="20"/>
      <c r="R472" s="20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4:49" ht="15" thickBot="1" x14ac:dyDescent="0.35">
      <c r="D473" s="2">
        <f t="shared" si="47"/>
        <v>467</v>
      </c>
      <c r="E473" s="6">
        <v>1.9603141584883683</v>
      </c>
      <c r="F473" s="24"/>
      <c r="G473" s="24"/>
      <c r="H473" s="24"/>
      <c r="I473" s="24"/>
      <c r="J473" s="3"/>
      <c r="K473" s="8"/>
      <c r="L473" s="8"/>
      <c r="M473" s="8"/>
      <c r="N473" s="22"/>
      <c r="O473" s="9"/>
      <c r="P473" s="20"/>
      <c r="Q473" s="20"/>
      <c r="R473" s="20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4:49" ht="15" thickBot="1" x14ac:dyDescent="0.35">
      <c r="D474" s="2">
        <f t="shared" si="47"/>
        <v>468</v>
      </c>
      <c r="E474" s="6">
        <v>5.0698953268535218</v>
      </c>
      <c r="F474" s="24"/>
      <c r="G474" s="24"/>
      <c r="H474" s="24"/>
      <c r="I474" s="24"/>
      <c r="J474" s="3"/>
      <c r="K474" s="8"/>
      <c r="L474" s="8"/>
      <c r="M474" s="8"/>
      <c r="N474" s="13"/>
      <c r="O474" s="9"/>
      <c r="P474" s="20"/>
      <c r="Q474" s="20"/>
      <c r="R474" s="20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4:49" ht="15" thickBot="1" x14ac:dyDescent="0.35">
      <c r="D475" s="2">
        <f t="shared" si="47"/>
        <v>469</v>
      </c>
      <c r="E475" s="6">
        <v>0.16954753761838687</v>
      </c>
      <c r="F475" s="24"/>
      <c r="G475" s="24"/>
      <c r="H475" s="24"/>
      <c r="I475" s="24"/>
      <c r="J475" s="3"/>
      <c r="K475" s="8"/>
      <c r="L475" s="8"/>
      <c r="M475" s="8"/>
      <c r="N475" s="22"/>
      <c r="O475" s="9"/>
      <c r="P475" s="20"/>
      <c r="Q475" s="20"/>
      <c r="R475" s="20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4:49" ht="15" thickBot="1" x14ac:dyDescent="0.35">
      <c r="D476" s="2">
        <f t="shared" si="47"/>
        <v>470</v>
      </c>
      <c r="E476" s="6">
        <v>4.5813832000557468</v>
      </c>
      <c r="F476" s="24"/>
      <c r="G476" s="24"/>
      <c r="H476" s="24"/>
      <c r="I476" s="24"/>
      <c r="J476" s="3"/>
      <c r="K476" s="8"/>
      <c r="L476" s="8"/>
      <c r="M476" s="8"/>
      <c r="N476" s="13"/>
      <c r="O476" s="9"/>
      <c r="P476" s="20"/>
      <c r="Q476" s="20"/>
      <c r="R476" s="20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4:49" ht="15" thickBot="1" x14ac:dyDescent="0.35">
      <c r="D477" s="2">
        <f t="shared" si="47"/>
        <v>471</v>
      </c>
      <c r="E477" s="6">
        <v>3.826751766820518</v>
      </c>
      <c r="F477" s="24"/>
      <c r="G477" s="24"/>
      <c r="H477" s="24"/>
      <c r="I477" s="24"/>
      <c r="J477" s="3"/>
      <c r="K477" s="8"/>
      <c r="L477" s="8"/>
      <c r="M477" s="8"/>
      <c r="N477" s="13"/>
      <c r="O477" s="9"/>
      <c r="P477" s="20"/>
      <c r="Q477" s="20"/>
      <c r="R477" s="20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4:49" ht="15" thickBot="1" x14ac:dyDescent="0.35">
      <c r="D478" s="2">
        <f t="shared" si="47"/>
        <v>472</v>
      </c>
      <c r="E478" s="6">
        <v>0.99950002674630767</v>
      </c>
      <c r="F478" s="24"/>
      <c r="G478" s="24"/>
      <c r="H478" s="24"/>
      <c r="I478" s="24"/>
      <c r="J478" s="3"/>
      <c r="K478" s="8"/>
      <c r="L478" s="8"/>
      <c r="M478" s="8"/>
      <c r="N478" s="22"/>
      <c r="O478" s="9"/>
      <c r="P478" s="20"/>
      <c r="Q478" s="20"/>
      <c r="R478" s="20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4:49" ht="15" thickBot="1" x14ac:dyDescent="0.35">
      <c r="D479" s="2">
        <f t="shared" si="47"/>
        <v>473</v>
      </c>
      <c r="E479" s="6">
        <v>0.45549743739386023</v>
      </c>
      <c r="F479" s="24"/>
      <c r="G479" s="24"/>
      <c r="H479" s="24"/>
      <c r="I479" s="24"/>
      <c r="J479" s="3"/>
      <c r="K479" s="8"/>
      <c r="L479" s="8"/>
      <c r="M479" s="8"/>
      <c r="N479" s="13"/>
      <c r="O479" s="9"/>
      <c r="P479" s="20"/>
      <c r="Q479" s="20"/>
      <c r="R479" s="20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4:49" ht="15" thickBot="1" x14ac:dyDescent="0.35">
      <c r="D480" s="2">
        <f t="shared" si="47"/>
        <v>474</v>
      </c>
      <c r="E480" s="6">
        <v>0.41716121573043297</v>
      </c>
      <c r="F480" s="24"/>
      <c r="G480" s="24"/>
      <c r="H480" s="24"/>
      <c r="I480" s="24"/>
      <c r="J480" s="3"/>
      <c r="K480" s="8"/>
      <c r="L480" s="8"/>
      <c r="M480" s="8"/>
      <c r="N480" s="22"/>
      <c r="O480" s="9"/>
      <c r="P480" s="20"/>
      <c r="Q480" s="20"/>
      <c r="R480" s="20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4:49" ht="15" thickBot="1" x14ac:dyDescent="0.35">
      <c r="D481" s="2">
        <f t="shared" si="47"/>
        <v>475</v>
      </c>
      <c r="E481" s="6">
        <v>1.1551161177225755</v>
      </c>
      <c r="F481" s="24"/>
      <c r="G481" s="24"/>
      <c r="H481" s="24"/>
      <c r="I481" s="24"/>
      <c r="J481" s="3"/>
      <c r="K481" s="8"/>
      <c r="L481" s="8"/>
      <c r="M481" s="8"/>
      <c r="N481" s="13"/>
      <c r="O481" s="9"/>
      <c r="P481" s="20"/>
      <c r="Q481" s="20"/>
      <c r="R481" s="20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4:49" ht="15" thickBot="1" x14ac:dyDescent="0.35">
      <c r="D482" s="2">
        <f t="shared" si="47"/>
        <v>476</v>
      </c>
      <c r="E482" s="6">
        <v>0.32071735276080282</v>
      </c>
      <c r="F482" s="24"/>
      <c r="G482" s="24"/>
      <c r="H482" s="24"/>
      <c r="I482" s="24"/>
      <c r="J482" s="3"/>
      <c r="K482" s="8"/>
      <c r="L482" s="8"/>
      <c r="M482" s="8"/>
      <c r="N482" s="13"/>
      <c r="O482" s="9"/>
      <c r="P482" s="20"/>
      <c r="Q482" s="20"/>
      <c r="R482" s="20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4:49" ht="15" thickBot="1" x14ac:dyDescent="0.35">
      <c r="D483" s="2">
        <f t="shared" si="47"/>
        <v>477</v>
      </c>
      <c r="E483" s="6">
        <v>2.6777548954996182</v>
      </c>
      <c r="F483" s="24"/>
      <c r="G483" s="24"/>
      <c r="H483" s="24"/>
      <c r="I483" s="24"/>
      <c r="J483" s="3"/>
      <c r="K483" s="8"/>
      <c r="L483" s="8"/>
      <c r="M483" s="8"/>
      <c r="N483" s="22"/>
      <c r="O483" s="9"/>
      <c r="P483" s="20"/>
      <c r="Q483" s="20"/>
      <c r="R483" s="20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4:49" ht="15" thickBot="1" x14ac:dyDescent="0.35">
      <c r="D484" s="2">
        <f t="shared" si="47"/>
        <v>478</v>
      </c>
      <c r="E484" s="6">
        <v>1.9459880691477858</v>
      </c>
      <c r="F484" s="24"/>
      <c r="G484" s="24"/>
      <c r="H484" s="24"/>
      <c r="I484" s="24"/>
      <c r="J484" s="3"/>
      <c r="K484" s="8"/>
      <c r="L484" s="8"/>
      <c r="M484" s="8"/>
      <c r="N484" s="13"/>
      <c r="O484" s="9"/>
      <c r="P484" s="20"/>
      <c r="Q484" s="20"/>
      <c r="R484" s="20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4:49" ht="15" thickBot="1" x14ac:dyDescent="0.35">
      <c r="D485" s="2">
        <f t="shared" si="47"/>
        <v>479</v>
      </c>
      <c r="E485" s="6">
        <v>3.7394727901122193</v>
      </c>
      <c r="F485" s="24"/>
      <c r="G485" s="24"/>
      <c r="H485" s="24"/>
      <c r="I485" s="24"/>
      <c r="J485" s="3"/>
      <c r="K485" s="8"/>
      <c r="L485" s="8"/>
      <c r="M485" s="8"/>
      <c r="N485" s="22"/>
      <c r="O485" s="9"/>
      <c r="P485" s="20"/>
      <c r="Q485" s="20"/>
      <c r="R485" s="20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4:49" ht="15" thickBot="1" x14ac:dyDescent="0.35">
      <c r="D486" s="2">
        <f t="shared" si="47"/>
        <v>480</v>
      </c>
      <c r="E486" s="6">
        <v>2.1283564384700839</v>
      </c>
      <c r="F486" s="24"/>
      <c r="G486" s="24"/>
      <c r="H486" s="24"/>
      <c r="I486" s="24"/>
      <c r="J486" s="3"/>
      <c r="K486" s="8"/>
      <c r="L486" s="8"/>
      <c r="M486" s="8"/>
      <c r="N486" s="13"/>
      <c r="O486" s="9"/>
      <c r="P486" s="20"/>
      <c r="Q486" s="20"/>
      <c r="R486" s="20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4:49" ht="15" thickBot="1" x14ac:dyDescent="0.35">
      <c r="D487" s="2">
        <f t="shared" si="47"/>
        <v>481</v>
      </c>
      <c r="E487" s="6">
        <v>9.7094072868687462</v>
      </c>
      <c r="F487" s="24"/>
      <c r="G487" s="24"/>
      <c r="H487" s="24"/>
      <c r="I487" s="24"/>
      <c r="J487" s="3"/>
      <c r="K487" s="8"/>
      <c r="L487" s="8"/>
      <c r="M487" s="8"/>
      <c r="N487" s="13"/>
      <c r="O487" s="9"/>
      <c r="P487" s="20"/>
      <c r="Q487" s="20"/>
      <c r="R487" s="20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4:49" ht="15" thickBot="1" x14ac:dyDescent="0.35">
      <c r="D488" s="2">
        <f t="shared" si="47"/>
        <v>482</v>
      </c>
      <c r="E488" s="6">
        <v>7.0858980653510404</v>
      </c>
      <c r="F488" s="24"/>
      <c r="G488" s="24"/>
      <c r="H488" s="24"/>
      <c r="I488" s="24"/>
      <c r="J488" s="3"/>
      <c r="K488" s="8"/>
      <c r="L488" s="8"/>
      <c r="M488" s="8"/>
      <c r="N488" s="22"/>
      <c r="O488" s="9"/>
      <c r="P488" s="20"/>
      <c r="Q488" s="20"/>
      <c r="R488" s="20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4:49" ht="15" thickBot="1" x14ac:dyDescent="0.35">
      <c r="D489" s="2">
        <f t="shared" si="47"/>
        <v>483</v>
      </c>
      <c r="E489" s="6">
        <v>3.475369118650804</v>
      </c>
      <c r="F489" s="24"/>
      <c r="G489" s="24"/>
      <c r="H489" s="24"/>
      <c r="I489" s="24"/>
      <c r="J489" s="3"/>
      <c r="K489" s="8"/>
      <c r="L489" s="8"/>
      <c r="M489" s="8"/>
      <c r="N489" s="13"/>
      <c r="O489" s="9"/>
      <c r="P489" s="20"/>
      <c r="Q489" s="20"/>
      <c r="R489" s="20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4:49" ht="15" thickBot="1" x14ac:dyDescent="0.35">
      <c r="D490" s="2">
        <f t="shared" si="47"/>
        <v>484</v>
      </c>
      <c r="E490" s="6">
        <v>3.0073919684472341</v>
      </c>
      <c r="F490" s="24"/>
      <c r="G490" s="24"/>
      <c r="H490" s="24"/>
      <c r="I490" s="24"/>
      <c r="J490" s="3"/>
      <c r="K490" s="8"/>
      <c r="L490" s="8"/>
      <c r="M490" s="8"/>
      <c r="N490" s="22"/>
      <c r="O490" s="9"/>
      <c r="P490" s="20"/>
      <c r="Q490" s="20"/>
      <c r="R490" s="20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4:49" ht="15" thickBot="1" x14ac:dyDescent="0.35">
      <c r="D491" s="2">
        <f t="shared" si="47"/>
        <v>485</v>
      </c>
      <c r="E491" s="6">
        <v>3.4043402721596205</v>
      </c>
      <c r="F491" s="24"/>
      <c r="G491" s="24"/>
      <c r="H491" s="24"/>
      <c r="I491" s="24"/>
      <c r="J491" s="3"/>
      <c r="K491" s="8"/>
      <c r="L491" s="8"/>
      <c r="M491" s="8"/>
      <c r="N491" s="13"/>
      <c r="O491" s="9"/>
      <c r="P491" s="20"/>
      <c r="Q491" s="20"/>
      <c r="R491" s="20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4:49" ht="15" thickBot="1" x14ac:dyDescent="0.35">
      <c r="D492" s="2">
        <f t="shared" si="47"/>
        <v>486</v>
      </c>
      <c r="E492" s="6">
        <v>1.4540645972318043</v>
      </c>
      <c r="F492" s="24"/>
      <c r="G492" s="24"/>
      <c r="H492" s="24"/>
      <c r="I492" s="24"/>
      <c r="J492" s="3"/>
      <c r="K492" s="8"/>
      <c r="L492" s="8"/>
      <c r="M492" s="8"/>
      <c r="N492" s="13"/>
      <c r="O492" s="9"/>
      <c r="P492" s="20"/>
      <c r="Q492" s="20"/>
      <c r="R492" s="20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4:49" ht="15" thickBot="1" x14ac:dyDescent="0.35">
      <c r="D493" s="2">
        <f t="shared" si="47"/>
        <v>487</v>
      </c>
      <c r="E493" s="6">
        <v>4.6497173104260678</v>
      </c>
      <c r="F493" s="24"/>
      <c r="G493" s="24"/>
      <c r="H493" s="24"/>
      <c r="I493" s="24"/>
      <c r="J493" s="3"/>
      <c r="K493" s="8"/>
      <c r="L493" s="8"/>
      <c r="M493" s="8"/>
      <c r="N493" s="22"/>
      <c r="O493" s="9"/>
      <c r="P493" s="20"/>
      <c r="Q493" s="20"/>
      <c r="R493" s="20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4:49" ht="15" thickBot="1" x14ac:dyDescent="0.35">
      <c r="D494" s="2">
        <f t="shared" si="47"/>
        <v>488</v>
      </c>
      <c r="E494" s="6">
        <v>2.1998877226648159</v>
      </c>
      <c r="F494" s="24"/>
      <c r="G494" s="24"/>
      <c r="H494" s="24"/>
      <c r="I494" s="24"/>
      <c r="J494" s="3"/>
      <c r="K494" s="8"/>
      <c r="L494" s="8"/>
      <c r="M494" s="8"/>
      <c r="N494" s="13"/>
      <c r="O494" s="9"/>
      <c r="P494" s="20"/>
      <c r="Q494" s="20"/>
      <c r="R494" s="20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4:49" ht="15" thickBot="1" x14ac:dyDescent="0.35">
      <c r="D495" s="2">
        <f t="shared" si="47"/>
        <v>489</v>
      </c>
      <c r="E495" s="6">
        <v>3.9871821344570759</v>
      </c>
      <c r="F495" s="24"/>
      <c r="G495" s="24"/>
      <c r="H495" s="24"/>
      <c r="I495" s="24"/>
      <c r="J495" s="3"/>
      <c r="K495" s="8"/>
      <c r="L495" s="8"/>
      <c r="M495" s="8"/>
      <c r="N495" s="22"/>
      <c r="O495" s="9"/>
      <c r="P495" s="20"/>
      <c r="Q495" s="20"/>
      <c r="R495" s="20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4:49" ht="15" thickBot="1" x14ac:dyDescent="0.35">
      <c r="D496" s="2">
        <f t="shared" si="47"/>
        <v>490</v>
      </c>
      <c r="E496" s="6">
        <v>2.8710819717158405</v>
      </c>
      <c r="F496" s="24"/>
      <c r="G496" s="24"/>
      <c r="H496" s="24"/>
      <c r="I496" s="24"/>
      <c r="J496" s="3"/>
      <c r="K496" s="8"/>
      <c r="L496" s="8"/>
      <c r="M496" s="8"/>
      <c r="N496" s="13"/>
      <c r="O496" s="9"/>
      <c r="P496" s="20"/>
      <c r="Q496" s="20"/>
      <c r="R496" s="20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4:49" ht="15" thickBot="1" x14ac:dyDescent="0.35">
      <c r="D497" s="2">
        <f t="shared" si="47"/>
        <v>491</v>
      </c>
      <c r="E497" s="6">
        <v>4.3171138819273809</v>
      </c>
      <c r="F497" s="24"/>
      <c r="G497" s="24"/>
      <c r="H497" s="24"/>
      <c r="I497" s="24"/>
      <c r="J497" s="3"/>
      <c r="K497" s="8"/>
      <c r="L497" s="8"/>
      <c r="M497" s="8"/>
      <c r="N497" s="13"/>
      <c r="O497" s="9"/>
      <c r="P497" s="20"/>
      <c r="Q497" s="20"/>
      <c r="R497" s="20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4:49" ht="15" thickBot="1" x14ac:dyDescent="0.35">
      <c r="D498" s="2">
        <f t="shared" si="47"/>
        <v>492</v>
      </c>
      <c r="E498" s="6">
        <v>4.1294879581415884</v>
      </c>
      <c r="F498" s="24"/>
      <c r="G498" s="24"/>
      <c r="H498" s="24"/>
      <c r="I498" s="24"/>
      <c r="J498" s="3"/>
      <c r="K498" s="8"/>
      <c r="L498" s="8"/>
      <c r="M498" s="8"/>
      <c r="N498" s="22"/>
      <c r="O498" s="9"/>
      <c r="P498" s="20"/>
      <c r="Q498" s="20"/>
      <c r="R498" s="20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4:49" ht="15" thickBot="1" x14ac:dyDescent="0.35">
      <c r="D499" s="2">
        <f t="shared" si="47"/>
        <v>493</v>
      </c>
      <c r="E499" s="6">
        <v>0.40755559982003825</v>
      </c>
      <c r="F499" s="24"/>
      <c r="G499" s="24"/>
      <c r="H499" s="24"/>
      <c r="I499" s="24"/>
      <c r="J499" s="3"/>
      <c r="K499" s="8"/>
      <c r="L499" s="8"/>
      <c r="M499" s="8"/>
      <c r="N499" s="13"/>
      <c r="O499" s="9"/>
      <c r="P499" s="20"/>
      <c r="Q499" s="20"/>
      <c r="R499" s="20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4:49" ht="15" thickBot="1" x14ac:dyDescent="0.35">
      <c r="D500" s="2">
        <f t="shared" si="47"/>
        <v>494</v>
      </c>
      <c r="E500" s="6">
        <v>0.81557552142394385</v>
      </c>
      <c r="F500" s="24"/>
      <c r="G500" s="24"/>
      <c r="H500" s="24"/>
      <c r="I500" s="24"/>
      <c r="J500" s="3"/>
      <c r="K500" s="8"/>
      <c r="L500" s="8"/>
      <c r="M500" s="8"/>
      <c r="N500" s="22"/>
      <c r="O500" s="9"/>
      <c r="P500" s="20"/>
      <c r="Q500" s="20"/>
      <c r="R500" s="20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 spans="4:49" ht="15" thickBot="1" x14ac:dyDescent="0.35">
      <c r="D501" s="2">
        <f t="shared" si="47"/>
        <v>495</v>
      </c>
      <c r="E501" s="6">
        <v>0.94745740277517898</v>
      </c>
      <c r="F501" s="24"/>
      <c r="G501" s="24"/>
      <c r="H501" s="24"/>
      <c r="I501" s="24"/>
      <c r="J501" s="3"/>
      <c r="K501" s="8"/>
      <c r="L501" s="8"/>
      <c r="M501" s="8"/>
      <c r="N501" s="13"/>
      <c r="O501" s="9"/>
      <c r="P501" s="20"/>
      <c r="Q501" s="20"/>
      <c r="R501" s="20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 spans="4:49" ht="15" thickBot="1" x14ac:dyDescent="0.35">
      <c r="D502" s="2">
        <f t="shared" si="47"/>
        <v>496</v>
      </c>
      <c r="E502" s="6">
        <v>4.0564765310668367</v>
      </c>
      <c r="F502" s="24"/>
      <c r="G502" s="24"/>
      <c r="H502" s="24"/>
      <c r="I502" s="24"/>
      <c r="J502" s="3"/>
      <c r="K502" s="8"/>
      <c r="L502" s="8"/>
      <c r="M502" s="8"/>
      <c r="N502" s="13"/>
      <c r="O502" s="9"/>
      <c r="P502" s="20"/>
      <c r="Q502" s="20"/>
      <c r="R502" s="20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 spans="4:49" ht="15" thickBot="1" x14ac:dyDescent="0.35">
      <c r="D503" s="2">
        <f t="shared" si="47"/>
        <v>497</v>
      </c>
      <c r="E503" s="6">
        <v>10.352853413229647</v>
      </c>
      <c r="F503" s="24"/>
      <c r="G503" s="24"/>
      <c r="H503" s="24"/>
      <c r="I503" s="24"/>
      <c r="J503" s="3"/>
      <c r="K503" s="8"/>
      <c r="L503" s="8"/>
      <c r="M503" s="8"/>
      <c r="N503" s="22"/>
      <c r="O503" s="9"/>
      <c r="P503" s="20"/>
      <c r="Q503" s="20"/>
      <c r="R503" s="20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 spans="4:49" ht="15" thickBot="1" x14ac:dyDescent="0.35">
      <c r="D504" s="2">
        <f t="shared" si="47"/>
        <v>498</v>
      </c>
      <c r="E504" s="6">
        <v>9.964523236899069</v>
      </c>
      <c r="F504" s="24"/>
      <c r="G504" s="24"/>
      <c r="H504" s="24"/>
      <c r="I504" s="24"/>
      <c r="J504" s="3"/>
      <c r="K504" s="8"/>
      <c r="L504" s="8"/>
      <c r="M504" s="8"/>
      <c r="N504" s="13"/>
      <c r="O504" s="9"/>
      <c r="P504" s="20"/>
      <c r="Q504" s="20"/>
      <c r="R504" s="20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 spans="4:49" ht="15" thickBot="1" x14ac:dyDescent="0.35">
      <c r="D505" s="2">
        <f t="shared" si="47"/>
        <v>499</v>
      </c>
      <c r="E505" s="6">
        <v>1.7532621093713026</v>
      </c>
      <c r="F505" s="24"/>
      <c r="G505" s="24"/>
      <c r="H505" s="24"/>
      <c r="I505" s="24"/>
      <c r="J505" s="3"/>
      <c r="K505" s="8"/>
      <c r="L505" s="8"/>
      <c r="M505" s="8"/>
      <c r="N505" s="22"/>
      <c r="O505" s="9"/>
      <c r="P505" s="20"/>
      <c r="Q505" s="20"/>
      <c r="R505" s="20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 spans="4:49" ht="15" thickBot="1" x14ac:dyDescent="0.35">
      <c r="D506" s="2">
        <f t="shared" si="47"/>
        <v>500</v>
      </c>
      <c r="E506" s="6">
        <v>7.7285972200862321E-2</v>
      </c>
      <c r="F506" s="24"/>
      <c r="G506" s="24"/>
      <c r="H506" s="24"/>
      <c r="I506" s="24"/>
      <c r="J506" s="3"/>
      <c r="K506" s="8"/>
      <c r="L506" s="8"/>
      <c r="M506" s="8"/>
      <c r="N506" s="13"/>
      <c r="O506" s="9"/>
      <c r="P506" s="20"/>
      <c r="Q506" s="20"/>
      <c r="R506" s="20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 spans="4:49" ht="15" thickBot="1" x14ac:dyDescent="0.35">
      <c r="D507" s="2">
        <f t="shared" si="47"/>
        <v>501</v>
      </c>
      <c r="E507" s="6">
        <v>8.7144902926129308</v>
      </c>
      <c r="F507" s="24"/>
      <c r="G507" s="24"/>
      <c r="H507" s="24"/>
      <c r="I507" s="24"/>
      <c r="J507" s="3"/>
      <c r="K507" s="8"/>
      <c r="L507" s="8"/>
      <c r="M507" s="8"/>
      <c r="N507" s="13"/>
      <c r="O507" s="9"/>
      <c r="P507" s="20"/>
      <c r="Q507" s="20"/>
      <c r="R507" s="20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 spans="4:49" ht="15" thickBot="1" x14ac:dyDescent="0.35">
      <c r="D508" s="2">
        <f t="shared" si="47"/>
        <v>502</v>
      </c>
      <c r="E508" s="6">
        <v>6.1147854006879756</v>
      </c>
      <c r="F508" s="24"/>
      <c r="G508" s="24"/>
      <c r="H508" s="24"/>
      <c r="I508" s="24"/>
      <c r="J508" s="3"/>
      <c r="K508" s="8"/>
      <c r="L508" s="8"/>
      <c r="M508" s="8"/>
      <c r="N508" s="22"/>
      <c r="O508" s="9"/>
      <c r="P508" s="20"/>
      <c r="Q508" s="20"/>
      <c r="R508" s="20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 spans="4:49" ht="15" thickBot="1" x14ac:dyDescent="0.35">
      <c r="D509" s="2">
        <f t="shared" si="47"/>
        <v>503</v>
      </c>
      <c r="E509" s="6">
        <v>16.268963883411256</v>
      </c>
      <c r="F509" s="24"/>
      <c r="G509" s="24"/>
      <c r="H509" s="24"/>
      <c r="I509" s="24"/>
      <c r="J509" s="3"/>
      <c r="K509" s="8"/>
      <c r="L509" s="8"/>
      <c r="M509" s="8"/>
      <c r="N509" s="13"/>
      <c r="O509" s="9"/>
      <c r="P509" s="20"/>
      <c r="Q509" s="20"/>
      <c r="R509" s="20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 spans="4:49" ht="15" thickBot="1" x14ac:dyDescent="0.35">
      <c r="D510" s="2">
        <f t="shared" si="47"/>
        <v>504</v>
      </c>
      <c r="E510" s="6">
        <v>0.6219867434710461</v>
      </c>
      <c r="F510" s="24"/>
      <c r="G510" s="24"/>
      <c r="H510" s="24"/>
      <c r="I510" s="24"/>
      <c r="J510" s="3"/>
      <c r="K510" s="8"/>
      <c r="L510" s="8"/>
      <c r="M510" s="8"/>
      <c r="N510" s="22"/>
      <c r="O510" s="9"/>
      <c r="P510" s="20"/>
      <c r="Q510" s="20"/>
      <c r="R510" s="20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 spans="4:49" ht="15" thickBot="1" x14ac:dyDescent="0.35">
      <c r="D511" s="2">
        <f t="shared" si="47"/>
        <v>505</v>
      </c>
      <c r="E511" s="6">
        <v>2.9738559563903424</v>
      </c>
      <c r="F511" s="24"/>
      <c r="G511" s="24"/>
      <c r="H511" s="24"/>
      <c r="I511" s="24"/>
      <c r="J511" s="3"/>
      <c r="K511" s="8"/>
      <c r="L511" s="8"/>
      <c r="M511" s="8"/>
      <c r="N511" s="13"/>
      <c r="O511" s="9"/>
      <c r="P511" s="20"/>
      <c r="Q511" s="20"/>
      <c r="R511" s="20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 spans="4:49" ht="15" thickBot="1" x14ac:dyDescent="0.35">
      <c r="D512" s="2">
        <f t="shared" si="47"/>
        <v>506</v>
      </c>
      <c r="E512" s="6">
        <v>2.8065924084505371</v>
      </c>
      <c r="F512" s="24"/>
      <c r="G512" s="24"/>
      <c r="H512" s="24"/>
      <c r="I512" s="24"/>
      <c r="J512" s="3"/>
      <c r="K512" s="8"/>
      <c r="L512" s="8"/>
      <c r="M512" s="8"/>
      <c r="N512" s="13"/>
      <c r="O512" s="9"/>
      <c r="P512" s="20"/>
      <c r="Q512" s="20"/>
      <c r="R512" s="20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 spans="4:49" ht="15" thickBot="1" x14ac:dyDescent="0.35">
      <c r="D513" s="2">
        <f t="shared" si="47"/>
        <v>507</v>
      </c>
      <c r="E513" s="6">
        <v>2.270828239394544</v>
      </c>
      <c r="F513" s="24"/>
      <c r="G513" s="24"/>
      <c r="H513" s="24"/>
      <c r="I513" s="24"/>
      <c r="J513" s="3"/>
      <c r="K513" s="8"/>
      <c r="L513" s="8"/>
      <c r="M513" s="8"/>
      <c r="N513" s="22"/>
      <c r="O513" s="9"/>
      <c r="P513" s="20"/>
      <c r="Q513" s="20"/>
      <c r="R513" s="20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 spans="4:49" ht="15" thickBot="1" x14ac:dyDescent="0.35">
      <c r="D514" s="2">
        <f t="shared" si="47"/>
        <v>508</v>
      </c>
      <c r="E514" s="6">
        <v>7.9933116378180333</v>
      </c>
      <c r="F514" s="24"/>
      <c r="G514" s="24"/>
      <c r="H514" s="24"/>
      <c r="I514" s="24"/>
      <c r="J514" s="3"/>
      <c r="K514" s="8"/>
      <c r="L514" s="8"/>
      <c r="M514" s="8"/>
      <c r="N514" s="13"/>
      <c r="O514" s="9"/>
      <c r="P514" s="20"/>
      <c r="Q514" s="20"/>
      <c r="R514" s="20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 spans="4:49" ht="15" thickBot="1" x14ac:dyDescent="0.35">
      <c r="D515" s="2">
        <f t="shared" si="47"/>
        <v>509</v>
      </c>
      <c r="E515" s="6">
        <v>5.7742677543645149</v>
      </c>
      <c r="F515" s="24"/>
      <c r="G515" s="24"/>
      <c r="H515" s="24"/>
      <c r="I515" s="24"/>
      <c r="J515" s="3"/>
      <c r="K515" s="8"/>
      <c r="L515" s="8"/>
      <c r="M515" s="8"/>
      <c r="N515" s="22"/>
      <c r="O515" s="9"/>
      <c r="P515" s="20"/>
      <c r="Q515" s="20"/>
      <c r="R515" s="20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 spans="4:49" ht="15" thickBot="1" x14ac:dyDescent="0.35">
      <c r="D516" s="2">
        <f t="shared" si="47"/>
        <v>510</v>
      </c>
      <c r="E516" s="6">
        <v>3.5889635516378426</v>
      </c>
      <c r="F516" s="24"/>
      <c r="G516" s="24"/>
      <c r="H516" s="24"/>
      <c r="I516" s="24"/>
      <c r="J516" s="3"/>
      <c r="K516" s="8"/>
      <c r="L516" s="8"/>
      <c r="M516" s="8"/>
      <c r="N516" s="13"/>
      <c r="O516" s="9"/>
      <c r="P516" s="20"/>
      <c r="Q516" s="20"/>
      <c r="R516" s="20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 spans="4:49" ht="15" thickBot="1" x14ac:dyDescent="0.35">
      <c r="D517" s="2">
        <f t="shared" si="47"/>
        <v>511</v>
      </c>
      <c r="E517" s="6">
        <v>2.8755744566879669</v>
      </c>
      <c r="F517" s="24"/>
      <c r="G517" s="24"/>
      <c r="H517" s="24"/>
      <c r="I517" s="24"/>
      <c r="J517" s="3"/>
      <c r="K517" s="8"/>
      <c r="L517" s="8"/>
      <c r="M517" s="8"/>
      <c r="N517" s="13"/>
      <c r="O517" s="9"/>
      <c r="P517" s="20"/>
      <c r="Q517" s="20"/>
      <c r="R517" s="20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 spans="4:49" ht="15" thickBot="1" x14ac:dyDescent="0.35">
      <c r="D518" s="2">
        <f t="shared" si="47"/>
        <v>512</v>
      </c>
      <c r="E518" s="6">
        <v>10.751049197453138</v>
      </c>
      <c r="F518" s="24"/>
      <c r="G518" s="24"/>
      <c r="H518" s="24"/>
      <c r="I518" s="24"/>
      <c r="J518" s="3"/>
      <c r="K518" s="8"/>
      <c r="L518" s="8"/>
      <c r="M518" s="8"/>
      <c r="N518" s="22"/>
      <c r="O518" s="9"/>
      <c r="P518" s="20"/>
      <c r="Q518" s="20"/>
      <c r="R518" s="20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 spans="4:49" ht="15" thickBot="1" x14ac:dyDescent="0.35">
      <c r="D519" s="2">
        <f t="shared" ref="D519:D582" si="48">ROW()-6</f>
        <v>513</v>
      </c>
      <c r="E519" s="6">
        <v>1.8110392994725477</v>
      </c>
      <c r="F519" s="24"/>
      <c r="G519" s="24"/>
      <c r="H519" s="24"/>
      <c r="I519" s="24"/>
      <c r="J519" s="3"/>
      <c r="K519" s="8"/>
      <c r="L519" s="8"/>
      <c r="M519" s="8"/>
      <c r="N519" s="13"/>
      <c r="O519" s="9"/>
      <c r="P519" s="20"/>
      <c r="Q519" s="20"/>
      <c r="R519" s="20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 spans="4:49" ht="15" thickBot="1" x14ac:dyDescent="0.35">
      <c r="D520" s="2">
        <f t="shared" si="48"/>
        <v>514</v>
      </c>
      <c r="E520" s="6">
        <v>7.6124355210622374</v>
      </c>
      <c r="F520" s="24"/>
      <c r="G520" s="24"/>
      <c r="H520" s="24"/>
      <c r="I520" s="24"/>
      <c r="J520" s="3"/>
      <c r="K520" s="8"/>
      <c r="L520" s="8"/>
      <c r="M520" s="8"/>
      <c r="N520" s="22"/>
      <c r="O520" s="9"/>
      <c r="P520" s="20"/>
      <c r="Q520" s="20"/>
      <c r="R520" s="20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 spans="4:49" ht="15" thickBot="1" x14ac:dyDescent="0.35">
      <c r="D521" s="2">
        <f t="shared" si="48"/>
        <v>515</v>
      </c>
      <c r="E521" s="6">
        <v>0.19486232311191545</v>
      </c>
      <c r="F521" s="24"/>
      <c r="G521" s="24"/>
      <c r="H521" s="24"/>
      <c r="I521" s="24"/>
      <c r="J521" s="3"/>
      <c r="K521" s="8"/>
      <c r="L521" s="8"/>
      <c r="M521" s="8"/>
      <c r="N521" s="13"/>
      <c r="O521" s="9"/>
      <c r="P521" s="20"/>
      <c r="Q521" s="20"/>
      <c r="R521" s="20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 spans="4:49" ht="15" thickBot="1" x14ac:dyDescent="0.35">
      <c r="D522" s="2">
        <f t="shared" si="48"/>
        <v>516</v>
      </c>
      <c r="E522" s="6">
        <v>1.4429370438551476</v>
      </c>
      <c r="F522" s="24"/>
      <c r="G522" s="24"/>
      <c r="H522" s="24"/>
      <c r="I522" s="24"/>
      <c r="J522" s="3"/>
      <c r="K522" s="8"/>
      <c r="L522" s="8"/>
      <c r="M522" s="8"/>
      <c r="N522" s="13"/>
      <c r="O522" s="9"/>
      <c r="P522" s="20"/>
      <c r="Q522" s="20"/>
      <c r="R522" s="20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 spans="4:49" ht="15" thickBot="1" x14ac:dyDescent="0.35">
      <c r="D523" s="2">
        <f t="shared" si="48"/>
        <v>517</v>
      </c>
      <c r="E523" s="6">
        <v>10.258453835953798</v>
      </c>
      <c r="F523" s="24"/>
      <c r="G523" s="24"/>
      <c r="H523" s="24"/>
      <c r="I523" s="24"/>
      <c r="J523" s="3"/>
      <c r="K523" s="8"/>
      <c r="L523" s="8"/>
      <c r="M523" s="8"/>
      <c r="N523" s="22"/>
      <c r="O523" s="9"/>
      <c r="P523" s="20"/>
      <c r="Q523" s="20"/>
      <c r="R523" s="20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 spans="4:49" ht="15" thickBot="1" x14ac:dyDescent="0.35">
      <c r="D524" s="2">
        <f t="shared" si="48"/>
        <v>518</v>
      </c>
      <c r="E524" s="6">
        <v>4.784443437445379</v>
      </c>
      <c r="F524" s="24"/>
      <c r="G524" s="24"/>
      <c r="H524" s="24"/>
      <c r="I524" s="24"/>
      <c r="J524" s="3"/>
      <c r="K524" s="8"/>
      <c r="L524" s="8"/>
      <c r="M524" s="8"/>
      <c r="N524" s="13"/>
      <c r="O524" s="9"/>
      <c r="P524" s="20"/>
      <c r="Q524" s="20"/>
      <c r="R524" s="20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 spans="4:49" ht="15" thickBot="1" x14ac:dyDescent="0.35">
      <c r="D525" s="2">
        <f t="shared" si="48"/>
        <v>519</v>
      </c>
      <c r="E525" s="6">
        <v>3.8269353628725562</v>
      </c>
      <c r="F525" s="24"/>
      <c r="G525" s="24"/>
      <c r="H525" s="24"/>
      <c r="I525" s="24"/>
      <c r="J525" s="3"/>
      <c r="K525" s="8"/>
      <c r="L525" s="8"/>
      <c r="M525" s="8"/>
      <c r="N525" s="22"/>
      <c r="O525" s="9"/>
      <c r="P525" s="20"/>
      <c r="Q525" s="20"/>
      <c r="R525" s="20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 spans="4:49" ht="15" thickBot="1" x14ac:dyDescent="0.35">
      <c r="D526" s="2">
        <f t="shared" si="48"/>
        <v>520</v>
      </c>
      <c r="E526" s="6">
        <v>0.54704255779507205</v>
      </c>
      <c r="F526" s="24"/>
      <c r="G526" s="24"/>
      <c r="H526" s="24"/>
      <c r="I526" s="24"/>
      <c r="J526" s="3"/>
      <c r="K526" s="8"/>
      <c r="L526" s="8"/>
      <c r="M526" s="8"/>
      <c r="N526" s="13"/>
      <c r="O526" s="9"/>
      <c r="P526" s="20"/>
      <c r="Q526" s="20"/>
      <c r="R526" s="20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 spans="4:49" ht="15" thickBot="1" x14ac:dyDescent="0.35">
      <c r="D527" s="2">
        <f t="shared" si="48"/>
        <v>521</v>
      </c>
      <c r="E527" s="6">
        <v>0.27172790993458779</v>
      </c>
      <c r="F527" s="24"/>
      <c r="G527" s="24"/>
      <c r="H527" s="24"/>
      <c r="I527" s="24"/>
      <c r="J527" s="3"/>
      <c r="K527" s="8"/>
      <c r="L527" s="8"/>
      <c r="M527" s="8"/>
      <c r="N527" s="13"/>
      <c r="O527" s="9"/>
      <c r="P527" s="20"/>
      <c r="Q527" s="20"/>
      <c r="R527" s="20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 spans="4:49" ht="15" thickBot="1" x14ac:dyDescent="0.35">
      <c r="D528" s="2">
        <f t="shared" si="48"/>
        <v>522</v>
      </c>
      <c r="E528" s="6">
        <v>10.043432162486519</v>
      </c>
      <c r="F528" s="24"/>
      <c r="G528" s="24"/>
      <c r="H528" s="24"/>
      <c r="I528" s="24"/>
      <c r="J528" s="3"/>
      <c r="K528" s="8"/>
      <c r="L528" s="8"/>
      <c r="M528" s="8"/>
      <c r="N528" s="22"/>
      <c r="O528" s="9"/>
      <c r="P528" s="20"/>
      <c r="Q528" s="20"/>
      <c r="R528" s="20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 spans="4:49" ht="15" thickBot="1" x14ac:dyDescent="0.35">
      <c r="D529" s="2">
        <f t="shared" si="48"/>
        <v>523</v>
      </c>
      <c r="E529" s="6">
        <v>0.85373751928190689</v>
      </c>
      <c r="F529" s="24"/>
      <c r="G529" s="24"/>
      <c r="H529" s="24"/>
      <c r="I529" s="24"/>
      <c r="J529" s="3"/>
      <c r="K529" s="8"/>
      <c r="L529" s="8"/>
      <c r="M529" s="8"/>
      <c r="N529" s="13"/>
      <c r="O529" s="9"/>
      <c r="P529" s="20"/>
      <c r="Q529" s="20"/>
      <c r="R529" s="20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 spans="4:49" ht="15" thickBot="1" x14ac:dyDescent="0.35">
      <c r="D530" s="2">
        <f t="shared" si="48"/>
        <v>524</v>
      </c>
      <c r="E530" s="6">
        <v>3.6132411687781243</v>
      </c>
      <c r="F530" s="24"/>
      <c r="G530" s="24"/>
      <c r="H530" s="24"/>
      <c r="I530" s="24"/>
      <c r="J530" s="3"/>
      <c r="K530" s="8"/>
      <c r="L530" s="8"/>
      <c r="M530" s="8"/>
      <c r="N530" s="22"/>
      <c r="O530" s="9"/>
      <c r="P530" s="20"/>
      <c r="Q530" s="20"/>
      <c r="R530" s="20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 spans="4:49" ht="15" thickBot="1" x14ac:dyDescent="0.35">
      <c r="D531" s="2">
        <f t="shared" si="48"/>
        <v>525</v>
      </c>
      <c r="E531" s="6">
        <v>13.416057637202432</v>
      </c>
      <c r="F531" s="24"/>
      <c r="G531" s="24"/>
      <c r="H531" s="24"/>
      <c r="I531" s="24"/>
      <c r="J531" s="3"/>
      <c r="K531" s="8"/>
      <c r="L531" s="8"/>
      <c r="M531" s="8"/>
      <c r="N531" s="13"/>
      <c r="O531" s="9"/>
      <c r="P531" s="20"/>
      <c r="Q531" s="20"/>
      <c r="R531" s="20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 spans="4:49" ht="15" thickBot="1" x14ac:dyDescent="0.35">
      <c r="D532" s="2">
        <f t="shared" si="48"/>
        <v>526</v>
      </c>
      <c r="E532" s="6">
        <v>5.3308654726435609</v>
      </c>
      <c r="F532" s="24"/>
      <c r="G532" s="24"/>
      <c r="H532" s="24"/>
      <c r="I532" s="24"/>
      <c r="J532" s="3"/>
      <c r="K532" s="8"/>
      <c r="L532" s="8"/>
      <c r="M532" s="8"/>
      <c r="N532" s="13"/>
      <c r="O532" s="9"/>
      <c r="P532" s="20"/>
      <c r="Q532" s="20"/>
      <c r="R532" s="20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 spans="4:49" ht="15" thickBot="1" x14ac:dyDescent="0.35">
      <c r="D533" s="2">
        <f t="shared" si="48"/>
        <v>527</v>
      </c>
      <c r="E533" s="6">
        <v>2.9376107554376074</v>
      </c>
      <c r="F533" s="24"/>
      <c r="G533" s="24"/>
      <c r="H533" s="24"/>
      <c r="I533" s="24"/>
      <c r="J533" s="3"/>
      <c r="K533" s="8"/>
      <c r="L533" s="8"/>
      <c r="M533" s="8"/>
      <c r="N533" s="22"/>
      <c r="O533" s="9"/>
      <c r="P533" s="20"/>
      <c r="Q533" s="20"/>
      <c r="R533" s="20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 spans="4:49" ht="15" thickBot="1" x14ac:dyDescent="0.35">
      <c r="D534" s="2">
        <f t="shared" si="48"/>
        <v>528</v>
      </c>
      <c r="E534" s="6">
        <v>7.13743438558605</v>
      </c>
      <c r="F534" s="24"/>
      <c r="G534" s="24"/>
      <c r="H534" s="24"/>
      <c r="I534" s="24"/>
      <c r="J534" s="3"/>
      <c r="K534" s="8"/>
      <c r="L534" s="8"/>
      <c r="M534" s="8"/>
      <c r="N534" s="13"/>
      <c r="O534" s="9"/>
      <c r="P534" s="20"/>
      <c r="Q534" s="20"/>
      <c r="R534" s="20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 spans="4:49" ht="15" thickBot="1" x14ac:dyDescent="0.35">
      <c r="D535" s="2">
        <f t="shared" si="48"/>
        <v>529</v>
      </c>
      <c r="E535" s="6">
        <v>1.2965926241933263</v>
      </c>
      <c r="F535" s="24"/>
      <c r="G535" s="24"/>
      <c r="H535" s="24"/>
      <c r="I535" s="24"/>
      <c r="J535" s="3"/>
      <c r="K535" s="8"/>
      <c r="L535" s="8"/>
      <c r="M535" s="8"/>
      <c r="N535" s="22"/>
      <c r="O535" s="9"/>
      <c r="P535" s="20"/>
      <c r="Q535" s="20"/>
      <c r="R535" s="20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 spans="4:49" ht="15" thickBot="1" x14ac:dyDescent="0.35">
      <c r="D536" s="2">
        <f t="shared" si="48"/>
        <v>530</v>
      </c>
      <c r="E536" s="6">
        <v>1.7321130814432333</v>
      </c>
      <c r="F536" s="24"/>
      <c r="G536" s="24"/>
      <c r="H536" s="24"/>
      <c r="I536" s="24"/>
      <c r="J536" s="3"/>
      <c r="K536" s="8"/>
      <c r="L536" s="8"/>
      <c r="M536" s="8"/>
      <c r="N536" s="13"/>
      <c r="O536" s="9"/>
      <c r="P536" s="20"/>
      <c r="Q536" s="20"/>
      <c r="R536" s="20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 spans="4:49" ht="15" thickBot="1" x14ac:dyDescent="0.35">
      <c r="D537" s="2">
        <f t="shared" si="48"/>
        <v>531</v>
      </c>
      <c r="E537" s="6">
        <v>4.8207273726559041</v>
      </c>
      <c r="F537" s="24"/>
      <c r="G537" s="24"/>
      <c r="H537" s="24"/>
      <c r="I537" s="24"/>
      <c r="J537" s="3"/>
      <c r="K537" s="8"/>
      <c r="L537" s="8"/>
      <c r="M537" s="8"/>
      <c r="N537" s="13"/>
      <c r="O537" s="9"/>
      <c r="P537" s="20"/>
      <c r="Q537" s="20"/>
      <c r="R537" s="20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 spans="4:49" ht="15" thickBot="1" x14ac:dyDescent="0.35">
      <c r="D538" s="2">
        <f t="shared" si="48"/>
        <v>532</v>
      </c>
      <c r="E538" s="6">
        <v>0.35380436212363608</v>
      </c>
      <c r="F538" s="24"/>
      <c r="G538" s="24"/>
      <c r="H538" s="24"/>
      <c r="I538" s="24"/>
      <c r="J538" s="3"/>
      <c r="K538" s="8"/>
      <c r="L538" s="8"/>
      <c r="M538" s="8"/>
      <c r="N538" s="22"/>
      <c r="O538" s="9"/>
      <c r="P538" s="20"/>
      <c r="Q538" s="20"/>
      <c r="R538" s="20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 spans="4:49" ht="15" thickBot="1" x14ac:dyDescent="0.35">
      <c r="D539" s="2">
        <f t="shared" si="48"/>
        <v>533</v>
      </c>
      <c r="E539" s="6">
        <v>12.701355034606484</v>
      </c>
      <c r="F539" s="24"/>
      <c r="G539" s="24"/>
      <c r="H539" s="24"/>
      <c r="I539" s="24"/>
      <c r="J539" s="3"/>
      <c r="K539" s="8"/>
      <c r="L539" s="8"/>
      <c r="M539" s="8"/>
      <c r="N539" s="13"/>
      <c r="O539" s="9"/>
      <c r="P539" s="20"/>
      <c r="Q539" s="20"/>
      <c r="R539" s="20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 spans="4:49" ht="15" thickBot="1" x14ac:dyDescent="0.35">
      <c r="D540" s="2">
        <f t="shared" si="48"/>
        <v>534</v>
      </c>
      <c r="E540" s="6">
        <v>6.7922146961314551</v>
      </c>
      <c r="F540" s="24"/>
      <c r="G540" s="24"/>
      <c r="H540" s="24"/>
      <c r="I540" s="24"/>
      <c r="J540" s="3"/>
      <c r="K540" s="8"/>
      <c r="L540" s="8"/>
      <c r="M540" s="8"/>
      <c r="N540" s="22"/>
      <c r="O540" s="9"/>
      <c r="P540" s="20"/>
      <c r="Q540" s="20"/>
      <c r="R540" s="20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 spans="4:49" ht="15" thickBot="1" x14ac:dyDescent="0.35">
      <c r="D541" s="2">
        <f t="shared" si="48"/>
        <v>535</v>
      </c>
      <c r="E541" s="6">
        <v>4.9403653827676877</v>
      </c>
      <c r="F541" s="24"/>
      <c r="G541" s="24"/>
      <c r="H541" s="24"/>
      <c r="I541" s="24"/>
      <c r="J541" s="3"/>
      <c r="K541" s="8"/>
      <c r="L541" s="8"/>
      <c r="M541" s="8"/>
      <c r="N541" s="13"/>
      <c r="O541" s="9"/>
      <c r="P541" s="20"/>
      <c r="Q541" s="20"/>
      <c r="R541" s="20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 spans="4:49" ht="15" thickBot="1" x14ac:dyDescent="0.35">
      <c r="D542" s="2">
        <f t="shared" si="48"/>
        <v>536</v>
      </c>
      <c r="E542" s="6">
        <v>2.7977650228154434</v>
      </c>
      <c r="F542" s="24"/>
      <c r="G542" s="24"/>
      <c r="H542" s="24"/>
      <c r="I542" s="24"/>
      <c r="J542" s="3"/>
      <c r="K542" s="8"/>
      <c r="L542" s="8"/>
      <c r="M542" s="8"/>
      <c r="N542" s="13"/>
      <c r="O542" s="9"/>
      <c r="P542" s="20"/>
      <c r="Q542" s="20"/>
      <c r="R542" s="20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 spans="4:49" ht="15" thickBot="1" x14ac:dyDescent="0.35">
      <c r="D543" s="2">
        <f t="shared" si="48"/>
        <v>537</v>
      </c>
      <c r="E543" s="6">
        <v>3.6864189289475355</v>
      </c>
      <c r="F543" s="24"/>
      <c r="G543" s="24"/>
      <c r="H543" s="24"/>
      <c r="I543" s="24"/>
      <c r="J543" s="3"/>
      <c r="K543" s="8"/>
      <c r="L543" s="8"/>
      <c r="M543" s="8"/>
      <c r="N543" s="22"/>
      <c r="O543" s="9"/>
      <c r="P543" s="20"/>
      <c r="Q543" s="20"/>
      <c r="R543" s="20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 spans="4:49" ht="15" thickBot="1" x14ac:dyDescent="0.35">
      <c r="D544" s="2">
        <f t="shared" si="48"/>
        <v>538</v>
      </c>
      <c r="E544" s="6">
        <v>3.781890624645408</v>
      </c>
      <c r="F544" s="24"/>
      <c r="G544" s="24"/>
      <c r="H544" s="24"/>
      <c r="I544" s="24"/>
      <c r="J544" s="3"/>
      <c r="K544" s="8"/>
      <c r="L544" s="8"/>
      <c r="M544" s="8"/>
      <c r="N544" s="13"/>
      <c r="O544" s="9"/>
      <c r="P544" s="20"/>
      <c r="Q544" s="20"/>
      <c r="R544" s="20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 spans="4:49" ht="15" thickBot="1" x14ac:dyDescent="0.35">
      <c r="D545" s="2">
        <f t="shared" si="48"/>
        <v>539</v>
      </c>
      <c r="E545" s="6">
        <v>3.4412697917447383</v>
      </c>
      <c r="F545" s="24"/>
      <c r="G545" s="24"/>
      <c r="H545" s="24"/>
      <c r="I545" s="24"/>
      <c r="J545" s="3"/>
      <c r="K545" s="8"/>
      <c r="L545" s="8"/>
      <c r="M545" s="8"/>
      <c r="N545" s="22"/>
      <c r="O545" s="9"/>
      <c r="P545" s="20"/>
      <c r="Q545" s="20"/>
      <c r="R545" s="20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 spans="4:49" ht="15" thickBot="1" x14ac:dyDescent="0.35">
      <c r="D546" s="2">
        <f t="shared" si="48"/>
        <v>540</v>
      </c>
      <c r="E546" s="6">
        <v>8.1187382905291905</v>
      </c>
      <c r="F546" s="24"/>
      <c r="G546" s="24"/>
      <c r="H546" s="24"/>
      <c r="I546" s="24"/>
      <c r="J546" s="3"/>
      <c r="K546" s="8"/>
      <c r="L546" s="8"/>
      <c r="M546" s="8"/>
      <c r="N546" s="13"/>
      <c r="O546" s="9"/>
      <c r="P546" s="20"/>
      <c r="Q546" s="20"/>
      <c r="R546" s="20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 spans="4:49" ht="15" thickBot="1" x14ac:dyDescent="0.35">
      <c r="D547" s="2">
        <f t="shared" si="48"/>
        <v>541</v>
      </c>
      <c r="E547" s="6">
        <v>1.8994818113065393</v>
      </c>
      <c r="F547" s="24"/>
      <c r="G547" s="24"/>
      <c r="H547" s="24"/>
      <c r="I547" s="24"/>
      <c r="J547" s="3"/>
      <c r="K547" s="8"/>
      <c r="L547" s="8"/>
      <c r="M547" s="8"/>
      <c r="N547" s="13"/>
      <c r="O547" s="9"/>
      <c r="P547" s="20"/>
      <c r="Q547" s="20"/>
      <c r="R547" s="20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 spans="4:49" ht="15" thickBot="1" x14ac:dyDescent="0.35">
      <c r="D548" s="2">
        <f t="shared" si="48"/>
        <v>542</v>
      </c>
      <c r="E548" s="6">
        <v>3.6101995205723228E-2</v>
      </c>
      <c r="F548" s="24"/>
      <c r="G548" s="24"/>
      <c r="H548" s="24"/>
      <c r="I548" s="24"/>
      <c r="J548" s="3"/>
      <c r="K548" s="8"/>
      <c r="L548" s="8"/>
      <c r="M548" s="8"/>
      <c r="N548" s="22"/>
      <c r="O548" s="9"/>
      <c r="P548" s="20"/>
      <c r="Q548" s="20"/>
      <c r="R548" s="20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 spans="4:49" ht="15" thickBot="1" x14ac:dyDescent="0.35">
      <c r="D549" s="2">
        <f t="shared" si="48"/>
        <v>543</v>
      </c>
      <c r="E549" s="6">
        <v>0.98369596493156042</v>
      </c>
      <c r="F549" s="24"/>
      <c r="G549" s="24"/>
      <c r="H549" s="24"/>
      <c r="I549" s="24"/>
      <c r="J549" s="3"/>
      <c r="K549" s="8"/>
      <c r="L549" s="8"/>
      <c r="M549" s="8"/>
      <c r="N549" s="13"/>
      <c r="O549" s="9"/>
      <c r="P549" s="20"/>
      <c r="Q549" s="20"/>
      <c r="R549" s="20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 spans="4:49" ht="15" thickBot="1" x14ac:dyDescent="0.35">
      <c r="D550" s="2">
        <f t="shared" si="48"/>
        <v>544</v>
      </c>
      <c r="E550" s="6">
        <v>15.869056768890394</v>
      </c>
      <c r="F550" s="24"/>
      <c r="G550" s="24"/>
      <c r="H550" s="24"/>
      <c r="I550" s="24"/>
      <c r="J550" s="3"/>
      <c r="K550" s="8"/>
      <c r="L550" s="8"/>
      <c r="M550" s="8"/>
      <c r="N550" s="22"/>
      <c r="O550" s="9"/>
      <c r="P550" s="20"/>
      <c r="Q550" s="20"/>
      <c r="R550" s="20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 spans="4:49" ht="15" thickBot="1" x14ac:dyDescent="0.35">
      <c r="D551" s="2">
        <f t="shared" si="48"/>
        <v>545</v>
      </c>
      <c r="E551" s="6">
        <v>8.2877839327867981</v>
      </c>
      <c r="F551" s="24"/>
      <c r="G551" s="24"/>
      <c r="H551" s="24"/>
      <c r="I551" s="24"/>
      <c r="J551" s="3"/>
      <c r="K551" s="8"/>
      <c r="L551" s="8"/>
      <c r="M551" s="8"/>
      <c r="N551" s="13"/>
      <c r="O551" s="9"/>
      <c r="P551" s="20"/>
      <c r="Q551" s="20"/>
      <c r="R551" s="20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 spans="4:49" ht="15" thickBot="1" x14ac:dyDescent="0.35">
      <c r="D552" s="2">
        <f t="shared" si="48"/>
        <v>546</v>
      </c>
      <c r="E552" s="6">
        <v>2.1262301224318247</v>
      </c>
      <c r="F552" s="24"/>
      <c r="G552" s="24"/>
      <c r="H552" s="24"/>
      <c r="I552" s="24"/>
      <c r="J552" s="3"/>
      <c r="K552" s="8"/>
      <c r="L552" s="8"/>
      <c r="M552" s="8"/>
      <c r="N552" s="13"/>
      <c r="O552" s="9"/>
      <c r="P552" s="20"/>
      <c r="Q552" s="20"/>
      <c r="R552" s="20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 spans="4:49" ht="15" thickBot="1" x14ac:dyDescent="0.35">
      <c r="D553" s="2">
        <f t="shared" si="48"/>
        <v>547</v>
      </c>
      <c r="E553" s="6">
        <v>0.69338054485549738</v>
      </c>
      <c r="F553" s="24"/>
      <c r="G553" s="24"/>
      <c r="H553" s="24"/>
      <c r="I553" s="24"/>
      <c r="J553" s="3"/>
      <c r="K553" s="8"/>
      <c r="L553" s="8"/>
      <c r="M553" s="8"/>
      <c r="N553" s="22"/>
      <c r="O553" s="9"/>
      <c r="P553" s="20"/>
      <c r="Q553" s="20"/>
      <c r="R553" s="20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 spans="4:49" ht="15" thickBot="1" x14ac:dyDescent="0.35">
      <c r="D554" s="2">
        <f t="shared" si="48"/>
        <v>548</v>
      </c>
      <c r="E554" s="6">
        <v>0.8635481735182865</v>
      </c>
      <c r="F554" s="24"/>
      <c r="G554" s="24"/>
      <c r="H554" s="24"/>
      <c r="I554" s="24"/>
      <c r="J554" s="3"/>
      <c r="K554" s="8"/>
      <c r="L554" s="8"/>
      <c r="M554" s="8"/>
      <c r="N554" s="13"/>
      <c r="O554" s="9"/>
      <c r="P554" s="20"/>
      <c r="Q554" s="20"/>
      <c r="R554" s="20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 spans="4:49" ht="15" thickBot="1" x14ac:dyDescent="0.35">
      <c r="D555" s="2">
        <f t="shared" si="48"/>
        <v>549</v>
      </c>
      <c r="E555" s="6">
        <v>9.541600120465068</v>
      </c>
      <c r="F555" s="24"/>
      <c r="G555" s="24"/>
      <c r="H555" s="24"/>
      <c r="I555" s="24"/>
      <c r="J555" s="3"/>
      <c r="K555" s="8"/>
      <c r="L555" s="8"/>
      <c r="M555" s="8"/>
      <c r="N555" s="22"/>
      <c r="O555" s="9"/>
      <c r="P555" s="20"/>
      <c r="Q555" s="20"/>
      <c r="R555" s="20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 spans="4:49" ht="15" thickBot="1" x14ac:dyDescent="0.35">
      <c r="D556" s="2">
        <f t="shared" si="48"/>
        <v>550</v>
      </c>
      <c r="E556" s="6">
        <v>6.9033888670649555</v>
      </c>
      <c r="F556" s="24"/>
      <c r="G556" s="24"/>
      <c r="H556" s="24"/>
      <c r="I556" s="24"/>
      <c r="J556" s="3"/>
      <c r="K556" s="8"/>
      <c r="L556" s="8"/>
      <c r="M556" s="8"/>
      <c r="N556" s="13"/>
      <c r="O556" s="9"/>
      <c r="P556" s="20"/>
      <c r="Q556" s="20"/>
      <c r="R556" s="20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 spans="4:49" ht="15" thickBot="1" x14ac:dyDescent="0.35">
      <c r="D557" s="2">
        <f t="shared" si="48"/>
        <v>551</v>
      </c>
      <c r="E557" s="6">
        <v>1.281190397843442</v>
      </c>
      <c r="F557" s="24"/>
      <c r="G557" s="24"/>
      <c r="H557" s="24"/>
      <c r="I557" s="24"/>
      <c r="J557" s="3"/>
      <c r="K557" s="8"/>
      <c r="L557" s="8"/>
      <c r="M557" s="8"/>
      <c r="N557" s="13"/>
      <c r="O557" s="9"/>
      <c r="P557" s="20"/>
      <c r="Q557" s="20"/>
      <c r="R557" s="20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 spans="4:49" ht="15" thickBot="1" x14ac:dyDescent="0.35">
      <c r="D558" s="2">
        <f t="shared" si="48"/>
        <v>552</v>
      </c>
      <c r="E558" s="6">
        <v>0.44567308177254383</v>
      </c>
      <c r="F558" s="24"/>
      <c r="G558" s="24"/>
      <c r="H558" s="24"/>
      <c r="I558" s="24"/>
      <c r="J558" s="3"/>
      <c r="K558" s="8"/>
      <c r="L558" s="8"/>
      <c r="M558" s="8"/>
      <c r="N558" s="22"/>
      <c r="O558" s="9"/>
      <c r="P558" s="20"/>
      <c r="Q558" s="20"/>
      <c r="R558" s="20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 spans="4:49" ht="15" thickBot="1" x14ac:dyDescent="0.35">
      <c r="D559" s="2">
        <f t="shared" si="48"/>
        <v>553</v>
      </c>
      <c r="E559" s="6">
        <v>1.7514460529075604</v>
      </c>
      <c r="F559" s="24"/>
      <c r="G559" s="24"/>
      <c r="H559" s="24"/>
      <c r="I559" s="24"/>
      <c r="J559" s="3"/>
      <c r="K559" s="8"/>
      <c r="L559" s="8"/>
      <c r="M559" s="8"/>
      <c r="N559" s="13"/>
      <c r="O559" s="9"/>
      <c r="P559" s="20"/>
      <c r="Q559" s="20"/>
      <c r="R559" s="20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 spans="4:49" ht="15" thickBot="1" x14ac:dyDescent="0.35">
      <c r="D560" s="2">
        <f t="shared" si="48"/>
        <v>554</v>
      </c>
      <c r="E560" s="6">
        <v>2.5437957353973872</v>
      </c>
      <c r="F560" s="24"/>
      <c r="G560" s="24"/>
      <c r="H560" s="24"/>
      <c r="I560" s="24"/>
      <c r="J560" s="3"/>
      <c r="K560" s="8"/>
      <c r="L560" s="8"/>
      <c r="M560" s="8"/>
      <c r="N560" s="22"/>
      <c r="O560" s="9"/>
      <c r="P560" s="20"/>
      <c r="Q560" s="20"/>
      <c r="R560" s="20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 spans="4:49" ht="15" thickBot="1" x14ac:dyDescent="0.35">
      <c r="D561" s="2">
        <f t="shared" si="48"/>
        <v>555</v>
      </c>
      <c r="E561" s="6">
        <v>1.8478981735350071</v>
      </c>
      <c r="F561" s="24"/>
      <c r="G561" s="24"/>
      <c r="H561" s="24"/>
      <c r="I561" s="24"/>
      <c r="J561" s="3"/>
      <c r="K561" s="8"/>
      <c r="L561" s="8"/>
      <c r="M561" s="8"/>
      <c r="N561" s="13"/>
      <c r="O561" s="9"/>
      <c r="P561" s="20"/>
      <c r="Q561" s="20"/>
      <c r="R561" s="20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 spans="4:49" ht="15" thickBot="1" x14ac:dyDescent="0.35">
      <c r="D562" s="2">
        <f t="shared" si="48"/>
        <v>556</v>
      </c>
      <c r="E562" s="6">
        <v>8.4637046430696667</v>
      </c>
      <c r="F562" s="24"/>
      <c r="G562" s="24"/>
      <c r="H562" s="24"/>
      <c r="I562" s="24"/>
      <c r="J562" s="3"/>
      <c r="K562" s="8"/>
      <c r="L562" s="8"/>
      <c r="M562" s="8"/>
      <c r="N562" s="13"/>
      <c r="O562" s="9"/>
      <c r="P562" s="20"/>
      <c r="Q562" s="20"/>
      <c r="R562" s="20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 spans="4:49" ht="15" thickBot="1" x14ac:dyDescent="0.35">
      <c r="D563" s="2">
        <f t="shared" si="48"/>
        <v>557</v>
      </c>
      <c r="E563" s="6">
        <v>3.0656196389018895</v>
      </c>
      <c r="F563" s="24"/>
      <c r="G563" s="24"/>
      <c r="H563" s="24"/>
      <c r="I563" s="24"/>
      <c r="J563" s="3"/>
      <c r="K563" s="8"/>
      <c r="L563" s="8"/>
      <c r="M563" s="8"/>
      <c r="N563" s="22"/>
      <c r="O563" s="9"/>
      <c r="P563" s="20"/>
      <c r="Q563" s="20"/>
      <c r="R563" s="20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 spans="4:49" ht="15" thickBot="1" x14ac:dyDescent="0.35">
      <c r="D564" s="2">
        <f t="shared" si="48"/>
        <v>558</v>
      </c>
      <c r="E564" s="6">
        <v>0.19081146350744552</v>
      </c>
      <c r="F564" s="24"/>
      <c r="G564" s="24"/>
      <c r="H564" s="24"/>
      <c r="I564" s="24"/>
      <c r="J564" s="3"/>
      <c r="K564" s="8"/>
      <c r="L564" s="8"/>
      <c r="M564" s="8"/>
      <c r="N564" s="13"/>
      <c r="O564" s="9"/>
      <c r="P564" s="20"/>
      <c r="Q564" s="20"/>
      <c r="R564" s="20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 spans="4:49" ht="15" thickBot="1" x14ac:dyDescent="0.35">
      <c r="D565" s="2">
        <f t="shared" si="48"/>
        <v>559</v>
      </c>
      <c r="E565" s="6">
        <v>0.99880738187688289</v>
      </c>
      <c r="F565" s="24"/>
      <c r="G565" s="24"/>
      <c r="H565" s="24"/>
      <c r="I565" s="24"/>
      <c r="J565" s="3"/>
      <c r="K565" s="8"/>
      <c r="L565" s="8"/>
      <c r="M565" s="8"/>
      <c r="N565" s="22"/>
      <c r="O565" s="9"/>
      <c r="P565" s="20"/>
      <c r="Q565" s="20"/>
      <c r="R565" s="20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 spans="4:49" ht="15" thickBot="1" x14ac:dyDescent="0.35">
      <c r="D566" s="2">
        <f t="shared" si="48"/>
        <v>560</v>
      </c>
      <c r="E566" s="6">
        <v>2.3873668560397543</v>
      </c>
      <c r="F566" s="24"/>
      <c r="G566" s="24"/>
      <c r="H566" s="24"/>
      <c r="I566" s="24"/>
      <c r="J566" s="3"/>
      <c r="K566" s="8"/>
      <c r="L566" s="8"/>
      <c r="M566" s="8"/>
      <c r="N566" s="13"/>
      <c r="O566" s="9"/>
      <c r="P566" s="20"/>
      <c r="Q566" s="20"/>
      <c r="R566" s="20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 spans="4:49" ht="15" thickBot="1" x14ac:dyDescent="0.35">
      <c r="D567" s="2">
        <f t="shared" si="48"/>
        <v>561</v>
      </c>
      <c r="E567" s="6">
        <v>1.692588844005982</v>
      </c>
      <c r="F567" s="24"/>
      <c r="G567" s="24"/>
      <c r="H567" s="24"/>
      <c r="I567" s="24"/>
      <c r="J567" s="3"/>
      <c r="K567" s="8"/>
      <c r="L567" s="8"/>
      <c r="M567" s="8"/>
      <c r="N567" s="13"/>
      <c r="O567" s="9"/>
      <c r="P567" s="20"/>
      <c r="Q567" s="20"/>
      <c r="R567" s="20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 spans="4:49" ht="15" thickBot="1" x14ac:dyDescent="0.35">
      <c r="D568" s="2">
        <f t="shared" si="48"/>
        <v>562</v>
      </c>
      <c r="E568" s="6">
        <v>2.6835102479960651</v>
      </c>
      <c r="F568" s="24"/>
      <c r="G568" s="24"/>
      <c r="H568" s="24"/>
      <c r="I568" s="24"/>
      <c r="J568" s="3"/>
      <c r="K568" s="8"/>
      <c r="L568" s="8"/>
      <c r="M568" s="8"/>
      <c r="N568" s="22"/>
      <c r="O568" s="9"/>
      <c r="P568" s="20"/>
      <c r="Q568" s="20"/>
      <c r="R568" s="20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 spans="4:49" ht="15" thickBot="1" x14ac:dyDescent="0.35">
      <c r="D569" s="2">
        <f t="shared" si="48"/>
        <v>563</v>
      </c>
      <c r="E569" s="6">
        <v>1.1747851576300685</v>
      </c>
      <c r="F569" s="24"/>
      <c r="G569" s="24"/>
      <c r="H569" s="24"/>
      <c r="I569" s="24"/>
      <c r="J569" s="3"/>
      <c r="K569" s="8"/>
      <c r="L569" s="8"/>
      <c r="M569" s="8"/>
      <c r="N569" s="13"/>
      <c r="O569" s="9"/>
      <c r="P569" s="20"/>
      <c r="Q569" s="20"/>
      <c r="R569" s="20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 spans="4:49" ht="15" thickBot="1" x14ac:dyDescent="0.35">
      <c r="D570" s="2">
        <f t="shared" si="48"/>
        <v>564</v>
      </c>
      <c r="E570" s="6">
        <v>0.21442037042312698</v>
      </c>
      <c r="F570" s="24"/>
      <c r="G570" s="24"/>
      <c r="H570" s="24"/>
      <c r="I570" s="24"/>
      <c r="J570" s="3"/>
      <c r="K570" s="8"/>
      <c r="L570" s="8"/>
      <c r="M570" s="8"/>
      <c r="N570" s="22"/>
      <c r="O570" s="9"/>
      <c r="P570" s="20"/>
      <c r="Q570" s="20"/>
      <c r="R570" s="20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 spans="4:49" ht="15" thickBot="1" x14ac:dyDescent="0.35">
      <c r="D571" s="2">
        <f t="shared" si="48"/>
        <v>565</v>
      </c>
      <c r="E571" s="6">
        <v>4.7966660601763662</v>
      </c>
      <c r="F571" s="24"/>
      <c r="G571" s="24"/>
      <c r="H571" s="24"/>
      <c r="I571" s="24"/>
      <c r="J571" s="3"/>
      <c r="K571" s="8"/>
      <c r="L571" s="8"/>
      <c r="M571" s="8"/>
      <c r="N571" s="13"/>
      <c r="O571" s="9"/>
      <c r="P571" s="20"/>
      <c r="Q571" s="20"/>
      <c r="R571" s="20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 spans="4:49" ht="15" thickBot="1" x14ac:dyDescent="0.35">
      <c r="D572" s="2">
        <f t="shared" si="48"/>
        <v>566</v>
      </c>
      <c r="E572" s="6">
        <v>10.332509084144208</v>
      </c>
      <c r="F572" s="24"/>
      <c r="G572" s="24"/>
      <c r="H572" s="24"/>
      <c r="I572" s="24"/>
      <c r="J572" s="3"/>
      <c r="K572" s="8"/>
      <c r="L572" s="8"/>
      <c r="M572" s="8"/>
      <c r="N572" s="13"/>
      <c r="O572" s="9"/>
      <c r="P572" s="20"/>
      <c r="Q572" s="20"/>
      <c r="R572" s="20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 spans="4:49" ht="15" thickBot="1" x14ac:dyDescent="0.35">
      <c r="D573" s="2">
        <f t="shared" si="48"/>
        <v>567</v>
      </c>
      <c r="E573" s="6">
        <v>1.4521726792273704</v>
      </c>
      <c r="F573" s="24"/>
      <c r="G573" s="24"/>
      <c r="H573" s="24"/>
      <c r="I573" s="24"/>
      <c r="J573" s="3"/>
      <c r="K573" s="8"/>
      <c r="L573" s="8"/>
      <c r="M573" s="8"/>
      <c r="N573" s="22"/>
      <c r="O573" s="9"/>
      <c r="P573" s="20"/>
      <c r="Q573" s="20"/>
      <c r="R573" s="20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 spans="4:49" ht="15" thickBot="1" x14ac:dyDescent="0.35">
      <c r="D574" s="2">
        <f t="shared" si="48"/>
        <v>568</v>
      </c>
      <c r="E574" s="6">
        <v>4.6083913826662784E-2</v>
      </c>
      <c r="F574" s="24"/>
      <c r="G574" s="24"/>
      <c r="H574" s="24"/>
      <c r="I574" s="24"/>
      <c r="J574" s="3"/>
      <c r="K574" s="8"/>
      <c r="L574" s="8"/>
      <c r="M574" s="8"/>
      <c r="N574" s="13"/>
      <c r="O574" s="9"/>
      <c r="P574" s="20"/>
      <c r="Q574" s="20"/>
      <c r="R574" s="20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 spans="4:49" ht="15" thickBot="1" x14ac:dyDescent="0.35">
      <c r="D575" s="2">
        <f t="shared" si="48"/>
        <v>569</v>
      </c>
      <c r="E575" s="6">
        <v>8.562456933874536</v>
      </c>
      <c r="F575" s="24"/>
      <c r="G575" s="24"/>
      <c r="H575" s="24"/>
      <c r="I575" s="24"/>
      <c r="J575" s="3"/>
      <c r="K575" s="8"/>
      <c r="L575" s="8"/>
      <c r="M575" s="8"/>
      <c r="N575" s="22"/>
      <c r="O575" s="9"/>
      <c r="P575" s="20"/>
      <c r="Q575" s="20"/>
      <c r="R575" s="20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 spans="4:49" ht="15" thickBot="1" x14ac:dyDescent="0.35">
      <c r="D576" s="2">
        <f t="shared" si="48"/>
        <v>570</v>
      </c>
      <c r="E576" s="6">
        <v>3.0384284531731209</v>
      </c>
      <c r="F576" s="24"/>
      <c r="G576" s="24"/>
      <c r="H576" s="24"/>
      <c r="I576" s="24"/>
      <c r="J576" s="3"/>
      <c r="K576" s="8"/>
      <c r="L576" s="8"/>
      <c r="M576" s="8"/>
      <c r="N576" s="13"/>
      <c r="O576" s="9"/>
      <c r="P576" s="20"/>
      <c r="Q576" s="20"/>
      <c r="R576" s="20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 spans="4:49" ht="15" thickBot="1" x14ac:dyDescent="0.35">
      <c r="D577" s="2">
        <f t="shared" si="48"/>
        <v>571</v>
      </c>
      <c r="E577" s="6">
        <v>0.6348374118065927</v>
      </c>
      <c r="F577" s="24"/>
      <c r="G577" s="24"/>
      <c r="H577" s="24"/>
      <c r="I577" s="24"/>
      <c r="J577" s="3"/>
      <c r="K577" s="8"/>
      <c r="L577" s="8"/>
      <c r="M577" s="8"/>
      <c r="N577" s="13"/>
      <c r="O577" s="9"/>
      <c r="P577" s="20"/>
      <c r="Q577" s="20"/>
      <c r="R577" s="20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 spans="4:49" ht="15" thickBot="1" x14ac:dyDescent="0.35">
      <c r="D578" s="2">
        <f t="shared" si="48"/>
        <v>572</v>
      </c>
      <c r="E578" s="6">
        <v>2.9800011627052374</v>
      </c>
      <c r="F578" s="24"/>
      <c r="G578" s="24"/>
      <c r="H578" s="24"/>
      <c r="I578" s="24"/>
      <c r="J578" s="3"/>
      <c r="K578" s="8"/>
      <c r="L578" s="8"/>
      <c r="M578" s="8"/>
      <c r="N578" s="22"/>
      <c r="O578" s="9"/>
      <c r="P578" s="20"/>
      <c r="Q578" s="20"/>
      <c r="R578" s="20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 spans="4:49" ht="15" thickBot="1" x14ac:dyDescent="0.35">
      <c r="D579" s="2">
        <f t="shared" si="48"/>
        <v>573</v>
      </c>
      <c r="E579" s="6">
        <v>3.0066668886652343</v>
      </c>
      <c r="F579" s="24"/>
      <c r="G579" s="24"/>
      <c r="H579" s="24"/>
      <c r="I579" s="24"/>
      <c r="J579" s="3"/>
      <c r="K579" s="8"/>
      <c r="L579" s="8"/>
      <c r="M579" s="8"/>
      <c r="N579" s="13"/>
      <c r="O579" s="9"/>
      <c r="P579" s="20"/>
      <c r="Q579" s="20"/>
      <c r="R579" s="20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 spans="4:49" ht="15" thickBot="1" x14ac:dyDescent="0.35">
      <c r="D580" s="2">
        <f t="shared" si="48"/>
        <v>574</v>
      </c>
      <c r="E580" s="6">
        <v>6.5456890433183039</v>
      </c>
      <c r="F580" s="24"/>
      <c r="G580" s="24"/>
      <c r="H580" s="24"/>
      <c r="I580" s="24"/>
      <c r="J580" s="3"/>
      <c r="K580" s="8"/>
      <c r="L580" s="8"/>
      <c r="M580" s="8"/>
      <c r="N580" s="22"/>
      <c r="O580" s="9"/>
      <c r="P580" s="20"/>
      <c r="Q580" s="20"/>
      <c r="R580" s="20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 spans="4:49" ht="15" thickBot="1" x14ac:dyDescent="0.35">
      <c r="D581" s="2">
        <f t="shared" si="48"/>
        <v>575</v>
      </c>
      <c r="E581" s="6">
        <v>6.6753211297378021</v>
      </c>
      <c r="F581" s="24"/>
      <c r="G581" s="24"/>
      <c r="H581" s="24"/>
      <c r="I581" s="24"/>
      <c r="J581" s="3"/>
      <c r="K581" s="8"/>
      <c r="L581" s="8"/>
      <c r="M581" s="8"/>
      <c r="N581" s="13"/>
      <c r="O581" s="9"/>
      <c r="P581" s="20"/>
      <c r="Q581" s="20"/>
      <c r="R581" s="20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 spans="4:49" ht="15" thickBot="1" x14ac:dyDescent="0.35">
      <c r="D582" s="2">
        <f t="shared" si="48"/>
        <v>576</v>
      </c>
      <c r="E582" s="6">
        <v>0.92828297341973753</v>
      </c>
      <c r="F582" s="24"/>
      <c r="G582" s="24"/>
      <c r="H582" s="24"/>
      <c r="I582" s="24"/>
      <c r="J582" s="3"/>
      <c r="K582" s="8"/>
      <c r="L582" s="8"/>
      <c r="M582" s="8"/>
      <c r="N582" s="13"/>
      <c r="O582" s="9"/>
      <c r="P582" s="20"/>
      <c r="Q582" s="20"/>
      <c r="R582" s="20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 spans="4:49" ht="15" thickBot="1" x14ac:dyDescent="0.35">
      <c r="D583" s="2">
        <f t="shared" ref="D583:D646" si="49">ROW()-6</f>
        <v>577</v>
      </c>
      <c r="E583" s="6">
        <v>0.23078829833671083</v>
      </c>
      <c r="F583" s="24"/>
      <c r="G583" s="24"/>
      <c r="H583" s="24"/>
      <c r="I583" s="24"/>
      <c r="J583" s="3"/>
      <c r="K583" s="8"/>
      <c r="L583" s="8"/>
      <c r="M583" s="8"/>
      <c r="N583" s="22"/>
      <c r="O583" s="9"/>
      <c r="P583" s="20"/>
      <c r="Q583" s="20"/>
      <c r="R583" s="20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 spans="4:49" ht="15" thickBot="1" x14ac:dyDescent="0.35">
      <c r="D584" s="2">
        <f t="shared" si="49"/>
        <v>578</v>
      </c>
      <c r="E584" s="6">
        <v>0.59536890844883517</v>
      </c>
      <c r="F584" s="24"/>
      <c r="G584" s="24"/>
      <c r="H584" s="24"/>
      <c r="I584" s="24"/>
      <c r="J584" s="3"/>
      <c r="K584" s="8"/>
      <c r="L584" s="8"/>
      <c r="M584" s="8"/>
      <c r="N584" s="13"/>
      <c r="O584" s="9"/>
      <c r="P584" s="20"/>
      <c r="Q584" s="20"/>
      <c r="R584" s="20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 spans="4:49" ht="15" thickBot="1" x14ac:dyDescent="0.35">
      <c r="D585" s="2">
        <f t="shared" si="49"/>
        <v>579</v>
      </c>
      <c r="E585" s="6">
        <v>1.4430669882208669</v>
      </c>
      <c r="F585" s="24"/>
      <c r="G585" s="24"/>
      <c r="H585" s="24"/>
      <c r="I585" s="24"/>
      <c r="J585" s="3"/>
      <c r="K585" s="8"/>
      <c r="L585" s="8"/>
      <c r="M585" s="8"/>
      <c r="N585" s="22"/>
      <c r="O585" s="9"/>
      <c r="P585" s="20"/>
      <c r="Q585" s="20"/>
      <c r="R585" s="20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 spans="4:49" ht="15" thickBot="1" x14ac:dyDescent="0.35">
      <c r="D586" s="2">
        <f t="shared" si="49"/>
        <v>580</v>
      </c>
      <c r="E586" s="6">
        <v>6.2070667141731747E-2</v>
      </c>
      <c r="F586" s="24"/>
      <c r="G586" s="24"/>
      <c r="H586" s="24"/>
      <c r="I586" s="24"/>
      <c r="J586" s="3"/>
      <c r="K586" s="8"/>
      <c r="L586" s="8"/>
      <c r="M586" s="8"/>
      <c r="N586" s="13"/>
      <c r="O586" s="9"/>
      <c r="P586" s="20"/>
      <c r="Q586" s="20"/>
      <c r="R586" s="20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 spans="4:49" ht="15" thickBot="1" x14ac:dyDescent="0.35">
      <c r="D587" s="2">
        <f t="shared" si="49"/>
        <v>581</v>
      </c>
      <c r="E587" s="6">
        <v>4.8784223769874586</v>
      </c>
      <c r="F587" s="24"/>
      <c r="G587" s="24"/>
      <c r="H587" s="24"/>
      <c r="I587" s="24"/>
      <c r="J587" s="3"/>
      <c r="K587" s="8"/>
      <c r="L587" s="8"/>
      <c r="M587" s="8"/>
      <c r="N587" s="13"/>
      <c r="O587" s="9"/>
      <c r="P587" s="20"/>
      <c r="Q587" s="20"/>
      <c r="R587" s="20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 spans="4:49" ht="15" thickBot="1" x14ac:dyDescent="0.35">
      <c r="D588" s="2">
        <f t="shared" si="49"/>
        <v>582</v>
      </c>
      <c r="E588" s="6">
        <v>2.5240135662702792</v>
      </c>
      <c r="F588" s="24"/>
      <c r="G588" s="24"/>
      <c r="H588" s="24"/>
      <c r="I588" s="24"/>
      <c r="J588" s="3"/>
      <c r="K588" s="8"/>
      <c r="L588" s="8"/>
      <c r="M588" s="8"/>
      <c r="N588" s="22"/>
      <c r="O588" s="9"/>
      <c r="P588" s="20"/>
      <c r="Q588" s="20"/>
      <c r="R588" s="20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 spans="4:49" ht="15" thickBot="1" x14ac:dyDescent="0.35">
      <c r="D589" s="2">
        <f t="shared" si="49"/>
        <v>583</v>
      </c>
      <c r="E589" s="6">
        <v>8.6148944669908989</v>
      </c>
      <c r="F589" s="24"/>
      <c r="G589" s="24"/>
      <c r="H589" s="24"/>
      <c r="I589" s="24"/>
      <c r="J589" s="3"/>
      <c r="K589" s="8"/>
      <c r="L589" s="8"/>
      <c r="M589" s="8"/>
      <c r="N589" s="13"/>
      <c r="O589" s="9"/>
      <c r="P589" s="20"/>
      <c r="Q589" s="20"/>
      <c r="R589" s="20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 spans="4:49" ht="15" thickBot="1" x14ac:dyDescent="0.35">
      <c r="D590" s="2">
        <f t="shared" si="49"/>
        <v>584</v>
      </c>
      <c r="E590" s="6">
        <v>2.8642445698972199</v>
      </c>
      <c r="F590" s="24"/>
      <c r="G590" s="24"/>
      <c r="H590" s="24"/>
      <c r="I590" s="24"/>
      <c r="J590" s="3"/>
      <c r="K590" s="8"/>
      <c r="L590" s="8"/>
      <c r="M590" s="8"/>
      <c r="N590" s="22"/>
      <c r="O590" s="9"/>
      <c r="P590" s="20"/>
      <c r="Q590" s="20"/>
      <c r="R590" s="20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 spans="4:49" ht="15" thickBot="1" x14ac:dyDescent="0.35">
      <c r="D591" s="2">
        <f t="shared" si="49"/>
        <v>585</v>
      </c>
      <c r="E591" s="6">
        <v>11.245717561114585</v>
      </c>
      <c r="F591" s="24"/>
      <c r="G591" s="24"/>
      <c r="H591" s="24"/>
      <c r="I591" s="24"/>
      <c r="J591" s="3"/>
      <c r="K591" s="8"/>
      <c r="L591" s="8"/>
      <c r="M591" s="8"/>
      <c r="N591" s="13"/>
      <c r="O591" s="9"/>
      <c r="P591" s="20"/>
      <c r="Q591" s="20"/>
      <c r="R591" s="20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 spans="4:49" ht="15" thickBot="1" x14ac:dyDescent="0.35">
      <c r="D592" s="2">
        <f t="shared" si="49"/>
        <v>586</v>
      </c>
      <c r="E592" s="6">
        <v>3.4529943620706103</v>
      </c>
      <c r="F592" s="24"/>
      <c r="G592" s="24"/>
      <c r="H592" s="24"/>
      <c r="I592" s="24"/>
      <c r="J592" s="3"/>
      <c r="K592" s="8"/>
      <c r="L592" s="8"/>
      <c r="M592" s="8"/>
      <c r="N592" s="13"/>
      <c r="O592" s="9"/>
      <c r="P592" s="20"/>
      <c r="Q592" s="20"/>
      <c r="R592" s="20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 spans="4:49" ht="15" thickBot="1" x14ac:dyDescent="0.35">
      <c r="D593" s="2">
        <f t="shared" si="49"/>
        <v>587</v>
      </c>
      <c r="E593" s="6">
        <v>3.1675913880410458</v>
      </c>
      <c r="F593" s="24"/>
      <c r="G593" s="24"/>
      <c r="H593" s="24"/>
      <c r="I593" s="24"/>
      <c r="J593" s="3"/>
      <c r="K593" s="8"/>
      <c r="L593" s="8"/>
      <c r="M593" s="8"/>
      <c r="N593" s="22"/>
      <c r="O593" s="9"/>
      <c r="P593" s="20"/>
      <c r="Q593" s="20"/>
      <c r="R593" s="20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 spans="4:49" ht="15" thickBot="1" x14ac:dyDescent="0.35">
      <c r="D594" s="2">
        <f t="shared" si="49"/>
        <v>588</v>
      </c>
      <c r="E594" s="6">
        <v>4.3839061334088285</v>
      </c>
      <c r="F594" s="24"/>
      <c r="G594" s="24"/>
      <c r="H594" s="24"/>
      <c r="I594" s="24"/>
      <c r="J594" s="3"/>
      <c r="K594" s="8"/>
      <c r="L594" s="8"/>
      <c r="M594" s="8"/>
      <c r="N594" s="13"/>
      <c r="O594" s="9"/>
      <c r="P594" s="20"/>
      <c r="Q594" s="20"/>
      <c r="R594" s="20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 spans="4:49" ht="15" thickBot="1" x14ac:dyDescent="0.35">
      <c r="D595" s="2">
        <f t="shared" si="49"/>
        <v>589</v>
      </c>
      <c r="E595" s="6">
        <v>1.0716080775260255</v>
      </c>
      <c r="F595" s="24"/>
      <c r="G595" s="24"/>
      <c r="H595" s="24"/>
      <c r="I595" s="24"/>
      <c r="J595" s="3"/>
      <c r="K595" s="8"/>
      <c r="L595" s="8"/>
      <c r="M595" s="8"/>
      <c r="N595" s="22"/>
      <c r="O595" s="9"/>
      <c r="P595" s="20"/>
      <c r="Q595" s="20"/>
      <c r="R595" s="20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 spans="4:49" ht="15" thickBot="1" x14ac:dyDescent="0.35">
      <c r="D596" s="2">
        <f t="shared" si="49"/>
        <v>590</v>
      </c>
      <c r="E596" s="6">
        <v>3.5563390422636889</v>
      </c>
      <c r="F596" s="24"/>
      <c r="G596" s="24"/>
      <c r="H596" s="24"/>
      <c r="I596" s="24"/>
      <c r="J596" s="3"/>
      <c r="K596" s="8"/>
      <c r="L596" s="8"/>
      <c r="M596" s="8"/>
      <c r="N596" s="13"/>
      <c r="O596" s="9"/>
      <c r="P596" s="20"/>
      <c r="Q596" s="20"/>
      <c r="R596" s="20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 spans="4:49" ht="15" thickBot="1" x14ac:dyDescent="0.35">
      <c r="D597" s="2">
        <f t="shared" si="49"/>
        <v>591</v>
      </c>
      <c r="E597" s="6">
        <v>16.721446397866337</v>
      </c>
      <c r="F597" s="24"/>
      <c r="G597" s="24"/>
      <c r="H597" s="24"/>
      <c r="I597" s="24"/>
      <c r="J597" s="3"/>
      <c r="K597" s="8"/>
      <c r="L597" s="8"/>
      <c r="M597" s="8"/>
      <c r="N597" s="13"/>
      <c r="O597" s="9"/>
      <c r="P597" s="20"/>
      <c r="Q597" s="20"/>
      <c r="R597" s="20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 spans="4:49" ht="15" thickBot="1" x14ac:dyDescent="0.35">
      <c r="D598" s="2">
        <f t="shared" si="49"/>
        <v>592</v>
      </c>
      <c r="E598" s="6">
        <v>2.525982169805673</v>
      </c>
      <c r="F598" s="24"/>
      <c r="G598" s="24"/>
      <c r="H598" s="24"/>
      <c r="I598" s="24"/>
      <c r="J598" s="3"/>
      <c r="K598" s="8"/>
      <c r="L598" s="8"/>
      <c r="M598" s="8"/>
      <c r="N598" s="22"/>
      <c r="O598" s="9"/>
      <c r="P598" s="20"/>
      <c r="Q598" s="20"/>
      <c r="R598" s="20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 spans="4:49" ht="15" thickBot="1" x14ac:dyDescent="0.35">
      <c r="D599" s="2">
        <f t="shared" si="49"/>
        <v>593</v>
      </c>
      <c r="E599" s="6">
        <v>1.159509811729613</v>
      </c>
      <c r="F599" s="24"/>
      <c r="G599" s="24"/>
      <c r="H599" s="24"/>
      <c r="I599" s="24"/>
      <c r="J599" s="3"/>
      <c r="K599" s="8"/>
      <c r="L599" s="8"/>
      <c r="M599" s="8"/>
      <c r="N599" s="13"/>
      <c r="O599" s="9"/>
      <c r="P599" s="20"/>
      <c r="Q599" s="20"/>
      <c r="R599" s="20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 spans="4:49" ht="15" thickBot="1" x14ac:dyDescent="0.35">
      <c r="D600" s="2">
        <f t="shared" si="49"/>
        <v>594</v>
      </c>
      <c r="E600" s="6">
        <v>2.3704940779950179</v>
      </c>
      <c r="F600" s="24"/>
      <c r="G600" s="24"/>
      <c r="H600" s="24"/>
      <c r="I600" s="24"/>
      <c r="J600" s="3"/>
      <c r="K600" s="8"/>
      <c r="L600" s="8"/>
      <c r="M600" s="8"/>
      <c r="N600" s="22"/>
      <c r="O600" s="9"/>
      <c r="P600" s="20"/>
      <c r="Q600" s="20"/>
      <c r="R600" s="20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 spans="4:49" ht="15" thickBot="1" x14ac:dyDescent="0.35">
      <c r="D601" s="2">
        <f t="shared" si="49"/>
        <v>595</v>
      </c>
      <c r="E601" s="6">
        <v>4.4424927982220632</v>
      </c>
      <c r="F601" s="24"/>
      <c r="G601" s="24"/>
      <c r="H601" s="24"/>
      <c r="I601" s="24"/>
      <c r="J601" s="3"/>
      <c r="K601" s="8"/>
      <c r="L601" s="8"/>
      <c r="M601" s="8"/>
      <c r="N601" s="13"/>
      <c r="O601" s="9"/>
      <c r="P601" s="20"/>
      <c r="Q601" s="20"/>
      <c r="R601" s="20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 spans="4:49" ht="15" thickBot="1" x14ac:dyDescent="0.35">
      <c r="D602" s="2">
        <f t="shared" si="49"/>
        <v>596</v>
      </c>
      <c r="E602" s="6">
        <v>1.8329743147050888</v>
      </c>
      <c r="F602" s="24"/>
      <c r="G602" s="24"/>
      <c r="H602" s="24"/>
      <c r="I602" s="24"/>
      <c r="J602" s="3"/>
      <c r="K602" s="8"/>
      <c r="L602" s="8"/>
      <c r="M602" s="8"/>
      <c r="N602" s="13"/>
      <c r="O602" s="9"/>
      <c r="P602" s="20"/>
      <c r="Q602" s="20"/>
      <c r="R602" s="20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 spans="4:49" ht="15" thickBot="1" x14ac:dyDescent="0.35">
      <c r="D603" s="2">
        <f t="shared" si="49"/>
        <v>597</v>
      </c>
      <c r="E603" s="6">
        <v>6.2531189096981628</v>
      </c>
      <c r="F603" s="24"/>
      <c r="G603" s="24"/>
      <c r="H603" s="24"/>
      <c r="I603" s="24"/>
      <c r="J603" s="3"/>
      <c r="K603" s="8"/>
      <c r="L603" s="8"/>
      <c r="M603" s="8"/>
      <c r="N603" s="22"/>
      <c r="O603" s="9"/>
      <c r="P603" s="20"/>
      <c r="Q603" s="20"/>
      <c r="R603" s="20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 spans="4:49" ht="15" thickBot="1" x14ac:dyDescent="0.35">
      <c r="D604" s="2">
        <f t="shared" si="49"/>
        <v>598</v>
      </c>
      <c r="E604" s="6">
        <v>2.4876732041472938</v>
      </c>
      <c r="F604" s="24"/>
      <c r="G604" s="24"/>
      <c r="H604" s="24"/>
      <c r="I604" s="24"/>
      <c r="J604" s="3"/>
      <c r="K604" s="8"/>
      <c r="L604" s="8"/>
      <c r="M604" s="8"/>
      <c r="N604" s="13"/>
      <c r="O604" s="9"/>
      <c r="P604" s="20"/>
      <c r="Q604" s="20"/>
      <c r="R604" s="20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 spans="4:49" ht="15" thickBot="1" x14ac:dyDescent="0.35">
      <c r="D605" s="2">
        <f t="shared" si="49"/>
        <v>599</v>
      </c>
      <c r="E605" s="6">
        <v>1.2541841246976038</v>
      </c>
      <c r="F605" s="24"/>
      <c r="G605" s="24"/>
      <c r="H605" s="24"/>
      <c r="I605" s="24"/>
      <c r="J605" s="3"/>
      <c r="K605" s="8"/>
      <c r="L605" s="8"/>
      <c r="M605" s="8"/>
      <c r="N605" s="22"/>
      <c r="O605" s="9"/>
      <c r="P605" s="20"/>
      <c r="Q605" s="20"/>
      <c r="R605" s="20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 spans="4:49" ht="15" thickBot="1" x14ac:dyDescent="0.35">
      <c r="D606" s="2">
        <f t="shared" si="49"/>
        <v>600</v>
      </c>
      <c r="E606" s="6">
        <v>2.7617052491887555</v>
      </c>
      <c r="F606" s="24"/>
      <c r="G606" s="24"/>
      <c r="H606" s="24"/>
      <c r="I606" s="24"/>
      <c r="J606" s="3"/>
      <c r="K606" s="8"/>
      <c r="L606" s="8"/>
      <c r="M606" s="8"/>
      <c r="N606" s="13"/>
      <c r="O606" s="9"/>
      <c r="P606" s="20"/>
      <c r="Q606" s="20"/>
      <c r="R606" s="20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 spans="4:49" ht="15" thickBot="1" x14ac:dyDescent="0.35">
      <c r="D607" s="2">
        <f t="shared" si="49"/>
        <v>601</v>
      </c>
      <c r="E607" s="6">
        <v>7.1635019702069753</v>
      </c>
      <c r="F607" s="24"/>
      <c r="G607" s="24"/>
      <c r="H607" s="24"/>
      <c r="I607" s="24"/>
      <c r="J607" s="3"/>
      <c r="K607" s="8"/>
      <c r="L607" s="8"/>
      <c r="M607" s="8"/>
      <c r="N607" s="13"/>
      <c r="O607" s="9"/>
      <c r="P607" s="20"/>
      <c r="Q607" s="20"/>
      <c r="R607" s="20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 spans="4:49" ht="15" thickBot="1" x14ac:dyDescent="0.35">
      <c r="D608" s="2">
        <f t="shared" si="49"/>
        <v>602</v>
      </c>
      <c r="E608" s="6">
        <v>10.742750761452244</v>
      </c>
      <c r="F608" s="24"/>
      <c r="G608" s="24"/>
      <c r="H608" s="24"/>
      <c r="I608" s="24"/>
      <c r="J608" s="3"/>
      <c r="K608" s="8"/>
      <c r="L608" s="8"/>
      <c r="M608" s="8"/>
      <c r="N608" s="22"/>
      <c r="O608" s="9"/>
      <c r="P608" s="20"/>
      <c r="Q608" s="20"/>
      <c r="R608" s="20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 spans="4:49" ht="15" thickBot="1" x14ac:dyDescent="0.35">
      <c r="D609" s="2">
        <f t="shared" si="49"/>
        <v>603</v>
      </c>
      <c r="E609" s="6">
        <v>3.0067042814866771</v>
      </c>
      <c r="F609" s="24"/>
      <c r="G609" s="24"/>
      <c r="H609" s="24"/>
      <c r="I609" s="24"/>
      <c r="J609" s="3"/>
      <c r="K609" s="8"/>
      <c r="L609" s="8"/>
      <c r="M609" s="8"/>
      <c r="N609" s="13"/>
      <c r="O609" s="9"/>
      <c r="P609" s="20"/>
      <c r="Q609" s="20"/>
      <c r="R609" s="20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 spans="4:49" ht="15" thickBot="1" x14ac:dyDescent="0.35">
      <c r="D610" s="2">
        <f t="shared" si="49"/>
        <v>604</v>
      </c>
      <c r="E610" s="6">
        <v>8.4662456148814922</v>
      </c>
      <c r="F610" s="24"/>
      <c r="G610" s="24"/>
      <c r="H610" s="24"/>
      <c r="I610" s="24"/>
      <c r="J610" s="3"/>
      <c r="K610" s="8"/>
      <c r="L610" s="8"/>
      <c r="M610" s="8"/>
      <c r="N610" s="22"/>
      <c r="O610" s="9"/>
      <c r="P610" s="20"/>
      <c r="Q610" s="20"/>
      <c r="R610" s="20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 spans="4:49" ht="15" thickBot="1" x14ac:dyDescent="0.35">
      <c r="D611" s="2">
        <f t="shared" si="49"/>
        <v>605</v>
      </c>
      <c r="E611" s="6">
        <v>10.819169495566706</v>
      </c>
      <c r="F611" s="24"/>
      <c r="G611" s="24"/>
      <c r="H611" s="24"/>
      <c r="I611" s="24"/>
      <c r="J611" s="3"/>
      <c r="K611" s="8"/>
      <c r="L611" s="8"/>
      <c r="M611" s="8"/>
      <c r="N611" s="13"/>
      <c r="O611" s="9"/>
      <c r="P611" s="20"/>
      <c r="Q611" s="20"/>
      <c r="R611" s="20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 spans="4:49" ht="15" thickBot="1" x14ac:dyDescent="0.35">
      <c r="D612" s="2">
        <f t="shared" si="49"/>
        <v>606</v>
      </c>
      <c r="E612" s="6">
        <v>5.1375869678869828</v>
      </c>
      <c r="F612" s="24"/>
      <c r="G612" s="24"/>
      <c r="H612" s="24"/>
      <c r="I612" s="24"/>
      <c r="J612" s="3"/>
      <c r="K612" s="8"/>
      <c r="L612" s="8"/>
      <c r="M612" s="8"/>
      <c r="N612" s="13"/>
      <c r="O612" s="9"/>
      <c r="P612" s="20"/>
      <c r="Q612" s="20"/>
      <c r="R612" s="20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 spans="4:49" ht="15" thickBot="1" x14ac:dyDescent="0.35">
      <c r="D613" s="2">
        <f t="shared" si="49"/>
        <v>607</v>
      </c>
      <c r="E613" s="6">
        <v>1.6698342716320014</v>
      </c>
      <c r="F613" s="24"/>
      <c r="G613" s="24"/>
      <c r="H613" s="24"/>
      <c r="I613" s="24"/>
      <c r="J613" s="3"/>
      <c r="K613" s="8"/>
      <c r="L613" s="8"/>
      <c r="M613" s="8"/>
      <c r="N613" s="22"/>
      <c r="O613" s="9"/>
      <c r="P613" s="20"/>
      <c r="Q613" s="20"/>
      <c r="R613" s="20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 spans="4:49" ht="15" thickBot="1" x14ac:dyDescent="0.35">
      <c r="D614" s="2">
        <f t="shared" si="49"/>
        <v>608</v>
      </c>
      <c r="E614" s="6">
        <v>4.5140140807993641</v>
      </c>
      <c r="F614" s="24"/>
      <c r="G614" s="24"/>
      <c r="H614" s="24"/>
      <c r="I614" s="24"/>
      <c r="J614" s="3"/>
      <c r="K614" s="8"/>
      <c r="L614" s="8"/>
      <c r="M614" s="8"/>
      <c r="N614" s="13"/>
      <c r="O614" s="9"/>
      <c r="P614" s="20"/>
      <c r="Q614" s="20"/>
      <c r="R614" s="20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 spans="4:49" ht="15" thickBot="1" x14ac:dyDescent="0.35">
      <c r="D615" s="2">
        <f t="shared" si="49"/>
        <v>609</v>
      </c>
      <c r="E615" s="6">
        <v>1.1990349635213289</v>
      </c>
      <c r="F615" s="24"/>
      <c r="G615" s="24"/>
      <c r="H615" s="24"/>
      <c r="I615" s="24"/>
      <c r="J615" s="3"/>
      <c r="K615" s="8"/>
      <c r="L615" s="8"/>
      <c r="M615" s="8"/>
      <c r="N615" s="22"/>
      <c r="O615" s="9"/>
      <c r="P615" s="20"/>
      <c r="Q615" s="20"/>
      <c r="R615" s="20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 spans="4:49" ht="15" thickBot="1" x14ac:dyDescent="0.35">
      <c r="D616" s="2">
        <f t="shared" si="49"/>
        <v>610</v>
      </c>
      <c r="E616" s="6">
        <v>2.8881607014427808</v>
      </c>
      <c r="F616" s="24"/>
      <c r="G616" s="24"/>
      <c r="H616" s="24"/>
      <c r="I616" s="24"/>
      <c r="J616" s="3"/>
      <c r="K616" s="8"/>
      <c r="L616" s="8"/>
      <c r="M616" s="8"/>
      <c r="N616" s="13"/>
      <c r="O616" s="9"/>
      <c r="P616" s="20"/>
      <c r="Q616" s="20"/>
      <c r="R616" s="20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 spans="4:49" ht="15" thickBot="1" x14ac:dyDescent="0.35">
      <c r="D617" s="2">
        <f t="shared" si="49"/>
        <v>611</v>
      </c>
      <c r="E617" s="6">
        <v>2.3355368680686754</v>
      </c>
      <c r="F617" s="24"/>
      <c r="G617" s="24"/>
      <c r="H617" s="24"/>
      <c r="I617" s="24"/>
      <c r="J617" s="3"/>
      <c r="K617" s="8"/>
      <c r="L617" s="8"/>
      <c r="M617" s="8"/>
      <c r="N617" s="13"/>
      <c r="O617" s="9"/>
      <c r="P617" s="20"/>
      <c r="Q617" s="20"/>
      <c r="R617" s="20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 spans="4:49" ht="15" thickBot="1" x14ac:dyDescent="0.35">
      <c r="D618" s="2">
        <f t="shared" si="49"/>
        <v>612</v>
      </c>
      <c r="E618" s="6">
        <v>0.33692227400170133</v>
      </c>
      <c r="F618" s="24"/>
      <c r="G618" s="24"/>
      <c r="H618" s="24"/>
      <c r="I618" s="24"/>
      <c r="J618" s="3"/>
      <c r="K618" s="8"/>
      <c r="L618" s="8"/>
      <c r="M618" s="8"/>
      <c r="N618" s="22"/>
      <c r="O618" s="9"/>
      <c r="P618" s="20"/>
      <c r="Q618" s="20"/>
      <c r="R618" s="20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 spans="4:49" ht="15" thickBot="1" x14ac:dyDescent="0.35">
      <c r="D619" s="2">
        <f t="shared" si="49"/>
        <v>613</v>
      </c>
      <c r="E619" s="6">
        <v>4.4260943352695534</v>
      </c>
      <c r="F619" s="24"/>
      <c r="G619" s="24"/>
      <c r="H619" s="24"/>
      <c r="I619" s="24"/>
      <c r="J619" s="3"/>
      <c r="K619" s="8"/>
      <c r="L619" s="8"/>
      <c r="M619" s="8"/>
      <c r="N619" s="13"/>
      <c r="O619" s="9"/>
      <c r="P619" s="20"/>
      <c r="Q619" s="20"/>
      <c r="R619" s="20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 spans="4:49" ht="15" thickBot="1" x14ac:dyDescent="0.35">
      <c r="D620" s="2">
        <f t="shared" si="49"/>
        <v>614</v>
      </c>
      <c r="E620" s="6">
        <v>1.627168080113524</v>
      </c>
      <c r="F620" s="24"/>
      <c r="G620" s="24"/>
      <c r="H620" s="24"/>
      <c r="I620" s="24"/>
      <c r="J620" s="3"/>
      <c r="K620" s="8"/>
      <c r="L620" s="8"/>
      <c r="M620" s="8"/>
      <c r="N620" s="22"/>
      <c r="O620" s="9"/>
      <c r="P620" s="20"/>
      <c r="Q620" s="20"/>
      <c r="R620" s="20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 spans="4:49" ht="15" thickBot="1" x14ac:dyDescent="0.35">
      <c r="D621" s="2">
        <f t="shared" si="49"/>
        <v>615</v>
      </c>
      <c r="E621" s="6">
        <v>1.1412953381438018</v>
      </c>
      <c r="F621" s="24"/>
      <c r="G621" s="24"/>
      <c r="H621" s="24"/>
      <c r="I621" s="24"/>
      <c r="J621" s="3"/>
      <c r="K621" s="8"/>
      <c r="L621" s="8"/>
      <c r="M621" s="8"/>
      <c r="N621" s="13"/>
      <c r="O621" s="9"/>
      <c r="P621" s="20"/>
      <c r="Q621" s="20"/>
      <c r="R621" s="20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 spans="4:49" ht="15" thickBot="1" x14ac:dyDescent="0.35">
      <c r="D622" s="2">
        <f t="shared" si="49"/>
        <v>616</v>
      </c>
      <c r="E622" s="6">
        <v>2.9175849794580446</v>
      </c>
      <c r="F622" s="24"/>
      <c r="G622" s="24"/>
      <c r="H622" s="24"/>
      <c r="I622" s="24"/>
      <c r="J622" s="3"/>
      <c r="K622" s="8"/>
      <c r="L622" s="8"/>
      <c r="M622" s="8"/>
      <c r="N622" s="13"/>
      <c r="O622" s="9"/>
      <c r="P622" s="20"/>
      <c r="Q622" s="20"/>
      <c r="R622" s="20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 spans="4:49" ht="15" thickBot="1" x14ac:dyDescent="0.35">
      <c r="D623" s="2">
        <f t="shared" si="49"/>
        <v>617</v>
      </c>
      <c r="E623" s="6">
        <v>1.2112999808747187</v>
      </c>
      <c r="F623" s="24"/>
      <c r="G623" s="24"/>
      <c r="H623" s="24"/>
      <c r="I623" s="24"/>
      <c r="J623" s="3"/>
      <c r="K623" s="8"/>
      <c r="L623" s="8"/>
      <c r="M623" s="8"/>
      <c r="N623" s="22"/>
      <c r="O623" s="9"/>
      <c r="P623" s="20"/>
      <c r="Q623" s="20"/>
      <c r="R623" s="20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 spans="4:49" ht="15" thickBot="1" x14ac:dyDescent="0.35">
      <c r="D624" s="2">
        <f t="shared" si="49"/>
        <v>618</v>
      </c>
      <c r="E624" s="6">
        <v>0.51759754558990378</v>
      </c>
      <c r="F624" s="24"/>
      <c r="G624" s="24"/>
      <c r="H624" s="24"/>
      <c r="I624" s="24"/>
      <c r="J624" s="3"/>
      <c r="K624" s="8"/>
      <c r="L624" s="8"/>
      <c r="M624" s="8"/>
      <c r="N624" s="13"/>
      <c r="O624" s="9"/>
      <c r="P624" s="20"/>
      <c r="Q624" s="20"/>
      <c r="R624" s="20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 spans="4:49" ht="15" thickBot="1" x14ac:dyDescent="0.35">
      <c r="D625" s="2">
        <f t="shared" si="49"/>
        <v>619</v>
      </c>
      <c r="E625" s="6">
        <v>2.5734233064915193</v>
      </c>
      <c r="F625" s="24"/>
      <c r="G625" s="24"/>
      <c r="H625" s="24"/>
      <c r="I625" s="24"/>
      <c r="J625" s="3"/>
      <c r="K625" s="8"/>
      <c r="L625" s="8"/>
      <c r="M625" s="8"/>
      <c r="N625" s="22"/>
      <c r="O625" s="9"/>
      <c r="P625" s="20"/>
      <c r="Q625" s="20"/>
      <c r="R625" s="20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 spans="4:49" ht="15" thickBot="1" x14ac:dyDescent="0.35">
      <c r="D626" s="2">
        <f t="shared" si="49"/>
        <v>620</v>
      </c>
      <c r="E626" s="6">
        <v>1.29034631382781</v>
      </c>
      <c r="F626" s="24"/>
      <c r="G626" s="24"/>
      <c r="H626" s="24"/>
      <c r="I626" s="24"/>
      <c r="J626" s="3"/>
      <c r="K626" s="8"/>
      <c r="L626" s="8"/>
      <c r="M626" s="8"/>
      <c r="N626" s="13"/>
      <c r="O626" s="9"/>
      <c r="P626" s="20"/>
      <c r="Q626" s="20"/>
      <c r="R626" s="20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 spans="4:49" ht="15" thickBot="1" x14ac:dyDescent="0.35">
      <c r="D627" s="2">
        <f t="shared" si="49"/>
        <v>621</v>
      </c>
      <c r="E627" s="6">
        <v>4.7975782578807848</v>
      </c>
      <c r="F627" s="24"/>
      <c r="G627" s="24"/>
      <c r="H627" s="24"/>
      <c r="I627" s="24"/>
      <c r="J627" s="3"/>
      <c r="K627" s="8"/>
      <c r="L627" s="8"/>
      <c r="M627" s="8"/>
      <c r="N627" s="13"/>
      <c r="O627" s="9"/>
      <c r="P627" s="20"/>
      <c r="Q627" s="20"/>
      <c r="R627" s="20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 spans="4:49" ht="15" thickBot="1" x14ac:dyDescent="0.35">
      <c r="D628" s="2">
        <f t="shared" si="49"/>
        <v>622</v>
      </c>
      <c r="E628" s="6">
        <v>6.6072147369471015</v>
      </c>
      <c r="F628" s="24"/>
      <c r="G628" s="24"/>
      <c r="H628" s="24"/>
      <c r="I628" s="24"/>
      <c r="J628" s="3"/>
      <c r="K628" s="8"/>
      <c r="L628" s="8"/>
      <c r="M628" s="8"/>
      <c r="N628" s="22"/>
      <c r="O628" s="9"/>
      <c r="P628" s="20"/>
      <c r="Q628" s="20"/>
      <c r="R628" s="20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 spans="4:49" ht="15" thickBot="1" x14ac:dyDescent="0.35">
      <c r="D629" s="2">
        <f t="shared" si="49"/>
        <v>623</v>
      </c>
      <c r="E629" s="6">
        <v>4.3112262259652789</v>
      </c>
      <c r="F629" s="24"/>
      <c r="G629" s="24"/>
      <c r="H629" s="24"/>
      <c r="I629" s="24"/>
      <c r="J629" s="3"/>
      <c r="K629" s="8"/>
      <c r="L629" s="8"/>
      <c r="M629" s="8"/>
      <c r="N629" s="13"/>
      <c r="O629" s="9"/>
      <c r="P629" s="20"/>
      <c r="Q629" s="20"/>
      <c r="R629" s="20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 spans="4:49" ht="15" thickBot="1" x14ac:dyDescent="0.35">
      <c r="D630" s="2">
        <f t="shared" si="49"/>
        <v>624</v>
      </c>
      <c r="E630" s="6">
        <v>18.22215496191593</v>
      </c>
      <c r="F630" s="24"/>
      <c r="G630" s="24"/>
      <c r="H630" s="24"/>
      <c r="I630" s="24"/>
      <c r="J630" s="3"/>
      <c r="K630" s="8"/>
      <c r="L630" s="8"/>
      <c r="M630" s="8"/>
      <c r="N630" s="22"/>
      <c r="O630" s="9"/>
      <c r="P630" s="20"/>
      <c r="Q630" s="20"/>
      <c r="R630" s="20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 spans="4:49" ht="15" thickBot="1" x14ac:dyDescent="0.35">
      <c r="D631" s="2">
        <f t="shared" si="49"/>
        <v>625</v>
      </c>
      <c r="E631" s="6">
        <v>1.9981643270031824</v>
      </c>
      <c r="F631" s="24"/>
      <c r="G631" s="24"/>
      <c r="H631" s="24"/>
      <c r="I631" s="24"/>
      <c r="J631" s="3"/>
      <c r="K631" s="8"/>
      <c r="L631" s="8"/>
      <c r="M631" s="8"/>
      <c r="N631" s="13"/>
      <c r="O631" s="9"/>
      <c r="P631" s="20"/>
      <c r="Q631" s="20"/>
      <c r="R631" s="20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 spans="4:49" ht="15" thickBot="1" x14ac:dyDescent="0.35">
      <c r="D632" s="2">
        <f t="shared" si="49"/>
        <v>626</v>
      </c>
      <c r="E632" s="6">
        <v>0.60078922873893248</v>
      </c>
      <c r="F632" s="24"/>
      <c r="G632" s="24"/>
      <c r="H632" s="24"/>
      <c r="I632" s="24"/>
      <c r="J632" s="3"/>
      <c r="K632" s="8"/>
      <c r="L632" s="8"/>
      <c r="M632" s="8"/>
      <c r="N632" s="13"/>
      <c r="O632" s="9"/>
      <c r="P632" s="20"/>
      <c r="Q632" s="20"/>
      <c r="R632" s="20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 spans="4:49" ht="15" thickBot="1" x14ac:dyDescent="0.35">
      <c r="D633" s="2">
        <f t="shared" si="49"/>
        <v>627</v>
      </c>
      <c r="E633" s="6">
        <v>1.6809041830158888</v>
      </c>
      <c r="F633" s="24"/>
      <c r="G633" s="24"/>
      <c r="H633" s="24"/>
      <c r="I633" s="24"/>
      <c r="J633" s="3"/>
      <c r="K633" s="8"/>
      <c r="L633" s="8"/>
      <c r="M633" s="8"/>
      <c r="N633" s="22"/>
      <c r="O633" s="9"/>
      <c r="P633" s="20"/>
      <c r="Q633" s="20"/>
      <c r="R633" s="20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 spans="4:49" ht="15" thickBot="1" x14ac:dyDescent="0.35">
      <c r="D634" s="2">
        <f t="shared" si="49"/>
        <v>628</v>
      </c>
      <c r="E634" s="6">
        <v>2.1675422474703883</v>
      </c>
      <c r="F634" s="24"/>
      <c r="G634" s="24"/>
      <c r="H634" s="24"/>
      <c r="I634" s="24"/>
      <c r="J634" s="3"/>
      <c r="K634" s="8"/>
      <c r="L634" s="8"/>
      <c r="M634" s="8"/>
      <c r="N634" s="13"/>
      <c r="O634" s="9"/>
      <c r="P634" s="20"/>
      <c r="Q634" s="20"/>
      <c r="R634" s="20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 spans="4:49" ht="15" thickBot="1" x14ac:dyDescent="0.35">
      <c r="D635" s="2">
        <f t="shared" si="49"/>
        <v>629</v>
      </c>
      <c r="E635" s="6">
        <v>15.691822697185053</v>
      </c>
      <c r="F635" s="24"/>
      <c r="G635" s="24"/>
      <c r="H635" s="24"/>
      <c r="I635" s="24"/>
      <c r="J635" s="3"/>
      <c r="K635" s="8"/>
      <c r="L635" s="8"/>
      <c r="M635" s="8"/>
      <c r="N635" s="22"/>
      <c r="O635" s="9"/>
      <c r="P635" s="20"/>
      <c r="Q635" s="20"/>
      <c r="R635" s="20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 spans="4:49" ht="15" thickBot="1" x14ac:dyDescent="0.35">
      <c r="D636" s="2">
        <f t="shared" si="49"/>
        <v>630</v>
      </c>
      <c r="E636" s="6">
        <v>0.27255358032752364</v>
      </c>
      <c r="F636" s="24"/>
      <c r="G636" s="24"/>
      <c r="H636" s="24"/>
      <c r="I636" s="24"/>
      <c r="J636" s="3"/>
      <c r="K636" s="8"/>
      <c r="L636" s="8"/>
      <c r="M636" s="8"/>
      <c r="N636" s="13"/>
      <c r="O636" s="9"/>
      <c r="P636" s="20"/>
      <c r="Q636" s="20"/>
      <c r="R636" s="20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 spans="4:49" ht="15" thickBot="1" x14ac:dyDescent="0.35">
      <c r="D637" s="2">
        <f t="shared" si="49"/>
        <v>631</v>
      </c>
      <c r="E637" s="6">
        <v>0.97699622867448843</v>
      </c>
      <c r="F637" s="24"/>
      <c r="G637" s="24"/>
      <c r="H637" s="24"/>
      <c r="I637" s="24"/>
      <c r="J637" s="3"/>
      <c r="K637" s="8"/>
      <c r="L637" s="8"/>
      <c r="M637" s="8"/>
      <c r="N637" s="13"/>
      <c r="O637" s="9"/>
      <c r="P637" s="20"/>
      <c r="Q637" s="20"/>
      <c r="R637" s="20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 spans="4:49" ht="15" thickBot="1" x14ac:dyDescent="0.35">
      <c r="D638" s="2">
        <f t="shared" si="49"/>
        <v>632</v>
      </c>
      <c r="E638" s="6">
        <v>3.5549353534592369</v>
      </c>
      <c r="F638" s="24"/>
      <c r="G638" s="24"/>
      <c r="H638" s="24"/>
      <c r="I638" s="24"/>
      <c r="J638" s="3"/>
      <c r="K638" s="8"/>
      <c r="L638" s="8"/>
      <c r="M638" s="8"/>
      <c r="N638" s="22"/>
      <c r="O638" s="9"/>
      <c r="P638" s="20"/>
      <c r="Q638" s="20"/>
      <c r="R638" s="20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 spans="4:49" ht="15" thickBot="1" x14ac:dyDescent="0.35">
      <c r="D639" s="2">
        <f t="shared" si="49"/>
        <v>633</v>
      </c>
      <c r="E639" s="6">
        <v>1.3802976311746025</v>
      </c>
      <c r="F639" s="24"/>
      <c r="G639" s="24"/>
      <c r="H639" s="24"/>
      <c r="I639" s="24"/>
      <c r="J639" s="3"/>
      <c r="K639" s="8"/>
      <c r="L639" s="8"/>
      <c r="M639" s="8"/>
      <c r="N639" s="13"/>
      <c r="O639" s="9"/>
      <c r="P639" s="20"/>
      <c r="Q639" s="20"/>
      <c r="R639" s="20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 spans="4:49" ht="15" thickBot="1" x14ac:dyDescent="0.35">
      <c r="D640" s="2">
        <f t="shared" si="49"/>
        <v>634</v>
      </c>
      <c r="E640" s="6">
        <v>7.688923971027136</v>
      </c>
      <c r="F640" s="24"/>
      <c r="G640" s="24"/>
      <c r="H640" s="24"/>
      <c r="I640" s="24"/>
      <c r="J640" s="3"/>
      <c r="K640" s="8"/>
      <c r="L640" s="8"/>
      <c r="M640" s="8"/>
      <c r="N640" s="22"/>
      <c r="O640" s="9"/>
      <c r="P640" s="20"/>
      <c r="Q640" s="20"/>
      <c r="R640" s="20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 spans="4:49" ht="15" thickBot="1" x14ac:dyDescent="0.35">
      <c r="D641" s="2">
        <f t="shared" si="49"/>
        <v>635</v>
      </c>
      <c r="E641" s="6">
        <v>2.1339597133852211</v>
      </c>
      <c r="F641" s="24"/>
      <c r="G641" s="24"/>
      <c r="H641" s="24"/>
      <c r="I641" s="24"/>
      <c r="J641" s="3"/>
      <c r="K641" s="8"/>
      <c r="L641" s="8"/>
      <c r="M641" s="8"/>
      <c r="N641" s="13"/>
      <c r="O641" s="9"/>
      <c r="P641" s="20"/>
      <c r="Q641" s="20"/>
      <c r="R641" s="20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 spans="4:49" ht="15" thickBot="1" x14ac:dyDescent="0.35">
      <c r="D642" s="2">
        <f t="shared" si="49"/>
        <v>636</v>
      </c>
      <c r="E642" s="6">
        <v>7.0657570282678144</v>
      </c>
      <c r="F642" s="24"/>
      <c r="G642" s="24"/>
      <c r="H642" s="24"/>
      <c r="I642" s="24"/>
      <c r="J642" s="3"/>
      <c r="K642" s="8"/>
      <c r="L642" s="8"/>
      <c r="M642" s="8"/>
      <c r="N642" s="13"/>
      <c r="O642" s="9"/>
      <c r="P642" s="20"/>
      <c r="Q642" s="20"/>
      <c r="R642" s="20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 spans="4:49" ht="15" thickBot="1" x14ac:dyDescent="0.35">
      <c r="D643" s="2">
        <f t="shared" si="49"/>
        <v>637</v>
      </c>
      <c r="E643" s="6">
        <v>2.6916319425388004</v>
      </c>
      <c r="F643" s="24"/>
      <c r="G643" s="24"/>
      <c r="H643" s="24"/>
      <c r="I643" s="24"/>
      <c r="J643" s="3"/>
      <c r="K643" s="8"/>
      <c r="L643" s="8"/>
      <c r="M643" s="8"/>
      <c r="N643" s="22"/>
      <c r="O643" s="9"/>
      <c r="P643" s="20"/>
      <c r="Q643" s="20"/>
      <c r="R643" s="20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 spans="4:49" ht="15" thickBot="1" x14ac:dyDescent="0.35">
      <c r="D644" s="2">
        <f t="shared" si="49"/>
        <v>638</v>
      </c>
      <c r="E644" s="6">
        <v>3.6720785503070839</v>
      </c>
      <c r="F644" s="24"/>
      <c r="G644" s="24"/>
      <c r="H644" s="24"/>
      <c r="I644" s="24"/>
      <c r="J644" s="3"/>
      <c r="K644" s="8"/>
      <c r="L644" s="8"/>
      <c r="M644" s="8"/>
      <c r="N644" s="13"/>
      <c r="O644" s="9"/>
      <c r="P644" s="20"/>
      <c r="Q644" s="20"/>
      <c r="R644" s="20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 spans="4:49" ht="15" thickBot="1" x14ac:dyDescent="0.35">
      <c r="D645" s="2">
        <f t="shared" si="49"/>
        <v>639</v>
      </c>
      <c r="E645" s="6">
        <v>11.180299776569772</v>
      </c>
      <c r="F645" s="24"/>
      <c r="G645" s="24"/>
      <c r="H645" s="24"/>
      <c r="I645" s="24"/>
      <c r="J645" s="3"/>
      <c r="K645" s="8"/>
      <c r="L645" s="8"/>
      <c r="M645" s="8"/>
      <c r="N645" s="22"/>
      <c r="O645" s="9"/>
      <c r="P645" s="20"/>
      <c r="Q645" s="20"/>
      <c r="R645" s="20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 spans="4:49" ht="15" thickBot="1" x14ac:dyDescent="0.35">
      <c r="D646" s="2">
        <f t="shared" si="49"/>
        <v>640</v>
      </c>
      <c r="E646" s="6">
        <v>0.99064491237809027</v>
      </c>
      <c r="F646" s="24"/>
      <c r="G646" s="24"/>
      <c r="H646" s="24"/>
      <c r="I646" s="24"/>
      <c r="J646" s="3"/>
      <c r="K646" s="8"/>
      <c r="L646" s="8"/>
      <c r="M646" s="8"/>
      <c r="N646" s="13"/>
      <c r="O646" s="9"/>
      <c r="P646" s="20"/>
      <c r="Q646" s="20"/>
      <c r="R646" s="20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 spans="4:49" ht="15" thickBot="1" x14ac:dyDescent="0.35">
      <c r="D647" s="2">
        <f t="shared" ref="D647:D710" si="50">ROW()-6</f>
        <v>641</v>
      </c>
      <c r="E647" s="6">
        <v>3.9473363665189498</v>
      </c>
      <c r="F647" s="24"/>
      <c r="G647" s="24"/>
      <c r="H647" s="24"/>
      <c r="I647" s="24"/>
      <c r="J647" s="3"/>
      <c r="K647" s="8"/>
      <c r="L647" s="8"/>
      <c r="M647" s="8"/>
      <c r="N647" s="13"/>
      <c r="O647" s="9"/>
      <c r="P647" s="20"/>
      <c r="Q647" s="20"/>
      <c r="R647" s="20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 spans="4:49" ht="15" thickBot="1" x14ac:dyDescent="0.35">
      <c r="D648" s="2">
        <f t="shared" si="50"/>
        <v>642</v>
      </c>
      <c r="E648" s="6">
        <v>5.2677689595860935</v>
      </c>
      <c r="F648" s="24"/>
      <c r="G648" s="24"/>
      <c r="H648" s="24"/>
      <c r="I648" s="24"/>
      <c r="J648" s="3"/>
      <c r="K648" s="8"/>
      <c r="L648" s="8"/>
      <c r="M648" s="8"/>
      <c r="N648" s="22"/>
      <c r="O648" s="9"/>
      <c r="P648" s="20"/>
      <c r="Q648" s="20"/>
      <c r="R648" s="20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 spans="4:49" ht="15" thickBot="1" x14ac:dyDescent="0.35">
      <c r="D649" s="2">
        <f t="shared" si="50"/>
        <v>643</v>
      </c>
      <c r="E649" s="6">
        <v>13.226259936960144</v>
      </c>
      <c r="F649" s="24"/>
      <c r="G649" s="24"/>
      <c r="H649" s="24"/>
      <c r="I649" s="24"/>
      <c r="J649" s="3"/>
      <c r="K649" s="8"/>
      <c r="L649" s="8"/>
      <c r="M649" s="8"/>
      <c r="N649" s="13"/>
      <c r="O649" s="9"/>
      <c r="P649" s="20"/>
      <c r="Q649" s="20"/>
      <c r="R649" s="20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 spans="4:49" ht="15" thickBot="1" x14ac:dyDescent="0.35">
      <c r="D650" s="2">
        <f t="shared" si="50"/>
        <v>644</v>
      </c>
      <c r="E650" s="6">
        <v>0.9065330062128556</v>
      </c>
      <c r="F650" s="24"/>
      <c r="G650" s="24"/>
      <c r="H650" s="24"/>
      <c r="I650" s="24"/>
      <c r="J650" s="3"/>
      <c r="K650" s="8"/>
      <c r="L650" s="8"/>
      <c r="M650" s="8"/>
      <c r="N650" s="22"/>
      <c r="O650" s="9"/>
      <c r="P650" s="20"/>
      <c r="Q650" s="20"/>
      <c r="R650" s="20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 spans="4:49" ht="15" thickBot="1" x14ac:dyDescent="0.35">
      <c r="D651" s="2">
        <f t="shared" si="50"/>
        <v>645</v>
      </c>
      <c r="E651" s="6">
        <v>0.42614033199338736</v>
      </c>
      <c r="F651" s="24"/>
      <c r="G651" s="24"/>
      <c r="H651" s="24"/>
      <c r="I651" s="24"/>
      <c r="J651" s="3"/>
      <c r="K651" s="8"/>
      <c r="L651" s="8"/>
      <c r="M651" s="8"/>
      <c r="N651" s="13"/>
      <c r="O651" s="9"/>
      <c r="P651" s="20"/>
      <c r="Q651" s="20"/>
      <c r="R651" s="20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 spans="4:49" ht="15" thickBot="1" x14ac:dyDescent="0.35">
      <c r="D652" s="2">
        <f t="shared" si="50"/>
        <v>646</v>
      </c>
      <c r="E652" s="6">
        <v>1.9233411447548434</v>
      </c>
      <c r="F652" s="24"/>
      <c r="G652" s="24"/>
      <c r="H652" s="24"/>
      <c r="I652" s="24"/>
      <c r="J652" s="3"/>
      <c r="K652" s="8"/>
      <c r="L652" s="8"/>
      <c r="M652" s="8"/>
      <c r="N652" s="13"/>
      <c r="O652" s="9"/>
      <c r="P652" s="20"/>
      <c r="Q652" s="20"/>
      <c r="R652" s="20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 spans="4:49" ht="15" thickBot="1" x14ac:dyDescent="0.35">
      <c r="D653" s="2">
        <f t="shared" si="50"/>
        <v>647</v>
      </c>
      <c r="E653" s="6">
        <v>4.3067896286349407</v>
      </c>
      <c r="F653" s="24"/>
      <c r="G653" s="24"/>
      <c r="H653" s="24"/>
      <c r="I653" s="24"/>
      <c r="J653" s="3"/>
      <c r="K653" s="8"/>
      <c r="L653" s="8"/>
      <c r="M653" s="8"/>
      <c r="N653" s="22"/>
      <c r="O653" s="9"/>
      <c r="P653" s="20"/>
      <c r="Q653" s="20"/>
      <c r="R653" s="20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 spans="4:49" ht="15" thickBot="1" x14ac:dyDescent="0.35">
      <c r="D654" s="2">
        <f t="shared" si="50"/>
        <v>648</v>
      </c>
      <c r="E654" s="6">
        <v>1.2034755195803215</v>
      </c>
      <c r="F654" s="24"/>
      <c r="G654" s="24"/>
      <c r="H654" s="24"/>
      <c r="I654" s="24"/>
      <c r="J654" s="3"/>
      <c r="K654" s="8"/>
      <c r="L654" s="8"/>
      <c r="M654" s="8"/>
      <c r="N654" s="13"/>
      <c r="O654" s="9"/>
      <c r="P654" s="20"/>
      <c r="Q654" s="20"/>
      <c r="R654" s="20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 spans="4:49" ht="15" thickBot="1" x14ac:dyDescent="0.35">
      <c r="D655" s="2">
        <f t="shared" si="50"/>
        <v>649</v>
      </c>
      <c r="E655" s="6">
        <v>4.219971041415441</v>
      </c>
      <c r="F655" s="24"/>
      <c r="G655" s="24"/>
      <c r="H655" s="24"/>
      <c r="I655" s="24"/>
      <c r="J655" s="3"/>
      <c r="K655" s="8"/>
      <c r="L655" s="8"/>
      <c r="M655" s="8"/>
      <c r="N655" s="22"/>
      <c r="O655" s="9"/>
      <c r="P655" s="20"/>
      <c r="Q655" s="20"/>
      <c r="R655" s="20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 spans="4:49" ht="15" thickBot="1" x14ac:dyDescent="0.35">
      <c r="D656" s="2">
        <f t="shared" si="50"/>
        <v>650</v>
      </c>
      <c r="E656" s="6">
        <v>1.1038487272792059</v>
      </c>
      <c r="F656" s="24"/>
      <c r="G656" s="24"/>
      <c r="H656" s="24"/>
      <c r="I656" s="24"/>
      <c r="J656" s="3"/>
      <c r="K656" s="8"/>
      <c r="L656" s="8"/>
      <c r="M656" s="8"/>
      <c r="N656" s="13"/>
      <c r="O656" s="9"/>
      <c r="P656" s="20"/>
      <c r="Q656" s="20"/>
      <c r="R656" s="20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 spans="4:49" ht="15" thickBot="1" x14ac:dyDescent="0.35">
      <c r="D657" s="2">
        <f t="shared" si="50"/>
        <v>651</v>
      </c>
      <c r="E657" s="6">
        <v>2.7970084290864636</v>
      </c>
      <c r="F657" s="24"/>
      <c r="G657" s="24"/>
      <c r="H657" s="24"/>
      <c r="I657" s="24"/>
      <c r="J657" s="3"/>
      <c r="K657" s="8"/>
      <c r="L657" s="8"/>
      <c r="M657" s="8"/>
      <c r="N657" s="13"/>
      <c r="O657" s="9"/>
      <c r="P657" s="20"/>
      <c r="Q657" s="20"/>
      <c r="R657" s="20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 spans="4:49" ht="15" thickBot="1" x14ac:dyDescent="0.35">
      <c r="D658" s="2">
        <f t="shared" si="50"/>
        <v>652</v>
      </c>
      <c r="E658" s="6">
        <v>1.7725590841154735</v>
      </c>
      <c r="F658" s="24"/>
      <c r="G658" s="24"/>
      <c r="H658" s="24"/>
      <c r="I658" s="24"/>
      <c r="J658" s="3"/>
      <c r="K658" s="8"/>
      <c r="L658" s="8"/>
      <c r="M658" s="8"/>
      <c r="N658" s="22"/>
      <c r="O658" s="9"/>
      <c r="P658" s="20"/>
      <c r="Q658" s="20"/>
      <c r="R658" s="20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 spans="4:49" ht="15" thickBot="1" x14ac:dyDescent="0.35">
      <c r="D659" s="2">
        <f t="shared" si="50"/>
        <v>653</v>
      </c>
      <c r="E659" s="6">
        <v>8.987927752896816</v>
      </c>
      <c r="F659" s="24"/>
      <c r="G659" s="24"/>
      <c r="H659" s="24"/>
      <c r="I659" s="24"/>
      <c r="J659" s="3"/>
      <c r="K659" s="8"/>
      <c r="L659" s="8"/>
      <c r="M659" s="8"/>
      <c r="N659" s="13"/>
      <c r="O659" s="9"/>
      <c r="P659" s="20"/>
      <c r="Q659" s="20"/>
      <c r="R659" s="20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 spans="4:49" ht="15" thickBot="1" x14ac:dyDescent="0.35">
      <c r="D660" s="2">
        <f t="shared" si="50"/>
        <v>654</v>
      </c>
      <c r="E660" s="6">
        <v>3.4739140649092444</v>
      </c>
      <c r="F660" s="24"/>
      <c r="G660" s="24"/>
      <c r="H660" s="24"/>
      <c r="I660" s="24"/>
      <c r="J660" s="3"/>
      <c r="K660" s="8"/>
      <c r="L660" s="8"/>
      <c r="M660" s="8"/>
      <c r="N660" s="22"/>
      <c r="O660" s="9"/>
      <c r="P660" s="20"/>
      <c r="Q660" s="20"/>
      <c r="R660" s="20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 spans="4:49" ht="15" thickBot="1" x14ac:dyDescent="0.35">
      <c r="D661" s="2">
        <f t="shared" si="50"/>
        <v>655</v>
      </c>
      <c r="E661" s="6">
        <v>10.875033439429055</v>
      </c>
      <c r="F661" s="24"/>
      <c r="G661" s="24"/>
      <c r="H661" s="24"/>
      <c r="I661" s="24"/>
      <c r="J661" s="3"/>
      <c r="K661" s="8"/>
      <c r="L661" s="8"/>
      <c r="M661" s="8"/>
      <c r="N661" s="13"/>
      <c r="O661" s="9"/>
      <c r="P661" s="20"/>
      <c r="Q661" s="20"/>
      <c r="R661" s="20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 spans="4:49" ht="15" thickBot="1" x14ac:dyDescent="0.35">
      <c r="D662" s="2">
        <f t="shared" si="50"/>
        <v>656</v>
      </c>
      <c r="E662" s="6">
        <v>2.1232747475578084</v>
      </c>
      <c r="F662" s="24"/>
      <c r="G662" s="24"/>
      <c r="H662" s="24"/>
      <c r="I662" s="24"/>
      <c r="J662" s="3"/>
      <c r="K662" s="8"/>
      <c r="L662" s="8"/>
      <c r="M662" s="8"/>
      <c r="N662" s="13"/>
      <c r="O662" s="9"/>
      <c r="P662" s="20"/>
      <c r="Q662" s="20"/>
      <c r="R662" s="20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 spans="4:49" ht="15" thickBot="1" x14ac:dyDescent="0.35">
      <c r="D663" s="2">
        <f t="shared" si="50"/>
        <v>657</v>
      </c>
      <c r="E663" s="6">
        <v>10.377850463541806</v>
      </c>
      <c r="F663" s="24"/>
      <c r="G663" s="24"/>
      <c r="H663" s="24"/>
      <c r="I663" s="24"/>
      <c r="J663" s="3"/>
      <c r="K663" s="8"/>
      <c r="L663" s="8"/>
      <c r="M663" s="8"/>
      <c r="N663" s="22"/>
      <c r="O663" s="9"/>
      <c r="P663" s="20"/>
      <c r="Q663" s="20"/>
      <c r="R663" s="20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 spans="4:49" ht="15" thickBot="1" x14ac:dyDescent="0.35">
      <c r="D664" s="2">
        <f t="shared" si="50"/>
        <v>658</v>
      </c>
      <c r="E664" s="6">
        <v>1.3619612248421125</v>
      </c>
      <c r="F664" s="24"/>
      <c r="G664" s="24"/>
      <c r="H664" s="24"/>
      <c r="I664" s="24"/>
      <c r="J664" s="3"/>
      <c r="K664" s="8"/>
      <c r="L664" s="8"/>
      <c r="M664" s="8"/>
      <c r="N664" s="13"/>
      <c r="O664" s="9"/>
      <c r="P664" s="20"/>
      <c r="Q664" s="20"/>
      <c r="R664" s="20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 spans="4:49" ht="15" thickBot="1" x14ac:dyDescent="0.35">
      <c r="D665" s="2">
        <f t="shared" si="50"/>
        <v>659</v>
      </c>
      <c r="E665" s="6">
        <v>3.0275438134724224</v>
      </c>
      <c r="F665" s="24"/>
      <c r="G665" s="24"/>
      <c r="H665" s="24"/>
      <c r="I665" s="24"/>
      <c r="J665" s="3"/>
      <c r="K665" s="8"/>
      <c r="L665" s="8"/>
      <c r="M665" s="8"/>
      <c r="N665" s="22"/>
      <c r="O665" s="9"/>
      <c r="P665" s="20"/>
      <c r="Q665" s="20"/>
      <c r="R665" s="20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 spans="4:49" ht="15" thickBot="1" x14ac:dyDescent="0.35">
      <c r="D666" s="2">
        <f t="shared" si="50"/>
        <v>660</v>
      </c>
      <c r="E666" s="6">
        <v>1.7384984140483828</v>
      </c>
      <c r="F666" s="24"/>
      <c r="G666" s="24"/>
      <c r="H666" s="24"/>
      <c r="I666" s="24"/>
      <c r="J666" s="3"/>
      <c r="K666" s="8"/>
      <c r="L666" s="8"/>
      <c r="M666" s="8"/>
      <c r="N666" s="13"/>
      <c r="O666" s="9"/>
      <c r="P666" s="20"/>
      <c r="Q666" s="20"/>
      <c r="R666" s="20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 spans="4:49" ht="15" thickBot="1" x14ac:dyDescent="0.35">
      <c r="D667" s="2">
        <f t="shared" si="50"/>
        <v>661</v>
      </c>
      <c r="E667" s="6">
        <v>3.2626863721153629</v>
      </c>
      <c r="F667" s="24"/>
      <c r="G667" s="24"/>
      <c r="H667" s="24"/>
      <c r="I667" s="24"/>
      <c r="J667" s="3"/>
      <c r="K667" s="8"/>
      <c r="L667" s="8"/>
      <c r="M667" s="8"/>
      <c r="N667" s="13"/>
      <c r="O667" s="9"/>
      <c r="P667" s="20"/>
      <c r="Q667" s="20"/>
      <c r="R667" s="20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 spans="4:49" ht="15" thickBot="1" x14ac:dyDescent="0.35">
      <c r="D668" s="2">
        <f t="shared" si="50"/>
        <v>662</v>
      </c>
      <c r="E668" s="6">
        <v>2.5507172790356054</v>
      </c>
      <c r="F668" s="24"/>
      <c r="G668" s="24"/>
      <c r="H668" s="24"/>
      <c r="I668" s="24"/>
      <c r="J668" s="3"/>
      <c r="K668" s="8"/>
      <c r="L668" s="8"/>
      <c r="M668" s="8"/>
      <c r="N668" s="22"/>
      <c r="O668" s="9"/>
      <c r="P668" s="20"/>
      <c r="Q668" s="20"/>
      <c r="R668" s="20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 spans="4:49" ht="15" thickBot="1" x14ac:dyDescent="0.35">
      <c r="D669" s="2">
        <f t="shared" si="50"/>
        <v>663</v>
      </c>
      <c r="E669" s="6">
        <v>2.8968133822833551</v>
      </c>
      <c r="F669" s="24"/>
      <c r="G669" s="24"/>
      <c r="H669" s="24"/>
      <c r="I669" s="24"/>
      <c r="J669" s="3"/>
      <c r="K669" s="8"/>
      <c r="L669" s="8"/>
      <c r="M669" s="8"/>
      <c r="N669" s="13"/>
      <c r="O669" s="9"/>
      <c r="P669" s="20"/>
      <c r="Q669" s="20"/>
      <c r="R669" s="20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 spans="4:49" ht="15" thickBot="1" x14ac:dyDescent="0.35">
      <c r="D670" s="2">
        <f t="shared" si="50"/>
        <v>664</v>
      </c>
      <c r="E670" s="6">
        <v>2.7757008160958345</v>
      </c>
      <c r="F670" s="24"/>
      <c r="G670" s="24"/>
      <c r="H670" s="24"/>
      <c r="I670" s="24"/>
      <c r="J670" s="3"/>
      <c r="K670" s="8"/>
      <c r="L670" s="8"/>
      <c r="M670" s="8"/>
      <c r="N670" s="22"/>
      <c r="O670" s="9"/>
      <c r="P670" s="20"/>
      <c r="Q670" s="20"/>
      <c r="R670" s="20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 spans="4:49" ht="15" thickBot="1" x14ac:dyDescent="0.35">
      <c r="D671" s="2">
        <f t="shared" si="50"/>
        <v>665</v>
      </c>
      <c r="E671" s="6">
        <v>0.38718018775695184</v>
      </c>
      <c r="F671" s="24"/>
      <c r="G671" s="24"/>
      <c r="H671" s="24"/>
      <c r="I671" s="24"/>
      <c r="J671" s="3"/>
      <c r="K671" s="8"/>
      <c r="L671" s="8"/>
      <c r="M671" s="8"/>
      <c r="N671" s="13"/>
      <c r="O671" s="9"/>
      <c r="P671" s="20"/>
      <c r="Q671" s="20"/>
      <c r="R671" s="20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 spans="4:49" ht="15" thickBot="1" x14ac:dyDescent="0.35">
      <c r="D672" s="2">
        <f t="shared" si="50"/>
        <v>666</v>
      </c>
      <c r="E672" s="6">
        <v>6.2061191082203617</v>
      </c>
      <c r="F672" s="24"/>
      <c r="G672" s="24"/>
      <c r="H672" s="24"/>
      <c r="I672" s="24"/>
      <c r="J672" s="3"/>
      <c r="K672" s="8"/>
      <c r="L672" s="8"/>
      <c r="M672" s="8"/>
      <c r="N672" s="13"/>
      <c r="O672" s="9"/>
      <c r="P672" s="20"/>
      <c r="Q672" s="20"/>
      <c r="R672" s="20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 spans="4:49" ht="15" thickBot="1" x14ac:dyDescent="0.35">
      <c r="D673" s="2">
        <f t="shared" si="50"/>
        <v>667</v>
      </c>
      <c r="E673" s="6">
        <v>3.1200162054910892</v>
      </c>
      <c r="F673" s="24"/>
      <c r="G673" s="24"/>
      <c r="H673" s="24"/>
      <c r="I673" s="24"/>
      <c r="J673" s="3"/>
      <c r="K673" s="8"/>
      <c r="L673" s="8"/>
      <c r="M673" s="8"/>
      <c r="N673" s="22"/>
      <c r="O673" s="9"/>
      <c r="P673" s="20"/>
      <c r="Q673" s="20"/>
      <c r="R673" s="20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 spans="4:49" ht="15" thickBot="1" x14ac:dyDescent="0.35">
      <c r="D674" s="2">
        <f t="shared" si="50"/>
        <v>668</v>
      </c>
      <c r="E674" s="6">
        <v>5.8933539599659159</v>
      </c>
      <c r="F674" s="24"/>
      <c r="G674" s="24"/>
      <c r="H674" s="24"/>
      <c r="I674" s="24"/>
      <c r="J674" s="3"/>
      <c r="K674" s="8"/>
      <c r="L674" s="8"/>
      <c r="M674" s="8"/>
      <c r="N674" s="13"/>
      <c r="O674" s="9"/>
      <c r="P674" s="20"/>
      <c r="Q674" s="20"/>
      <c r="R674" s="20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 spans="4:49" ht="15" thickBot="1" x14ac:dyDescent="0.35">
      <c r="D675" s="2">
        <f t="shared" si="50"/>
        <v>669</v>
      </c>
      <c r="E675" s="6">
        <v>1.0452076860347472</v>
      </c>
      <c r="F675" s="24"/>
      <c r="G675" s="24"/>
      <c r="H675" s="24"/>
      <c r="I675" s="24"/>
      <c r="J675" s="3"/>
      <c r="K675" s="8"/>
      <c r="L675" s="8"/>
      <c r="M675" s="8"/>
      <c r="N675" s="22"/>
      <c r="O675" s="9"/>
      <c r="P675" s="20"/>
      <c r="Q675" s="20"/>
      <c r="R675" s="20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 spans="4:49" ht="15" thickBot="1" x14ac:dyDescent="0.35">
      <c r="D676" s="2">
        <f t="shared" si="50"/>
        <v>670</v>
      </c>
      <c r="E676" s="6">
        <v>1.8919275548623105</v>
      </c>
      <c r="F676" s="24"/>
      <c r="G676" s="24"/>
      <c r="H676" s="24"/>
      <c r="I676" s="24"/>
      <c r="J676" s="3"/>
      <c r="K676" s="8"/>
      <c r="L676" s="8"/>
      <c r="M676" s="8"/>
      <c r="N676" s="13"/>
      <c r="O676" s="9"/>
      <c r="P676" s="20"/>
      <c r="Q676" s="20"/>
      <c r="R676" s="20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 spans="4:49" ht="15" thickBot="1" x14ac:dyDescent="0.35">
      <c r="D677" s="2">
        <f t="shared" si="50"/>
        <v>671</v>
      </c>
      <c r="E677" s="6">
        <v>2.0894134029921543</v>
      </c>
      <c r="F677" s="24"/>
      <c r="G677" s="24"/>
      <c r="H677" s="24"/>
      <c r="I677" s="24"/>
      <c r="J677" s="3"/>
      <c r="K677" s="8"/>
      <c r="L677" s="8"/>
      <c r="M677" s="8"/>
      <c r="N677" s="13"/>
      <c r="O677" s="9"/>
      <c r="P677" s="20"/>
      <c r="Q677" s="20"/>
      <c r="R677" s="20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 spans="4:49" ht="15" thickBot="1" x14ac:dyDescent="0.35">
      <c r="D678" s="2">
        <f t="shared" si="50"/>
        <v>672</v>
      </c>
      <c r="E678" s="6">
        <v>7.0291949354111978</v>
      </c>
      <c r="F678" s="24"/>
      <c r="G678" s="24"/>
      <c r="H678" s="24"/>
      <c r="I678" s="24"/>
      <c r="J678" s="3"/>
      <c r="K678" s="8"/>
      <c r="L678" s="8"/>
      <c r="M678" s="8"/>
      <c r="N678" s="22"/>
      <c r="O678" s="9"/>
      <c r="P678" s="20"/>
      <c r="Q678" s="20"/>
      <c r="R678" s="20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 spans="4:49" ht="15" thickBot="1" x14ac:dyDescent="0.35">
      <c r="D679" s="2">
        <f t="shared" si="50"/>
        <v>673</v>
      </c>
      <c r="E679" s="6">
        <v>7.1463837793175413</v>
      </c>
      <c r="F679" s="24"/>
      <c r="G679" s="24"/>
      <c r="H679" s="24"/>
      <c r="I679" s="24"/>
      <c r="J679" s="3"/>
      <c r="K679" s="8"/>
      <c r="L679" s="8"/>
      <c r="M679" s="8"/>
      <c r="N679" s="13"/>
      <c r="O679" s="9"/>
      <c r="P679" s="20"/>
      <c r="Q679" s="20"/>
      <c r="R679" s="20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 spans="4:49" ht="15" thickBot="1" x14ac:dyDescent="0.35">
      <c r="D680" s="2">
        <f t="shared" si="50"/>
        <v>674</v>
      </c>
      <c r="E680" s="6">
        <v>16.600841088008554</v>
      </c>
      <c r="F680" s="24"/>
      <c r="G680" s="24"/>
      <c r="H680" s="24"/>
      <c r="I680" s="24"/>
      <c r="J680" s="3"/>
      <c r="K680" s="8"/>
      <c r="L680" s="8"/>
      <c r="M680" s="8"/>
      <c r="N680" s="22"/>
      <c r="O680" s="9"/>
      <c r="P680" s="20"/>
      <c r="Q680" s="20"/>
      <c r="R680" s="20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 spans="4:49" ht="15" thickBot="1" x14ac:dyDescent="0.35">
      <c r="D681" s="2">
        <f t="shared" si="50"/>
        <v>675</v>
      </c>
      <c r="E681" s="6">
        <v>2.7782577787063922</v>
      </c>
      <c r="F681" s="24"/>
      <c r="G681" s="24"/>
      <c r="H681" s="24"/>
      <c r="I681" s="24"/>
      <c r="J681" s="3"/>
      <c r="K681" s="8"/>
      <c r="L681" s="8"/>
      <c r="M681" s="8"/>
      <c r="N681" s="13"/>
      <c r="O681" s="9"/>
      <c r="P681" s="20"/>
      <c r="Q681" s="20"/>
      <c r="R681" s="20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 spans="4:49" ht="15" thickBot="1" x14ac:dyDescent="0.35">
      <c r="D682" s="2">
        <f t="shared" si="50"/>
        <v>676</v>
      </c>
      <c r="E682" s="6">
        <v>2.302103942504298</v>
      </c>
      <c r="F682" s="24"/>
      <c r="G682" s="24"/>
      <c r="H682" s="24"/>
      <c r="I682" s="24"/>
      <c r="J682" s="3"/>
      <c r="K682" s="8"/>
      <c r="L682" s="8"/>
      <c r="M682" s="8"/>
      <c r="N682" s="13"/>
      <c r="O682" s="9"/>
      <c r="P682" s="20"/>
      <c r="Q682" s="20"/>
      <c r="R682" s="20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 spans="4:49" ht="15" thickBot="1" x14ac:dyDescent="0.35">
      <c r="D683" s="2">
        <f t="shared" si="50"/>
        <v>677</v>
      </c>
      <c r="E683" s="6">
        <v>1.2681811721476348</v>
      </c>
      <c r="F683" s="24"/>
      <c r="G683" s="24"/>
      <c r="H683" s="24"/>
      <c r="I683" s="24"/>
      <c r="J683" s="3"/>
      <c r="K683" s="8"/>
      <c r="L683" s="8"/>
      <c r="M683" s="8"/>
      <c r="N683" s="22"/>
      <c r="O683" s="9"/>
      <c r="P683" s="20"/>
      <c r="Q683" s="20"/>
      <c r="R683" s="20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 spans="4:49" ht="15" thickBot="1" x14ac:dyDescent="0.35">
      <c r="D684" s="2">
        <f t="shared" si="50"/>
        <v>678</v>
      </c>
      <c r="E684" s="6">
        <v>11.63382834872955</v>
      </c>
      <c r="F684" s="24"/>
      <c r="G684" s="24"/>
      <c r="H684" s="24"/>
      <c r="I684" s="24"/>
      <c r="J684" s="3"/>
      <c r="K684" s="8"/>
      <c r="L684" s="8"/>
      <c r="M684" s="8"/>
      <c r="N684" s="13"/>
      <c r="O684" s="9"/>
      <c r="P684" s="20"/>
      <c r="Q684" s="20"/>
      <c r="R684" s="20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 spans="4:49" ht="15" thickBot="1" x14ac:dyDescent="0.35">
      <c r="D685" s="2">
        <f t="shared" si="50"/>
        <v>679</v>
      </c>
      <c r="E685" s="6">
        <v>2.6248552820583275</v>
      </c>
      <c r="F685" s="24"/>
      <c r="G685" s="24"/>
      <c r="H685" s="24"/>
      <c r="I685" s="24"/>
      <c r="J685" s="3"/>
      <c r="K685" s="8"/>
      <c r="L685" s="8"/>
      <c r="M685" s="8"/>
      <c r="N685" s="22"/>
      <c r="O685" s="9"/>
      <c r="P685" s="20"/>
      <c r="Q685" s="20"/>
      <c r="R685" s="20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spans="4:49" ht="15" thickBot="1" x14ac:dyDescent="0.35">
      <c r="D686" s="2">
        <f t="shared" si="50"/>
        <v>680</v>
      </c>
      <c r="E686" s="6">
        <v>1.5696713207823252</v>
      </c>
      <c r="F686" s="24"/>
      <c r="G686" s="24"/>
      <c r="H686" s="24"/>
      <c r="I686" s="24"/>
      <c r="J686" s="3"/>
      <c r="K686" s="8"/>
      <c r="L686" s="8"/>
      <c r="M686" s="8"/>
      <c r="N686" s="13"/>
      <c r="O686" s="9"/>
      <c r="P686" s="20"/>
      <c r="Q686" s="20"/>
      <c r="R686" s="20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spans="4:49" ht="15" thickBot="1" x14ac:dyDescent="0.35">
      <c r="D687" s="2">
        <f t="shared" si="50"/>
        <v>681</v>
      </c>
      <c r="E687" s="6">
        <v>2.2099615630894398</v>
      </c>
      <c r="F687" s="24"/>
      <c r="G687" s="24"/>
      <c r="H687" s="24"/>
      <c r="I687" s="24"/>
      <c r="J687" s="3"/>
      <c r="K687" s="8"/>
      <c r="L687" s="8"/>
      <c r="M687" s="8"/>
      <c r="N687" s="13"/>
      <c r="O687" s="9"/>
      <c r="P687" s="20"/>
      <c r="Q687" s="20"/>
      <c r="R687" s="20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 spans="4:49" ht="15" thickBot="1" x14ac:dyDescent="0.35">
      <c r="D688" s="2">
        <f t="shared" si="50"/>
        <v>682</v>
      </c>
      <c r="E688" s="6">
        <v>2.4857447523259979</v>
      </c>
      <c r="F688" s="24"/>
      <c r="G688" s="24"/>
      <c r="H688" s="24"/>
      <c r="I688" s="24"/>
      <c r="J688" s="3"/>
      <c r="K688" s="8"/>
      <c r="L688" s="8"/>
      <c r="M688" s="8"/>
      <c r="N688" s="22"/>
      <c r="O688" s="9"/>
      <c r="P688" s="20"/>
      <c r="Q688" s="20"/>
      <c r="R688" s="20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 spans="4:49" ht="15" thickBot="1" x14ac:dyDescent="0.35">
      <c r="D689" s="2">
        <f t="shared" si="50"/>
        <v>683</v>
      </c>
      <c r="E689" s="6">
        <v>0.70948455895187368</v>
      </c>
      <c r="F689" s="24"/>
      <c r="G689" s="24"/>
      <c r="H689" s="24"/>
      <c r="I689" s="24"/>
      <c r="J689" s="3"/>
      <c r="K689" s="8"/>
      <c r="L689" s="8"/>
      <c r="M689" s="8"/>
      <c r="N689" s="13"/>
      <c r="O689" s="9"/>
      <c r="P689" s="20"/>
      <c r="Q689" s="20"/>
      <c r="R689" s="20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 spans="4:49" ht="15" thickBot="1" x14ac:dyDescent="0.35">
      <c r="D690" s="2">
        <f t="shared" si="50"/>
        <v>684</v>
      </c>
      <c r="E690" s="6">
        <v>1.7914752543904593</v>
      </c>
      <c r="F690" s="24"/>
      <c r="G690" s="24"/>
      <c r="H690" s="24"/>
      <c r="I690" s="24"/>
      <c r="J690" s="3"/>
      <c r="K690" s="8"/>
      <c r="L690" s="8"/>
      <c r="M690" s="8"/>
      <c r="N690" s="22"/>
      <c r="O690" s="9"/>
      <c r="P690" s="20"/>
      <c r="Q690" s="20"/>
      <c r="R690" s="20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 spans="4:49" ht="15" thickBot="1" x14ac:dyDescent="0.35">
      <c r="D691" s="2">
        <f t="shared" si="50"/>
        <v>685</v>
      </c>
      <c r="E691" s="6">
        <v>1.0889052348770083</v>
      </c>
      <c r="F691" s="24"/>
      <c r="G691" s="24"/>
      <c r="H691" s="24"/>
      <c r="I691" s="24"/>
      <c r="J691" s="3"/>
      <c r="K691" s="8"/>
      <c r="L691" s="8"/>
      <c r="M691" s="8"/>
      <c r="N691" s="13"/>
      <c r="O691" s="9"/>
      <c r="P691" s="20"/>
      <c r="Q691" s="20"/>
      <c r="R691" s="20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 spans="4:49" ht="15" thickBot="1" x14ac:dyDescent="0.35">
      <c r="D692" s="2">
        <f t="shared" si="50"/>
        <v>686</v>
      </c>
      <c r="E692" s="6">
        <v>4.8211301874459664</v>
      </c>
      <c r="F692" s="24"/>
      <c r="G692" s="24"/>
      <c r="H692" s="24"/>
      <c r="I692" s="24"/>
      <c r="J692" s="3"/>
      <c r="K692" s="8"/>
      <c r="L692" s="8"/>
      <c r="M692" s="8"/>
      <c r="N692" s="13"/>
      <c r="O692" s="9"/>
      <c r="P692" s="20"/>
      <c r="Q692" s="20"/>
      <c r="R692" s="20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 spans="4:49" ht="15" thickBot="1" x14ac:dyDescent="0.35">
      <c r="D693" s="2">
        <f t="shared" si="50"/>
        <v>687</v>
      </c>
      <c r="E693" s="6">
        <v>1.8704052338379872E-2</v>
      </c>
      <c r="F693" s="24"/>
      <c r="G693" s="24"/>
      <c r="H693" s="24"/>
      <c r="I693" s="24"/>
      <c r="J693" s="3"/>
      <c r="K693" s="8"/>
      <c r="L693" s="8"/>
      <c r="M693" s="8"/>
      <c r="N693" s="22"/>
      <c r="O693" s="9"/>
      <c r="P693" s="20"/>
      <c r="Q693" s="20"/>
      <c r="R693" s="20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 spans="4:49" ht="15" thickBot="1" x14ac:dyDescent="0.35">
      <c r="D694" s="2">
        <f t="shared" si="50"/>
        <v>688</v>
      </c>
      <c r="E694" s="6">
        <v>4.0424513288367869</v>
      </c>
      <c r="F694" s="24"/>
      <c r="G694" s="24"/>
      <c r="H694" s="24"/>
      <c r="I694" s="24"/>
      <c r="J694" s="3"/>
      <c r="K694" s="8"/>
      <c r="L694" s="8"/>
      <c r="M694" s="8"/>
      <c r="N694" s="13"/>
      <c r="O694" s="9"/>
      <c r="P694" s="20"/>
      <c r="Q694" s="20"/>
      <c r="R694" s="20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 spans="4:49" ht="15" thickBot="1" x14ac:dyDescent="0.35">
      <c r="D695" s="2">
        <f t="shared" si="50"/>
        <v>689</v>
      </c>
      <c r="E695" s="6">
        <v>15.420899923210902</v>
      </c>
      <c r="F695" s="24"/>
      <c r="G695" s="24"/>
      <c r="H695" s="24"/>
      <c r="I695" s="24"/>
      <c r="J695" s="3"/>
      <c r="K695" s="8"/>
      <c r="L695" s="8"/>
      <c r="M695" s="8"/>
      <c r="N695" s="22"/>
      <c r="O695" s="9"/>
      <c r="P695" s="20"/>
      <c r="Q695" s="20"/>
      <c r="R695" s="20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 spans="4:49" ht="15" thickBot="1" x14ac:dyDescent="0.35">
      <c r="D696" s="2">
        <f t="shared" si="50"/>
        <v>690</v>
      </c>
      <c r="E696" s="6">
        <v>2.1533344421231186</v>
      </c>
      <c r="F696" s="24"/>
      <c r="G696" s="24"/>
      <c r="H696" s="24"/>
      <c r="I696" s="24"/>
      <c r="J696" s="3"/>
      <c r="K696" s="8"/>
      <c r="L696" s="8"/>
      <c r="M696" s="8"/>
      <c r="N696" s="13"/>
      <c r="O696" s="9"/>
      <c r="P696" s="20"/>
      <c r="Q696" s="20"/>
      <c r="R696" s="20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 spans="4:49" ht="15" thickBot="1" x14ac:dyDescent="0.35">
      <c r="D697" s="2">
        <f t="shared" si="50"/>
        <v>691</v>
      </c>
      <c r="E697" s="6">
        <v>0.95192749662843912</v>
      </c>
      <c r="F697" s="24"/>
      <c r="G697" s="24"/>
      <c r="H697" s="24"/>
      <c r="I697" s="24"/>
      <c r="J697" s="3"/>
      <c r="K697" s="8"/>
      <c r="L697" s="8"/>
      <c r="M697" s="8"/>
      <c r="N697" s="13"/>
      <c r="O697" s="9"/>
      <c r="P697" s="20"/>
      <c r="Q697" s="20"/>
      <c r="R697" s="20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 spans="4:49" ht="15" thickBot="1" x14ac:dyDescent="0.35">
      <c r="D698" s="2">
        <f t="shared" si="50"/>
        <v>692</v>
      </c>
      <c r="E698" s="6">
        <v>2.6721760578163716</v>
      </c>
      <c r="F698" s="24"/>
      <c r="G698" s="24"/>
      <c r="H698" s="24"/>
      <c r="I698" s="24"/>
      <c r="J698" s="3"/>
      <c r="K698" s="8"/>
      <c r="L698" s="8"/>
      <c r="M698" s="8"/>
      <c r="N698" s="22"/>
      <c r="O698" s="9"/>
      <c r="P698" s="20"/>
      <c r="Q698" s="20"/>
      <c r="R698" s="20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 spans="4:49" ht="15" thickBot="1" x14ac:dyDescent="0.35">
      <c r="D699" s="2">
        <f t="shared" si="50"/>
        <v>693</v>
      </c>
      <c r="E699" s="6">
        <v>1.9749846638778878</v>
      </c>
      <c r="F699" s="24"/>
      <c r="G699" s="24"/>
      <c r="H699" s="24"/>
      <c r="I699" s="24"/>
      <c r="J699" s="3"/>
      <c r="K699" s="8"/>
      <c r="L699" s="8"/>
      <c r="M699" s="8"/>
      <c r="N699" s="13"/>
      <c r="O699" s="9"/>
      <c r="P699" s="20"/>
      <c r="Q699" s="20"/>
      <c r="R699" s="20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 spans="4:49" ht="15" thickBot="1" x14ac:dyDescent="0.35">
      <c r="D700" s="2">
        <f t="shared" si="50"/>
        <v>694</v>
      </c>
      <c r="E700" s="6">
        <v>3.5351804849820154</v>
      </c>
      <c r="F700" s="24"/>
      <c r="G700" s="24"/>
      <c r="H700" s="24"/>
      <c r="I700" s="24"/>
      <c r="J700" s="3"/>
      <c r="K700" s="8"/>
      <c r="L700" s="8"/>
      <c r="M700" s="8"/>
      <c r="N700" s="22"/>
      <c r="O700" s="9"/>
      <c r="P700" s="20"/>
      <c r="Q700" s="20"/>
      <c r="R700" s="20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 spans="4:49" ht="15" thickBot="1" x14ac:dyDescent="0.35">
      <c r="D701" s="2">
        <f t="shared" si="50"/>
        <v>695</v>
      </c>
      <c r="E701" s="6">
        <v>7.7800631219870384</v>
      </c>
      <c r="F701" s="24"/>
      <c r="G701" s="24"/>
      <c r="H701" s="24"/>
      <c r="I701" s="24"/>
      <c r="J701" s="3"/>
      <c r="K701" s="8"/>
      <c r="L701" s="8"/>
      <c r="M701" s="8"/>
      <c r="N701" s="13"/>
      <c r="O701" s="9"/>
      <c r="P701" s="20"/>
      <c r="Q701" s="20"/>
      <c r="R701" s="20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 spans="4:49" ht="15" thickBot="1" x14ac:dyDescent="0.35">
      <c r="D702" s="2">
        <f t="shared" si="50"/>
        <v>696</v>
      </c>
      <c r="E702" s="6">
        <v>5.8776063680111763</v>
      </c>
      <c r="F702" s="24"/>
      <c r="G702" s="24"/>
      <c r="H702" s="24"/>
      <c r="I702" s="24"/>
      <c r="J702" s="3"/>
      <c r="K702" s="8"/>
      <c r="L702" s="8"/>
      <c r="M702" s="8"/>
      <c r="N702" s="13"/>
      <c r="O702" s="9"/>
      <c r="P702" s="20"/>
      <c r="Q702" s="20"/>
      <c r="R702" s="20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 spans="4:49" ht="15" thickBot="1" x14ac:dyDescent="0.35">
      <c r="D703" s="2">
        <f t="shared" si="50"/>
        <v>697</v>
      </c>
      <c r="E703" s="6">
        <v>2.4292432032652425</v>
      </c>
      <c r="F703" s="24"/>
      <c r="G703" s="24"/>
      <c r="H703" s="24"/>
      <c r="I703" s="24"/>
      <c r="J703" s="3"/>
      <c r="K703" s="8"/>
      <c r="L703" s="8"/>
      <c r="M703" s="8"/>
      <c r="N703" s="22"/>
      <c r="O703" s="9"/>
      <c r="P703" s="20"/>
      <c r="Q703" s="20"/>
      <c r="R703" s="20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 spans="4:49" ht="15" thickBot="1" x14ac:dyDescent="0.35">
      <c r="D704" s="2">
        <f t="shared" si="50"/>
        <v>698</v>
      </c>
      <c r="E704" s="6">
        <v>1.0551066012538686</v>
      </c>
      <c r="F704" s="24"/>
      <c r="G704" s="24"/>
      <c r="H704" s="24"/>
      <c r="I704" s="24"/>
      <c r="J704" s="3"/>
      <c r="K704" s="8"/>
      <c r="L704" s="8"/>
      <c r="M704" s="8"/>
      <c r="N704" s="13"/>
      <c r="O704" s="9"/>
      <c r="P704" s="20"/>
      <c r="Q704" s="20"/>
      <c r="R704" s="20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 spans="4:49" ht="15" thickBot="1" x14ac:dyDescent="0.35">
      <c r="D705" s="2">
        <f t="shared" si="50"/>
        <v>699</v>
      </c>
      <c r="E705" s="6">
        <v>0.22857157796688296</v>
      </c>
      <c r="F705" s="24"/>
      <c r="G705" s="24"/>
      <c r="H705" s="24"/>
      <c r="I705" s="24"/>
      <c r="J705" s="3"/>
      <c r="K705" s="8"/>
      <c r="L705" s="8"/>
      <c r="M705" s="8"/>
      <c r="N705" s="22"/>
      <c r="O705" s="9"/>
      <c r="P705" s="20"/>
      <c r="Q705" s="20"/>
      <c r="R705" s="20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 spans="4:49" ht="15" thickBot="1" x14ac:dyDescent="0.35">
      <c r="D706" s="2">
        <f t="shared" si="50"/>
        <v>700</v>
      </c>
      <c r="E706" s="6">
        <v>14.835041173056648</v>
      </c>
      <c r="F706" s="24"/>
      <c r="G706" s="24"/>
      <c r="H706" s="24"/>
      <c r="I706" s="24"/>
      <c r="J706" s="3"/>
      <c r="K706" s="8"/>
      <c r="L706" s="8"/>
      <c r="M706" s="8"/>
      <c r="N706" s="13"/>
      <c r="O706" s="9"/>
      <c r="P706" s="20"/>
      <c r="Q706" s="20"/>
      <c r="R706" s="20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 spans="4:49" ht="15" thickBot="1" x14ac:dyDescent="0.35">
      <c r="D707" s="2">
        <f t="shared" si="50"/>
        <v>701</v>
      </c>
      <c r="E707" s="6">
        <v>1.2676326031562117</v>
      </c>
      <c r="F707" s="24"/>
      <c r="G707" s="24"/>
      <c r="H707" s="24"/>
      <c r="I707" s="24"/>
      <c r="J707" s="3"/>
      <c r="K707" s="8"/>
      <c r="L707" s="8"/>
      <c r="M707" s="8"/>
      <c r="N707" s="13"/>
      <c r="O707" s="9"/>
      <c r="P707" s="20"/>
      <c r="Q707" s="20"/>
      <c r="R707" s="20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 spans="4:49" ht="15" thickBot="1" x14ac:dyDescent="0.35">
      <c r="D708" s="2">
        <f t="shared" si="50"/>
        <v>702</v>
      </c>
      <c r="E708" s="6">
        <v>12.012630883705768</v>
      </c>
      <c r="F708" s="24"/>
      <c r="G708" s="24"/>
      <c r="H708" s="24"/>
      <c r="I708" s="24"/>
      <c r="J708" s="3"/>
      <c r="K708" s="8"/>
      <c r="L708" s="8"/>
      <c r="M708" s="8"/>
      <c r="N708" s="22"/>
      <c r="O708" s="9"/>
      <c r="P708" s="20"/>
      <c r="Q708" s="20"/>
      <c r="R708" s="20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 spans="4:49" ht="15" thickBot="1" x14ac:dyDescent="0.35">
      <c r="D709" s="2">
        <f t="shared" si="50"/>
        <v>703</v>
      </c>
      <c r="E709" s="6">
        <v>0.98845533271857511</v>
      </c>
      <c r="F709" s="24"/>
      <c r="G709" s="24"/>
      <c r="H709" s="24"/>
      <c r="I709" s="24"/>
      <c r="J709" s="3"/>
      <c r="K709" s="8"/>
      <c r="L709" s="8"/>
      <c r="M709" s="8"/>
      <c r="N709" s="13"/>
      <c r="O709" s="9"/>
      <c r="P709" s="20"/>
      <c r="Q709" s="20"/>
      <c r="R709" s="20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 spans="4:49" ht="15" thickBot="1" x14ac:dyDescent="0.35">
      <c r="D710" s="2">
        <f t="shared" si="50"/>
        <v>704</v>
      </c>
      <c r="E710" s="6">
        <v>9.0874099633121421</v>
      </c>
      <c r="F710" s="24"/>
      <c r="G710" s="24"/>
      <c r="H710" s="24"/>
      <c r="I710" s="24"/>
      <c r="J710" s="3"/>
      <c r="K710" s="8"/>
      <c r="L710" s="8"/>
      <c r="M710" s="8"/>
      <c r="N710" s="22"/>
      <c r="O710" s="9"/>
      <c r="P710" s="20"/>
      <c r="Q710" s="20"/>
      <c r="R710" s="20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 spans="4:49" ht="15" thickBot="1" x14ac:dyDescent="0.35">
      <c r="D711" s="2">
        <f t="shared" ref="D711:D774" si="51">ROW()-6</f>
        <v>705</v>
      </c>
      <c r="E711" s="6">
        <v>0.66529394990776003</v>
      </c>
      <c r="F711" s="24"/>
      <c r="G711" s="24"/>
      <c r="H711" s="24"/>
      <c r="I711" s="24"/>
      <c r="J711" s="3"/>
      <c r="K711" s="8"/>
      <c r="L711" s="8"/>
      <c r="M711" s="8"/>
      <c r="N711" s="13"/>
      <c r="O711" s="9"/>
      <c r="P711" s="20"/>
      <c r="Q711" s="20"/>
      <c r="R711" s="20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 spans="4:49" ht="15" thickBot="1" x14ac:dyDescent="0.35">
      <c r="D712" s="2">
        <f t="shared" si="51"/>
        <v>706</v>
      </c>
      <c r="E712" s="6">
        <v>2.9242977567145263</v>
      </c>
      <c r="F712" s="24"/>
      <c r="G712" s="24"/>
      <c r="H712" s="24"/>
      <c r="I712" s="24"/>
      <c r="J712" s="3"/>
      <c r="K712" s="8"/>
      <c r="L712" s="8"/>
      <c r="M712" s="8"/>
      <c r="N712" s="13"/>
      <c r="O712" s="9"/>
      <c r="P712" s="20"/>
      <c r="Q712" s="20"/>
      <c r="R712" s="20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 spans="4:49" ht="15" thickBot="1" x14ac:dyDescent="0.35">
      <c r="D713" s="2">
        <f t="shared" si="51"/>
        <v>707</v>
      </c>
      <c r="E713" s="6">
        <v>1.0052082399885367</v>
      </c>
      <c r="F713" s="24"/>
      <c r="G713" s="24"/>
      <c r="H713" s="24"/>
      <c r="I713" s="24"/>
      <c r="J713" s="3"/>
      <c r="K713" s="8"/>
      <c r="L713" s="8"/>
      <c r="M713" s="8"/>
      <c r="N713" s="22"/>
      <c r="O713" s="9"/>
      <c r="P713" s="20"/>
      <c r="Q713" s="20"/>
      <c r="R713" s="20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 spans="4:49" ht="15" thickBot="1" x14ac:dyDescent="0.35">
      <c r="D714" s="2">
        <f t="shared" si="51"/>
        <v>708</v>
      </c>
      <c r="E714" s="6">
        <v>0.91188363451557908</v>
      </c>
      <c r="F714" s="24"/>
      <c r="G714" s="24"/>
      <c r="H714" s="24"/>
      <c r="I714" s="24"/>
      <c r="J714" s="3"/>
      <c r="K714" s="8"/>
      <c r="L714" s="8"/>
      <c r="M714" s="8"/>
      <c r="N714" s="13"/>
      <c r="O714" s="9"/>
      <c r="P714" s="20"/>
      <c r="Q714" s="20"/>
      <c r="R714" s="20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 spans="4:49" ht="15" thickBot="1" x14ac:dyDescent="0.35">
      <c r="D715" s="2">
        <f t="shared" si="51"/>
        <v>709</v>
      </c>
      <c r="E715" s="6">
        <v>0.47914365026015249</v>
      </c>
      <c r="F715" s="24"/>
      <c r="G715" s="24"/>
      <c r="H715" s="24"/>
      <c r="I715" s="24"/>
      <c r="J715" s="3"/>
      <c r="K715" s="8"/>
      <c r="L715" s="8"/>
      <c r="M715" s="8"/>
      <c r="N715" s="22"/>
      <c r="O715" s="9"/>
      <c r="P715" s="20"/>
      <c r="Q715" s="20"/>
      <c r="R715" s="20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 spans="4:49" ht="15" thickBot="1" x14ac:dyDescent="0.35">
      <c r="D716" s="2">
        <f t="shared" si="51"/>
        <v>710</v>
      </c>
      <c r="E716" s="6">
        <v>1.1194532554997016</v>
      </c>
      <c r="F716" s="24"/>
      <c r="G716" s="24"/>
      <c r="H716" s="24"/>
      <c r="I716" s="24"/>
      <c r="J716" s="3"/>
      <c r="K716" s="8"/>
      <c r="L716" s="8"/>
      <c r="M716" s="8"/>
      <c r="N716" s="13"/>
      <c r="O716" s="9"/>
      <c r="P716" s="20"/>
      <c r="Q716" s="20"/>
      <c r="R716" s="20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 spans="4:49" ht="15" thickBot="1" x14ac:dyDescent="0.35">
      <c r="D717" s="2">
        <f t="shared" si="51"/>
        <v>711</v>
      </c>
      <c r="E717" s="6">
        <v>4.5332024615521593</v>
      </c>
      <c r="F717" s="24"/>
      <c r="G717" s="24"/>
      <c r="H717" s="24"/>
      <c r="I717" s="24"/>
      <c r="J717" s="3"/>
      <c r="K717" s="8"/>
      <c r="L717" s="8"/>
      <c r="M717" s="8"/>
      <c r="N717" s="13"/>
      <c r="O717" s="9"/>
      <c r="P717" s="20"/>
      <c r="Q717" s="20"/>
      <c r="R717" s="20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 spans="4:49" ht="15" thickBot="1" x14ac:dyDescent="0.35">
      <c r="D718" s="2">
        <f t="shared" si="51"/>
        <v>712</v>
      </c>
      <c r="E718" s="6">
        <v>9.2041040081545624</v>
      </c>
      <c r="F718" s="24"/>
      <c r="G718" s="24"/>
      <c r="H718" s="24"/>
      <c r="I718" s="24"/>
      <c r="J718" s="3"/>
      <c r="K718" s="8"/>
      <c r="L718" s="8"/>
      <c r="M718" s="8"/>
      <c r="N718" s="22"/>
      <c r="O718" s="9"/>
      <c r="P718" s="20"/>
      <c r="Q718" s="20"/>
      <c r="R718" s="20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 spans="4:49" ht="15" thickBot="1" x14ac:dyDescent="0.35">
      <c r="D719" s="2">
        <f t="shared" si="51"/>
        <v>713</v>
      </c>
      <c r="E719" s="6">
        <v>1.5095840646437289</v>
      </c>
      <c r="F719" s="24"/>
      <c r="G719" s="24"/>
      <c r="H719" s="24"/>
      <c r="I719" s="24"/>
      <c r="J719" s="3"/>
      <c r="K719" s="8"/>
      <c r="L719" s="8"/>
      <c r="M719" s="8"/>
      <c r="N719" s="13"/>
      <c r="O719" s="9"/>
      <c r="P719" s="20"/>
      <c r="Q719" s="20"/>
      <c r="R719" s="20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 spans="4:49" ht="15" thickBot="1" x14ac:dyDescent="0.35">
      <c r="D720" s="2">
        <f t="shared" si="51"/>
        <v>714</v>
      </c>
      <c r="E720" s="6">
        <v>1.740109537834361</v>
      </c>
      <c r="F720" s="24"/>
      <c r="G720" s="24"/>
      <c r="H720" s="24"/>
      <c r="I720" s="24"/>
      <c r="J720" s="3"/>
      <c r="K720" s="8"/>
      <c r="L720" s="8"/>
      <c r="M720" s="8"/>
      <c r="N720" s="22"/>
      <c r="O720" s="9"/>
      <c r="P720" s="20"/>
      <c r="Q720" s="20"/>
      <c r="R720" s="20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 spans="4:49" ht="15" thickBot="1" x14ac:dyDescent="0.35">
      <c r="D721" s="2">
        <f t="shared" si="51"/>
        <v>715</v>
      </c>
      <c r="E721" s="6">
        <v>0.96378946100901153</v>
      </c>
      <c r="F721" s="24"/>
      <c r="G721" s="24"/>
      <c r="H721" s="24"/>
      <c r="I721" s="24"/>
      <c r="J721" s="3"/>
      <c r="K721" s="8"/>
      <c r="L721" s="8"/>
      <c r="M721" s="8"/>
      <c r="N721" s="13"/>
      <c r="O721" s="9"/>
      <c r="P721" s="20"/>
      <c r="Q721" s="20"/>
      <c r="R721" s="20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 spans="4:49" ht="15" thickBot="1" x14ac:dyDescent="0.35">
      <c r="D722" s="2">
        <f t="shared" si="51"/>
        <v>716</v>
      </c>
      <c r="E722" s="6">
        <v>6.1977299563830455</v>
      </c>
      <c r="F722" s="24"/>
      <c r="G722" s="24"/>
      <c r="H722" s="24"/>
      <c r="I722" s="24"/>
      <c r="J722" s="3"/>
      <c r="K722" s="8"/>
      <c r="L722" s="8"/>
      <c r="M722" s="8"/>
      <c r="N722" s="13"/>
      <c r="O722" s="9"/>
      <c r="P722" s="20"/>
      <c r="Q722" s="20"/>
      <c r="R722" s="20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 spans="4:49" ht="15" thickBot="1" x14ac:dyDescent="0.35">
      <c r="D723" s="2">
        <f t="shared" si="51"/>
        <v>717</v>
      </c>
      <c r="E723" s="6">
        <v>0.6333622751060064</v>
      </c>
      <c r="F723" s="24"/>
      <c r="G723" s="24"/>
      <c r="H723" s="24"/>
      <c r="I723" s="24"/>
      <c r="J723" s="3"/>
      <c r="K723" s="8"/>
      <c r="L723" s="8"/>
      <c r="M723" s="8"/>
      <c r="N723" s="22"/>
      <c r="O723" s="9"/>
      <c r="P723" s="20"/>
      <c r="Q723" s="20"/>
      <c r="R723" s="20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 spans="4:49" ht="15" thickBot="1" x14ac:dyDescent="0.35">
      <c r="D724" s="2">
        <f t="shared" si="51"/>
        <v>718</v>
      </c>
      <c r="E724" s="6">
        <v>5.1794406877724262</v>
      </c>
      <c r="F724" s="24"/>
      <c r="G724" s="24"/>
      <c r="H724" s="24"/>
      <c r="I724" s="24"/>
      <c r="J724" s="3"/>
      <c r="K724" s="8"/>
      <c r="L724" s="8"/>
      <c r="M724" s="8"/>
      <c r="N724" s="13"/>
      <c r="O724" s="9"/>
      <c r="P724" s="20"/>
      <c r="Q724" s="20"/>
      <c r="R724" s="20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 spans="4:49" ht="15" thickBot="1" x14ac:dyDescent="0.35">
      <c r="D725" s="2">
        <f t="shared" si="51"/>
        <v>719</v>
      </c>
      <c r="E725" s="6">
        <v>5.8660357409168604</v>
      </c>
      <c r="F725" s="24"/>
      <c r="G725" s="24"/>
      <c r="H725" s="24"/>
      <c r="I725" s="24"/>
      <c r="J725" s="3"/>
      <c r="K725" s="8"/>
      <c r="L725" s="8"/>
      <c r="M725" s="8"/>
      <c r="N725" s="22"/>
      <c r="O725" s="9"/>
      <c r="P725" s="20"/>
      <c r="Q725" s="20"/>
      <c r="R725" s="20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 spans="4:49" ht="15" thickBot="1" x14ac:dyDescent="0.35">
      <c r="D726" s="2">
        <f t="shared" si="51"/>
        <v>720</v>
      </c>
      <c r="E726" s="6">
        <v>1.4116782584041525</v>
      </c>
      <c r="F726" s="24"/>
      <c r="G726" s="24"/>
      <c r="H726" s="24"/>
      <c r="I726" s="24"/>
      <c r="J726" s="3"/>
      <c r="K726" s="8"/>
      <c r="L726" s="8"/>
      <c r="M726" s="8"/>
      <c r="N726" s="13"/>
      <c r="O726" s="9"/>
      <c r="P726" s="20"/>
      <c r="Q726" s="20"/>
      <c r="R726" s="20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 spans="4:49" ht="15" thickBot="1" x14ac:dyDescent="0.35">
      <c r="D727" s="2">
        <f t="shared" si="51"/>
        <v>721</v>
      </c>
      <c r="E727" s="6">
        <v>0.15965666511751742</v>
      </c>
      <c r="F727" s="24"/>
      <c r="G727" s="24"/>
      <c r="H727" s="24"/>
      <c r="I727" s="24"/>
      <c r="J727" s="3"/>
      <c r="K727" s="8"/>
      <c r="L727" s="8"/>
      <c r="M727" s="8"/>
      <c r="N727" s="13"/>
      <c r="O727" s="9"/>
      <c r="P727" s="20"/>
      <c r="Q727" s="20"/>
      <c r="R727" s="20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 spans="4:49" ht="15" thickBot="1" x14ac:dyDescent="0.35">
      <c r="D728" s="2">
        <f t="shared" si="51"/>
        <v>722</v>
      </c>
      <c r="E728" s="6">
        <v>1.8418591451840487</v>
      </c>
      <c r="F728" s="24"/>
      <c r="G728" s="24"/>
      <c r="H728" s="24"/>
      <c r="I728" s="24"/>
      <c r="J728" s="3"/>
      <c r="K728" s="8"/>
      <c r="L728" s="8"/>
      <c r="M728" s="8"/>
      <c r="N728" s="22"/>
      <c r="O728" s="9"/>
      <c r="P728" s="20"/>
      <c r="Q728" s="20"/>
      <c r="R728" s="20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 spans="4:49" ht="15" thickBot="1" x14ac:dyDescent="0.35">
      <c r="D729" s="2">
        <f t="shared" si="51"/>
        <v>723</v>
      </c>
      <c r="E729" s="6">
        <v>7.8430106945689593</v>
      </c>
      <c r="F729" s="24"/>
      <c r="G729" s="24"/>
      <c r="H729" s="24"/>
      <c r="I729" s="24"/>
      <c r="J729" s="3"/>
      <c r="K729" s="8"/>
      <c r="L729" s="8"/>
      <c r="M729" s="8"/>
      <c r="N729" s="13"/>
      <c r="O729" s="9"/>
      <c r="P729" s="20"/>
      <c r="Q729" s="20"/>
      <c r="R729" s="20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 spans="4:49" ht="15" thickBot="1" x14ac:dyDescent="0.35">
      <c r="D730" s="2">
        <f t="shared" si="51"/>
        <v>724</v>
      </c>
      <c r="E730" s="6">
        <v>0.277657016283263</v>
      </c>
      <c r="F730" s="24"/>
      <c r="G730" s="24"/>
      <c r="H730" s="24"/>
      <c r="I730" s="24"/>
      <c r="J730" s="3"/>
      <c r="K730" s="8"/>
      <c r="L730" s="8"/>
      <c r="M730" s="8"/>
      <c r="N730" s="22"/>
      <c r="O730" s="9"/>
      <c r="P730" s="20"/>
      <c r="Q730" s="20"/>
      <c r="R730" s="20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 spans="4:49" ht="15" thickBot="1" x14ac:dyDescent="0.35">
      <c r="D731" s="2">
        <f t="shared" si="51"/>
        <v>725</v>
      </c>
      <c r="E731" s="6">
        <v>5.6841722872238822</v>
      </c>
      <c r="F731" s="24"/>
      <c r="G731" s="24"/>
      <c r="H731" s="24"/>
      <c r="I731" s="24"/>
      <c r="J731" s="3"/>
      <c r="K731" s="8"/>
      <c r="L731" s="8"/>
      <c r="M731" s="8"/>
      <c r="N731" s="13"/>
      <c r="O731" s="9"/>
      <c r="P731" s="20"/>
      <c r="Q731" s="20"/>
      <c r="R731" s="20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 spans="4:49" ht="15" thickBot="1" x14ac:dyDescent="0.35">
      <c r="D732" s="2">
        <f t="shared" si="51"/>
        <v>726</v>
      </c>
      <c r="E732" s="6">
        <v>2.9148308193246542</v>
      </c>
      <c r="F732" s="24"/>
      <c r="G732" s="24"/>
      <c r="H732" s="24"/>
      <c r="I732" s="24"/>
      <c r="J732" s="3"/>
      <c r="K732" s="8"/>
      <c r="L732" s="8"/>
      <c r="M732" s="8"/>
      <c r="N732" s="13"/>
      <c r="O732" s="9"/>
      <c r="P732" s="20"/>
      <c r="Q732" s="20"/>
      <c r="R732" s="20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 spans="4:49" ht="15" thickBot="1" x14ac:dyDescent="0.35">
      <c r="D733" s="2">
        <f t="shared" si="51"/>
        <v>727</v>
      </c>
      <c r="E733" s="6">
        <v>3.3528095965746711</v>
      </c>
      <c r="F733" s="24"/>
      <c r="G733" s="24"/>
      <c r="H733" s="24"/>
      <c r="I733" s="24"/>
      <c r="J733" s="3"/>
      <c r="K733" s="8"/>
      <c r="L733" s="8"/>
      <c r="M733" s="8"/>
      <c r="N733" s="22"/>
      <c r="O733" s="9"/>
      <c r="P733" s="20"/>
      <c r="Q733" s="20"/>
      <c r="R733" s="20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 spans="4:49" ht="15" thickBot="1" x14ac:dyDescent="0.35">
      <c r="D734" s="2">
        <f t="shared" si="51"/>
        <v>728</v>
      </c>
      <c r="E734" s="6">
        <v>7.4856213023542111</v>
      </c>
      <c r="F734" s="24"/>
      <c r="G734" s="24"/>
      <c r="H734" s="24"/>
      <c r="I734" s="24"/>
      <c r="J734" s="3"/>
      <c r="K734" s="8"/>
      <c r="L734" s="8"/>
      <c r="M734" s="8"/>
      <c r="N734" s="13"/>
      <c r="O734" s="9"/>
      <c r="P734" s="20"/>
      <c r="Q734" s="20"/>
      <c r="R734" s="20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 spans="4:49" ht="15" thickBot="1" x14ac:dyDescent="0.35">
      <c r="D735" s="2">
        <f t="shared" si="51"/>
        <v>729</v>
      </c>
      <c r="E735" s="6">
        <v>6.1130572309905702</v>
      </c>
      <c r="F735" s="24"/>
      <c r="G735" s="24"/>
      <c r="H735" s="24"/>
      <c r="I735" s="24"/>
      <c r="J735" s="3"/>
      <c r="K735" s="8"/>
      <c r="L735" s="8"/>
      <c r="M735" s="8"/>
      <c r="N735" s="22"/>
      <c r="O735" s="9"/>
      <c r="P735" s="20"/>
      <c r="Q735" s="20"/>
      <c r="R735" s="20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 spans="4:49" ht="15" thickBot="1" x14ac:dyDescent="0.35">
      <c r="D736" s="2">
        <f t="shared" si="51"/>
        <v>730</v>
      </c>
      <c r="E736" s="6">
        <v>2.3511273134140986</v>
      </c>
      <c r="F736" s="24"/>
      <c r="G736" s="24"/>
      <c r="H736" s="24"/>
      <c r="I736" s="24"/>
      <c r="J736" s="3"/>
      <c r="K736" s="8"/>
      <c r="L736" s="8"/>
      <c r="M736" s="8"/>
      <c r="N736" s="13"/>
      <c r="O736" s="9"/>
      <c r="P736" s="20"/>
      <c r="Q736" s="20"/>
      <c r="R736" s="20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 spans="4:49" ht="15" thickBot="1" x14ac:dyDescent="0.35">
      <c r="D737" s="2">
        <f t="shared" si="51"/>
        <v>731</v>
      </c>
      <c r="E737" s="6">
        <v>1.2604290262276616</v>
      </c>
      <c r="F737" s="24"/>
      <c r="G737" s="24"/>
      <c r="H737" s="24"/>
      <c r="I737" s="24"/>
      <c r="J737" s="3"/>
      <c r="K737" s="8"/>
      <c r="L737" s="8"/>
      <c r="M737" s="8"/>
      <c r="N737" s="13"/>
      <c r="O737" s="9"/>
      <c r="P737" s="20"/>
      <c r="Q737" s="20"/>
      <c r="R737" s="20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 spans="4:49" ht="15" thickBot="1" x14ac:dyDescent="0.35">
      <c r="D738" s="2">
        <f t="shared" si="51"/>
        <v>732</v>
      </c>
      <c r="E738" s="6">
        <v>0.90294680296332253</v>
      </c>
      <c r="F738" s="24"/>
      <c r="G738" s="24"/>
      <c r="H738" s="24"/>
      <c r="I738" s="24"/>
      <c r="J738" s="3"/>
      <c r="K738" s="8"/>
      <c r="L738" s="8"/>
      <c r="M738" s="8"/>
      <c r="N738" s="22"/>
      <c r="O738" s="9"/>
      <c r="P738" s="20"/>
      <c r="Q738" s="20"/>
      <c r="R738" s="20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 spans="4:49" ht="15" thickBot="1" x14ac:dyDescent="0.35">
      <c r="D739" s="2">
        <f t="shared" si="51"/>
        <v>733</v>
      </c>
      <c r="E739" s="6">
        <v>4.7793560066675127</v>
      </c>
      <c r="F739" s="24"/>
      <c r="G739" s="24"/>
      <c r="H739" s="24"/>
      <c r="I739" s="24"/>
      <c r="J739" s="3"/>
      <c r="K739" s="8"/>
      <c r="L739" s="8"/>
      <c r="M739" s="8"/>
      <c r="N739" s="13"/>
      <c r="O739" s="9"/>
      <c r="P739" s="20"/>
      <c r="Q739" s="20"/>
      <c r="R739" s="20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 spans="4:49" ht="15" thickBot="1" x14ac:dyDescent="0.35">
      <c r="D740" s="2">
        <f t="shared" si="51"/>
        <v>734</v>
      </c>
      <c r="E740" s="6">
        <v>2.2180395007199012</v>
      </c>
      <c r="F740" s="24"/>
      <c r="G740" s="24"/>
      <c r="H740" s="24"/>
      <c r="I740" s="24"/>
      <c r="J740" s="3"/>
      <c r="K740" s="8"/>
      <c r="L740" s="8"/>
      <c r="M740" s="8"/>
      <c r="N740" s="22"/>
      <c r="O740" s="9"/>
      <c r="P740" s="20"/>
      <c r="Q740" s="20"/>
      <c r="R740" s="20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 spans="4:49" ht="15" thickBot="1" x14ac:dyDescent="0.35">
      <c r="D741" s="2">
        <f t="shared" si="51"/>
        <v>735</v>
      </c>
      <c r="E741" s="6">
        <v>19.148964643588908</v>
      </c>
      <c r="F741" s="24"/>
      <c r="G741" s="24"/>
      <c r="H741" s="24"/>
      <c r="I741" s="24"/>
      <c r="J741" s="3"/>
      <c r="K741" s="8"/>
      <c r="L741" s="8"/>
      <c r="M741" s="8"/>
      <c r="N741" s="13"/>
      <c r="O741" s="9"/>
      <c r="P741" s="20"/>
      <c r="Q741" s="20"/>
      <c r="R741" s="20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 spans="4:49" ht="15" thickBot="1" x14ac:dyDescent="0.35">
      <c r="D742" s="2">
        <f t="shared" si="51"/>
        <v>736</v>
      </c>
      <c r="E742" s="6">
        <v>12.108153704526639</v>
      </c>
      <c r="F742" s="24"/>
      <c r="G742" s="24"/>
      <c r="H742" s="24"/>
      <c r="I742" s="24"/>
      <c r="J742" s="3"/>
      <c r="K742" s="8"/>
      <c r="L742" s="8"/>
      <c r="M742" s="8"/>
      <c r="N742" s="13"/>
      <c r="O742" s="9"/>
      <c r="P742" s="20"/>
      <c r="Q742" s="20"/>
      <c r="R742" s="20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 spans="4:49" ht="15" thickBot="1" x14ac:dyDescent="0.35">
      <c r="D743" s="2">
        <f t="shared" si="51"/>
        <v>737</v>
      </c>
      <c r="E743" s="6">
        <v>1.1641329338573172</v>
      </c>
      <c r="F743" s="24"/>
      <c r="G743" s="24"/>
      <c r="H743" s="24"/>
      <c r="I743" s="24"/>
      <c r="J743" s="3"/>
      <c r="K743" s="8"/>
      <c r="L743" s="8"/>
      <c r="M743" s="8"/>
      <c r="N743" s="22"/>
      <c r="O743" s="9"/>
      <c r="P743" s="20"/>
      <c r="Q743" s="20"/>
      <c r="R743" s="20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 spans="4:49" ht="15" thickBot="1" x14ac:dyDescent="0.35">
      <c r="D744" s="2">
        <f t="shared" si="51"/>
        <v>738</v>
      </c>
      <c r="E744" s="6">
        <v>2.4608124042845323</v>
      </c>
      <c r="F744" s="24"/>
      <c r="G744" s="24"/>
      <c r="H744" s="24"/>
      <c r="I744" s="24"/>
      <c r="J744" s="3"/>
      <c r="K744" s="8"/>
      <c r="L744" s="8"/>
      <c r="M744" s="8"/>
      <c r="N744" s="13"/>
      <c r="O744" s="9"/>
      <c r="P744" s="20"/>
      <c r="Q744" s="20"/>
      <c r="R744" s="20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 spans="4:49" ht="15" thickBot="1" x14ac:dyDescent="0.35">
      <c r="D745" s="2">
        <f t="shared" si="51"/>
        <v>739</v>
      </c>
      <c r="E745" s="6">
        <v>1.3375341704753598</v>
      </c>
      <c r="F745" s="24"/>
      <c r="G745" s="24"/>
      <c r="H745" s="24"/>
      <c r="I745" s="24"/>
      <c r="J745" s="3"/>
      <c r="K745" s="8"/>
      <c r="L745" s="8"/>
      <c r="M745" s="8"/>
      <c r="N745" s="22"/>
      <c r="O745" s="9"/>
      <c r="P745" s="20"/>
      <c r="Q745" s="20"/>
      <c r="R745" s="20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 spans="4:49" ht="15" thickBot="1" x14ac:dyDescent="0.35">
      <c r="D746" s="2">
        <f t="shared" si="51"/>
        <v>740</v>
      </c>
      <c r="E746" s="6">
        <v>2.5602006881651298</v>
      </c>
      <c r="F746" s="24"/>
      <c r="G746" s="24"/>
      <c r="H746" s="24"/>
      <c r="I746" s="24"/>
      <c r="J746" s="3"/>
      <c r="K746" s="8"/>
      <c r="L746" s="8"/>
      <c r="M746" s="8"/>
      <c r="N746" s="13"/>
      <c r="O746" s="9"/>
      <c r="P746" s="20"/>
      <c r="Q746" s="20"/>
      <c r="R746" s="20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 spans="4:49" ht="15" thickBot="1" x14ac:dyDescent="0.35">
      <c r="D747" s="2">
        <f t="shared" si="51"/>
        <v>741</v>
      </c>
      <c r="E747" s="6">
        <v>10.690987185624467</v>
      </c>
      <c r="F747" s="24"/>
      <c r="G747" s="24"/>
      <c r="H747" s="24"/>
      <c r="I747" s="24"/>
      <c r="J747" s="3"/>
      <c r="K747" s="8"/>
      <c r="L747" s="8"/>
      <c r="M747" s="8"/>
      <c r="N747" s="13"/>
      <c r="O747" s="9"/>
      <c r="P747" s="20"/>
      <c r="Q747" s="20"/>
      <c r="R747" s="20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 spans="4:49" ht="15" thickBot="1" x14ac:dyDescent="0.35">
      <c r="D748" s="2">
        <f t="shared" si="51"/>
        <v>742</v>
      </c>
      <c r="E748" s="6">
        <v>5.3422400471036644</v>
      </c>
      <c r="F748" s="24"/>
      <c r="G748" s="24"/>
      <c r="H748" s="24"/>
      <c r="I748" s="24"/>
      <c r="J748" s="3"/>
      <c r="K748" s="8"/>
      <c r="L748" s="8"/>
      <c r="M748" s="8"/>
      <c r="N748" s="22"/>
      <c r="O748" s="9"/>
      <c r="P748" s="20"/>
      <c r="Q748" s="20"/>
      <c r="R748" s="20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 spans="4:49" ht="15" thickBot="1" x14ac:dyDescent="0.35">
      <c r="D749" s="2">
        <f t="shared" si="51"/>
        <v>743</v>
      </c>
      <c r="E749" s="6">
        <v>4.7115099098739366</v>
      </c>
      <c r="F749" s="24"/>
      <c r="G749" s="24"/>
      <c r="H749" s="24"/>
      <c r="I749" s="24"/>
      <c r="J749" s="3"/>
      <c r="K749" s="8"/>
      <c r="L749" s="8"/>
      <c r="M749" s="8"/>
      <c r="N749" s="13"/>
      <c r="O749" s="9"/>
      <c r="P749" s="20"/>
      <c r="Q749" s="20"/>
      <c r="R749" s="20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 spans="4:49" ht="15" thickBot="1" x14ac:dyDescent="0.35">
      <c r="D750" s="2">
        <f t="shared" si="51"/>
        <v>744</v>
      </c>
      <c r="E750" s="6">
        <v>8.2429319023337264</v>
      </c>
      <c r="F750" s="24"/>
      <c r="G750" s="24"/>
      <c r="H750" s="24"/>
      <c r="I750" s="24"/>
      <c r="J750" s="3"/>
      <c r="K750" s="8"/>
      <c r="L750" s="8"/>
      <c r="M750" s="8"/>
      <c r="N750" s="22"/>
      <c r="O750" s="9"/>
      <c r="P750" s="20"/>
      <c r="Q750" s="20"/>
      <c r="R750" s="20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 spans="4:49" ht="15" thickBot="1" x14ac:dyDescent="0.35">
      <c r="D751" s="2">
        <f t="shared" si="51"/>
        <v>745</v>
      </c>
      <c r="E751" s="6">
        <v>1.5598390646799987</v>
      </c>
      <c r="F751" s="24"/>
      <c r="G751" s="24"/>
      <c r="H751" s="24"/>
      <c r="I751" s="24"/>
      <c r="J751" s="3"/>
      <c r="K751" s="8"/>
      <c r="L751" s="8"/>
      <c r="M751" s="8"/>
      <c r="N751" s="13"/>
      <c r="O751" s="9"/>
      <c r="P751" s="20"/>
      <c r="Q751" s="20"/>
      <c r="R751" s="20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 spans="4:49" ht="15" thickBot="1" x14ac:dyDescent="0.35">
      <c r="D752" s="2">
        <f t="shared" si="51"/>
        <v>746</v>
      </c>
      <c r="E752" s="6">
        <v>3.7580771481611976</v>
      </c>
      <c r="F752" s="24"/>
      <c r="G752" s="24"/>
      <c r="H752" s="24"/>
      <c r="I752" s="24"/>
      <c r="J752" s="3"/>
      <c r="K752" s="8"/>
      <c r="L752" s="8"/>
      <c r="M752" s="8"/>
      <c r="N752" s="13"/>
      <c r="O752" s="9"/>
      <c r="P752" s="20"/>
      <c r="Q752" s="20"/>
      <c r="R752" s="20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 spans="4:49" ht="15" thickBot="1" x14ac:dyDescent="0.35">
      <c r="D753" s="2">
        <f t="shared" si="51"/>
        <v>747</v>
      </c>
      <c r="E753" s="6">
        <v>7.9220415091048944</v>
      </c>
      <c r="F753" s="24"/>
      <c r="G753" s="24"/>
      <c r="H753" s="24"/>
      <c r="I753" s="24"/>
      <c r="J753" s="3"/>
      <c r="K753" s="8"/>
      <c r="L753" s="8"/>
      <c r="M753" s="8"/>
      <c r="N753" s="22"/>
      <c r="O753" s="9"/>
      <c r="P753" s="20"/>
      <c r="Q753" s="20"/>
      <c r="R753" s="20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 spans="4:49" ht="15" thickBot="1" x14ac:dyDescent="0.35">
      <c r="D754" s="2">
        <f t="shared" si="51"/>
        <v>748</v>
      </c>
      <c r="E754" s="6">
        <v>7.7487236854791073</v>
      </c>
      <c r="F754" s="24"/>
      <c r="G754" s="24"/>
      <c r="H754" s="24"/>
      <c r="I754" s="24"/>
      <c r="J754" s="3"/>
      <c r="K754" s="8"/>
      <c r="L754" s="8"/>
      <c r="M754" s="8"/>
      <c r="N754" s="13"/>
      <c r="O754" s="9"/>
      <c r="P754" s="20"/>
      <c r="Q754" s="20"/>
      <c r="R754" s="20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 spans="4:49" ht="15" thickBot="1" x14ac:dyDescent="0.35">
      <c r="D755" s="2">
        <f t="shared" si="51"/>
        <v>749</v>
      </c>
      <c r="E755" s="6">
        <v>0.15719906596198446</v>
      </c>
      <c r="F755" s="24"/>
      <c r="G755" s="24"/>
      <c r="H755" s="24"/>
      <c r="I755" s="24"/>
      <c r="J755" s="3"/>
      <c r="K755" s="8"/>
      <c r="L755" s="8"/>
      <c r="M755" s="8"/>
      <c r="N755" s="22"/>
      <c r="O755" s="9"/>
      <c r="P755" s="20"/>
      <c r="Q755" s="20"/>
      <c r="R755" s="20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 spans="4:49" ht="15" thickBot="1" x14ac:dyDescent="0.35">
      <c r="D756" s="2">
        <f t="shared" si="51"/>
        <v>750</v>
      </c>
      <c r="E756" s="6">
        <v>2.1158009684250318</v>
      </c>
      <c r="F756" s="24"/>
      <c r="G756" s="24"/>
      <c r="H756" s="24"/>
      <c r="I756" s="24"/>
      <c r="J756" s="3"/>
      <c r="K756" s="8"/>
      <c r="L756" s="8"/>
      <c r="M756" s="8"/>
      <c r="N756" s="13"/>
      <c r="O756" s="9"/>
      <c r="P756" s="20"/>
      <c r="Q756" s="20"/>
      <c r="R756" s="20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 spans="4:49" ht="15" thickBot="1" x14ac:dyDescent="0.35">
      <c r="D757" s="2">
        <f t="shared" si="51"/>
        <v>751</v>
      </c>
      <c r="E757" s="6">
        <v>5.9210649539897853E-2</v>
      </c>
      <c r="F757" s="24"/>
      <c r="G757" s="24"/>
      <c r="H757" s="24"/>
      <c r="I757" s="24"/>
      <c r="J757" s="3"/>
      <c r="K757" s="8"/>
      <c r="L757" s="8"/>
      <c r="M757" s="8"/>
      <c r="N757" s="13"/>
      <c r="O757" s="9"/>
      <c r="P757" s="20"/>
      <c r="Q757" s="20"/>
      <c r="R757" s="20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 spans="4:49" ht="15" thickBot="1" x14ac:dyDescent="0.35">
      <c r="D758" s="2">
        <f t="shared" si="51"/>
        <v>752</v>
      </c>
      <c r="E758" s="6">
        <v>3.8862972391684885</v>
      </c>
      <c r="F758" s="24"/>
      <c r="G758" s="24"/>
      <c r="H758" s="24"/>
      <c r="I758" s="24"/>
      <c r="J758" s="3"/>
      <c r="K758" s="8"/>
      <c r="L758" s="8"/>
      <c r="M758" s="8"/>
      <c r="N758" s="22"/>
      <c r="O758" s="9"/>
      <c r="P758" s="20"/>
      <c r="Q758" s="20"/>
      <c r="R758" s="20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 spans="4:49" ht="15" thickBot="1" x14ac:dyDescent="0.35">
      <c r="D759" s="2">
        <f t="shared" si="51"/>
        <v>753</v>
      </c>
      <c r="E759" s="6">
        <v>1.4466569483237492</v>
      </c>
      <c r="F759" s="24"/>
      <c r="G759" s="24"/>
      <c r="H759" s="24"/>
      <c r="I759" s="24"/>
      <c r="J759" s="3"/>
      <c r="K759" s="8"/>
      <c r="L759" s="8"/>
      <c r="M759" s="8"/>
      <c r="N759" s="13"/>
      <c r="O759" s="9"/>
      <c r="P759" s="20"/>
      <c r="Q759" s="20"/>
      <c r="R759" s="20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 spans="4:49" ht="15" thickBot="1" x14ac:dyDescent="0.35">
      <c r="D760" s="2">
        <f t="shared" si="51"/>
        <v>754</v>
      </c>
      <c r="E760" s="6">
        <v>0.42198901603616129</v>
      </c>
      <c r="F760" s="24"/>
      <c r="G760" s="24"/>
      <c r="H760" s="24"/>
      <c r="I760" s="24"/>
      <c r="J760" s="3"/>
      <c r="K760" s="8"/>
      <c r="L760" s="8"/>
      <c r="M760" s="8"/>
      <c r="N760" s="22"/>
      <c r="O760" s="9"/>
      <c r="P760" s="20"/>
      <c r="Q760" s="20"/>
      <c r="R760" s="20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 spans="4:49" ht="15" thickBot="1" x14ac:dyDescent="0.35">
      <c r="D761" s="2">
        <f t="shared" si="51"/>
        <v>755</v>
      </c>
      <c r="E761" s="6">
        <v>4.1205301009668467E-2</v>
      </c>
      <c r="F761" s="24"/>
      <c r="G761" s="24"/>
      <c r="H761" s="24"/>
      <c r="I761" s="24"/>
      <c r="J761" s="3"/>
      <c r="K761" s="8"/>
      <c r="L761" s="8"/>
      <c r="M761" s="8"/>
      <c r="N761" s="13"/>
      <c r="O761" s="9"/>
      <c r="P761" s="20"/>
      <c r="Q761" s="20"/>
      <c r="R761" s="20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 spans="4:49" ht="15" thickBot="1" x14ac:dyDescent="0.35">
      <c r="D762" s="2">
        <f t="shared" si="51"/>
        <v>756</v>
      </c>
      <c r="E762" s="6">
        <v>0.86820838791362887</v>
      </c>
      <c r="F762" s="24"/>
      <c r="G762" s="24"/>
      <c r="H762" s="24"/>
      <c r="I762" s="24"/>
      <c r="J762" s="3"/>
      <c r="K762" s="8"/>
      <c r="L762" s="8"/>
      <c r="M762" s="8"/>
      <c r="N762" s="13"/>
      <c r="O762" s="9"/>
      <c r="P762" s="20"/>
      <c r="Q762" s="20"/>
      <c r="R762" s="20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 spans="4:49" ht="15" thickBot="1" x14ac:dyDescent="0.35">
      <c r="D763" s="2">
        <f t="shared" si="51"/>
        <v>757</v>
      </c>
      <c r="E763" s="6">
        <v>18.50477272438884</v>
      </c>
      <c r="F763" s="24"/>
      <c r="G763" s="24"/>
      <c r="H763" s="24"/>
      <c r="I763" s="24"/>
      <c r="J763" s="3"/>
      <c r="K763" s="8"/>
      <c r="L763" s="8"/>
      <c r="M763" s="8"/>
      <c r="N763" s="22"/>
      <c r="O763" s="9"/>
      <c r="P763" s="20"/>
      <c r="Q763" s="20"/>
      <c r="R763" s="20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 spans="4:49" ht="15" thickBot="1" x14ac:dyDescent="0.35">
      <c r="D764" s="2">
        <f t="shared" si="51"/>
        <v>758</v>
      </c>
      <c r="E764" s="6">
        <v>0.65115170628911434</v>
      </c>
      <c r="F764" s="24"/>
      <c r="G764" s="24"/>
      <c r="H764" s="24"/>
      <c r="I764" s="24"/>
      <c r="J764" s="3"/>
      <c r="K764" s="8"/>
      <c r="L764" s="8"/>
      <c r="M764" s="8"/>
      <c r="N764" s="13"/>
      <c r="O764" s="9"/>
      <c r="P764" s="20"/>
      <c r="Q764" s="20"/>
      <c r="R764" s="20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 spans="4:49" ht="15" thickBot="1" x14ac:dyDescent="0.35">
      <c r="D765" s="2">
        <f t="shared" si="51"/>
        <v>759</v>
      </c>
      <c r="E765" s="6">
        <v>0.51700366387820262</v>
      </c>
      <c r="F765" s="24"/>
      <c r="G765" s="24"/>
      <c r="H765" s="24"/>
      <c r="I765" s="24"/>
      <c r="J765" s="3"/>
      <c r="K765" s="8"/>
      <c r="L765" s="8"/>
      <c r="M765" s="8"/>
      <c r="N765" s="22"/>
      <c r="O765" s="9"/>
      <c r="P765" s="20"/>
      <c r="Q765" s="20"/>
      <c r="R765" s="20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 spans="4:49" ht="15" thickBot="1" x14ac:dyDescent="0.35">
      <c r="D766" s="2">
        <f t="shared" si="51"/>
        <v>760</v>
      </c>
      <c r="E766" s="6">
        <v>3.0293207623928207</v>
      </c>
      <c r="F766" s="24"/>
      <c r="G766" s="24"/>
      <c r="H766" s="24"/>
      <c r="I766" s="24"/>
      <c r="J766" s="3"/>
      <c r="K766" s="8"/>
      <c r="L766" s="8"/>
      <c r="M766" s="8"/>
      <c r="N766" s="13"/>
      <c r="O766" s="9"/>
      <c r="P766" s="20"/>
      <c r="Q766" s="20"/>
      <c r="R766" s="20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 spans="4:49" ht="15" thickBot="1" x14ac:dyDescent="0.35">
      <c r="D767" s="2">
        <f t="shared" si="51"/>
        <v>761</v>
      </c>
      <c r="E767" s="6">
        <v>0.33395079819922807</v>
      </c>
      <c r="F767" s="24"/>
      <c r="G767" s="24"/>
      <c r="H767" s="24"/>
      <c r="I767" s="24"/>
      <c r="J767" s="3"/>
      <c r="K767" s="8"/>
      <c r="L767" s="8"/>
      <c r="M767" s="8"/>
      <c r="N767" s="13"/>
      <c r="O767" s="9"/>
      <c r="P767" s="20"/>
      <c r="Q767" s="20"/>
      <c r="R767" s="20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 spans="4:49" ht="15" thickBot="1" x14ac:dyDescent="0.35">
      <c r="D768" s="2">
        <f t="shared" si="51"/>
        <v>762</v>
      </c>
      <c r="E768" s="6">
        <v>6.048068685335334</v>
      </c>
      <c r="F768" s="24"/>
      <c r="G768" s="24"/>
      <c r="H768" s="24"/>
      <c r="I768" s="24"/>
      <c r="J768" s="3"/>
      <c r="K768" s="8"/>
      <c r="L768" s="8"/>
      <c r="M768" s="8"/>
      <c r="N768" s="22"/>
      <c r="O768" s="9"/>
      <c r="P768" s="20"/>
      <c r="Q768" s="20"/>
      <c r="R768" s="20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 spans="4:49" ht="15" thickBot="1" x14ac:dyDescent="0.35">
      <c r="D769" s="2">
        <f t="shared" si="51"/>
        <v>763</v>
      </c>
      <c r="E769" s="6">
        <v>2.2138804080809549</v>
      </c>
      <c r="F769" s="24"/>
      <c r="G769" s="24"/>
      <c r="H769" s="24"/>
      <c r="I769" s="24"/>
      <c r="J769" s="3"/>
      <c r="K769" s="8"/>
      <c r="L769" s="8"/>
      <c r="M769" s="8"/>
      <c r="N769" s="13"/>
      <c r="O769" s="9"/>
      <c r="P769" s="20"/>
      <c r="Q769" s="20"/>
      <c r="R769" s="20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 spans="4:49" ht="15" thickBot="1" x14ac:dyDescent="0.35">
      <c r="D770" s="2">
        <f t="shared" si="51"/>
        <v>764</v>
      </c>
      <c r="E770" s="6">
        <v>2.7129130418893608</v>
      </c>
      <c r="F770" s="24"/>
      <c r="G770" s="24"/>
      <c r="H770" s="24"/>
      <c r="I770" s="24"/>
      <c r="J770" s="3"/>
      <c r="K770" s="8"/>
      <c r="L770" s="8"/>
      <c r="M770" s="8"/>
      <c r="N770" s="22"/>
      <c r="O770" s="9"/>
      <c r="P770" s="20"/>
      <c r="Q770" s="20"/>
      <c r="R770" s="20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 spans="4:49" ht="15" thickBot="1" x14ac:dyDescent="0.35">
      <c r="D771" s="2">
        <f t="shared" si="51"/>
        <v>765</v>
      </c>
      <c r="E771" s="6">
        <v>14.947144046373735</v>
      </c>
      <c r="F771" s="24"/>
      <c r="G771" s="24"/>
      <c r="H771" s="24"/>
      <c r="I771" s="24"/>
      <c r="J771" s="3"/>
      <c r="K771" s="8"/>
      <c r="L771" s="8"/>
      <c r="M771" s="8"/>
      <c r="N771" s="13"/>
      <c r="O771" s="9"/>
      <c r="P771" s="20"/>
      <c r="Q771" s="20"/>
      <c r="R771" s="20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 spans="4:49" ht="15" thickBot="1" x14ac:dyDescent="0.35">
      <c r="D772" s="2">
        <f t="shared" si="51"/>
        <v>766</v>
      </c>
      <c r="E772" s="6">
        <v>5.3295040576818151E-2</v>
      </c>
      <c r="F772" s="24"/>
      <c r="G772" s="24"/>
      <c r="H772" s="24"/>
      <c r="I772" s="24"/>
      <c r="J772" s="3"/>
      <c r="K772" s="8"/>
      <c r="L772" s="8"/>
      <c r="M772" s="8"/>
      <c r="N772" s="13"/>
      <c r="O772" s="9"/>
      <c r="P772" s="20"/>
      <c r="Q772" s="20"/>
      <c r="R772" s="20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 spans="4:49" ht="15" thickBot="1" x14ac:dyDescent="0.35">
      <c r="D773" s="2">
        <f t="shared" si="51"/>
        <v>767</v>
      </c>
      <c r="E773" s="6">
        <v>1.518147818045182</v>
      </c>
      <c r="F773" s="24"/>
      <c r="G773" s="24"/>
      <c r="H773" s="24"/>
      <c r="I773" s="24"/>
      <c r="J773" s="3"/>
      <c r="K773" s="8"/>
      <c r="L773" s="8"/>
      <c r="M773" s="8"/>
      <c r="N773" s="22"/>
      <c r="O773" s="9"/>
      <c r="P773" s="20"/>
      <c r="Q773" s="20"/>
      <c r="R773" s="20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 spans="4:49" ht="15" thickBot="1" x14ac:dyDescent="0.35">
      <c r="D774" s="2">
        <f t="shared" si="51"/>
        <v>768</v>
      </c>
      <c r="E774" s="6">
        <v>3.3967454605247464E-2</v>
      </c>
      <c r="F774" s="24"/>
      <c r="G774" s="24"/>
      <c r="H774" s="24"/>
      <c r="I774" s="24"/>
      <c r="J774" s="3"/>
      <c r="K774" s="8"/>
      <c r="L774" s="8"/>
      <c r="M774" s="8"/>
      <c r="N774" s="13"/>
      <c r="O774" s="9"/>
      <c r="P774" s="20"/>
      <c r="Q774" s="20"/>
      <c r="R774" s="20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 spans="4:49" ht="15" thickBot="1" x14ac:dyDescent="0.35">
      <c r="D775" s="2">
        <f t="shared" ref="D775:D838" si="52">ROW()-6</f>
        <v>769</v>
      </c>
      <c r="E775" s="6">
        <v>0.65800189550325139</v>
      </c>
      <c r="F775" s="24"/>
      <c r="G775" s="24"/>
      <c r="H775" s="24"/>
      <c r="I775" s="24"/>
      <c r="J775" s="3"/>
      <c r="K775" s="8"/>
      <c r="L775" s="8"/>
      <c r="M775" s="8"/>
      <c r="N775" s="22"/>
      <c r="O775" s="9"/>
      <c r="P775" s="20"/>
      <c r="Q775" s="20"/>
      <c r="R775" s="20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 spans="4:49" ht="15" thickBot="1" x14ac:dyDescent="0.35">
      <c r="D776" s="2">
        <f t="shared" si="52"/>
        <v>770</v>
      </c>
      <c r="E776" s="6">
        <v>1.0967089718506744</v>
      </c>
      <c r="F776" s="24"/>
      <c r="G776" s="24"/>
      <c r="H776" s="24"/>
      <c r="I776" s="24"/>
      <c r="J776" s="3"/>
      <c r="K776" s="8"/>
      <c r="L776" s="8"/>
      <c r="M776" s="8"/>
      <c r="N776" s="13"/>
      <c r="O776" s="9"/>
      <c r="P776" s="20"/>
      <c r="Q776" s="20"/>
      <c r="R776" s="20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 spans="4:49" ht="15" thickBot="1" x14ac:dyDescent="0.35">
      <c r="D777" s="2">
        <f t="shared" si="52"/>
        <v>771</v>
      </c>
      <c r="E777" s="6">
        <v>5.4943634028704906</v>
      </c>
      <c r="F777" s="24"/>
      <c r="G777" s="24"/>
      <c r="H777" s="24"/>
      <c r="I777" s="24"/>
      <c r="J777" s="3"/>
      <c r="K777" s="8"/>
      <c r="L777" s="8"/>
      <c r="M777" s="8"/>
      <c r="N777" s="13"/>
      <c r="O777" s="9"/>
      <c r="P777" s="20"/>
      <c r="Q777" s="20"/>
      <c r="R777" s="20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 spans="4:49" ht="15" thickBot="1" x14ac:dyDescent="0.35">
      <c r="D778" s="2">
        <f t="shared" si="52"/>
        <v>772</v>
      </c>
      <c r="E778" s="6">
        <v>2.5043047827482492</v>
      </c>
      <c r="F778" s="24"/>
      <c r="G778" s="24"/>
      <c r="H778" s="24"/>
      <c r="I778" s="24"/>
      <c r="J778" s="3"/>
      <c r="K778" s="8"/>
      <c r="L778" s="8"/>
      <c r="M778" s="8"/>
      <c r="N778" s="22"/>
      <c r="O778" s="9"/>
      <c r="P778" s="20"/>
      <c r="Q778" s="20"/>
      <c r="R778" s="20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 spans="4:49" ht="15" thickBot="1" x14ac:dyDescent="0.35">
      <c r="D779" s="2">
        <f t="shared" si="52"/>
        <v>773</v>
      </c>
      <c r="E779" s="6">
        <v>2.6244745578316322</v>
      </c>
      <c r="F779" s="24"/>
      <c r="G779" s="24"/>
      <c r="H779" s="24"/>
      <c r="I779" s="24"/>
      <c r="J779" s="3"/>
      <c r="K779" s="8"/>
      <c r="L779" s="8"/>
      <c r="M779" s="8"/>
      <c r="N779" s="13"/>
      <c r="O779" s="9"/>
      <c r="P779" s="20"/>
      <c r="Q779" s="20"/>
      <c r="R779" s="20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 spans="4:49" ht="15" thickBot="1" x14ac:dyDescent="0.35">
      <c r="D780" s="2">
        <f t="shared" si="52"/>
        <v>774</v>
      </c>
      <c r="E780" s="6">
        <v>2.0600169431361341</v>
      </c>
      <c r="F780" s="24"/>
      <c r="G780" s="24"/>
      <c r="H780" s="24"/>
      <c r="I780" s="24"/>
      <c r="J780" s="3"/>
      <c r="K780" s="8"/>
      <c r="L780" s="8"/>
      <c r="M780" s="8"/>
      <c r="N780" s="22"/>
      <c r="O780" s="9"/>
      <c r="P780" s="20"/>
      <c r="Q780" s="20"/>
      <c r="R780" s="20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 spans="4:49" ht="15" thickBot="1" x14ac:dyDescent="0.35">
      <c r="D781" s="2">
        <f t="shared" si="52"/>
        <v>775</v>
      </c>
      <c r="E781" s="6">
        <v>6.173818877039654</v>
      </c>
      <c r="F781" s="24"/>
      <c r="G781" s="24"/>
      <c r="H781" s="24"/>
      <c r="I781" s="24"/>
      <c r="J781" s="3"/>
      <c r="K781" s="8"/>
      <c r="L781" s="8"/>
      <c r="M781" s="8"/>
      <c r="N781" s="13"/>
      <c r="O781" s="9"/>
      <c r="P781" s="20"/>
      <c r="Q781" s="20"/>
      <c r="R781" s="20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 spans="4:49" ht="15" thickBot="1" x14ac:dyDescent="0.35">
      <c r="D782" s="2">
        <f t="shared" si="52"/>
        <v>776</v>
      </c>
      <c r="E782" s="6">
        <v>1.3991465287109628</v>
      </c>
      <c r="F782" s="24"/>
      <c r="G782" s="24"/>
      <c r="H782" s="24"/>
      <c r="I782" s="24"/>
      <c r="J782" s="3"/>
      <c r="K782" s="8"/>
      <c r="L782" s="8"/>
      <c r="M782" s="8"/>
      <c r="N782" s="13"/>
      <c r="O782" s="9"/>
      <c r="P782" s="20"/>
      <c r="Q782" s="20"/>
      <c r="R782" s="20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 spans="4:49" ht="15" thickBot="1" x14ac:dyDescent="0.35">
      <c r="D783" s="2">
        <f t="shared" si="52"/>
        <v>777</v>
      </c>
      <c r="E783" s="6">
        <v>1.1067787349606992</v>
      </c>
      <c r="F783" s="24"/>
      <c r="G783" s="24"/>
      <c r="H783" s="24"/>
      <c r="I783" s="24"/>
      <c r="J783" s="3"/>
      <c r="K783" s="8"/>
      <c r="L783" s="8"/>
      <c r="M783" s="8"/>
      <c r="N783" s="22"/>
      <c r="O783" s="9"/>
      <c r="P783" s="20"/>
      <c r="Q783" s="20"/>
      <c r="R783" s="20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 spans="4:49" ht="15" thickBot="1" x14ac:dyDescent="0.35">
      <c r="D784" s="2">
        <f t="shared" si="52"/>
        <v>778</v>
      </c>
      <c r="E784" s="6">
        <v>0.41885266797648701</v>
      </c>
      <c r="F784" s="24"/>
      <c r="G784" s="24"/>
      <c r="H784" s="24"/>
      <c r="I784" s="24"/>
      <c r="J784" s="3"/>
      <c r="K784" s="8"/>
      <c r="L784" s="8"/>
      <c r="M784" s="8"/>
      <c r="N784" s="13"/>
      <c r="O784" s="9"/>
      <c r="P784" s="20"/>
      <c r="Q784" s="20"/>
      <c r="R784" s="20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 spans="4:49" ht="15" thickBot="1" x14ac:dyDescent="0.35">
      <c r="D785" s="2">
        <f t="shared" si="52"/>
        <v>779</v>
      </c>
      <c r="E785" s="6">
        <v>0.10510325817811952</v>
      </c>
      <c r="F785" s="24"/>
      <c r="G785" s="24"/>
      <c r="H785" s="24"/>
      <c r="I785" s="24"/>
      <c r="J785" s="3"/>
      <c r="K785" s="8"/>
      <c r="L785" s="8"/>
      <c r="M785" s="8"/>
      <c r="N785" s="22"/>
      <c r="O785" s="9"/>
      <c r="P785" s="20"/>
      <c r="Q785" s="20"/>
      <c r="R785" s="20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 spans="4:49" ht="15" thickBot="1" x14ac:dyDescent="0.35">
      <c r="D786" s="2">
        <f t="shared" si="52"/>
        <v>780</v>
      </c>
      <c r="E786" s="6">
        <v>7.1094090683455642</v>
      </c>
      <c r="F786" s="24"/>
      <c r="G786" s="24"/>
      <c r="H786" s="24"/>
      <c r="I786" s="24"/>
      <c r="J786" s="3"/>
      <c r="K786" s="8"/>
      <c r="L786" s="8"/>
      <c r="M786" s="8"/>
      <c r="N786" s="13"/>
      <c r="O786" s="9"/>
      <c r="P786" s="20"/>
      <c r="Q786" s="20"/>
      <c r="R786" s="20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 spans="4:49" ht="15" thickBot="1" x14ac:dyDescent="0.35">
      <c r="D787" s="2">
        <f t="shared" si="52"/>
        <v>781</v>
      </c>
      <c r="E787" s="6">
        <v>1.9082270506838372</v>
      </c>
      <c r="F787" s="24"/>
      <c r="G787" s="24"/>
      <c r="H787" s="24"/>
      <c r="I787" s="24"/>
      <c r="J787" s="3"/>
      <c r="K787" s="8"/>
      <c r="L787" s="8"/>
      <c r="M787" s="8"/>
      <c r="N787" s="13"/>
      <c r="O787" s="9"/>
      <c r="P787" s="20"/>
      <c r="Q787" s="20"/>
      <c r="R787" s="20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 spans="4:49" ht="15" thickBot="1" x14ac:dyDescent="0.35">
      <c r="D788" s="2">
        <f t="shared" si="52"/>
        <v>782</v>
      </c>
      <c r="E788" s="6">
        <v>1.4126126703609363</v>
      </c>
      <c r="F788" s="24"/>
      <c r="G788" s="24"/>
      <c r="H788" s="24"/>
      <c r="I788" s="24"/>
      <c r="J788" s="3"/>
      <c r="K788" s="8"/>
      <c r="L788" s="8"/>
      <c r="M788" s="8"/>
      <c r="N788" s="22"/>
      <c r="O788" s="9"/>
      <c r="P788" s="20"/>
      <c r="Q788" s="20"/>
      <c r="R788" s="20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 spans="4:49" ht="15" thickBot="1" x14ac:dyDescent="0.35">
      <c r="D789" s="2">
        <f t="shared" si="52"/>
        <v>783</v>
      </c>
      <c r="E789" s="6">
        <v>4.1400859416884943</v>
      </c>
      <c r="F789" s="24"/>
      <c r="G789" s="24"/>
      <c r="H789" s="24"/>
      <c r="I789" s="24"/>
      <c r="J789" s="3"/>
      <c r="K789" s="8"/>
      <c r="L789" s="8"/>
      <c r="M789" s="8"/>
      <c r="N789" s="13"/>
      <c r="O789" s="9"/>
      <c r="P789" s="20"/>
      <c r="Q789" s="20"/>
      <c r="R789" s="20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 spans="4:49" ht="15" thickBot="1" x14ac:dyDescent="0.35">
      <c r="D790" s="2">
        <f t="shared" si="52"/>
        <v>784</v>
      </c>
      <c r="E790" s="6">
        <v>8.0015743076622261</v>
      </c>
      <c r="F790" s="24"/>
      <c r="G790" s="24"/>
      <c r="H790" s="24"/>
      <c r="I790" s="24"/>
      <c r="J790" s="3"/>
      <c r="K790" s="8"/>
      <c r="L790" s="8"/>
      <c r="M790" s="8"/>
      <c r="N790" s="22"/>
      <c r="O790" s="9"/>
      <c r="P790" s="20"/>
      <c r="Q790" s="20"/>
      <c r="R790" s="20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 spans="4:49" ht="15" thickBot="1" x14ac:dyDescent="0.35">
      <c r="D791" s="2">
        <f t="shared" si="52"/>
        <v>785</v>
      </c>
      <c r="E791" s="6">
        <v>0.4378112313385612</v>
      </c>
      <c r="F791" s="24"/>
      <c r="G791" s="24"/>
      <c r="H791" s="24"/>
      <c r="I791" s="24"/>
      <c r="J791" s="3"/>
      <c r="K791" s="8"/>
      <c r="L791" s="8"/>
      <c r="M791" s="8"/>
      <c r="N791" s="13"/>
      <c r="O791" s="9"/>
      <c r="P791" s="20"/>
      <c r="Q791" s="20"/>
      <c r="R791" s="20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 spans="4:49" ht="15" thickBot="1" x14ac:dyDescent="0.35">
      <c r="D792" s="2">
        <f t="shared" si="52"/>
        <v>786</v>
      </c>
      <c r="E792" s="6">
        <v>0.64307191661258967</v>
      </c>
      <c r="F792" s="24"/>
      <c r="G792" s="24"/>
      <c r="H792" s="24"/>
      <c r="I792" s="24"/>
      <c r="J792" s="3"/>
      <c r="K792" s="8"/>
      <c r="L792" s="8"/>
      <c r="M792" s="8"/>
      <c r="N792" s="13"/>
      <c r="O792" s="9"/>
      <c r="P792" s="20"/>
      <c r="Q792" s="20"/>
      <c r="R792" s="20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 spans="4:49" ht="15" thickBot="1" x14ac:dyDescent="0.35">
      <c r="D793" s="2">
        <f t="shared" si="52"/>
        <v>787</v>
      </c>
      <c r="E793" s="6">
        <v>5.5892028452175481E-2</v>
      </c>
      <c r="F793" s="24"/>
      <c r="G793" s="24"/>
      <c r="H793" s="24"/>
      <c r="I793" s="24"/>
      <c r="J793" s="3"/>
      <c r="K793" s="8"/>
      <c r="L793" s="8"/>
      <c r="M793" s="8"/>
      <c r="N793" s="22"/>
      <c r="O793" s="9"/>
      <c r="P793" s="20"/>
      <c r="Q793" s="20"/>
      <c r="R793" s="20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 spans="4:49" ht="15" thickBot="1" x14ac:dyDescent="0.35">
      <c r="D794" s="2">
        <f t="shared" si="52"/>
        <v>788</v>
      </c>
      <c r="E794" s="6">
        <v>0.92931586304207459</v>
      </c>
      <c r="F794" s="24"/>
      <c r="G794" s="24"/>
      <c r="H794" s="24"/>
      <c r="I794" s="24"/>
      <c r="J794" s="3"/>
      <c r="K794" s="8"/>
      <c r="L794" s="8"/>
      <c r="M794" s="8"/>
      <c r="N794" s="13"/>
      <c r="O794" s="9"/>
      <c r="P794" s="20"/>
      <c r="Q794" s="20"/>
      <c r="R794" s="20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 spans="4:49" ht="15" thickBot="1" x14ac:dyDescent="0.35">
      <c r="D795" s="2">
        <f t="shared" si="52"/>
        <v>789</v>
      </c>
      <c r="E795" s="6">
        <v>3.0297310814370921</v>
      </c>
      <c r="F795" s="24"/>
      <c r="G795" s="24"/>
      <c r="H795" s="24"/>
      <c r="I795" s="24"/>
      <c r="J795" s="3"/>
      <c r="K795" s="8"/>
      <c r="L795" s="8"/>
      <c r="M795" s="8"/>
      <c r="N795" s="22"/>
      <c r="O795" s="9"/>
      <c r="P795" s="20"/>
      <c r="Q795" s="20"/>
      <c r="R795" s="20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 spans="4:49" ht="15" thickBot="1" x14ac:dyDescent="0.35">
      <c r="D796" s="2">
        <f t="shared" si="52"/>
        <v>790</v>
      </c>
      <c r="E796" s="6">
        <v>6.9481635994262296</v>
      </c>
      <c r="F796" s="24"/>
      <c r="G796" s="24"/>
      <c r="H796" s="24"/>
      <c r="I796" s="24"/>
      <c r="J796" s="3"/>
      <c r="K796" s="8"/>
      <c r="L796" s="8"/>
      <c r="M796" s="8"/>
      <c r="N796" s="13"/>
      <c r="O796" s="9"/>
      <c r="P796" s="20"/>
      <c r="Q796" s="20"/>
      <c r="R796" s="20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 spans="4:49" ht="15" thickBot="1" x14ac:dyDescent="0.35">
      <c r="D797" s="2">
        <f t="shared" si="52"/>
        <v>791</v>
      </c>
      <c r="E797" s="6">
        <v>7.6643482970010908</v>
      </c>
      <c r="F797" s="24"/>
      <c r="G797" s="24"/>
      <c r="H797" s="24"/>
      <c r="I797" s="24"/>
      <c r="J797" s="3"/>
      <c r="K797" s="8"/>
      <c r="L797" s="8"/>
      <c r="M797" s="8"/>
      <c r="N797" s="13"/>
      <c r="O797" s="9"/>
      <c r="P797" s="20"/>
      <c r="Q797" s="20"/>
      <c r="R797" s="20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 spans="4:49" ht="15" thickBot="1" x14ac:dyDescent="0.35">
      <c r="D798" s="2">
        <f t="shared" si="52"/>
        <v>792</v>
      </c>
      <c r="E798" s="6">
        <v>5.4127896593767675</v>
      </c>
      <c r="F798" s="24"/>
      <c r="G798" s="24"/>
      <c r="H798" s="24"/>
      <c r="I798" s="24"/>
      <c r="J798" s="3"/>
      <c r="K798" s="8"/>
      <c r="L798" s="8"/>
      <c r="M798" s="8"/>
      <c r="N798" s="22"/>
      <c r="O798" s="9"/>
      <c r="P798" s="20"/>
      <c r="Q798" s="20"/>
      <c r="R798" s="20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 spans="4:49" ht="15" thickBot="1" x14ac:dyDescent="0.35">
      <c r="D799" s="2">
        <f t="shared" si="52"/>
        <v>793</v>
      </c>
      <c r="E799" s="6">
        <v>2.4798678543947976</v>
      </c>
      <c r="F799" s="24"/>
      <c r="G799" s="24"/>
      <c r="H799" s="24"/>
      <c r="I799" s="24"/>
      <c r="J799" s="3"/>
      <c r="K799" s="8"/>
      <c r="L799" s="8"/>
      <c r="M799" s="8"/>
      <c r="N799" s="13"/>
      <c r="O799" s="9"/>
      <c r="P799" s="20"/>
      <c r="Q799" s="20"/>
      <c r="R799" s="20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 spans="4:49" ht="15" thickBot="1" x14ac:dyDescent="0.35">
      <c r="D800" s="2">
        <f t="shared" si="52"/>
        <v>794</v>
      </c>
      <c r="E800" s="6">
        <v>3.7637210341962146</v>
      </c>
      <c r="F800" s="24"/>
      <c r="G800" s="24"/>
      <c r="H800" s="24"/>
      <c r="I800" s="24"/>
      <c r="J800" s="3"/>
      <c r="K800" s="8"/>
      <c r="L800" s="8"/>
      <c r="M800" s="8"/>
      <c r="N800" s="22"/>
      <c r="O800" s="9"/>
      <c r="P800" s="20"/>
      <c r="Q800" s="20"/>
      <c r="R800" s="20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 spans="4:49" ht="15" thickBot="1" x14ac:dyDescent="0.35">
      <c r="D801" s="2">
        <f t="shared" si="52"/>
        <v>795</v>
      </c>
      <c r="E801" s="6">
        <v>5.8821989557238759</v>
      </c>
      <c r="F801" s="24"/>
      <c r="G801" s="24"/>
      <c r="H801" s="24"/>
      <c r="I801" s="24"/>
      <c r="J801" s="3"/>
      <c r="K801" s="8"/>
      <c r="L801" s="8"/>
      <c r="M801" s="8"/>
      <c r="N801" s="13"/>
      <c r="O801" s="9"/>
      <c r="P801" s="20"/>
      <c r="Q801" s="20"/>
      <c r="R801" s="20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 spans="4:49" ht="15" thickBot="1" x14ac:dyDescent="0.35">
      <c r="D802" s="2">
        <f t="shared" si="52"/>
        <v>796</v>
      </c>
      <c r="E802" s="6">
        <v>2.0976104629347017</v>
      </c>
      <c r="F802" s="24"/>
      <c r="G802" s="24"/>
      <c r="H802" s="24"/>
      <c r="I802" s="24"/>
      <c r="J802" s="3"/>
      <c r="K802" s="8"/>
      <c r="L802" s="8"/>
      <c r="M802" s="8"/>
      <c r="N802" s="13"/>
      <c r="O802" s="9"/>
      <c r="P802" s="20"/>
      <c r="Q802" s="20"/>
      <c r="R802" s="20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 spans="4:49" ht="15" thickBot="1" x14ac:dyDescent="0.35">
      <c r="D803" s="2">
        <f t="shared" si="52"/>
        <v>797</v>
      </c>
      <c r="E803" s="6">
        <v>2.4379459912877812</v>
      </c>
      <c r="F803" s="24"/>
      <c r="G803" s="24"/>
      <c r="H803" s="24"/>
      <c r="I803" s="24"/>
      <c r="J803" s="3"/>
      <c r="K803" s="8"/>
      <c r="L803" s="8"/>
      <c r="M803" s="8"/>
      <c r="N803" s="22"/>
      <c r="O803" s="9"/>
      <c r="P803" s="20"/>
      <c r="Q803" s="20"/>
      <c r="R803" s="20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 spans="4:49" ht="15" thickBot="1" x14ac:dyDescent="0.35">
      <c r="D804" s="2">
        <f t="shared" si="52"/>
        <v>798</v>
      </c>
      <c r="E804" s="6">
        <v>0.67219689771537772</v>
      </c>
      <c r="F804" s="24"/>
      <c r="G804" s="24"/>
      <c r="H804" s="24"/>
      <c r="I804" s="24"/>
      <c r="J804" s="3"/>
      <c r="K804" s="8"/>
      <c r="L804" s="8"/>
      <c r="M804" s="8"/>
      <c r="N804" s="13"/>
      <c r="O804" s="9"/>
      <c r="P804" s="20"/>
      <c r="Q804" s="20"/>
      <c r="R804" s="20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 spans="4:49" ht="15" thickBot="1" x14ac:dyDescent="0.35">
      <c r="D805" s="2">
        <f t="shared" si="52"/>
        <v>799</v>
      </c>
      <c r="E805" s="6">
        <v>0.86317451292053471</v>
      </c>
      <c r="F805" s="24"/>
      <c r="G805" s="24"/>
      <c r="H805" s="24"/>
      <c r="I805" s="24"/>
      <c r="J805" s="3"/>
      <c r="K805" s="8"/>
      <c r="L805" s="8"/>
      <c r="M805" s="8"/>
      <c r="N805" s="22"/>
      <c r="O805" s="9"/>
      <c r="P805" s="20"/>
      <c r="Q805" s="20"/>
      <c r="R805" s="20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 spans="4:49" ht="15" thickBot="1" x14ac:dyDescent="0.35">
      <c r="D806" s="2">
        <f t="shared" si="52"/>
        <v>800</v>
      </c>
      <c r="E806" s="6">
        <v>3.1577409007357784</v>
      </c>
      <c r="F806" s="24"/>
      <c r="G806" s="24"/>
      <c r="H806" s="24"/>
      <c r="I806" s="24"/>
      <c r="J806" s="3"/>
      <c r="K806" s="8"/>
      <c r="L806" s="8"/>
      <c r="M806" s="8"/>
      <c r="N806" s="13"/>
      <c r="O806" s="9"/>
      <c r="P806" s="20"/>
      <c r="Q806" s="20"/>
      <c r="R806" s="20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 spans="4:49" ht="15" thickBot="1" x14ac:dyDescent="0.35">
      <c r="D807" s="2">
        <f t="shared" si="52"/>
        <v>801</v>
      </c>
      <c r="E807" s="6">
        <v>6.0351315809935029</v>
      </c>
      <c r="F807" s="24"/>
      <c r="G807" s="24"/>
      <c r="H807" s="24"/>
      <c r="I807" s="24"/>
      <c r="J807" s="3"/>
      <c r="K807" s="8"/>
      <c r="L807" s="8"/>
      <c r="M807" s="8"/>
      <c r="N807" s="13"/>
      <c r="O807" s="9"/>
      <c r="P807" s="20"/>
      <c r="Q807" s="20"/>
      <c r="R807" s="20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 spans="4:49" ht="15" thickBot="1" x14ac:dyDescent="0.35">
      <c r="D808" s="2">
        <f t="shared" si="52"/>
        <v>802</v>
      </c>
      <c r="E808" s="6">
        <v>20.52885663051212</v>
      </c>
      <c r="F808" s="24"/>
      <c r="G808" s="24"/>
      <c r="H808" s="24"/>
      <c r="I808" s="24"/>
      <c r="J808" s="3"/>
      <c r="K808" s="8"/>
      <c r="L808" s="8"/>
      <c r="M808" s="8"/>
      <c r="N808" s="22"/>
      <c r="O808" s="9"/>
      <c r="P808" s="20"/>
      <c r="Q808" s="20"/>
      <c r="R808" s="20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 spans="4:49" ht="15" thickBot="1" x14ac:dyDescent="0.35">
      <c r="D809" s="2">
        <f t="shared" si="52"/>
        <v>803</v>
      </c>
      <c r="E809" s="6">
        <v>2.8830781919625559</v>
      </c>
      <c r="F809" s="24"/>
      <c r="G809" s="24"/>
      <c r="H809" s="24"/>
      <c r="I809" s="24"/>
      <c r="J809" s="3"/>
      <c r="K809" s="8"/>
      <c r="L809" s="8"/>
      <c r="M809" s="8"/>
      <c r="N809" s="13"/>
      <c r="O809" s="9"/>
      <c r="P809" s="20"/>
      <c r="Q809" s="20"/>
      <c r="R809" s="20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 spans="4:49" ht="15" thickBot="1" x14ac:dyDescent="0.35">
      <c r="D810" s="2">
        <f t="shared" si="52"/>
        <v>804</v>
      </c>
      <c r="E810" s="6">
        <v>1.4529027146793991</v>
      </c>
      <c r="F810" s="24"/>
      <c r="G810" s="24"/>
      <c r="H810" s="24"/>
      <c r="I810" s="24"/>
      <c r="J810" s="3"/>
      <c r="K810" s="8"/>
      <c r="L810" s="8"/>
      <c r="M810" s="8"/>
      <c r="N810" s="22"/>
      <c r="O810" s="9"/>
      <c r="P810" s="20"/>
      <c r="Q810" s="20"/>
      <c r="R810" s="20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 spans="4:49" ht="15" thickBot="1" x14ac:dyDescent="0.35">
      <c r="D811" s="2">
        <f t="shared" si="52"/>
        <v>805</v>
      </c>
      <c r="E811" s="6">
        <v>0.57245289812981726</v>
      </c>
      <c r="F811" s="24"/>
      <c r="G811" s="24"/>
      <c r="H811" s="24"/>
      <c r="I811" s="24"/>
      <c r="J811" s="3"/>
      <c r="K811" s="8"/>
      <c r="L811" s="8"/>
      <c r="M811" s="8"/>
      <c r="N811" s="13"/>
      <c r="O811" s="9"/>
      <c r="P811" s="20"/>
      <c r="Q811" s="20"/>
      <c r="R811" s="20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 spans="4:49" ht="15" thickBot="1" x14ac:dyDescent="0.35">
      <c r="D812" s="2">
        <f t="shared" si="52"/>
        <v>806</v>
      </c>
      <c r="E812" s="6">
        <v>19.719574137019269</v>
      </c>
      <c r="F812" s="24"/>
      <c r="G812" s="24"/>
      <c r="H812" s="24"/>
      <c r="I812" s="24"/>
      <c r="J812" s="3"/>
      <c r="K812" s="8"/>
      <c r="L812" s="8"/>
      <c r="M812" s="8"/>
      <c r="N812" s="13"/>
      <c r="O812" s="9"/>
      <c r="P812" s="20"/>
      <c r="Q812" s="20"/>
      <c r="R812" s="20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 spans="4:49" ht="15" thickBot="1" x14ac:dyDescent="0.35">
      <c r="D813" s="2">
        <f t="shared" si="52"/>
        <v>807</v>
      </c>
      <c r="E813" s="6">
        <v>4.4649893044568092</v>
      </c>
      <c r="F813" s="24"/>
      <c r="G813" s="24"/>
      <c r="H813" s="24"/>
      <c r="I813" s="24"/>
      <c r="J813" s="3"/>
      <c r="K813" s="8"/>
      <c r="L813" s="8"/>
      <c r="M813" s="8"/>
      <c r="N813" s="22"/>
      <c r="O813" s="9"/>
      <c r="P813" s="20"/>
      <c r="Q813" s="20"/>
      <c r="R813" s="20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 spans="4:49" ht="15" thickBot="1" x14ac:dyDescent="0.35">
      <c r="D814" s="2">
        <f t="shared" si="52"/>
        <v>808</v>
      </c>
      <c r="E814" s="6">
        <v>0.5028133776907211</v>
      </c>
      <c r="F814" s="24"/>
      <c r="G814" s="24"/>
      <c r="H814" s="24"/>
      <c r="I814" s="24"/>
      <c r="J814" s="3"/>
      <c r="K814" s="8"/>
      <c r="L814" s="8"/>
      <c r="M814" s="8"/>
      <c r="N814" s="13"/>
      <c r="O814" s="9"/>
      <c r="P814" s="20"/>
      <c r="Q814" s="20"/>
      <c r="R814" s="20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 spans="4:49" ht="15" thickBot="1" x14ac:dyDescent="0.35">
      <c r="D815" s="2">
        <f t="shared" si="52"/>
        <v>809</v>
      </c>
      <c r="E815" s="6">
        <v>3.2638871350979053</v>
      </c>
      <c r="F815" s="24"/>
      <c r="G815" s="24"/>
      <c r="H815" s="24"/>
      <c r="I815" s="24"/>
      <c r="J815" s="3"/>
      <c r="K815" s="8"/>
      <c r="L815" s="8"/>
      <c r="M815" s="8"/>
      <c r="N815" s="22"/>
      <c r="O815" s="9"/>
      <c r="P815" s="20"/>
      <c r="Q815" s="20"/>
      <c r="R815" s="20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 spans="4:49" ht="15" thickBot="1" x14ac:dyDescent="0.35">
      <c r="D816" s="2">
        <f t="shared" si="52"/>
        <v>810</v>
      </c>
      <c r="E816" s="6">
        <v>2.4347914483338378</v>
      </c>
      <c r="F816" s="24"/>
      <c r="G816" s="24"/>
      <c r="H816" s="24"/>
      <c r="I816" s="24"/>
      <c r="J816" s="3"/>
      <c r="K816" s="8"/>
      <c r="L816" s="8"/>
      <c r="M816" s="8"/>
      <c r="N816" s="13"/>
      <c r="O816" s="9"/>
      <c r="P816" s="20"/>
      <c r="Q816" s="20"/>
      <c r="R816" s="20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 spans="4:49" ht="15" thickBot="1" x14ac:dyDescent="0.35">
      <c r="D817" s="2">
        <f t="shared" si="52"/>
        <v>811</v>
      </c>
      <c r="E817" s="6">
        <v>4.0136476042528146</v>
      </c>
      <c r="F817" s="24"/>
      <c r="G817" s="24"/>
      <c r="H817" s="24"/>
      <c r="I817" s="24"/>
      <c r="J817" s="3"/>
      <c r="K817" s="8"/>
      <c r="L817" s="8"/>
      <c r="M817" s="8"/>
      <c r="N817" s="13"/>
      <c r="O817" s="9"/>
      <c r="P817" s="20"/>
      <c r="Q817" s="20"/>
      <c r="R817" s="20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 spans="4:49" ht="15" thickBot="1" x14ac:dyDescent="0.35">
      <c r="D818" s="2">
        <f t="shared" si="52"/>
        <v>812</v>
      </c>
      <c r="E818" s="6">
        <v>3.8378768743950125</v>
      </c>
      <c r="F818" s="24"/>
      <c r="G818" s="24"/>
      <c r="H818" s="24"/>
      <c r="I818" s="24"/>
      <c r="J818" s="3"/>
      <c r="K818" s="8"/>
      <c r="L818" s="8"/>
      <c r="M818" s="8"/>
      <c r="N818" s="22"/>
      <c r="O818" s="9"/>
      <c r="P818" s="20"/>
      <c r="Q818" s="20"/>
      <c r="R818" s="20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 spans="4:49" ht="15" thickBot="1" x14ac:dyDescent="0.35">
      <c r="D819" s="2">
        <f t="shared" si="52"/>
        <v>813</v>
      </c>
      <c r="E819" s="6">
        <v>2.757090209428934</v>
      </c>
      <c r="F819" s="24"/>
      <c r="G819" s="24"/>
      <c r="H819" s="24"/>
      <c r="I819" s="24"/>
      <c r="J819" s="3"/>
      <c r="K819" s="8"/>
      <c r="L819" s="8"/>
      <c r="M819" s="8"/>
      <c r="N819" s="13"/>
      <c r="O819" s="9"/>
      <c r="P819" s="20"/>
      <c r="Q819" s="20"/>
      <c r="R819" s="20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 spans="4:49" ht="15" thickBot="1" x14ac:dyDescent="0.35">
      <c r="D820" s="2">
        <f t="shared" si="52"/>
        <v>814</v>
      </c>
      <c r="E820" s="6">
        <v>1.3858580806659864</v>
      </c>
      <c r="F820" s="24"/>
      <c r="G820" s="24"/>
      <c r="H820" s="24"/>
      <c r="I820" s="24"/>
      <c r="J820" s="3"/>
      <c r="K820" s="8"/>
      <c r="L820" s="8"/>
      <c r="M820" s="8"/>
      <c r="N820" s="22"/>
      <c r="O820" s="9"/>
      <c r="P820" s="20"/>
      <c r="Q820" s="20"/>
      <c r="R820" s="20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 spans="4:49" ht="15" thickBot="1" x14ac:dyDescent="0.35">
      <c r="D821" s="2">
        <f t="shared" si="52"/>
        <v>815</v>
      </c>
      <c r="E821" s="6">
        <v>2.1820992600124911</v>
      </c>
      <c r="F821" s="24"/>
      <c r="G821" s="24"/>
      <c r="H821" s="24"/>
      <c r="I821" s="24"/>
      <c r="J821" s="3"/>
      <c r="K821" s="8"/>
      <c r="L821" s="8"/>
      <c r="M821" s="8"/>
      <c r="N821" s="13"/>
      <c r="O821" s="9"/>
      <c r="P821" s="20"/>
      <c r="Q821" s="20"/>
      <c r="R821" s="20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 spans="4:49" ht="15" thickBot="1" x14ac:dyDescent="0.35">
      <c r="D822" s="2">
        <f t="shared" si="52"/>
        <v>816</v>
      </c>
      <c r="E822" s="6">
        <v>0.78649137179293982</v>
      </c>
      <c r="F822" s="24"/>
      <c r="G822" s="24"/>
      <c r="H822" s="24"/>
      <c r="I822" s="24"/>
      <c r="J822" s="3"/>
      <c r="K822" s="8"/>
      <c r="L822" s="8"/>
      <c r="M822" s="8"/>
      <c r="N822" s="13"/>
      <c r="O822" s="9"/>
      <c r="P822" s="20"/>
      <c r="Q822" s="20"/>
      <c r="R822" s="20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 spans="4:49" ht="15" thickBot="1" x14ac:dyDescent="0.35">
      <c r="D823" s="2">
        <f t="shared" si="52"/>
        <v>817</v>
      </c>
      <c r="E823" s="6">
        <v>0.77712741401167174</v>
      </c>
      <c r="F823" s="24"/>
      <c r="G823" s="24"/>
      <c r="H823" s="24"/>
      <c r="I823" s="24"/>
      <c r="J823" s="3"/>
      <c r="K823" s="8"/>
      <c r="L823" s="8"/>
      <c r="M823" s="8"/>
      <c r="N823" s="22"/>
      <c r="O823" s="9"/>
      <c r="P823" s="20"/>
      <c r="Q823" s="20"/>
      <c r="R823" s="20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 spans="4:49" ht="15" thickBot="1" x14ac:dyDescent="0.35">
      <c r="D824" s="2">
        <f t="shared" si="52"/>
        <v>818</v>
      </c>
      <c r="E824" s="6">
        <v>4.0188364372749552</v>
      </c>
      <c r="F824" s="24"/>
      <c r="G824" s="24"/>
      <c r="H824" s="24"/>
      <c r="I824" s="24"/>
      <c r="J824" s="3"/>
      <c r="K824" s="8"/>
      <c r="L824" s="8"/>
      <c r="M824" s="8"/>
      <c r="N824" s="13"/>
      <c r="O824" s="9"/>
      <c r="P824" s="20"/>
      <c r="Q824" s="20"/>
      <c r="R824" s="20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 spans="4:49" ht="15" thickBot="1" x14ac:dyDescent="0.35">
      <c r="D825" s="2">
        <f t="shared" si="52"/>
        <v>819</v>
      </c>
      <c r="E825" s="6">
        <v>0.54442440362965716</v>
      </c>
      <c r="F825" s="24"/>
      <c r="G825" s="24"/>
      <c r="H825" s="24"/>
      <c r="I825" s="24"/>
      <c r="J825" s="3"/>
      <c r="K825" s="8"/>
      <c r="L825" s="8"/>
      <c r="M825" s="8"/>
      <c r="N825" s="22"/>
      <c r="O825" s="9"/>
      <c r="P825" s="20"/>
      <c r="Q825" s="20"/>
      <c r="R825" s="20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 spans="4:49" ht="15" thickBot="1" x14ac:dyDescent="0.35">
      <c r="D826" s="2">
        <f t="shared" si="52"/>
        <v>820</v>
      </c>
      <c r="E826" s="6">
        <v>3.8773612902926562</v>
      </c>
      <c r="F826" s="24"/>
      <c r="G826" s="24"/>
      <c r="H826" s="24"/>
      <c r="I826" s="24"/>
      <c r="J826" s="3"/>
      <c r="K826" s="8"/>
      <c r="L826" s="8"/>
      <c r="M826" s="8"/>
      <c r="N826" s="13"/>
      <c r="O826" s="9"/>
      <c r="P826" s="20"/>
      <c r="Q826" s="20"/>
      <c r="R826" s="20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 spans="4:49" ht="15" thickBot="1" x14ac:dyDescent="0.35">
      <c r="D827" s="2">
        <f t="shared" si="52"/>
        <v>821</v>
      </c>
      <c r="E827" s="6">
        <v>4.7102851838590238</v>
      </c>
      <c r="F827" s="24"/>
      <c r="G827" s="24"/>
      <c r="H827" s="24"/>
      <c r="I827" s="24"/>
      <c r="J827" s="3"/>
      <c r="K827" s="8"/>
      <c r="L827" s="8"/>
      <c r="M827" s="8"/>
      <c r="N827" s="13"/>
      <c r="O827" s="9"/>
      <c r="P827" s="20"/>
      <c r="Q827" s="20"/>
      <c r="R827" s="20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 spans="4:49" ht="15" thickBot="1" x14ac:dyDescent="0.35">
      <c r="D828" s="2">
        <f t="shared" si="52"/>
        <v>822</v>
      </c>
      <c r="E828" s="6">
        <v>5.979146997378944</v>
      </c>
      <c r="F828" s="24"/>
      <c r="G828" s="24"/>
      <c r="H828" s="24"/>
      <c r="I828" s="24"/>
      <c r="J828" s="3"/>
      <c r="K828" s="8"/>
      <c r="L828" s="8"/>
      <c r="M828" s="8"/>
      <c r="N828" s="22"/>
      <c r="O828" s="9"/>
      <c r="P828" s="20"/>
      <c r="Q828" s="20"/>
      <c r="R828" s="20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 spans="4:49" ht="15" thickBot="1" x14ac:dyDescent="0.35">
      <c r="D829" s="2">
        <f t="shared" si="52"/>
        <v>823</v>
      </c>
      <c r="E829" s="6">
        <v>0.80724415501601432</v>
      </c>
      <c r="F829" s="24"/>
      <c r="G829" s="24"/>
      <c r="H829" s="24"/>
      <c r="I829" s="24"/>
      <c r="J829" s="3"/>
      <c r="K829" s="8"/>
      <c r="L829" s="8"/>
      <c r="M829" s="8"/>
      <c r="N829" s="13"/>
      <c r="O829" s="9"/>
      <c r="P829" s="20"/>
      <c r="Q829" s="20"/>
      <c r="R829" s="20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 spans="4:49" ht="15" thickBot="1" x14ac:dyDescent="0.35">
      <c r="D830" s="2">
        <f t="shared" si="52"/>
        <v>824</v>
      </c>
      <c r="E830" s="6">
        <v>7.8846091655275057</v>
      </c>
      <c r="F830" s="24"/>
      <c r="G830" s="24"/>
      <c r="H830" s="24"/>
      <c r="I830" s="24"/>
      <c r="J830" s="3"/>
      <c r="K830" s="8"/>
      <c r="L830" s="8"/>
      <c r="M830" s="8"/>
      <c r="N830" s="22"/>
      <c r="O830" s="9"/>
      <c r="P830" s="20"/>
      <c r="Q830" s="20"/>
      <c r="R830" s="20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 spans="4:49" ht="15" thickBot="1" x14ac:dyDescent="0.35">
      <c r="D831" s="2">
        <f t="shared" si="52"/>
        <v>825</v>
      </c>
      <c r="E831" s="6">
        <v>6.2410456450429495</v>
      </c>
      <c r="F831" s="24"/>
      <c r="G831" s="24"/>
      <c r="H831" s="24"/>
      <c r="I831" s="24"/>
      <c r="J831" s="3"/>
      <c r="K831" s="8"/>
      <c r="L831" s="8"/>
      <c r="M831" s="8"/>
      <c r="N831" s="13"/>
      <c r="O831" s="9"/>
      <c r="P831" s="20"/>
      <c r="Q831" s="20"/>
      <c r="R831" s="20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 spans="4:49" ht="15" thickBot="1" x14ac:dyDescent="0.35">
      <c r="D832" s="2">
        <f t="shared" si="52"/>
        <v>826</v>
      </c>
      <c r="E832" s="6">
        <v>3.66352638749991</v>
      </c>
      <c r="F832" s="24"/>
      <c r="G832" s="24"/>
      <c r="H832" s="24"/>
      <c r="I832" s="24"/>
      <c r="J832" s="3"/>
      <c r="K832" s="8"/>
      <c r="L832" s="8"/>
      <c r="M832" s="8"/>
      <c r="N832" s="13"/>
      <c r="O832" s="9"/>
      <c r="P832" s="20"/>
      <c r="Q832" s="20"/>
      <c r="R832" s="20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 spans="4:49" ht="15" thickBot="1" x14ac:dyDescent="0.35">
      <c r="D833" s="2">
        <f t="shared" si="52"/>
        <v>827</v>
      </c>
      <c r="E833" s="6">
        <v>5.2699116679135871</v>
      </c>
      <c r="F833" s="24"/>
      <c r="G833" s="24"/>
      <c r="H833" s="24"/>
      <c r="I833" s="24"/>
      <c r="J833" s="3"/>
      <c r="K833" s="8"/>
      <c r="L833" s="8"/>
      <c r="M833" s="8"/>
      <c r="N833" s="22"/>
      <c r="O833" s="9"/>
      <c r="P833" s="20"/>
      <c r="Q833" s="20"/>
      <c r="R833" s="20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 spans="4:49" ht="15" thickBot="1" x14ac:dyDescent="0.35">
      <c r="D834" s="2">
        <f t="shared" si="52"/>
        <v>828</v>
      </c>
      <c r="E834" s="6">
        <v>1.6656672327045583</v>
      </c>
      <c r="F834" s="24"/>
      <c r="G834" s="24"/>
      <c r="H834" s="24"/>
      <c r="I834" s="24"/>
      <c r="J834" s="3"/>
      <c r="K834" s="8"/>
      <c r="L834" s="8"/>
      <c r="M834" s="8"/>
      <c r="N834" s="13"/>
      <c r="O834" s="9"/>
      <c r="P834" s="20"/>
      <c r="Q834" s="20"/>
      <c r="R834" s="20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 spans="4:49" ht="15" thickBot="1" x14ac:dyDescent="0.35">
      <c r="D835" s="2">
        <f t="shared" si="52"/>
        <v>829</v>
      </c>
      <c r="E835" s="6">
        <v>0.48191288607379246</v>
      </c>
      <c r="F835" s="24"/>
      <c r="G835" s="24"/>
      <c r="H835" s="24"/>
      <c r="I835" s="24"/>
      <c r="J835" s="3"/>
      <c r="K835" s="8"/>
      <c r="L835" s="8"/>
      <c r="M835" s="8"/>
      <c r="N835" s="22"/>
      <c r="O835" s="9"/>
      <c r="P835" s="20"/>
      <c r="Q835" s="20"/>
      <c r="R835" s="20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 spans="4:49" ht="15" thickBot="1" x14ac:dyDescent="0.35">
      <c r="D836" s="2">
        <f t="shared" si="52"/>
        <v>830</v>
      </c>
      <c r="E836" s="6">
        <v>4.0598492872413976</v>
      </c>
      <c r="F836" s="24"/>
      <c r="G836" s="24"/>
      <c r="H836" s="24"/>
      <c r="I836" s="24"/>
      <c r="J836" s="3"/>
      <c r="K836" s="8"/>
      <c r="L836" s="8"/>
      <c r="M836" s="8"/>
      <c r="N836" s="13"/>
      <c r="O836" s="9"/>
      <c r="P836" s="20"/>
      <c r="Q836" s="20"/>
      <c r="R836" s="20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 spans="4:49" ht="15" thickBot="1" x14ac:dyDescent="0.35">
      <c r="D837" s="2">
        <f t="shared" si="52"/>
        <v>831</v>
      </c>
      <c r="E837" s="6">
        <v>2.4258825285794789</v>
      </c>
      <c r="F837" s="24"/>
      <c r="G837" s="24"/>
      <c r="H837" s="24"/>
      <c r="I837" s="24"/>
      <c r="J837" s="3"/>
      <c r="K837" s="8"/>
      <c r="L837" s="8"/>
      <c r="M837" s="8"/>
      <c r="N837" s="13"/>
      <c r="O837" s="9"/>
      <c r="P837" s="20"/>
      <c r="Q837" s="20"/>
      <c r="R837" s="20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 spans="4:49" ht="15" thickBot="1" x14ac:dyDescent="0.35">
      <c r="D838" s="2">
        <f t="shared" si="52"/>
        <v>832</v>
      </c>
      <c r="E838" s="6">
        <v>1.569890145411345</v>
      </c>
      <c r="F838" s="24"/>
      <c r="G838" s="24"/>
      <c r="H838" s="24"/>
      <c r="I838" s="24"/>
      <c r="J838" s="3"/>
      <c r="K838" s="8"/>
      <c r="L838" s="8"/>
      <c r="M838" s="8"/>
      <c r="N838" s="22"/>
      <c r="O838" s="9"/>
      <c r="P838" s="20"/>
      <c r="Q838" s="20"/>
      <c r="R838" s="20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 spans="4:49" ht="15" thickBot="1" x14ac:dyDescent="0.35">
      <c r="D839" s="2">
        <f t="shared" ref="D839:D902" si="53">ROW()-6</f>
        <v>833</v>
      </c>
      <c r="E839" s="6">
        <v>1.5208176031428129</v>
      </c>
      <c r="F839" s="24"/>
      <c r="G839" s="24"/>
      <c r="H839" s="24"/>
      <c r="I839" s="24"/>
      <c r="J839" s="3"/>
      <c r="K839" s="8"/>
      <c r="L839" s="8"/>
      <c r="M839" s="8"/>
      <c r="N839" s="13"/>
      <c r="O839" s="9"/>
      <c r="P839" s="20"/>
      <c r="Q839" s="20"/>
      <c r="R839" s="20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 spans="4:49" ht="15" thickBot="1" x14ac:dyDescent="0.35">
      <c r="D840" s="2">
        <f t="shared" si="53"/>
        <v>834</v>
      </c>
      <c r="E840" s="6">
        <v>0.59991764323388397</v>
      </c>
      <c r="F840" s="24"/>
      <c r="G840" s="24"/>
      <c r="H840" s="24"/>
      <c r="I840" s="24"/>
      <c r="J840" s="3"/>
      <c r="K840" s="8"/>
      <c r="L840" s="8"/>
      <c r="M840" s="8"/>
      <c r="N840" s="22"/>
      <c r="O840" s="9"/>
      <c r="P840" s="20"/>
      <c r="Q840" s="20"/>
      <c r="R840" s="20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 spans="4:49" ht="15" thickBot="1" x14ac:dyDescent="0.35">
      <c r="D841" s="2">
        <f t="shared" si="53"/>
        <v>835</v>
      </c>
      <c r="E841" s="6">
        <v>6.0450821503575822</v>
      </c>
      <c r="F841" s="24"/>
      <c r="G841" s="24"/>
      <c r="H841" s="24"/>
      <c r="I841" s="24"/>
      <c r="J841" s="3"/>
      <c r="K841" s="8"/>
      <c r="L841" s="8"/>
      <c r="M841" s="8"/>
      <c r="N841" s="13"/>
      <c r="O841" s="9"/>
      <c r="P841" s="20"/>
      <c r="Q841" s="20"/>
      <c r="R841" s="20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 spans="4:49" ht="15" thickBot="1" x14ac:dyDescent="0.35">
      <c r="D842" s="2">
        <f t="shared" si="53"/>
        <v>836</v>
      </c>
      <c r="E842" s="6">
        <v>0.95302808360230085</v>
      </c>
      <c r="F842" s="24"/>
      <c r="G842" s="24"/>
      <c r="H842" s="24"/>
      <c r="I842" s="24"/>
      <c r="J842" s="3"/>
      <c r="K842" s="8"/>
      <c r="L842" s="8"/>
      <c r="M842" s="8"/>
      <c r="N842" s="13"/>
      <c r="O842" s="9"/>
      <c r="P842" s="20"/>
      <c r="Q842" s="20"/>
      <c r="R842" s="20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 spans="4:49" ht="15" thickBot="1" x14ac:dyDescent="0.35">
      <c r="D843" s="2">
        <f t="shared" si="53"/>
        <v>837</v>
      </c>
      <c r="E843" s="6">
        <v>3.5839492127085331</v>
      </c>
      <c r="F843" s="24"/>
      <c r="G843" s="24"/>
      <c r="H843" s="24"/>
      <c r="I843" s="24"/>
      <c r="J843" s="3"/>
      <c r="K843" s="8"/>
      <c r="L843" s="8"/>
      <c r="M843" s="8"/>
      <c r="N843" s="22"/>
      <c r="O843" s="9"/>
      <c r="P843" s="20"/>
      <c r="Q843" s="20"/>
      <c r="R843" s="20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 spans="4:49" ht="15" thickBot="1" x14ac:dyDescent="0.35">
      <c r="D844" s="2">
        <f t="shared" si="53"/>
        <v>838</v>
      </c>
      <c r="E844" s="6">
        <v>6.4682426161075774</v>
      </c>
      <c r="F844" s="24"/>
      <c r="G844" s="24"/>
      <c r="H844" s="24"/>
      <c r="I844" s="24"/>
      <c r="J844" s="3"/>
      <c r="K844" s="8"/>
      <c r="L844" s="8"/>
      <c r="M844" s="8"/>
      <c r="N844" s="13"/>
      <c r="O844" s="9"/>
      <c r="P844" s="20"/>
      <c r="Q844" s="20"/>
      <c r="R844" s="20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 spans="4:49" ht="15" thickBot="1" x14ac:dyDescent="0.35">
      <c r="D845" s="2">
        <f t="shared" si="53"/>
        <v>839</v>
      </c>
      <c r="E845" s="6">
        <v>0.60257139410190008</v>
      </c>
      <c r="F845" s="24"/>
      <c r="G845" s="24"/>
      <c r="H845" s="24"/>
      <c r="I845" s="24"/>
      <c r="J845" s="3"/>
      <c r="K845" s="8"/>
      <c r="L845" s="8"/>
      <c r="M845" s="8"/>
      <c r="N845" s="22"/>
      <c r="O845" s="9"/>
      <c r="P845" s="20"/>
      <c r="Q845" s="20"/>
      <c r="R845" s="20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 spans="4:49" ht="15" thickBot="1" x14ac:dyDescent="0.35">
      <c r="D846" s="2">
        <f t="shared" si="53"/>
        <v>840</v>
      </c>
      <c r="E846" s="6">
        <v>1.5685106017051231</v>
      </c>
      <c r="F846" s="24"/>
      <c r="G846" s="24"/>
      <c r="H846" s="24"/>
      <c r="I846" s="24"/>
      <c r="J846" s="3"/>
      <c r="K846" s="8"/>
      <c r="L846" s="8"/>
      <c r="M846" s="8"/>
      <c r="N846" s="13"/>
      <c r="O846" s="9"/>
      <c r="P846" s="20"/>
      <c r="Q846" s="20"/>
      <c r="R846" s="20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 spans="4:49" ht="15" thickBot="1" x14ac:dyDescent="0.35">
      <c r="D847" s="2">
        <f t="shared" si="53"/>
        <v>841</v>
      </c>
      <c r="E847" s="6">
        <v>3.5711626713575093</v>
      </c>
      <c r="F847" s="24"/>
      <c r="G847" s="24"/>
      <c r="H847" s="24"/>
      <c r="I847" s="24"/>
      <c r="J847" s="3"/>
      <c r="K847" s="8"/>
      <c r="L847" s="8"/>
      <c r="M847" s="8"/>
      <c r="N847" s="13"/>
      <c r="O847" s="9"/>
      <c r="P847" s="20"/>
      <c r="Q847" s="20"/>
      <c r="R847" s="20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 spans="4:49" ht="15" thickBot="1" x14ac:dyDescent="0.35">
      <c r="D848" s="2">
        <f t="shared" si="53"/>
        <v>842</v>
      </c>
      <c r="E848" s="6">
        <v>2.2209843693452744</v>
      </c>
      <c r="F848" s="24"/>
      <c r="G848" s="24"/>
      <c r="H848" s="24"/>
      <c r="I848" s="24"/>
      <c r="J848" s="3"/>
      <c r="K848" s="8"/>
      <c r="L848" s="8"/>
      <c r="M848" s="8"/>
      <c r="N848" s="22"/>
      <c r="O848" s="9"/>
      <c r="P848" s="20"/>
      <c r="Q848" s="20"/>
      <c r="R848" s="20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 spans="4:49" ht="15" thickBot="1" x14ac:dyDescent="0.35">
      <c r="D849" s="2">
        <f t="shared" si="53"/>
        <v>843</v>
      </c>
      <c r="E849" s="6">
        <v>0.68957608058713515</v>
      </c>
      <c r="F849" s="24"/>
      <c r="G849" s="24"/>
      <c r="H849" s="24"/>
      <c r="I849" s="24"/>
      <c r="J849" s="3"/>
      <c r="K849" s="8"/>
      <c r="L849" s="8"/>
      <c r="M849" s="8"/>
      <c r="N849" s="13"/>
      <c r="O849" s="9"/>
      <c r="P849" s="20"/>
      <c r="Q849" s="20"/>
      <c r="R849" s="20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 spans="4:49" ht="15" thickBot="1" x14ac:dyDescent="0.35">
      <c r="D850" s="2">
        <f t="shared" si="53"/>
        <v>844</v>
      </c>
      <c r="E850" s="6">
        <v>0.50141929024772669</v>
      </c>
      <c r="F850" s="24"/>
      <c r="G850" s="24"/>
      <c r="H850" s="24"/>
      <c r="I850" s="24"/>
      <c r="J850" s="3"/>
      <c r="K850" s="8"/>
      <c r="L850" s="8"/>
      <c r="M850" s="8"/>
      <c r="N850" s="22"/>
      <c r="O850" s="9"/>
      <c r="P850" s="20"/>
      <c r="Q850" s="20"/>
      <c r="R850" s="20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 spans="4:49" ht="15" thickBot="1" x14ac:dyDescent="0.35">
      <c r="D851" s="2">
        <f t="shared" si="53"/>
        <v>845</v>
      </c>
      <c r="E851" s="6">
        <v>0.23001870737231581</v>
      </c>
      <c r="F851" s="24"/>
      <c r="G851" s="24"/>
      <c r="H851" s="24"/>
      <c r="I851" s="24"/>
      <c r="J851" s="3"/>
      <c r="K851" s="8"/>
      <c r="L851" s="8"/>
      <c r="M851" s="8"/>
      <c r="N851" s="13"/>
      <c r="O851" s="9"/>
      <c r="P851" s="20"/>
      <c r="Q851" s="20"/>
      <c r="R851" s="20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 spans="4:49" ht="15" thickBot="1" x14ac:dyDescent="0.35">
      <c r="D852" s="2">
        <f t="shared" si="53"/>
        <v>846</v>
      </c>
      <c r="E852" s="6">
        <v>2.4046860727858257</v>
      </c>
      <c r="F852" s="24"/>
      <c r="G852" s="24"/>
      <c r="H852" s="24"/>
      <c r="I852" s="24"/>
      <c r="J852" s="3"/>
      <c r="K852" s="8"/>
      <c r="L852" s="8"/>
      <c r="M852" s="8"/>
      <c r="N852" s="13"/>
      <c r="O852" s="9"/>
      <c r="P852" s="20"/>
      <c r="Q852" s="20"/>
      <c r="R852" s="20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 spans="4:49" ht="15" thickBot="1" x14ac:dyDescent="0.35">
      <c r="D853" s="2">
        <f t="shared" si="53"/>
        <v>847</v>
      </c>
      <c r="E853" s="6">
        <v>1.4894147842233634</v>
      </c>
      <c r="F853" s="24"/>
      <c r="G853" s="24"/>
      <c r="H853" s="24"/>
      <c r="I853" s="24"/>
      <c r="J853" s="3"/>
      <c r="K853" s="8"/>
      <c r="L853" s="8"/>
      <c r="M853" s="8"/>
      <c r="N853" s="22"/>
      <c r="O853" s="9"/>
      <c r="P853" s="20"/>
      <c r="Q853" s="20"/>
      <c r="R853" s="20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 spans="4:49" ht="15" thickBot="1" x14ac:dyDescent="0.35">
      <c r="D854" s="2">
        <f t="shared" si="53"/>
        <v>848</v>
      </c>
      <c r="E854" s="6">
        <v>1.7937938983555615</v>
      </c>
      <c r="F854" s="24"/>
      <c r="G854" s="24"/>
      <c r="H854" s="24"/>
      <c r="I854" s="24"/>
      <c r="J854" s="3"/>
      <c r="K854" s="8"/>
      <c r="L854" s="8"/>
      <c r="M854" s="8"/>
      <c r="N854" s="13"/>
      <c r="O854" s="9"/>
      <c r="P854" s="20"/>
      <c r="Q854" s="20"/>
      <c r="R854" s="20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 spans="4:49" ht="15" thickBot="1" x14ac:dyDescent="0.35">
      <c r="D855" s="2">
        <f t="shared" si="53"/>
        <v>849</v>
      </c>
      <c r="E855" s="6">
        <v>7.4058355438231915</v>
      </c>
      <c r="F855" s="24"/>
      <c r="G855" s="24"/>
      <c r="H855" s="24"/>
      <c r="I855" s="24"/>
      <c r="J855" s="3"/>
      <c r="K855" s="8"/>
      <c r="L855" s="8"/>
      <c r="M855" s="8"/>
      <c r="N855" s="22"/>
      <c r="O855" s="9"/>
      <c r="P855" s="20"/>
      <c r="Q855" s="20"/>
      <c r="R855" s="20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 spans="4:49" ht="15" thickBot="1" x14ac:dyDescent="0.35">
      <c r="D856" s="2">
        <f t="shared" si="53"/>
        <v>850</v>
      </c>
      <c r="E856" s="6">
        <v>2.9904351494334418</v>
      </c>
      <c r="F856" s="24"/>
      <c r="G856" s="24"/>
      <c r="H856" s="24"/>
      <c r="I856" s="24"/>
      <c r="J856" s="3"/>
      <c r="K856" s="8"/>
      <c r="L856" s="8"/>
      <c r="M856" s="8"/>
      <c r="N856" s="13"/>
      <c r="O856" s="9"/>
      <c r="P856" s="20"/>
      <c r="Q856" s="20"/>
      <c r="R856" s="20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 spans="4:49" ht="15" thickBot="1" x14ac:dyDescent="0.35">
      <c r="D857" s="2">
        <f t="shared" si="53"/>
        <v>851</v>
      </c>
      <c r="E857" s="6">
        <v>2.0708058609196311</v>
      </c>
      <c r="F857" s="24"/>
      <c r="G857" s="24"/>
      <c r="H857" s="24"/>
      <c r="I857" s="24"/>
      <c r="J857" s="3"/>
      <c r="K857" s="8"/>
      <c r="L857" s="8"/>
      <c r="M857" s="8"/>
      <c r="N857" s="13"/>
      <c r="O857" s="9"/>
      <c r="P857" s="20"/>
      <c r="Q857" s="20"/>
      <c r="R857" s="20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 spans="4:49" ht="15" thickBot="1" x14ac:dyDescent="0.35">
      <c r="D858" s="2">
        <f t="shared" si="53"/>
        <v>852</v>
      </c>
      <c r="E858" s="6">
        <v>7.696281741508356</v>
      </c>
      <c r="F858" s="24"/>
      <c r="G858" s="24"/>
      <c r="H858" s="24"/>
      <c r="I858" s="24"/>
      <c r="J858" s="3"/>
      <c r="K858" s="8"/>
      <c r="L858" s="8"/>
      <c r="M858" s="8"/>
      <c r="N858" s="22"/>
      <c r="O858" s="9"/>
      <c r="P858" s="20"/>
      <c r="Q858" s="20"/>
      <c r="R858" s="20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 spans="4:49" ht="15" thickBot="1" x14ac:dyDescent="0.35">
      <c r="D859" s="2">
        <f t="shared" si="53"/>
        <v>853</v>
      </c>
      <c r="E859" s="6">
        <v>2.3588714097529531</v>
      </c>
      <c r="F859" s="24"/>
      <c r="G859" s="24"/>
      <c r="H859" s="24"/>
      <c r="I859" s="24"/>
      <c r="J859" s="3"/>
      <c r="K859" s="8"/>
      <c r="L859" s="8"/>
      <c r="M859" s="8"/>
      <c r="N859" s="13"/>
      <c r="O859" s="9"/>
      <c r="P859" s="20"/>
      <c r="Q859" s="20"/>
      <c r="R859" s="20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 spans="4:49" ht="15" thickBot="1" x14ac:dyDescent="0.35">
      <c r="D860" s="2">
        <f t="shared" si="53"/>
        <v>854</v>
      </c>
      <c r="E860" s="6">
        <v>0.4283246425618859</v>
      </c>
      <c r="F860" s="24"/>
      <c r="G860" s="24"/>
      <c r="H860" s="24"/>
      <c r="I860" s="24"/>
      <c r="J860" s="3"/>
      <c r="K860" s="8"/>
      <c r="L860" s="8"/>
      <c r="M860" s="8"/>
      <c r="N860" s="22"/>
      <c r="O860" s="9"/>
      <c r="P860" s="20"/>
      <c r="Q860" s="20"/>
      <c r="R860" s="20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 spans="4:49" ht="15" thickBot="1" x14ac:dyDescent="0.35">
      <c r="D861" s="2">
        <f t="shared" si="53"/>
        <v>855</v>
      </c>
      <c r="E861" s="6">
        <v>3.2792132529379319</v>
      </c>
      <c r="F861" s="24"/>
      <c r="G861" s="24"/>
      <c r="H861" s="24"/>
      <c r="I861" s="24"/>
      <c r="J861" s="3"/>
      <c r="K861" s="8"/>
      <c r="L861" s="8"/>
      <c r="M861" s="8"/>
      <c r="N861" s="13"/>
      <c r="O861" s="9"/>
      <c r="P861" s="20"/>
      <c r="Q861" s="20"/>
      <c r="R861" s="20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 spans="4:49" ht="15" thickBot="1" x14ac:dyDescent="0.35">
      <c r="D862" s="2">
        <f t="shared" si="53"/>
        <v>856</v>
      </c>
      <c r="E862" s="6">
        <v>6.61111966279132</v>
      </c>
      <c r="F862" s="24"/>
      <c r="G862" s="24"/>
      <c r="H862" s="24"/>
      <c r="I862" s="24"/>
      <c r="J862" s="3"/>
      <c r="K862" s="8"/>
      <c r="L862" s="8"/>
      <c r="M862" s="8"/>
      <c r="N862" s="13"/>
      <c r="O862" s="9"/>
      <c r="P862" s="20"/>
      <c r="Q862" s="20"/>
      <c r="R862" s="20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 spans="4:49" ht="15" thickBot="1" x14ac:dyDescent="0.35">
      <c r="D863" s="2">
        <f t="shared" si="53"/>
        <v>857</v>
      </c>
      <c r="E863" s="6">
        <v>1.8252572223740391</v>
      </c>
      <c r="F863" s="24"/>
      <c r="G863" s="24"/>
      <c r="H863" s="24"/>
      <c r="I863" s="24"/>
      <c r="J863" s="3"/>
      <c r="K863" s="8"/>
      <c r="L863" s="8"/>
      <c r="M863" s="8"/>
      <c r="N863" s="22"/>
      <c r="O863" s="9"/>
      <c r="P863" s="20"/>
      <c r="Q863" s="20"/>
      <c r="R863" s="20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 spans="4:49" ht="15" thickBot="1" x14ac:dyDescent="0.35">
      <c r="D864" s="2">
        <f t="shared" si="53"/>
        <v>858</v>
      </c>
      <c r="E864" s="6">
        <v>1.310771173632328</v>
      </c>
      <c r="F864" s="24"/>
      <c r="G864" s="24"/>
      <c r="H864" s="24"/>
      <c r="I864" s="24"/>
      <c r="J864" s="3"/>
      <c r="K864" s="8"/>
      <c r="L864" s="8"/>
      <c r="M864" s="8"/>
      <c r="N864" s="13"/>
      <c r="O864" s="9"/>
      <c r="P864" s="20"/>
      <c r="Q864" s="20"/>
      <c r="R864" s="20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 spans="4:49" ht="15" thickBot="1" x14ac:dyDescent="0.35">
      <c r="D865" s="2">
        <f t="shared" si="53"/>
        <v>859</v>
      </c>
      <c r="E865" s="6">
        <v>6.9900307204480958</v>
      </c>
      <c r="F865" s="24"/>
      <c r="G865" s="24"/>
      <c r="H865" s="24"/>
      <c r="I865" s="24"/>
      <c r="J865" s="3"/>
      <c r="K865" s="8"/>
      <c r="L865" s="8"/>
      <c r="M865" s="8"/>
      <c r="N865" s="22"/>
      <c r="O865" s="9"/>
      <c r="P865" s="20"/>
      <c r="Q865" s="20"/>
      <c r="R865" s="20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 spans="4:49" ht="15" thickBot="1" x14ac:dyDescent="0.35">
      <c r="D866" s="2">
        <f t="shared" si="53"/>
        <v>860</v>
      </c>
      <c r="E866" s="6">
        <v>0.25311681458137925</v>
      </c>
      <c r="F866" s="24"/>
      <c r="G866" s="24"/>
      <c r="H866" s="24"/>
      <c r="I866" s="24"/>
      <c r="J866" s="3"/>
      <c r="K866" s="8"/>
      <c r="L866" s="8"/>
      <c r="M866" s="8"/>
      <c r="N866" s="13"/>
      <c r="O866" s="9"/>
      <c r="P866" s="20"/>
      <c r="Q866" s="20"/>
      <c r="R866" s="20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 spans="4:49" ht="15" thickBot="1" x14ac:dyDescent="0.35">
      <c r="D867" s="2">
        <f t="shared" si="53"/>
        <v>861</v>
      </c>
      <c r="E867" s="6">
        <v>1.2533627568956089</v>
      </c>
      <c r="F867" s="24"/>
      <c r="G867" s="24"/>
      <c r="H867" s="24"/>
      <c r="I867" s="24"/>
      <c r="J867" s="3"/>
      <c r="K867" s="8"/>
      <c r="L867" s="8"/>
      <c r="M867" s="8"/>
      <c r="N867" s="13"/>
      <c r="O867" s="9"/>
      <c r="P867" s="20"/>
      <c r="Q867" s="20"/>
      <c r="R867" s="20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 spans="4:49" ht="15" thickBot="1" x14ac:dyDescent="0.35">
      <c r="D868" s="2">
        <f t="shared" si="53"/>
        <v>862</v>
      </c>
      <c r="E868" s="6">
        <v>8.2141251512941302</v>
      </c>
      <c r="F868" s="24"/>
      <c r="G868" s="24"/>
      <c r="H868" s="24"/>
      <c r="I868" s="24"/>
      <c r="J868" s="3"/>
      <c r="K868" s="8"/>
      <c r="L868" s="8"/>
      <c r="M868" s="8"/>
      <c r="N868" s="22"/>
      <c r="O868" s="9"/>
      <c r="P868" s="20"/>
      <c r="Q868" s="20"/>
      <c r="R868" s="20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 spans="4:49" ht="15" thickBot="1" x14ac:dyDescent="0.35">
      <c r="D869" s="2">
        <f t="shared" si="53"/>
        <v>863</v>
      </c>
      <c r="E869" s="6">
        <v>1.7334614848992553</v>
      </c>
      <c r="F869" s="24"/>
      <c r="G869" s="24"/>
      <c r="H869" s="24"/>
      <c r="I869" s="24"/>
      <c r="J869" s="3"/>
      <c r="K869" s="8"/>
      <c r="L869" s="8"/>
      <c r="M869" s="8"/>
      <c r="N869" s="13"/>
      <c r="O869" s="9"/>
      <c r="P869" s="20"/>
      <c r="Q869" s="20"/>
      <c r="R869" s="20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 spans="4:49" ht="15" thickBot="1" x14ac:dyDescent="0.35">
      <c r="D870" s="2">
        <f t="shared" si="53"/>
        <v>864</v>
      </c>
      <c r="E870" s="6">
        <v>0.19741421990422328</v>
      </c>
      <c r="F870" s="24"/>
      <c r="G870" s="24"/>
      <c r="H870" s="24"/>
      <c r="I870" s="24"/>
      <c r="J870" s="3"/>
      <c r="K870" s="8"/>
      <c r="L870" s="8"/>
      <c r="M870" s="8"/>
      <c r="N870" s="22"/>
      <c r="O870" s="9"/>
      <c r="P870" s="20"/>
      <c r="Q870" s="20"/>
      <c r="R870" s="20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 spans="4:49" ht="15" thickBot="1" x14ac:dyDescent="0.35">
      <c r="D871" s="2">
        <f t="shared" si="53"/>
        <v>865</v>
      </c>
      <c r="E871" s="6">
        <v>3.4359584274387998</v>
      </c>
      <c r="F871" s="24"/>
      <c r="G871" s="24"/>
      <c r="H871" s="24"/>
      <c r="I871" s="24"/>
      <c r="J871" s="3"/>
      <c r="K871" s="8"/>
      <c r="L871" s="8"/>
      <c r="M871" s="8"/>
      <c r="N871" s="13"/>
      <c r="O871" s="9"/>
      <c r="P871" s="20"/>
      <c r="Q871" s="20"/>
      <c r="R871" s="20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 spans="4:49" ht="15" thickBot="1" x14ac:dyDescent="0.35">
      <c r="D872" s="2">
        <f t="shared" si="53"/>
        <v>866</v>
      </c>
      <c r="E872" s="6">
        <v>3.3266774449989307</v>
      </c>
      <c r="F872" s="24"/>
      <c r="G872" s="24"/>
      <c r="H872" s="24"/>
      <c r="I872" s="24"/>
      <c r="J872" s="3"/>
      <c r="K872" s="8"/>
      <c r="L872" s="8"/>
      <c r="M872" s="8"/>
      <c r="N872" s="13"/>
      <c r="O872" s="9"/>
      <c r="P872" s="20"/>
      <c r="Q872" s="20"/>
      <c r="R872" s="20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 spans="4:49" ht="15" thickBot="1" x14ac:dyDescent="0.35">
      <c r="D873" s="2">
        <f t="shared" si="53"/>
        <v>867</v>
      </c>
      <c r="E873" s="6">
        <v>0.50902457865395423</v>
      </c>
      <c r="F873" s="24"/>
      <c r="G873" s="24"/>
      <c r="H873" s="24"/>
      <c r="I873" s="24"/>
      <c r="J873" s="3"/>
      <c r="K873" s="8"/>
      <c r="L873" s="8"/>
      <c r="M873" s="8"/>
      <c r="N873" s="22"/>
      <c r="O873" s="9"/>
      <c r="P873" s="20"/>
      <c r="Q873" s="20"/>
      <c r="R873" s="20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 spans="4:49" ht="15" thickBot="1" x14ac:dyDescent="0.35">
      <c r="D874" s="2">
        <f t="shared" si="53"/>
        <v>868</v>
      </c>
      <c r="E874" s="6">
        <v>2.7462954663345567</v>
      </c>
      <c r="F874" s="24"/>
      <c r="G874" s="24"/>
      <c r="H874" s="24"/>
      <c r="I874" s="24"/>
      <c r="J874" s="3"/>
      <c r="K874" s="8"/>
      <c r="L874" s="8"/>
      <c r="M874" s="8"/>
      <c r="N874" s="13"/>
      <c r="O874" s="9"/>
      <c r="P874" s="20"/>
      <c r="Q874" s="20"/>
      <c r="R874" s="20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 spans="4:49" ht="15" thickBot="1" x14ac:dyDescent="0.35">
      <c r="D875" s="2">
        <f t="shared" si="53"/>
        <v>869</v>
      </c>
      <c r="E875" s="6">
        <v>2.3554793503458624</v>
      </c>
      <c r="F875" s="24"/>
      <c r="G875" s="24"/>
      <c r="H875" s="24"/>
      <c r="I875" s="24"/>
      <c r="J875" s="3"/>
      <c r="K875" s="8"/>
      <c r="L875" s="8"/>
      <c r="M875" s="8"/>
      <c r="N875" s="22"/>
      <c r="O875" s="9"/>
      <c r="P875" s="20"/>
      <c r="Q875" s="20"/>
      <c r="R875" s="20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 spans="4:49" ht="15" thickBot="1" x14ac:dyDescent="0.35">
      <c r="D876" s="2">
        <f t="shared" si="53"/>
        <v>870</v>
      </c>
      <c r="E876" s="6">
        <v>0.91529889896916239</v>
      </c>
      <c r="F876" s="24"/>
      <c r="G876" s="24"/>
      <c r="H876" s="24"/>
      <c r="I876" s="24"/>
      <c r="J876" s="3"/>
      <c r="K876" s="8"/>
      <c r="L876" s="8"/>
      <c r="M876" s="8"/>
      <c r="N876" s="13"/>
      <c r="O876" s="9"/>
      <c r="P876" s="20"/>
      <c r="Q876" s="20"/>
      <c r="R876" s="20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 spans="4:49" ht="15" thickBot="1" x14ac:dyDescent="0.35">
      <c r="D877" s="2">
        <f t="shared" si="53"/>
        <v>871</v>
      </c>
      <c r="E877" s="6">
        <v>5.238858165260976</v>
      </c>
      <c r="F877" s="24"/>
      <c r="G877" s="24"/>
      <c r="H877" s="24"/>
      <c r="I877" s="24"/>
      <c r="J877" s="3"/>
      <c r="K877" s="8"/>
      <c r="L877" s="8"/>
      <c r="M877" s="8"/>
      <c r="N877" s="13"/>
      <c r="O877" s="9"/>
      <c r="P877" s="20"/>
      <c r="Q877" s="20"/>
      <c r="R877" s="20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 spans="4:49" ht="15" thickBot="1" x14ac:dyDescent="0.35">
      <c r="D878" s="2">
        <f t="shared" si="53"/>
        <v>872</v>
      </c>
      <c r="E878" s="6">
        <v>0.62461324726025869</v>
      </c>
      <c r="F878" s="24"/>
      <c r="G878" s="24"/>
      <c r="H878" s="24"/>
      <c r="I878" s="24"/>
      <c r="J878" s="3"/>
      <c r="K878" s="8"/>
      <c r="L878" s="8"/>
      <c r="M878" s="8"/>
      <c r="N878" s="22"/>
      <c r="O878" s="9"/>
      <c r="P878" s="20"/>
      <c r="Q878" s="20"/>
      <c r="R878" s="20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 spans="4:49" ht="15" thickBot="1" x14ac:dyDescent="0.35">
      <c r="D879" s="2">
        <f t="shared" si="53"/>
        <v>873</v>
      </c>
      <c r="E879" s="6">
        <v>0.21362292427419774</v>
      </c>
      <c r="F879" s="24"/>
      <c r="G879" s="24"/>
      <c r="H879" s="24"/>
      <c r="I879" s="24"/>
      <c r="J879" s="3"/>
      <c r="K879" s="8"/>
      <c r="L879" s="8"/>
      <c r="M879" s="8"/>
      <c r="N879" s="13"/>
      <c r="O879" s="9"/>
      <c r="P879" s="20"/>
      <c r="Q879" s="20"/>
      <c r="R879" s="20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 spans="4:49" ht="15" thickBot="1" x14ac:dyDescent="0.35">
      <c r="D880" s="2">
        <f t="shared" si="53"/>
        <v>874</v>
      </c>
      <c r="E880" s="6">
        <v>1.8593175936770454</v>
      </c>
      <c r="F880" s="24"/>
      <c r="G880" s="24"/>
      <c r="H880" s="24"/>
      <c r="I880" s="24"/>
      <c r="J880" s="3"/>
      <c r="K880" s="8"/>
      <c r="L880" s="8"/>
      <c r="M880" s="8"/>
      <c r="N880" s="22"/>
      <c r="O880" s="9"/>
      <c r="P880" s="20"/>
      <c r="Q880" s="20"/>
      <c r="R880" s="20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 spans="4:49" ht="15" thickBot="1" x14ac:dyDescent="0.35">
      <c r="D881" s="2">
        <f t="shared" si="53"/>
        <v>875</v>
      </c>
      <c r="E881" s="6">
        <v>1.2203637084286731</v>
      </c>
      <c r="F881" s="24"/>
      <c r="G881" s="24"/>
      <c r="H881" s="24"/>
      <c r="I881" s="24"/>
      <c r="J881" s="3"/>
      <c r="K881" s="8"/>
      <c r="L881" s="8"/>
      <c r="M881" s="8"/>
      <c r="N881" s="13"/>
      <c r="O881" s="9"/>
      <c r="P881" s="20"/>
      <c r="Q881" s="20"/>
      <c r="R881" s="20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 spans="4:49" ht="15" thickBot="1" x14ac:dyDescent="0.35">
      <c r="D882" s="2">
        <f t="shared" si="53"/>
        <v>876</v>
      </c>
      <c r="E882" s="6">
        <v>5.3201181715996011</v>
      </c>
      <c r="F882" s="24"/>
      <c r="G882" s="24"/>
      <c r="H882" s="24"/>
      <c r="I882" s="24"/>
      <c r="J882" s="3"/>
      <c r="K882" s="8"/>
      <c r="L882" s="8"/>
      <c r="M882" s="8"/>
      <c r="N882" s="13"/>
      <c r="O882" s="9"/>
      <c r="P882" s="20"/>
      <c r="Q882" s="20"/>
      <c r="R882" s="20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 spans="4:49" ht="15" thickBot="1" x14ac:dyDescent="0.35">
      <c r="D883" s="2">
        <f t="shared" si="53"/>
        <v>877</v>
      </c>
      <c r="E883" s="6">
        <v>0.79145795218853754</v>
      </c>
      <c r="F883" s="24"/>
      <c r="G883" s="24"/>
      <c r="H883" s="24"/>
      <c r="I883" s="24"/>
      <c r="J883" s="3"/>
      <c r="K883" s="8"/>
      <c r="L883" s="8"/>
      <c r="M883" s="8"/>
      <c r="N883" s="22"/>
      <c r="O883" s="9"/>
      <c r="P883" s="20"/>
      <c r="Q883" s="20"/>
      <c r="R883" s="20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 spans="4:49" ht="15" thickBot="1" x14ac:dyDescent="0.35">
      <c r="D884" s="2">
        <f t="shared" si="53"/>
        <v>878</v>
      </c>
      <c r="E884" s="6">
        <v>0.69076630916474591</v>
      </c>
      <c r="F884" s="24"/>
      <c r="G884" s="24"/>
      <c r="H884" s="24"/>
      <c r="I884" s="24"/>
      <c r="J884" s="3"/>
      <c r="K884" s="8"/>
      <c r="L884" s="8"/>
      <c r="M884" s="8"/>
      <c r="N884" s="13"/>
      <c r="O884" s="9"/>
      <c r="P884" s="20"/>
      <c r="Q884" s="20"/>
      <c r="R884" s="20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 spans="4:49" ht="15" thickBot="1" x14ac:dyDescent="0.35">
      <c r="D885" s="2">
        <f t="shared" si="53"/>
        <v>879</v>
      </c>
      <c r="E885" s="6">
        <v>9.302203795576597</v>
      </c>
      <c r="F885" s="24"/>
      <c r="G885" s="24"/>
      <c r="H885" s="24"/>
      <c r="I885" s="24"/>
      <c r="J885" s="3"/>
      <c r="K885" s="8"/>
      <c r="L885" s="8"/>
      <c r="M885" s="8"/>
      <c r="N885" s="22"/>
      <c r="O885" s="9"/>
      <c r="P885" s="20"/>
      <c r="Q885" s="20"/>
      <c r="R885" s="20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 spans="4:49" ht="15" thickBot="1" x14ac:dyDescent="0.35">
      <c r="D886" s="2">
        <f t="shared" si="53"/>
        <v>880</v>
      </c>
      <c r="E886" s="6">
        <v>1.6126492802317309</v>
      </c>
      <c r="F886" s="24"/>
      <c r="G886" s="24"/>
      <c r="H886" s="24"/>
      <c r="I886" s="24"/>
      <c r="J886" s="3"/>
      <c r="K886" s="8"/>
      <c r="L886" s="8"/>
      <c r="M886" s="8"/>
      <c r="N886" s="13"/>
      <c r="O886" s="9"/>
      <c r="P886" s="20"/>
      <c r="Q886" s="20"/>
      <c r="R886" s="20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 spans="4:49" ht="15" thickBot="1" x14ac:dyDescent="0.35">
      <c r="D887" s="2">
        <f t="shared" si="53"/>
        <v>881</v>
      </c>
      <c r="E887" s="6">
        <v>6.2925618406157451</v>
      </c>
      <c r="F887" s="24"/>
      <c r="G887" s="24"/>
      <c r="H887" s="24"/>
      <c r="I887" s="24"/>
      <c r="J887" s="3"/>
      <c r="K887" s="8"/>
      <c r="L887" s="8"/>
      <c r="M887" s="8"/>
      <c r="N887" s="13"/>
      <c r="O887" s="9"/>
      <c r="P887" s="20"/>
      <c r="Q887" s="20"/>
      <c r="R887" s="20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 spans="4:49" ht="15" thickBot="1" x14ac:dyDescent="0.35">
      <c r="D888" s="2">
        <f t="shared" si="53"/>
        <v>882</v>
      </c>
      <c r="E888" s="6">
        <v>5.091431648643395</v>
      </c>
      <c r="F888" s="24"/>
      <c r="G888" s="24"/>
      <c r="H888" s="24"/>
      <c r="I888" s="24"/>
      <c r="J888" s="3"/>
      <c r="K888" s="8"/>
      <c r="L888" s="8"/>
      <c r="M888" s="8"/>
      <c r="N888" s="22"/>
      <c r="O888" s="9"/>
      <c r="P888" s="20"/>
      <c r="Q888" s="20"/>
      <c r="R888" s="20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 spans="4:49" ht="15" thickBot="1" x14ac:dyDescent="0.35">
      <c r="D889" s="2">
        <f t="shared" si="53"/>
        <v>883</v>
      </c>
      <c r="E889" s="6">
        <v>1.4468470165936329</v>
      </c>
      <c r="F889" s="24"/>
      <c r="G889" s="24"/>
      <c r="H889" s="24"/>
      <c r="I889" s="24"/>
      <c r="J889" s="3"/>
      <c r="K889" s="8"/>
      <c r="L889" s="8"/>
      <c r="M889" s="8"/>
      <c r="N889" s="13"/>
      <c r="O889" s="9"/>
      <c r="P889" s="20"/>
      <c r="Q889" s="20"/>
      <c r="R889" s="20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 spans="4:49" ht="15" thickBot="1" x14ac:dyDescent="0.35">
      <c r="D890" s="2">
        <f t="shared" si="53"/>
        <v>884</v>
      </c>
      <c r="E890" s="6">
        <v>6.2991327010216631</v>
      </c>
      <c r="F890" s="24"/>
      <c r="G890" s="24"/>
      <c r="H890" s="24"/>
      <c r="I890" s="24"/>
      <c r="J890" s="3"/>
      <c r="K890" s="8"/>
      <c r="L890" s="8"/>
      <c r="M890" s="8"/>
      <c r="N890" s="22"/>
      <c r="O890" s="9"/>
      <c r="P890" s="20"/>
      <c r="Q890" s="20"/>
      <c r="R890" s="20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 spans="4:49" ht="15" thickBot="1" x14ac:dyDescent="0.35">
      <c r="D891" s="2">
        <f t="shared" si="53"/>
        <v>885</v>
      </c>
      <c r="E891" s="6">
        <v>2.0149359777377751</v>
      </c>
      <c r="F891" s="24"/>
      <c r="G891" s="24"/>
      <c r="H891" s="24"/>
      <c r="I891" s="24"/>
      <c r="J891" s="3"/>
      <c r="K891" s="8"/>
      <c r="L891" s="8"/>
      <c r="M891" s="8"/>
      <c r="N891" s="13"/>
      <c r="O891" s="9"/>
      <c r="P891" s="20"/>
      <c r="Q891" s="20"/>
      <c r="R891" s="20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 spans="4:49" ht="15" thickBot="1" x14ac:dyDescent="0.35">
      <c r="D892" s="2">
        <f t="shared" si="53"/>
        <v>886</v>
      </c>
      <c r="E892" s="6">
        <v>2.9849115552900041</v>
      </c>
      <c r="F892" s="24"/>
      <c r="G892" s="24"/>
      <c r="H892" s="24"/>
      <c r="I892" s="24"/>
      <c r="J892" s="3"/>
      <c r="K892" s="8"/>
      <c r="L892" s="8"/>
      <c r="M892" s="8"/>
      <c r="N892" s="13"/>
      <c r="O892" s="9"/>
      <c r="P892" s="20"/>
      <c r="Q892" s="20"/>
      <c r="R892" s="20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 spans="4:49" ht="15" thickBot="1" x14ac:dyDescent="0.35">
      <c r="D893" s="2">
        <f t="shared" si="53"/>
        <v>887</v>
      </c>
      <c r="E893" s="6">
        <v>1.6434870908420651</v>
      </c>
      <c r="F893" s="24"/>
      <c r="G893" s="24"/>
      <c r="H893" s="24"/>
      <c r="I893" s="24"/>
      <c r="J893" s="3"/>
      <c r="K893" s="8"/>
      <c r="L893" s="8"/>
      <c r="M893" s="8"/>
      <c r="N893" s="22"/>
      <c r="O893" s="9"/>
      <c r="P893" s="20"/>
      <c r="Q893" s="20"/>
      <c r="R893" s="20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 spans="4:49" ht="15" thickBot="1" x14ac:dyDescent="0.35">
      <c r="D894" s="2">
        <f t="shared" si="53"/>
        <v>888</v>
      </c>
      <c r="E894" s="6">
        <v>0.57563969893901079</v>
      </c>
      <c r="F894" s="24"/>
      <c r="G894" s="24"/>
      <c r="H894" s="24"/>
      <c r="I894" s="24"/>
      <c r="J894" s="3"/>
      <c r="K894" s="8"/>
      <c r="L894" s="8"/>
      <c r="M894" s="8"/>
      <c r="N894" s="13"/>
      <c r="O894" s="9"/>
      <c r="P894" s="20"/>
      <c r="Q894" s="20"/>
      <c r="R894" s="20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 spans="4:49" ht="15" thickBot="1" x14ac:dyDescent="0.35">
      <c r="D895" s="2">
        <f t="shared" si="53"/>
        <v>889</v>
      </c>
      <c r="E895" s="6">
        <v>0.7092072623094785</v>
      </c>
      <c r="F895" s="24"/>
      <c r="G895" s="24"/>
      <c r="H895" s="24"/>
      <c r="I895" s="24"/>
      <c r="J895" s="3"/>
      <c r="K895" s="8"/>
      <c r="L895" s="8"/>
      <c r="M895" s="8"/>
      <c r="N895" s="22"/>
      <c r="O895" s="9"/>
      <c r="P895" s="20"/>
      <c r="Q895" s="20"/>
      <c r="R895" s="20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 spans="4:49" ht="15" thickBot="1" x14ac:dyDescent="0.35">
      <c r="D896" s="2">
        <f t="shared" si="53"/>
        <v>890</v>
      </c>
      <c r="E896" s="6">
        <v>7.6008694835569219</v>
      </c>
      <c r="F896" s="24"/>
      <c r="G896" s="24"/>
      <c r="H896" s="24"/>
      <c r="I896" s="24"/>
      <c r="J896" s="3"/>
      <c r="K896" s="8"/>
      <c r="L896" s="8"/>
      <c r="M896" s="8"/>
      <c r="N896" s="13"/>
      <c r="O896" s="9"/>
      <c r="P896" s="20"/>
      <c r="Q896" s="20"/>
      <c r="R896" s="20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 spans="4:49" ht="15" thickBot="1" x14ac:dyDescent="0.35">
      <c r="D897" s="2">
        <f t="shared" si="53"/>
        <v>891</v>
      </c>
      <c r="E897" s="6">
        <v>3.6820534074139366</v>
      </c>
      <c r="F897" s="24"/>
      <c r="G897" s="24"/>
      <c r="H897" s="24"/>
      <c r="I897" s="24"/>
      <c r="J897" s="3"/>
      <c r="K897" s="8"/>
      <c r="L897" s="8"/>
      <c r="M897" s="8"/>
      <c r="N897" s="13"/>
      <c r="O897" s="9"/>
      <c r="P897" s="20"/>
      <c r="Q897" s="20"/>
      <c r="R897" s="20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 spans="4:49" ht="15" thickBot="1" x14ac:dyDescent="0.35">
      <c r="D898" s="2">
        <f t="shared" si="53"/>
        <v>892</v>
      </c>
      <c r="E898" s="6">
        <v>1.2940644827451999</v>
      </c>
      <c r="F898" s="24"/>
      <c r="G898" s="24"/>
      <c r="H898" s="24"/>
      <c r="I898" s="24"/>
      <c r="J898" s="3"/>
      <c r="K898" s="8"/>
      <c r="L898" s="8"/>
      <c r="M898" s="8"/>
      <c r="N898" s="22"/>
      <c r="O898" s="9"/>
      <c r="P898" s="20"/>
      <c r="Q898" s="20"/>
      <c r="R898" s="20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 spans="4:49" ht="15" thickBot="1" x14ac:dyDescent="0.35">
      <c r="D899" s="2">
        <f t="shared" si="53"/>
        <v>893</v>
      </c>
      <c r="E899" s="6">
        <v>1.5616380963927359</v>
      </c>
      <c r="F899" s="24"/>
      <c r="G899" s="24"/>
      <c r="H899" s="24"/>
      <c r="I899" s="24"/>
      <c r="J899" s="3"/>
      <c r="K899" s="8"/>
      <c r="L899" s="8"/>
      <c r="M899" s="8"/>
      <c r="N899" s="13"/>
      <c r="O899" s="9"/>
      <c r="P899" s="20"/>
      <c r="Q899" s="20"/>
      <c r="R899" s="20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 spans="4:49" ht="15" thickBot="1" x14ac:dyDescent="0.35">
      <c r="D900" s="2">
        <f t="shared" si="53"/>
        <v>894</v>
      </c>
      <c r="E900" s="6">
        <v>3.0309316965794446</v>
      </c>
      <c r="F900" s="24"/>
      <c r="G900" s="24"/>
      <c r="H900" s="24"/>
      <c r="I900" s="24"/>
      <c r="J900" s="3"/>
      <c r="K900" s="8"/>
      <c r="L900" s="8"/>
      <c r="M900" s="8"/>
      <c r="N900" s="22"/>
      <c r="O900" s="9"/>
      <c r="P900" s="20"/>
      <c r="Q900" s="20"/>
      <c r="R900" s="20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 spans="4:49" ht="15" thickBot="1" x14ac:dyDescent="0.35">
      <c r="D901" s="2">
        <f t="shared" si="53"/>
        <v>895</v>
      </c>
      <c r="E901" s="6">
        <v>1.9186253057165319</v>
      </c>
      <c r="F901" s="24"/>
      <c r="G901" s="24"/>
      <c r="H901" s="24"/>
      <c r="I901" s="24"/>
      <c r="J901" s="3"/>
      <c r="K901" s="8"/>
      <c r="L901" s="8"/>
      <c r="M901" s="8"/>
      <c r="N901" s="13"/>
      <c r="O901" s="9"/>
      <c r="P901" s="20"/>
      <c r="Q901" s="20"/>
      <c r="R901" s="20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 spans="4:49" ht="15" thickBot="1" x14ac:dyDescent="0.35">
      <c r="D902" s="2">
        <f t="shared" si="53"/>
        <v>896</v>
      </c>
      <c r="E902" s="6">
        <v>2.3168863098845125</v>
      </c>
      <c r="F902" s="24"/>
      <c r="G902" s="24"/>
      <c r="H902" s="24"/>
      <c r="I902" s="24"/>
      <c r="J902" s="3"/>
      <c r="K902" s="8"/>
      <c r="L902" s="8"/>
      <c r="M902" s="8"/>
      <c r="N902" s="13"/>
      <c r="O902" s="9"/>
      <c r="P902" s="20"/>
      <c r="Q902" s="20"/>
      <c r="R902" s="20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 spans="4:49" ht="15" thickBot="1" x14ac:dyDescent="0.35">
      <c r="D903" s="2">
        <f t="shared" ref="D903:D966" si="54">ROW()-6</f>
        <v>897</v>
      </c>
      <c r="E903" s="6">
        <v>8.4864460544799414</v>
      </c>
      <c r="F903" s="24"/>
      <c r="G903" s="24"/>
      <c r="H903" s="24"/>
      <c r="I903" s="24"/>
      <c r="J903" s="3"/>
      <c r="K903" s="8"/>
      <c r="L903" s="8"/>
      <c r="M903" s="8"/>
      <c r="N903" s="22"/>
      <c r="O903" s="9"/>
      <c r="P903" s="20"/>
      <c r="Q903" s="20"/>
      <c r="R903" s="20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 spans="4:49" ht="15" thickBot="1" x14ac:dyDescent="0.35">
      <c r="D904" s="2">
        <f t="shared" si="54"/>
        <v>898</v>
      </c>
      <c r="E904" s="6">
        <v>4.1993424992168782</v>
      </c>
      <c r="F904" s="24"/>
      <c r="G904" s="24"/>
      <c r="H904" s="24"/>
      <c r="I904" s="24"/>
      <c r="J904" s="3"/>
      <c r="K904" s="8"/>
      <c r="L904" s="8"/>
      <c r="M904" s="8"/>
      <c r="N904" s="13"/>
      <c r="O904" s="9"/>
      <c r="P904" s="20"/>
      <c r="Q904" s="20"/>
      <c r="R904" s="20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 spans="4:49" ht="15" thickBot="1" x14ac:dyDescent="0.35">
      <c r="D905" s="2">
        <f t="shared" si="54"/>
        <v>899</v>
      </c>
      <c r="E905" s="6">
        <v>5.9163490713984377</v>
      </c>
      <c r="F905" s="24"/>
      <c r="G905" s="24"/>
      <c r="H905" s="24"/>
      <c r="I905" s="24"/>
      <c r="J905" s="3"/>
      <c r="K905" s="8"/>
      <c r="L905" s="8"/>
      <c r="M905" s="8"/>
      <c r="N905" s="22"/>
      <c r="O905" s="9"/>
      <c r="P905" s="20"/>
      <c r="Q905" s="20"/>
      <c r="R905" s="20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 spans="4:49" ht="15" thickBot="1" x14ac:dyDescent="0.35">
      <c r="D906" s="2">
        <f t="shared" si="54"/>
        <v>900</v>
      </c>
      <c r="E906" s="6">
        <v>7.6846050016581842</v>
      </c>
      <c r="F906" s="24"/>
      <c r="G906" s="24"/>
      <c r="H906" s="24"/>
      <c r="I906" s="24"/>
      <c r="J906" s="3"/>
      <c r="K906" s="8"/>
      <c r="L906" s="8"/>
      <c r="M906" s="8"/>
      <c r="N906" s="13"/>
      <c r="O906" s="9"/>
      <c r="P906" s="20"/>
      <c r="Q906" s="20"/>
      <c r="R906" s="20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 spans="4:49" ht="15" thickBot="1" x14ac:dyDescent="0.35">
      <c r="D907" s="2">
        <f t="shared" si="54"/>
        <v>901</v>
      </c>
      <c r="E907" s="6">
        <v>0.34697579813388457</v>
      </c>
      <c r="F907" s="24"/>
      <c r="G907" s="24"/>
      <c r="H907" s="24"/>
      <c r="I907" s="24"/>
      <c r="J907" s="3"/>
      <c r="K907" s="8"/>
      <c r="L907" s="8"/>
      <c r="M907" s="8"/>
      <c r="N907" s="13"/>
      <c r="O907" s="9"/>
      <c r="P907" s="20"/>
      <c r="Q907" s="20"/>
      <c r="R907" s="20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 spans="4:49" ht="15" thickBot="1" x14ac:dyDescent="0.35">
      <c r="D908" s="2">
        <f t="shared" si="54"/>
        <v>902</v>
      </c>
      <c r="E908" s="6">
        <v>12.385350410894544</v>
      </c>
      <c r="F908" s="24"/>
      <c r="G908" s="24"/>
      <c r="H908" s="24"/>
      <c r="I908" s="24"/>
      <c r="J908" s="3"/>
      <c r="K908" s="8"/>
      <c r="L908" s="8"/>
      <c r="M908" s="8"/>
      <c r="N908" s="22"/>
      <c r="O908" s="9"/>
      <c r="P908" s="20"/>
      <c r="Q908" s="20"/>
      <c r="R908" s="20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 spans="4:49" ht="15" thickBot="1" x14ac:dyDescent="0.35">
      <c r="D909" s="2">
        <f t="shared" si="54"/>
        <v>903</v>
      </c>
      <c r="E909" s="6">
        <v>0.52677820289249799</v>
      </c>
      <c r="F909" s="24"/>
      <c r="G909" s="24"/>
      <c r="H909" s="24"/>
      <c r="I909" s="24"/>
      <c r="J909" s="3"/>
      <c r="K909" s="8"/>
      <c r="L909" s="8"/>
      <c r="M909" s="8"/>
      <c r="N909" s="13"/>
      <c r="O909" s="9"/>
      <c r="P909" s="20"/>
      <c r="Q909" s="20"/>
      <c r="R909" s="20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 spans="4:49" ht="15" thickBot="1" x14ac:dyDescent="0.35">
      <c r="D910" s="2">
        <f t="shared" si="54"/>
        <v>904</v>
      </c>
      <c r="E910" s="6">
        <v>1.4931054112863638</v>
      </c>
      <c r="F910" s="24"/>
      <c r="G910" s="24"/>
      <c r="H910" s="24"/>
      <c r="I910" s="24"/>
      <c r="J910" s="3"/>
      <c r="K910" s="8"/>
      <c r="L910" s="8"/>
      <c r="M910" s="8"/>
      <c r="N910" s="22"/>
      <c r="O910" s="9"/>
      <c r="P910" s="20"/>
      <c r="Q910" s="20"/>
      <c r="R910" s="20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 spans="4:49" ht="15" thickBot="1" x14ac:dyDescent="0.35">
      <c r="D911" s="2">
        <f t="shared" si="54"/>
        <v>905</v>
      </c>
      <c r="E911" s="6">
        <v>11.664828700381353</v>
      </c>
      <c r="F911" s="24"/>
      <c r="G911" s="24"/>
      <c r="H911" s="24"/>
      <c r="I911" s="24"/>
      <c r="J911" s="3"/>
      <c r="K911" s="8"/>
      <c r="L911" s="8"/>
      <c r="M911" s="8"/>
      <c r="N911" s="13"/>
      <c r="O911" s="9"/>
      <c r="P911" s="20"/>
      <c r="Q911" s="20"/>
      <c r="R911" s="20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 spans="4:49" ht="15" thickBot="1" x14ac:dyDescent="0.35">
      <c r="D912" s="2">
        <f t="shared" si="54"/>
        <v>906</v>
      </c>
      <c r="E912" s="6">
        <v>0.34721088037743342</v>
      </c>
      <c r="F912" s="24"/>
      <c r="G912" s="24"/>
      <c r="H912" s="24"/>
      <c r="I912" s="24"/>
      <c r="J912" s="3"/>
      <c r="K912" s="8"/>
      <c r="L912" s="8"/>
      <c r="M912" s="8"/>
      <c r="N912" s="13"/>
      <c r="O912" s="9"/>
      <c r="P912" s="20"/>
      <c r="Q912" s="20"/>
      <c r="R912" s="20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 spans="4:49" ht="15" thickBot="1" x14ac:dyDescent="0.35">
      <c r="D913" s="2">
        <f t="shared" si="54"/>
        <v>907</v>
      </c>
      <c r="E913" s="6">
        <v>6.092354422940689</v>
      </c>
      <c r="F913" s="24"/>
      <c r="G913" s="24"/>
      <c r="H913" s="24"/>
      <c r="I913" s="24"/>
      <c r="J913" s="3"/>
      <c r="K913" s="8"/>
      <c r="L913" s="8"/>
      <c r="M913" s="8"/>
      <c r="N913" s="22"/>
      <c r="O913" s="9"/>
      <c r="P913" s="20"/>
      <c r="Q913" s="20"/>
      <c r="R913" s="20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 spans="4:49" ht="15" thickBot="1" x14ac:dyDescent="0.35">
      <c r="D914" s="2">
        <f t="shared" si="54"/>
        <v>908</v>
      </c>
      <c r="E914" s="6">
        <v>7.4170681950435267</v>
      </c>
      <c r="F914" s="24"/>
      <c r="G914" s="24"/>
      <c r="H914" s="24"/>
      <c r="I914" s="24"/>
      <c r="J914" s="3"/>
      <c r="K914" s="8"/>
      <c r="L914" s="8"/>
      <c r="M914" s="8"/>
      <c r="N914" s="13"/>
      <c r="O914" s="9"/>
      <c r="P914" s="20"/>
      <c r="Q914" s="20"/>
      <c r="R914" s="20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 spans="4:49" ht="15" thickBot="1" x14ac:dyDescent="0.35">
      <c r="D915" s="2">
        <f t="shared" si="54"/>
        <v>909</v>
      </c>
      <c r="E915" s="6">
        <v>12.550546615814522</v>
      </c>
      <c r="F915" s="24"/>
      <c r="G915" s="24"/>
      <c r="H915" s="24"/>
      <c r="I915" s="24"/>
      <c r="J915" s="3"/>
      <c r="K915" s="8"/>
      <c r="L915" s="8"/>
      <c r="M915" s="8"/>
      <c r="N915" s="22"/>
      <c r="O915" s="9"/>
      <c r="P915" s="20"/>
      <c r="Q915" s="20"/>
      <c r="R915" s="20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 spans="4:49" ht="15" thickBot="1" x14ac:dyDescent="0.35">
      <c r="D916" s="2">
        <f t="shared" si="54"/>
        <v>910</v>
      </c>
      <c r="E916" s="6">
        <v>8.3603608411017003</v>
      </c>
      <c r="F916" s="24"/>
      <c r="G916" s="24"/>
      <c r="H916" s="24"/>
      <c r="I916" s="24"/>
      <c r="J916" s="3"/>
      <c r="K916" s="8"/>
      <c r="L916" s="8"/>
      <c r="M916" s="8"/>
      <c r="N916" s="13"/>
      <c r="O916" s="9"/>
      <c r="P916" s="20"/>
      <c r="Q916" s="20"/>
      <c r="R916" s="20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 spans="4:49" ht="15" thickBot="1" x14ac:dyDescent="0.35">
      <c r="D917" s="2">
        <f t="shared" si="54"/>
        <v>911</v>
      </c>
      <c r="E917" s="6">
        <v>1.4209735049807855</v>
      </c>
      <c r="F917" s="24"/>
      <c r="G917" s="24"/>
      <c r="H917" s="24"/>
      <c r="I917" s="24"/>
      <c r="J917" s="3"/>
      <c r="K917" s="8"/>
      <c r="L917" s="8"/>
      <c r="M917" s="8"/>
      <c r="N917" s="13"/>
      <c r="O917" s="9"/>
      <c r="P917" s="20"/>
      <c r="Q917" s="20"/>
      <c r="R917" s="20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 spans="4:49" ht="15" thickBot="1" x14ac:dyDescent="0.35">
      <c r="D918" s="2">
        <f t="shared" si="54"/>
        <v>912</v>
      </c>
      <c r="E918" s="6">
        <v>10.029104694152059</v>
      </c>
      <c r="F918" s="24"/>
      <c r="G918" s="24"/>
      <c r="H918" s="24"/>
      <c r="I918" s="24"/>
      <c r="J918" s="3"/>
      <c r="K918" s="8"/>
      <c r="L918" s="8"/>
      <c r="M918" s="8"/>
      <c r="N918" s="22"/>
      <c r="O918" s="9"/>
      <c r="P918" s="20"/>
      <c r="Q918" s="20"/>
      <c r="R918" s="20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 spans="4:49" ht="15" thickBot="1" x14ac:dyDescent="0.35">
      <c r="D919" s="2">
        <f t="shared" si="54"/>
        <v>913</v>
      </c>
      <c r="E919" s="6">
        <v>4.6603575129401644</v>
      </c>
      <c r="F919" s="24"/>
      <c r="G919" s="24"/>
      <c r="H919" s="24"/>
      <c r="I919" s="24"/>
      <c r="J919" s="3"/>
      <c r="K919" s="8"/>
      <c r="L919" s="8"/>
      <c r="M919" s="8"/>
      <c r="N919" s="13"/>
      <c r="O919" s="9"/>
      <c r="P919" s="20"/>
      <c r="Q919" s="20"/>
      <c r="R919" s="20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 spans="4:49" ht="15" thickBot="1" x14ac:dyDescent="0.35">
      <c r="D920" s="2">
        <f t="shared" si="54"/>
        <v>914</v>
      </c>
      <c r="E920" s="6">
        <v>4.3184862214996702</v>
      </c>
      <c r="F920" s="24"/>
      <c r="G920" s="24"/>
      <c r="H920" s="24"/>
      <c r="I920" s="24"/>
      <c r="J920" s="3"/>
      <c r="K920" s="8"/>
      <c r="L920" s="8"/>
      <c r="M920" s="8"/>
      <c r="N920" s="22"/>
      <c r="O920" s="9"/>
      <c r="P920" s="20"/>
      <c r="Q920" s="20"/>
      <c r="R920" s="20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 spans="4:49" ht="15" thickBot="1" x14ac:dyDescent="0.35">
      <c r="D921" s="2">
        <f t="shared" si="54"/>
        <v>915</v>
      </c>
      <c r="E921" s="6">
        <v>3.5480159986518363</v>
      </c>
      <c r="F921" s="24"/>
      <c r="G921" s="24"/>
      <c r="H921" s="24"/>
      <c r="I921" s="24"/>
      <c r="J921" s="3"/>
      <c r="K921" s="8"/>
      <c r="L921" s="8"/>
      <c r="M921" s="8"/>
      <c r="N921" s="13"/>
      <c r="O921" s="9"/>
      <c r="P921" s="20"/>
      <c r="Q921" s="20"/>
      <c r="R921" s="20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 spans="4:49" ht="15" thickBot="1" x14ac:dyDescent="0.35">
      <c r="D922" s="2">
        <f t="shared" si="54"/>
        <v>916</v>
      </c>
      <c r="E922" s="6">
        <v>0.49302089357881712</v>
      </c>
      <c r="F922" s="24"/>
      <c r="G922" s="24"/>
      <c r="H922" s="24"/>
      <c r="I922" s="24"/>
      <c r="J922" s="3"/>
      <c r="K922" s="8"/>
      <c r="L922" s="8"/>
      <c r="M922" s="8"/>
      <c r="N922" s="13"/>
      <c r="O922" s="9"/>
      <c r="P922" s="20"/>
      <c r="Q922" s="20"/>
      <c r="R922" s="20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 spans="4:49" ht="15" thickBot="1" x14ac:dyDescent="0.35">
      <c r="D923" s="2">
        <f t="shared" si="54"/>
        <v>917</v>
      </c>
      <c r="E923" s="6">
        <v>3.4380344589610288</v>
      </c>
      <c r="F923" s="24"/>
      <c r="G923" s="24"/>
      <c r="H923" s="24"/>
      <c r="I923" s="24"/>
      <c r="J923" s="3"/>
      <c r="K923" s="8"/>
      <c r="L923" s="8"/>
      <c r="M923" s="8"/>
      <c r="N923" s="22"/>
      <c r="O923" s="9"/>
      <c r="P923" s="20"/>
      <c r="Q923" s="20"/>
      <c r="R923" s="20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 spans="4:49" ht="15" thickBot="1" x14ac:dyDescent="0.35">
      <c r="D924" s="2">
        <f t="shared" si="54"/>
        <v>918</v>
      </c>
      <c r="E924" s="6">
        <v>7.9887185534811991</v>
      </c>
      <c r="F924" s="24"/>
      <c r="G924" s="24"/>
      <c r="H924" s="24"/>
      <c r="I924" s="24"/>
      <c r="J924" s="3"/>
      <c r="K924" s="8"/>
      <c r="L924" s="8"/>
      <c r="M924" s="8"/>
      <c r="N924" s="13"/>
      <c r="O924" s="9"/>
      <c r="P924" s="20"/>
      <c r="Q924" s="20"/>
      <c r="R924" s="20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 spans="4:49" ht="15" thickBot="1" x14ac:dyDescent="0.35">
      <c r="D925" s="2">
        <f t="shared" si="54"/>
        <v>919</v>
      </c>
      <c r="E925" s="6">
        <v>0.3714383956856776</v>
      </c>
      <c r="F925" s="24"/>
      <c r="G925" s="24"/>
      <c r="H925" s="24"/>
      <c r="I925" s="24"/>
      <c r="J925" s="3"/>
      <c r="K925" s="8"/>
      <c r="L925" s="8"/>
      <c r="M925" s="8"/>
      <c r="N925" s="22"/>
      <c r="O925" s="9"/>
      <c r="P925" s="20"/>
      <c r="Q925" s="20"/>
      <c r="R925" s="20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 spans="4:49" ht="15" thickBot="1" x14ac:dyDescent="0.35">
      <c r="D926" s="2">
        <f t="shared" si="54"/>
        <v>920</v>
      </c>
      <c r="E926" s="6">
        <v>8.3039676698423683</v>
      </c>
      <c r="F926" s="24"/>
      <c r="G926" s="24"/>
      <c r="H926" s="24"/>
      <c r="I926" s="24"/>
      <c r="J926" s="3"/>
      <c r="K926" s="8"/>
      <c r="L926" s="8"/>
      <c r="M926" s="8"/>
      <c r="N926" s="13"/>
      <c r="O926" s="9"/>
      <c r="P926" s="20"/>
      <c r="Q926" s="20"/>
      <c r="R926" s="20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 spans="4:49" ht="15" thickBot="1" x14ac:dyDescent="0.35">
      <c r="D927" s="2">
        <f t="shared" si="54"/>
        <v>921</v>
      </c>
      <c r="E927" s="6">
        <v>6.7423564443337449</v>
      </c>
      <c r="F927" s="24"/>
      <c r="G927" s="24"/>
      <c r="H927" s="24"/>
      <c r="I927" s="24"/>
      <c r="J927" s="3"/>
      <c r="K927" s="8"/>
      <c r="L927" s="8"/>
      <c r="M927" s="8"/>
      <c r="N927" s="13"/>
      <c r="O927" s="9"/>
      <c r="P927" s="20"/>
      <c r="Q927" s="20"/>
      <c r="R927" s="20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 spans="4:49" ht="15" thickBot="1" x14ac:dyDescent="0.35">
      <c r="D928" s="2">
        <f t="shared" si="54"/>
        <v>922</v>
      </c>
      <c r="E928" s="6">
        <v>1.4032727960827194</v>
      </c>
      <c r="F928" s="24"/>
      <c r="G928" s="24"/>
      <c r="H928" s="24"/>
      <c r="I928" s="24"/>
      <c r="J928" s="3"/>
      <c r="K928" s="8"/>
      <c r="L928" s="8"/>
      <c r="M928" s="8"/>
      <c r="N928" s="22"/>
      <c r="O928" s="9"/>
      <c r="P928" s="20"/>
      <c r="Q928" s="20"/>
      <c r="R928" s="20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 spans="4:49" ht="15" thickBot="1" x14ac:dyDescent="0.35">
      <c r="D929" s="2">
        <f t="shared" si="54"/>
        <v>923</v>
      </c>
      <c r="E929" s="6">
        <v>1.7193645738555787</v>
      </c>
      <c r="F929" s="24"/>
      <c r="G929" s="24"/>
      <c r="H929" s="24"/>
      <c r="I929" s="24"/>
      <c r="J929" s="3"/>
      <c r="K929" s="8"/>
      <c r="L929" s="8"/>
      <c r="M929" s="8"/>
      <c r="N929" s="13"/>
      <c r="O929" s="9"/>
      <c r="P929" s="20"/>
      <c r="Q929" s="20"/>
      <c r="R929" s="20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 spans="4:49" ht="15" thickBot="1" x14ac:dyDescent="0.35">
      <c r="D930" s="2">
        <f t="shared" si="54"/>
        <v>924</v>
      </c>
      <c r="E930" s="6">
        <v>6.6458600756091943</v>
      </c>
      <c r="F930" s="24"/>
      <c r="G930" s="24"/>
      <c r="H930" s="24"/>
      <c r="I930" s="24"/>
      <c r="J930" s="3"/>
      <c r="K930" s="8"/>
      <c r="L930" s="8"/>
      <c r="M930" s="8"/>
      <c r="N930" s="22"/>
      <c r="O930" s="9"/>
      <c r="P930" s="20"/>
      <c r="Q930" s="20"/>
      <c r="R930" s="20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 spans="4:49" ht="15" thickBot="1" x14ac:dyDescent="0.35">
      <c r="D931" s="2">
        <f t="shared" si="54"/>
        <v>925</v>
      </c>
      <c r="E931" s="6">
        <v>0.71464075163653873</v>
      </c>
      <c r="F931" s="24"/>
      <c r="G931" s="24"/>
      <c r="H931" s="24"/>
      <c r="I931" s="24"/>
      <c r="J931" s="3"/>
      <c r="K931" s="8"/>
      <c r="L931" s="8"/>
      <c r="M931" s="8"/>
      <c r="N931" s="13"/>
      <c r="O931" s="9"/>
      <c r="P931" s="20"/>
      <c r="Q931" s="20"/>
      <c r="R931" s="20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 spans="4:49" ht="15" thickBot="1" x14ac:dyDescent="0.35">
      <c r="D932" s="2">
        <f t="shared" si="54"/>
        <v>926</v>
      </c>
      <c r="E932" s="6">
        <v>1.8646517272330834</v>
      </c>
      <c r="F932" s="24"/>
      <c r="G932" s="24"/>
      <c r="H932" s="24"/>
      <c r="I932" s="24"/>
      <c r="J932" s="3"/>
      <c r="K932" s="8"/>
      <c r="L932" s="8"/>
      <c r="M932" s="8"/>
      <c r="N932" s="13"/>
      <c r="O932" s="9"/>
      <c r="P932" s="20"/>
      <c r="Q932" s="20"/>
      <c r="R932" s="20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 spans="4:49" ht="15" thickBot="1" x14ac:dyDescent="0.35">
      <c r="D933" s="2">
        <f t="shared" si="54"/>
        <v>927</v>
      </c>
      <c r="E933" s="6">
        <v>2.9441155211304983</v>
      </c>
      <c r="F933" s="24"/>
      <c r="G933" s="24"/>
      <c r="H933" s="24"/>
      <c r="I933" s="24"/>
      <c r="J933" s="3"/>
      <c r="K933" s="8"/>
      <c r="L933" s="8"/>
      <c r="M933" s="8"/>
      <c r="N933" s="22"/>
      <c r="O933" s="9"/>
      <c r="P933" s="20"/>
      <c r="Q933" s="20"/>
      <c r="R933" s="20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 spans="4:49" ht="15" thickBot="1" x14ac:dyDescent="0.35">
      <c r="D934" s="2">
        <f t="shared" si="54"/>
        <v>928</v>
      </c>
      <c r="E934" s="6">
        <v>2.5899393114275169</v>
      </c>
      <c r="F934" s="24"/>
      <c r="G934" s="24"/>
      <c r="H934" s="24"/>
      <c r="I934" s="24"/>
      <c r="J934" s="3"/>
      <c r="K934" s="8"/>
      <c r="L934" s="8"/>
      <c r="M934" s="8"/>
      <c r="N934" s="13"/>
      <c r="O934" s="9"/>
      <c r="P934" s="20"/>
      <c r="Q934" s="20"/>
      <c r="R934" s="20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 spans="4:49" ht="15" thickBot="1" x14ac:dyDescent="0.35">
      <c r="D935" s="2">
        <f t="shared" si="54"/>
        <v>929</v>
      </c>
      <c r="E935" s="6">
        <v>4.9062562457908667</v>
      </c>
      <c r="F935" s="24"/>
      <c r="G935" s="24"/>
      <c r="H935" s="24"/>
      <c r="I935" s="24"/>
      <c r="J935" s="3"/>
      <c r="K935" s="8"/>
      <c r="L935" s="8"/>
      <c r="M935" s="8"/>
      <c r="N935" s="22"/>
      <c r="O935" s="9"/>
      <c r="P935" s="20"/>
      <c r="Q935" s="20"/>
      <c r="R935" s="20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 spans="4:49" ht="15" thickBot="1" x14ac:dyDescent="0.35">
      <c r="D936" s="2">
        <f t="shared" si="54"/>
        <v>930</v>
      </c>
      <c r="E936" s="6">
        <v>0.23964831673739928</v>
      </c>
      <c r="F936" s="24"/>
      <c r="G936" s="24"/>
      <c r="H936" s="24"/>
      <c r="I936" s="24"/>
      <c r="J936" s="3"/>
      <c r="K936" s="8"/>
      <c r="L936" s="8"/>
      <c r="M936" s="8"/>
      <c r="N936" s="13"/>
      <c r="O936" s="9"/>
      <c r="P936" s="20"/>
      <c r="Q936" s="20"/>
      <c r="R936" s="20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 spans="4:49" ht="15" thickBot="1" x14ac:dyDescent="0.35">
      <c r="D937" s="2">
        <f t="shared" si="54"/>
        <v>931</v>
      </c>
      <c r="E937" s="6">
        <v>7.0849610263657956</v>
      </c>
      <c r="F937" s="24"/>
      <c r="G937" s="24"/>
      <c r="H937" s="24"/>
      <c r="I937" s="24"/>
      <c r="J937" s="3"/>
      <c r="K937" s="8"/>
      <c r="L937" s="8"/>
      <c r="M937" s="8"/>
      <c r="N937" s="13"/>
      <c r="O937" s="9"/>
      <c r="P937" s="20"/>
      <c r="Q937" s="20"/>
      <c r="R937" s="20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 spans="4:49" ht="15" thickBot="1" x14ac:dyDescent="0.35">
      <c r="D938" s="2">
        <f t="shared" si="54"/>
        <v>932</v>
      </c>
      <c r="E938" s="6">
        <v>10.691441443117329</v>
      </c>
      <c r="F938" s="24"/>
      <c r="G938" s="24"/>
      <c r="H938" s="24"/>
      <c r="I938" s="24"/>
      <c r="J938" s="3"/>
      <c r="K938" s="8"/>
      <c r="L938" s="8"/>
      <c r="M938" s="8"/>
      <c r="N938" s="22"/>
      <c r="O938" s="9"/>
      <c r="P938" s="20"/>
      <c r="Q938" s="20"/>
      <c r="R938" s="20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 spans="4:49" ht="15" thickBot="1" x14ac:dyDescent="0.35">
      <c r="D939" s="2">
        <f t="shared" si="54"/>
        <v>933</v>
      </c>
      <c r="E939" s="6">
        <v>5.4966014195649828</v>
      </c>
      <c r="F939" s="24"/>
      <c r="G939" s="24"/>
      <c r="H939" s="24"/>
      <c r="I939" s="24"/>
      <c r="J939" s="3"/>
      <c r="K939" s="8"/>
      <c r="L939" s="8"/>
      <c r="M939" s="8"/>
      <c r="N939" s="13"/>
      <c r="O939" s="9"/>
      <c r="P939" s="20"/>
      <c r="Q939" s="20"/>
      <c r="R939" s="20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 spans="4:49" ht="15" thickBot="1" x14ac:dyDescent="0.35">
      <c r="D940" s="2">
        <f t="shared" si="54"/>
        <v>934</v>
      </c>
      <c r="E940" s="6">
        <v>8.7524303137516721</v>
      </c>
      <c r="F940" s="24"/>
      <c r="G940" s="24"/>
      <c r="H940" s="24"/>
      <c r="I940" s="24"/>
      <c r="J940" s="3"/>
      <c r="K940" s="8"/>
      <c r="L940" s="8"/>
      <c r="M940" s="8"/>
      <c r="N940" s="22"/>
      <c r="O940" s="9"/>
      <c r="P940" s="20"/>
      <c r="Q940" s="20"/>
      <c r="R940" s="20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 spans="4:49" ht="15" thickBot="1" x14ac:dyDescent="0.35">
      <c r="D941" s="2">
        <f t="shared" si="54"/>
        <v>935</v>
      </c>
      <c r="E941" s="6">
        <v>1.2059290203705189</v>
      </c>
      <c r="F941" s="24"/>
      <c r="G941" s="24"/>
      <c r="H941" s="24"/>
      <c r="I941" s="24"/>
      <c r="J941" s="3"/>
      <c r="K941" s="8"/>
      <c r="L941" s="8"/>
      <c r="M941" s="8"/>
      <c r="N941" s="13"/>
      <c r="O941" s="9"/>
      <c r="P941" s="20"/>
      <c r="Q941" s="20"/>
      <c r="R941" s="20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 spans="4:49" ht="15" thickBot="1" x14ac:dyDescent="0.35">
      <c r="D942" s="2">
        <f t="shared" si="54"/>
        <v>936</v>
      </c>
      <c r="E942" s="6">
        <v>3.007029551562312</v>
      </c>
      <c r="F942" s="24"/>
      <c r="G942" s="24"/>
      <c r="H942" s="24"/>
      <c r="I942" s="24"/>
      <c r="J942" s="3"/>
      <c r="K942" s="8"/>
      <c r="L942" s="8"/>
      <c r="M942" s="8"/>
      <c r="N942" s="13"/>
      <c r="O942" s="9"/>
      <c r="P942" s="20"/>
      <c r="Q942" s="20"/>
      <c r="R942" s="20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 spans="4:49" ht="15" thickBot="1" x14ac:dyDescent="0.35">
      <c r="D943" s="2">
        <f t="shared" si="54"/>
        <v>937</v>
      </c>
      <c r="E943" s="6">
        <v>5.031299908482822</v>
      </c>
      <c r="F943" s="24"/>
      <c r="G943" s="24"/>
      <c r="H943" s="24"/>
      <c r="I943" s="24"/>
      <c r="J943" s="3"/>
      <c r="K943" s="8"/>
      <c r="L943" s="8"/>
      <c r="M943" s="8"/>
      <c r="N943" s="22"/>
      <c r="O943" s="9"/>
      <c r="P943" s="20"/>
      <c r="Q943" s="20"/>
      <c r="R943" s="20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 spans="4:49" ht="15" thickBot="1" x14ac:dyDescent="0.35">
      <c r="D944" s="2">
        <f t="shared" si="54"/>
        <v>938</v>
      </c>
      <c r="E944" s="6">
        <v>3.404747620505522</v>
      </c>
      <c r="F944" s="24"/>
      <c r="G944" s="24"/>
      <c r="H944" s="24"/>
      <c r="I944" s="24"/>
      <c r="J944" s="3"/>
      <c r="K944" s="8"/>
      <c r="L944" s="8"/>
      <c r="M944" s="8"/>
      <c r="N944" s="13"/>
      <c r="O944" s="9"/>
      <c r="P944" s="20"/>
      <c r="Q944" s="20"/>
      <c r="R944" s="20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 spans="4:49" ht="15" thickBot="1" x14ac:dyDescent="0.35">
      <c r="D945" s="2">
        <f t="shared" si="54"/>
        <v>939</v>
      </c>
      <c r="E945" s="6">
        <v>1.1432126590522047</v>
      </c>
      <c r="F945" s="24"/>
      <c r="G945" s="24"/>
      <c r="H945" s="24"/>
      <c r="I945" s="24"/>
      <c r="J945" s="3"/>
      <c r="K945" s="8"/>
      <c r="L945" s="8"/>
      <c r="M945" s="8"/>
      <c r="N945" s="22"/>
      <c r="O945" s="9"/>
      <c r="P945" s="20"/>
      <c r="Q945" s="20"/>
      <c r="R945" s="20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 spans="4:49" ht="15" thickBot="1" x14ac:dyDescent="0.35">
      <c r="D946" s="2">
        <f t="shared" si="54"/>
        <v>940</v>
      </c>
      <c r="E946" s="6">
        <v>0.46923240294130092</v>
      </c>
      <c r="F946" s="24"/>
      <c r="G946" s="24"/>
      <c r="H946" s="24"/>
      <c r="I946" s="24"/>
      <c r="J946" s="3"/>
      <c r="K946" s="8"/>
      <c r="L946" s="8"/>
      <c r="M946" s="8"/>
      <c r="N946" s="13"/>
      <c r="O946" s="9"/>
      <c r="P946" s="20"/>
      <c r="Q946" s="20"/>
      <c r="R946" s="20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 spans="4:49" ht="15" thickBot="1" x14ac:dyDescent="0.35">
      <c r="D947" s="2">
        <f t="shared" si="54"/>
        <v>941</v>
      </c>
      <c r="E947" s="6">
        <v>0.96464524596828838</v>
      </c>
      <c r="F947" s="24"/>
      <c r="G947" s="24"/>
      <c r="H947" s="24"/>
      <c r="I947" s="24"/>
      <c r="J947" s="3"/>
      <c r="K947" s="8"/>
      <c r="L947" s="8"/>
      <c r="M947" s="8"/>
      <c r="N947" s="13"/>
      <c r="O947" s="9"/>
      <c r="P947" s="20"/>
      <c r="Q947" s="20"/>
      <c r="R947" s="20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 spans="4:49" ht="15" thickBot="1" x14ac:dyDescent="0.35">
      <c r="D948" s="2">
        <f t="shared" si="54"/>
        <v>942</v>
      </c>
      <c r="E948" s="6">
        <v>5.8673740745866452</v>
      </c>
      <c r="F948" s="24"/>
      <c r="G948" s="24"/>
      <c r="H948" s="24"/>
      <c r="I948" s="24"/>
      <c r="J948" s="3"/>
      <c r="K948" s="8"/>
      <c r="L948" s="8"/>
      <c r="M948" s="8"/>
      <c r="N948" s="22"/>
      <c r="O948" s="9"/>
      <c r="P948" s="20"/>
      <c r="Q948" s="20"/>
      <c r="R948" s="20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 spans="4:49" ht="15" thickBot="1" x14ac:dyDescent="0.35">
      <c r="D949" s="2">
        <f t="shared" si="54"/>
        <v>943</v>
      </c>
      <c r="E949" s="6">
        <v>3.1211609910661777</v>
      </c>
      <c r="F949" s="24"/>
      <c r="G949" s="24"/>
      <c r="H949" s="24"/>
      <c r="I949" s="24"/>
      <c r="J949" s="3"/>
      <c r="K949" s="8"/>
      <c r="L949" s="8"/>
      <c r="M949" s="8"/>
      <c r="N949" s="13"/>
      <c r="O949" s="9"/>
      <c r="P949" s="20"/>
      <c r="Q949" s="20"/>
      <c r="R949" s="20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 spans="4:49" ht="15" thickBot="1" x14ac:dyDescent="0.35">
      <c r="D950" s="2">
        <f t="shared" si="54"/>
        <v>944</v>
      </c>
      <c r="E950" s="6">
        <v>1.0826609226149322</v>
      </c>
      <c r="F950" s="24"/>
      <c r="G950" s="24"/>
      <c r="H950" s="24"/>
      <c r="I950" s="24"/>
      <c r="J950" s="3"/>
      <c r="K950" s="8"/>
      <c r="L950" s="8"/>
      <c r="M950" s="8"/>
      <c r="N950" s="22"/>
      <c r="O950" s="9"/>
      <c r="P950" s="20"/>
      <c r="Q950" s="20"/>
      <c r="R950" s="20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 spans="4:49" ht="15" thickBot="1" x14ac:dyDescent="0.35">
      <c r="D951" s="2">
        <f t="shared" si="54"/>
        <v>945</v>
      </c>
      <c r="E951" s="6">
        <v>2.8405231228245484</v>
      </c>
      <c r="F951" s="24"/>
      <c r="G951" s="24"/>
      <c r="H951" s="24"/>
      <c r="I951" s="24"/>
      <c r="J951" s="3"/>
      <c r="K951" s="8"/>
      <c r="L951" s="8"/>
      <c r="M951" s="8"/>
      <c r="N951" s="13"/>
      <c r="O951" s="9"/>
      <c r="P951" s="20"/>
      <c r="Q951" s="20"/>
      <c r="R951" s="20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 spans="4:49" ht="15" thickBot="1" x14ac:dyDescent="0.35">
      <c r="D952" s="2">
        <f t="shared" si="54"/>
        <v>946</v>
      </c>
      <c r="E952" s="6">
        <v>6.6386964863452955E-2</v>
      </c>
      <c r="F952" s="24"/>
      <c r="G952" s="24"/>
      <c r="H952" s="24"/>
      <c r="I952" s="24"/>
      <c r="J952" s="3"/>
      <c r="K952" s="8"/>
      <c r="L952" s="8"/>
      <c r="M952" s="8"/>
      <c r="N952" s="13"/>
      <c r="O952" s="9"/>
      <c r="P952" s="20"/>
      <c r="Q952" s="20"/>
      <c r="R952" s="20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 spans="4:49" ht="15" thickBot="1" x14ac:dyDescent="0.35">
      <c r="D953" s="2">
        <f t="shared" si="54"/>
        <v>947</v>
      </c>
      <c r="E953" s="6">
        <v>1.7855716499135226</v>
      </c>
      <c r="F953" s="24"/>
      <c r="G953" s="24"/>
      <c r="H953" s="24"/>
      <c r="I953" s="24"/>
      <c r="J953" s="3"/>
      <c r="K953" s="8"/>
      <c r="L953" s="8"/>
      <c r="M953" s="8"/>
      <c r="N953" s="22"/>
      <c r="O953" s="9"/>
      <c r="P953" s="20"/>
      <c r="Q953" s="20"/>
      <c r="R953" s="20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 spans="4:49" ht="15" thickBot="1" x14ac:dyDescent="0.35">
      <c r="D954" s="2">
        <f t="shared" si="54"/>
        <v>948</v>
      </c>
      <c r="E954" s="6">
        <v>0.51817109982275189</v>
      </c>
      <c r="F954" s="24"/>
      <c r="G954" s="24"/>
      <c r="H954" s="24"/>
      <c r="I954" s="24"/>
      <c r="J954" s="3"/>
      <c r="K954" s="8"/>
      <c r="L954" s="8"/>
      <c r="M954" s="8"/>
      <c r="N954" s="13"/>
      <c r="O954" s="9"/>
      <c r="P954" s="20"/>
      <c r="Q954" s="20"/>
      <c r="R954" s="20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 spans="4:49" ht="15" thickBot="1" x14ac:dyDescent="0.35">
      <c r="D955" s="2">
        <f t="shared" si="54"/>
        <v>949</v>
      </c>
      <c r="E955" s="6">
        <v>5.8901534852727382</v>
      </c>
      <c r="F955" s="24"/>
      <c r="G955" s="24"/>
      <c r="H955" s="24"/>
      <c r="I955" s="24"/>
      <c r="J955" s="3"/>
      <c r="K955" s="8"/>
      <c r="L955" s="8"/>
      <c r="M955" s="8"/>
      <c r="N955" s="22"/>
      <c r="O955" s="9"/>
      <c r="P955" s="20"/>
      <c r="Q955" s="20"/>
      <c r="R955" s="20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 spans="4:49" ht="15" thickBot="1" x14ac:dyDescent="0.35">
      <c r="D956" s="2">
        <f t="shared" si="54"/>
        <v>950</v>
      </c>
      <c r="E956" s="6">
        <v>11.744000284660824</v>
      </c>
      <c r="F956" s="24"/>
      <c r="G956" s="24"/>
      <c r="H956" s="24"/>
      <c r="I956" s="24"/>
      <c r="J956" s="3"/>
      <c r="K956" s="8"/>
      <c r="L956" s="8"/>
      <c r="M956" s="8"/>
      <c r="N956" s="13"/>
      <c r="O956" s="9"/>
      <c r="P956" s="20"/>
      <c r="Q956" s="20"/>
      <c r="R956" s="20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 spans="4:49" ht="15" thickBot="1" x14ac:dyDescent="0.35">
      <c r="D957" s="2">
        <f t="shared" si="54"/>
        <v>951</v>
      </c>
      <c r="E957" s="6">
        <v>5.7698787404402721E-2</v>
      </c>
      <c r="F957" s="24"/>
      <c r="G957" s="24"/>
      <c r="H957" s="24"/>
      <c r="I957" s="24"/>
      <c r="J957" s="3"/>
      <c r="K957" s="8"/>
      <c r="L957" s="8"/>
      <c r="M957" s="8"/>
      <c r="N957" s="13"/>
      <c r="O957" s="9"/>
      <c r="P957" s="20"/>
      <c r="Q957" s="20"/>
      <c r="R957" s="20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 spans="4:49" ht="15" thickBot="1" x14ac:dyDescent="0.35">
      <c r="D958" s="2">
        <f t="shared" si="54"/>
        <v>952</v>
      </c>
      <c r="E958" s="6">
        <v>2.7951014142668416</v>
      </c>
      <c r="F958" s="24"/>
      <c r="G958" s="24"/>
      <c r="H958" s="24"/>
      <c r="I958" s="24"/>
      <c r="J958" s="3"/>
      <c r="K958" s="8"/>
      <c r="L958" s="8"/>
      <c r="M958" s="8"/>
      <c r="N958" s="22"/>
      <c r="O958" s="9"/>
      <c r="P958" s="20"/>
      <c r="Q958" s="20"/>
      <c r="R958" s="20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 spans="4:49" ht="15" thickBot="1" x14ac:dyDescent="0.35">
      <c r="D959" s="2">
        <f t="shared" si="54"/>
        <v>953</v>
      </c>
      <c r="E959" s="6">
        <v>1.5096138255038789</v>
      </c>
      <c r="F959" s="24"/>
      <c r="G959" s="24"/>
      <c r="H959" s="24"/>
      <c r="I959" s="24"/>
      <c r="J959" s="3"/>
      <c r="K959" s="8"/>
      <c r="L959" s="8"/>
      <c r="M959" s="8"/>
      <c r="N959" s="13"/>
      <c r="O959" s="9"/>
      <c r="P959" s="20"/>
      <c r="Q959" s="20"/>
      <c r="R959" s="20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 spans="4:49" ht="15" thickBot="1" x14ac:dyDescent="0.35">
      <c r="D960" s="2">
        <f t="shared" si="54"/>
        <v>954</v>
      </c>
      <c r="E960" s="6">
        <v>13.634394435092984</v>
      </c>
      <c r="F960" s="24"/>
      <c r="G960" s="24"/>
      <c r="H960" s="24"/>
      <c r="I960" s="24"/>
      <c r="J960" s="3"/>
      <c r="K960" s="8"/>
      <c r="L960" s="8"/>
      <c r="M960" s="8"/>
      <c r="N960" s="22"/>
      <c r="O960" s="9"/>
      <c r="P960" s="20"/>
      <c r="Q960" s="20"/>
      <c r="R960" s="20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 spans="4:49" ht="15" thickBot="1" x14ac:dyDescent="0.35">
      <c r="D961" s="2">
        <f t="shared" si="54"/>
        <v>955</v>
      </c>
      <c r="E961" s="6">
        <v>3.2859494007176089</v>
      </c>
      <c r="F961" s="24"/>
      <c r="G961" s="24"/>
      <c r="H961" s="24"/>
      <c r="I961" s="24"/>
      <c r="J961" s="3"/>
      <c r="K961" s="8"/>
      <c r="L961" s="8"/>
      <c r="M961" s="8"/>
      <c r="N961" s="13"/>
      <c r="O961" s="9"/>
      <c r="P961" s="20"/>
      <c r="Q961" s="20"/>
      <c r="R961" s="20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 spans="4:49" ht="15" thickBot="1" x14ac:dyDescent="0.35">
      <c r="D962" s="2">
        <f t="shared" si="54"/>
        <v>956</v>
      </c>
      <c r="E962" s="6">
        <v>2.218308446288797</v>
      </c>
      <c r="F962" s="24"/>
      <c r="G962" s="24"/>
      <c r="H962" s="24"/>
      <c r="I962" s="24"/>
      <c r="J962" s="3"/>
      <c r="K962" s="8"/>
      <c r="L962" s="8"/>
      <c r="M962" s="8"/>
      <c r="N962" s="13"/>
      <c r="O962" s="9"/>
      <c r="P962" s="20"/>
      <c r="Q962" s="20"/>
      <c r="R962" s="20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 spans="4:49" ht="15" thickBot="1" x14ac:dyDescent="0.35">
      <c r="D963" s="2">
        <f t="shared" si="54"/>
        <v>957</v>
      </c>
      <c r="E963" s="6">
        <v>1.630881003257346</v>
      </c>
      <c r="F963" s="24"/>
      <c r="G963" s="24"/>
      <c r="H963" s="24"/>
      <c r="I963" s="24"/>
      <c r="J963" s="3"/>
      <c r="K963" s="8"/>
      <c r="L963" s="8"/>
      <c r="M963" s="8"/>
      <c r="N963" s="22"/>
      <c r="O963" s="9"/>
      <c r="P963" s="20"/>
      <c r="Q963" s="20"/>
      <c r="R963" s="20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 spans="4:49" ht="15" thickBot="1" x14ac:dyDescent="0.35">
      <c r="D964" s="2">
        <f t="shared" si="54"/>
        <v>958</v>
      </c>
      <c r="E964" s="6">
        <v>9.1002297125816121</v>
      </c>
      <c r="F964" s="24"/>
      <c r="G964" s="24"/>
      <c r="H964" s="24"/>
      <c r="I964" s="24"/>
      <c r="J964" s="3"/>
      <c r="K964" s="8"/>
      <c r="L964" s="8"/>
      <c r="M964" s="8"/>
      <c r="N964" s="13"/>
      <c r="O964" s="9"/>
      <c r="P964" s="20"/>
      <c r="Q964" s="20"/>
      <c r="R964" s="20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 spans="4:49" ht="15" thickBot="1" x14ac:dyDescent="0.35">
      <c r="D965" s="2">
        <f t="shared" si="54"/>
        <v>959</v>
      </c>
      <c r="E965" s="6">
        <v>2.4167239265102807</v>
      </c>
      <c r="F965" s="24"/>
      <c r="G965" s="24"/>
      <c r="H965" s="24"/>
      <c r="I965" s="24"/>
      <c r="J965" s="3"/>
      <c r="K965" s="8"/>
      <c r="L965" s="8"/>
      <c r="M965" s="8"/>
      <c r="N965" s="22"/>
      <c r="O965" s="9"/>
      <c r="P965" s="20"/>
      <c r="Q965" s="20"/>
      <c r="R965" s="20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 spans="4:49" ht="15" thickBot="1" x14ac:dyDescent="0.35">
      <c r="D966" s="2">
        <f t="shared" si="54"/>
        <v>960</v>
      </c>
      <c r="E966" s="6">
        <v>9.4102726604056457</v>
      </c>
      <c r="F966" s="24"/>
      <c r="G966" s="24"/>
      <c r="H966" s="24"/>
      <c r="I966" s="24"/>
      <c r="J966" s="3"/>
      <c r="K966" s="8"/>
      <c r="L966" s="8"/>
      <c r="M966" s="8"/>
      <c r="N966" s="13"/>
      <c r="O966" s="9"/>
      <c r="P966" s="20"/>
      <c r="Q966" s="20"/>
      <c r="R966" s="20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 spans="4:49" ht="15" thickBot="1" x14ac:dyDescent="0.35">
      <c r="D967" s="2">
        <f t="shared" ref="D967:D1030" si="55">ROW()-6</f>
        <v>961</v>
      </c>
      <c r="E967" s="6">
        <v>0.94129255711957294</v>
      </c>
      <c r="F967" s="24"/>
      <c r="G967" s="24"/>
      <c r="H967" s="24"/>
      <c r="I967" s="24"/>
      <c r="J967" s="3"/>
      <c r="K967" s="8"/>
      <c r="L967" s="8"/>
      <c r="M967" s="8"/>
      <c r="N967" s="13"/>
      <c r="O967" s="9"/>
      <c r="P967" s="20"/>
      <c r="Q967" s="20"/>
      <c r="R967" s="20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 spans="4:49" ht="15" thickBot="1" x14ac:dyDescent="0.35">
      <c r="D968" s="2">
        <f t="shared" si="55"/>
        <v>962</v>
      </c>
      <c r="E968" s="6">
        <v>3.4014669114429368</v>
      </c>
      <c r="F968" s="24"/>
      <c r="G968" s="24"/>
      <c r="H968" s="24"/>
      <c r="I968" s="24"/>
      <c r="J968" s="3"/>
      <c r="K968" s="8"/>
      <c r="L968" s="8"/>
      <c r="M968" s="8"/>
      <c r="N968" s="22"/>
      <c r="O968" s="9"/>
      <c r="P968" s="20"/>
      <c r="Q968" s="20"/>
      <c r="R968" s="20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 spans="4:49" ht="15" thickBot="1" x14ac:dyDescent="0.35">
      <c r="D969" s="2">
        <f t="shared" si="55"/>
        <v>963</v>
      </c>
      <c r="E969" s="6">
        <v>1.4716210937462342</v>
      </c>
      <c r="F969" s="24"/>
      <c r="G969" s="24"/>
      <c r="H969" s="24"/>
      <c r="I969" s="24"/>
      <c r="J969" s="3"/>
      <c r="K969" s="8"/>
      <c r="L969" s="8"/>
      <c r="M969" s="8"/>
      <c r="N969" s="13"/>
      <c r="O969" s="9"/>
      <c r="P969" s="20"/>
      <c r="Q969" s="20"/>
      <c r="R969" s="20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 spans="4:49" ht="15" thickBot="1" x14ac:dyDescent="0.35">
      <c r="D970" s="2">
        <f t="shared" si="55"/>
        <v>964</v>
      </c>
      <c r="E970" s="6">
        <v>1.1712311086293892</v>
      </c>
      <c r="F970" s="24"/>
      <c r="G970" s="24"/>
      <c r="H970" s="24"/>
      <c r="I970" s="24"/>
      <c r="J970" s="3"/>
      <c r="K970" s="8"/>
      <c r="L970" s="8"/>
      <c r="M970" s="8"/>
      <c r="N970" s="22"/>
      <c r="O970" s="9"/>
      <c r="P970" s="20"/>
      <c r="Q970" s="20"/>
      <c r="R970" s="20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 spans="4:49" ht="15" thickBot="1" x14ac:dyDescent="0.35">
      <c r="D971" s="2">
        <f t="shared" si="55"/>
        <v>965</v>
      </c>
      <c r="E971" s="6">
        <v>0.38961499967865681</v>
      </c>
      <c r="F971" s="24"/>
      <c r="G971" s="24"/>
      <c r="H971" s="24"/>
      <c r="I971" s="24"/>
      <c r="J971" s="3"/>
      <c r="K971" s="8"/>
      <c r="L971" s="8"/>
      <c r="M971" s="8"/>
      <c r="N971" s="13"/>
      <c r="O971" s="9"/>
      <c r="P971" s="20"/>
      <c r="Q971" s="20"/>
      <c r="R971" s="20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 spans="4:49" ht="15" thickBot="1" x14ac:dyDescent="0.35">
      <c r="D972" s="2">
        <f t="shared" si="55"/>
        <v>966</v>
      </c>
      <c r="E972" s="6">
        <v>2.9680409414300923</v>
      </c>
      <c r="F972" s="24"/>
      <c r="G972" s="24"/>
      <c r="H972" s="24"/>
      <c r="I972" s="24"/>
      <c r="J972" s="3"/>
      <c r="K972" s="8"/>
      <c r="L972" s="8"/>
      <c r="M972" s="8"/>
      <c r="N972" s="13"/>
      <c r="O972" s="9"/>
      <c r="P972" s="20"/>
      <c r="Q972" s="20"/>
      <c r="R972" s="20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 spans="4:49" ht="15" thickBot="1" x14ac:dyDescent="0.35">
      <c r="D973" s="2">
        <f t="shared" si="55"/>
        <v>967</v>
      </c>
      <c r="E973" s="6">
        <v>3.0343250650149689</v>
      </c>
      <c r="F973" s="24"/>
      <c r="G973" s="24"/>
      <c r="H973" s="24"/>
      <c r="I973" s="24"/>
      <c r="J973" s="3"/>
      <c r="K973" s="8"/>
      <c r="L973" s="8"/>
      <c r="M973" s="8"/>
      <c r="N973" s="22"/>
      <c r="O973" s="9"/>
      <c r="P973" s="20"/>
      <c r="Q973" s="20"/>
      <c r="R973" s="20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 spans="4:49" ht="15" thickBot="1" x14ac:dyDescent="0.35">
      <c r="D974" s="2">
        <f t="shared" si="55"/>
        <v>968</v>
      </c>
      <c r="E974" s="6">
        <v>5.667601613475644</v>
      </c>
      <c r="F974" s="24"/>
      <c r="G974" s="24"/>
      <c r="H974" s="24"/>
      <c r="I974" s="24"/>
      <c r="J974" s="3"/>
      <c r="K974" s="8"/>
      <c r="L974" s="8"/>
      <c r="M974" s="8"/>
      <c r="N974" s="13"/>
      <c r="O974" s="9"/>
      <c r="P974" s="20"/>
      <c r="Q974" s="20"/>
      <c r="R974" s="20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 spans="4:49" ht="15" thickBot="1" x14ac:dyDescent="0.35">
      <c r="D975" s="2">
        <f t="shared" si="55"/>
        <v>969</v>
      </c>
      <c r="E975" s="6">
        <v>1.4532870879379747</v>
      </c>
      <c r="F975" s="24"/>
      <c r="G975" s="24"/>
      <c r="H975" s="24"/>
      <c r="I975" s="24"/>
      <c r="J975" s="3"/>
      <c r="K975" s="8"/>
      <c r="L975" s="8"/>
      <c r="M975" s="8"/>
      <c r="N975" s="22"/>
      <c r="O975" s="9"/>
      <c r="P975" s="20"/>
      <c r="Q975" s="20"/>
      <c r="R975" s="20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 spans="4:49" ht="15" thickBot="1" x14ac:dyDescent="0.35">
      <c r="D976" s="2">
        <f t="shared" si="55"/>
        <v>970</v>
      </c>
      <c r="E976" s="6">
        <v>14.270621579454129</v>
      </c>
      <c r="F976" s="24"/>
      <c r="G976" s="24"/>
      <c r="H976" s="24"/>
      <c r="I976" s="24"/>
      <c r="J976" s="3"/>
      <c r="K976" s="8"/>
      <c r="L976" s="8"/>
      <c r="M976" s="8"/>
      <c r="N976" s="13"/>
      <c r="O976" s="9"/>
      <c r="P976" s="20"/>
      <c r="Q976" s="20"/>
      <c r="R976" s="20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 spans="4:49" ht="15" thickBot="1" x14ac:dyDescent="0.35">
      <c r="D977" s="2">
        <f t="shared" si="55"/>
        <v>971</v>
      </c>
      <c r="E977" s="6">
        <v>3.8452232398688775</v>
      </c>
      <c r="F977" s="24"/>
      <c r="G977" s="24"/>
      <c r="H977" s="24"/>
      <c r="I977" s="24"/>
      <c r="J977" s="3"/>
      <c r="K977" s="8"/>
      <c r="L977" s="8"/>
      <c r="M977" s="8"/>
      <c r="N977" s="13"/>
      <c r="O977" s="9"/>
      <c r="P977" s="20"/>
      <c r="Q977" s="20"/>
      <c r="R977" s="20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 spans="4:49" ht="15" thickBot="1" x14ac:dyDescent="0.35">
      <c r="D978" s="2">
        <f t="shared" si="55"/>
        <v>972</v>
      </c>
      <c r="E978" s="6">
        <v>0.55976241901226198</v>
      </c>
      <c r="F978" s="24"/>
      <c r="G978" s="24"/>
      <c r="H978" s="24"/>
      <c r="I978" s="24"/>
      <c r="J978" s="3"/>
      <c r="K978" s="8"/>
      <c r="L978" s="8"/>
      <c r="M978" s="8"/>
      <c r="N978" s="22"/>
      <c r="O978" s="9"/>
      <c r="P978" s="20"/>
      <c r="Q978" s="20"/>
      <c r="R978" s="20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 spans="4:49" ht="15" thickBot="1" x14ac:dyDescent="0.35">
      <c r="D979" s="2">
        <f t="shared" si="55"/>
        <v>973</v>
      </c>
      <c r="E979" s="6">
        <v>0.9822491969088134</v>
      </c>
      <c r="F979" s="24"/>
      <c r="G979" s="24"/>
      <c r="H979" s="24"/>
      <c r="I979" s="24"/>
      <c r="J979" s="3"/>
      <c r="K979" s="8"/>
      <c r="L979" s="8"/>
      <c r="M979" s="8"/>
      <c r="N979" s="13"/>
      <c r="O979" s="9"/>
      <c r="P979" s="20"/>
      <c r="Q979" s="20"/>
      <c r="R979" s="20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spans="4:49" ht="15" thickBot="1" x14ac:dyDescent="0.35">
      <c r="D980" s="2">
        <f t="shared" si="55"/>
        <v>974</v>
      </c>
      <c r="E980" s="6">
        <v>0.36386209464900138</v>
      </c>
      <c r="F980" s="24"/>
      <c r="G980" s="24"/>
      <c r="H980" s="24"/>
      <c r="I980" s="24"/>
      <c r="J980" s="3"/>
      <c r="K980" s="8"/>
      <c r="L980" s="8"/>
      <c r="M980" s="8"/>
      <c r="N980" s="22"/>
      <c r="O980" s="9"/>
      <c r="P980" s="20"/>
      <c r="Q980" s="20"/>
      <c r="R980" s="20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spans="4:49" ht="15" thickBot="1" x14ac:dyDescent="0.35">
      <c r="D981" s="2">
        <f t="shared" si="55"/>
        <v>975</v>
      </c>
      <c r="E981" s="6">
        <v>0.54905415087479814</v>
      </c>
      <c r="F981" s="24"/>
      <c r="G981" s="24"/>
      <c r="H981" s="24"/>
      <c r="I981" s="24"/>
      <c r="J981" s="3"/>
      <c r="K981" s="8"/>
      <c r="L981" s="8"/>
      <c r="M981" s="8"/>
      <c r="N981" s="13"/>
      <c r="O981" s="9"/>
      <c r="P981" s="20"/>
      <c r="Q981" s="20"/>
      <c r="R981" s="20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spans="4:49" ht="15" thickBot="1" x14ac:dyDescent="0.35">
      <c r="D982" s="2">
        <f t="shared" si="55"/>
        <v>976</v>
      </c>
      <c r="E982" s="6">
        <v>2.4479752848837424</v>
      </c>
      <c r="F982" s="24"/>
      <c r="G982" s="24"/>
      <c r="H982" s="24"/>
      <c r="I982" s="24"/>
      <c r="J982" s="3"/>
      <c r="K982" s="8"/>
      <c r="L982" s="8"/>
      <c r="M982" s="8"/>
      <c r="N982" s="13"/>
      <c r="O982" s="9"/>
      <c r="P982" s="20"/>
      <c r="Q982" s="20"/>
      <c r="R982" s="20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 spans="4:49" ht="15" thickBot="1" x14ac:dyDescent="0.35">
      <c r="D983" s="2">
        <f t="shared" si="55"/>
        <v>977</v>
      </c>
      <c r="E983" s="6">
        <v>1.3605373508452676</v>
      </c>
      <c r="F983" s="24"/>
      <c r="G983" s="24"/>
      <c r="H983" s="24"/>
      <c r="I983" s="24"/>
      <c r="J983" s="3"/>
      <c r="K983" s="8"/>
      <c r="L983" s="8"/>
      <c r="M983" s="8"/>
      <c r="N983" s="22"/>
      <c r="O983" s="9"/>
      <c r="P983" s="20"/>
      <c r="Q983" s="20"/>
      <c r="R983" s="20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 spans="4:49" ht="15" thickBot="1" x14ac:dyDescent="0.35">
      <c r="D984" s="2">
        <f t="shared" si="55"/>
        <v>978</v>
      </c>
      <c r="E984" s="6">
        <v>2.4035430080266798</v>
      </c>
      <c r="F984" s="24"/>
      <c r="G984" s="24"/>
      <c r="H984" s="24"/>
      <c r="I984" s="24"/>
      <c r="J984" s="3"/>
      <c r="K984" s="8"/>
      <c r="L984" s="8"/>
      <c r="M984" s="8"/>
      <c r="N984" s="13"/>
      <c r="O984" s="9"/>
      <c r="P984" s="20"/>
      <c r="Q984" s="20"/>
      <c r="R984" s="20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 spans="4:49" ht="15" thickBot="1" x14ac:dyDescent="0.35">
      <c r="D985" s="2">
        <f t="shared" si="55"/>
        <v>979</v>
      </c>
      <c r="E985" s="6">
        <v>3.8895541998595449</v>
      </c>
      <c r="F985" s="24"/>
      <c r="G985" s="24"/>
      <c r="H985" s="24"/>
      <c r="I985" s="24"/>
      <c r="J985" s="3"/>
      <c r="K985" s="8"/>
      <c r="L985" s="8"/>
      <c r="M985" s="8"/>
      <c r="N985" s="22"/>
      <c r="O985" s="9"/>
      <c r="P985" s="20"/>
      <c r="Q985" s="20"/>
      <c r="R985" s="20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 spans="4:49" ht="15" thickBot="1" x14ac:dyDescent="0.35">
      <c r="D986" s="2">
        <f t="shared" si="55"/>
        <v>980</v>
      </c>
      <c r="E986" s="6">
        <v>4.8497720470790773</v>
      </c>
      <c r="F986" s="24"/>
      <c r="G986" s="24"/>
      <c r="H986" s="24"/>
      <c r="I986" s="24"/>
      <c r="J986" s="3"/>
      <c r="K986" s="8"/>
      <c r="L986" s="8"/>
      <c r="M986" s="8"/>
      <c r="N986" s="13"/>
      <c r="O986" s="9"/>
      <c r="P986" s="20"/>
      <c r="Q986" s="20"/>
      <c r="R986" s="20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 spans="4:49" ht="15" thickBot="1" x14ac:dyDescent="0.35">
      <c r="D987" s="2">
        <f t="shared" si="55"/>
        <v>981</v>
      </c>
      <c r="E987" s="6">
        <v>1.4604426790218306</v>
      </c>
      <c r="F987" s="24"/>
      <c r="G987" s="24"/>
      <c r="H987" s="24"/>
      <c r="I987" s="24"/>
      <c r="J987" s="3"/>
      <c r="K987" s="8"/>
      <c r="L987" s="8"/>
      <c r="M987" s="8"/>
      <c r="N987" s="13"/>
      <c r="O987" s="9"/>
      <c r="P987" s="20"/>
      <c r="Q987" s="20"/>
      <c r="R987" s="20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 spans="4:49" ht="15" thickBot="1" x14ac:dyDescent="0.35">
      <c r="D988" s="2">
        <f t="shared" si="55"/>
        <v>982</v>
      </c>
      <c r="E988" s="6">
        <v>5.1759826300257696</v>
      </c>
      <c r="F988" s="24"/>
      <c r="G988" s="24"/>
      <c r="H988" s="24"/>
      <c r="I988" s="24"/>
      <c r="J988" s="3"/>
      <c r="K988" s="8"/>
      <c r="L988" s="8"/>
      <c r="M988" s="8"/>
      <c r="N988" s="22"/>
      <c r="O988" s="9"/>
      <c r="P988" s="20"/>
      <c r="Q988" s="20"/>
      <c r="R988" s="20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 spans="4:49" ht="15" thickBot="1" x14ac:dyDescent="0.35">
      <c r="D989" s="2">
        <f t="shared" si="55"/>
        <v>983</v>
      </c>
      <c r="E989" s="6">
        <v>8.7143853904416062</v>
      </c>
      <c r="F989" s="24"/>
      <c r="G989" s="24"/>
      <c r="H989" s="24"/>
      <c r="I989" s="24"/>
      <c r="J989" s="3"/>
      <c r="K989" s="8"/>
      <c r="L989" s="8"/>
      <c r="M989" s="8"/>
      <c r="N989" s="13"/>
      <c r="O989" s="9"/>
      <c r="P989" s="20"/>
      <c r="Q989" s="20"/>
      <c r="R989" s="20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 spans="4:49" ht="15" thickBot="1" x14ac:dyDescent="0.35">
      <c r="D990" s="2">
        <f t="shared" si="55"/>
        <v>984</v>
      </c>
      <c r="E990" s="6">
        <v>4.0509545675817078</v>
      </c>
      <c r="F990" s="24"/>
      <c r="G990" s="24"/>
      <c r="H990" s="24"/>
      <c r="I990" s="24"/>
      <c r="J990" s="3"/>
      <c r="K990" s="8"/>
      <c r="L990" s="8"/>
      <c r="M990" s="8"/>
      <c r="N990" s="22"/>
      <c r="O990" s="9"/>
      <c r="P990" s="20"/>
      <c r="Q990" s="20"/>
      <c r="R990" s="20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 spans="4:49" ht="15" thickBot="1" x14ac:dyDescent="0.35">
      <c r="D991" s="2">
        <f t="shared" si="55"/>
        <v>985</v>
      </c>
      <c r="E991" s="6">
        <v>4.4469948811499211</v>
      </c>
      <c r="F991" s="24"/>
      <c r="G991" s="24"/>
      <c r="H991" s="24"/>
      <c r="I991" s="24"/>
      <c r="J991" s="3"/>
      <c r="K991" s="8"/>
      <c r="L991" s="8"/>
      <c r="M991" s="8"/>
      <c r="N991" s="13"/>
      <c r="O991" s="9"/>
      <c r="P991" s="20"/>
      <c r="Q991" s="20"/>
      <c r="R991" s="20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 spans="4:49" ht="15" thickBot="1" x14ac:dyDescent="0.35">
      <c r="D992" s="2">
        <f t="shared" si="55"/>
        <v>986</v>
      </c>
      <c r="E992" s="6">
        <v>0.25602022086478127</v>
      </c>
      <c r="F992" s="24"/>
      <c r="G992" s="24"/>
      <c r="H992" s="24"/>
      <c r="I992" s="24"/>
      <c r="J992" s="3"/>
      <c r="K992" s="8"/>
      <c r="L992" s="8"/>
      <c r="M992" s="8"/>
      <c r="N992" s="13"/>
      <c r="O992" s="9"/>
      <c r="P992" s="20"/>
      <c r="Q992" s="20"/>
      <c r="R992" s="20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 spans="4:49" ht="15" thickBot="1" x14ac:dyDescent="0.35">
      <c r="D993" s="2">
        <f t="shared" si="55"/>
        <v>987</v>
      </c>
      <c r="E993" s="6">
        <v>1.0994019064344047</v>
      </c>
      <c r="F993" s="24"/>
      <c r="G993" s="24"/>
      <c r="H993" s="24"/>
      <c r="I993" s="24"/>
      <c r="J993" s="3"/>
      <c r="K993" s="8"/>
      <c r="L993" s="8"/>
      <c r="M993" s="8"/>
      <c r="N993" s="22"/>
      <c r="O993" s="9"/>
      <c r="P993" s="20"/>
      <c r="Q993" s="20"/>
      <c r="R993" s="20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 spans="4:49" ht="15" thickBot="1" x14ac:dyDescent="0.35">
      <c r="D994" s="2">
        <f t="shared" si="55"/>
        <v>988</v>
      </c>
      <c r="E994" s="6">
        <v>9.770454037335094E-2</v>
      </c>
      <c r="F994" s="24"/>
      <c r="G994" s="24"/>
      <c r="H994" s="24"/>
      <c r="I994" s="24"/>
      <c r="J994" s="3"/>
      <c r="K994" s="8"/>
      <c r="L994" s="8"/>
      <c r="M994" s="8"/>
      <c r="N994" s="13"/>
      <c r="O994" s="9"/>
      <c r="P994" s="20"/>
      <c r="Q994" s="20"/>
      <c r="R994" s="20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 spans="4:49" ht="15" thickBot="1" x14ac:dyDescent="0.35">
      <c r="D995" s="2">
        <f t="shared" si="55"/>
        <v>989</v>
      </c>
      <c r="E995" s="6">
        <v>0.67248639134932953</v>
      </c>
      <c r="F995" s="24"/>
      <c r="G995" s="24"/>
      <c r="H995" s="24"/>
      <c r="I995" s="24"/>
      <c r="J995" s="3"/>
      <c r="K995" s="8"/>
      <c r="L995" s="8"/>
      <c r="M995" s="8"/>
      <c r="N995" s="22"/>
      <c r="O995" s="9"/>
      <c r="P995" s="20"/>
      <c r="Q995" s="20"/>
      <c r="R995" s="20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 spans="4:49" ht="15" thickBot="1" x14ac:dyDescent="0.35">
      <c r="D996" s="2">
        <f t="shared" si="55"/>
        <v>990</v>
      </c>
      <c r="E996" s="6">
        <v>2.9986759464992554</v>
      </c>
      <c r="F996" s="24"/>
      <c r="G996" s="24"/>
      <c r="H996" s="24"/>
      <c r="I996" s="24"/>
      <c r="J996" s="3"/>
      <c r="K996" s="8"/>
      <c r="L996" s="8"/>
      <c r="M996" s="8"/>
      <c r="N996" s="13"/>
      <c r="O996" s="9"/>
      <c r="P996" s="20"/>
      <c r="Q996" s="20"/>
      <c r="R996" s="20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 spans="4:49" ht="15" thickBot="1" x14ac:dyDescent="0.35">
      <c r="D997" s="2">
        <f t="shared" si="55"/>
        <v>991</v>
      </c>
      <c r="E997" s="6">
        <v>1.6023806419534932</v>
      </c>
      <c r="F997" s="24"/>
      <c r="G997" s="24"/>
      <c r="H997" s="24"/>
      <c r="I997" s="24"/>
      <c r="J997" s="3"/>
      <c r="K997" s="8"/>
      <c r="L997" s="8"/>
      <c r="M997" s="8"/>
      <c r="N997" s="13"/>
      <c r="O997" s="9"/>
      <c r="P997" s="20"/>
      <c r="Q997" s="20"/>
      <c r="R997" s="20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 spans="4:49" ht="15" thickBot="1" x14ac:dyDescent="0.35">
      <c r="D998" s="2">
        <f t="shared" si="55"/>
        <v>992</v>
      </c>
      <c r="E998" s="6">
        <v>0.68021406796118333</v>
      </c>
      <c r="F998" s="24"/>
      <c r="G998" s="24"/>
      <c r="H998" s="24"/>
      <c r="I998" s="24"/>
      <c r="J998" s="3"/>
      <c r="K998" s="8"/>
      <c r="L998" s="8"/>
      <c r="M998" s="8"/>
      <c r="N998" s="22"/>
      <c r="O998" s="9"/>
      <c r="P998" s="20"/>
      <c r="Q998" s="20"/>
      <c r="R998" s="20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 spans="4:49" ht="15" thickBot="1" x14ac:dyDescent="0.35">
      <c r="D999" s="2">
        <f t="shared" si="55"/>
        <v>993</v>
      </c>
      <c r="E999" s="6">
        <v>14.642445630878791</v>
      </c>
      <c r="F999" s="24"/>
      <c r="G999" s="24"/>
      <c r="H999" s="24"/>
      <c r="I999" s="24"/>
      <c r="J999" s="3"/>
      <c r="K999" s="8"/>
      <c r="L999" s="8"/>
      <c r="M999" s="8"/>
      <c r="N999" s="13"/>
      <c r="O999" s="9"/>
      <c r="P999" s="20"/>
      <c r="Q999" s="20"/>
      <c r="R999" s="20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 spans="4:49" ht="15" thickBot="1" x14ac:dyDescent="0.35">
      <c r="D1000" s="2">
        <f t="shared" si="55"/>
        <v>994</v>
      </c>
      <c r="E1000" s="6">
        <v>7.6986264981548445</v>
      </c>
      <c r="F1000" s="24"/>
      <c r="G1000" s="24"/>
      <c r="H1000" s="24"/>
      <c r="I1000" s="24"/>
      <c r="J1000" s="3"/>
      <c r="K1000" s="8"/>
      <c r="L1000" s="8"/>
      <c r="M1000" s="8"/>
      <c r="N1000" s="22"/>
      <c r="O1000" s="9"/>
      <c r="P1000" s="20"/>
      <c r="Q1000" s="20"/>
      <c r="R1000" s="20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  <row r="1001" spans="4:49" ht="15" thickBot="1" x14ac:dyDescent="0.35">
      <c r="D1001" s="2">
        <f t="shared" si="55"/>
        <v>995</v>
      </c>
      <c r="E1001" s="6">
        <v>3.185880091088487</v>
      </c>
      <c r="F1001" s="24"/>
      <c r="G1001" s="24"/>
      <c r="H1001" s="24"/>
      <c r="I1001" s="24"/>
      <c r="J1001" s="3"/>
      <c r="K1001" s="8"/>
      <c r="L1001" s="8"/>
      <c r="M1001" s="8"/>
      <c r="N1001" s="13"/>
      <c r="O1001" s="9"/>
      <c r="P1001" s="20"/>
      <c r="Q1001" s="20"/>
      <c r="R1001" s="20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</row>
    <row r="1002" spans="4:49" ht="15" thickBot="1" x14ac:dyDescent="0.35">
      <c r="D1002" s="2">
        <f t="shared" si="55"/>
        <v>996</v>
      </c>
      <c r="E1002" s="6">
        <v>9.0141363809419612</v>
      </c>
      <c r="F1002" s="24"/>
      <c r="G1002" s="24"/>
      <c r="H1002" s="24"/>
      <c r="I1002" s="24"/>
      <c r="J1002" s="3"/>
      <c r="K1002" s="8"/>
      <c r="L1002" s="8"/>
      <c r="M1002" s="8"/>
      <c r="N1002" s="13"/>
      <c r="O1002" s="9"/>
      <c r="P1002" s="20"/>
      <c r="Q1002" s="20"/>
      <c r="R1002" s="20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</row>
    <row r="1003" spans="4:49" ht="15" thickBot="1" x14ac:dyDescent="0.35">
      <c r="D1003" s="2">
        <f t="shared" si="55"/>
        <v>997</v>
      </c>
      <c r="E1003" s="6">
        <v>6.1175202675761966</v>
      </c>
      <c r="F1003" s="24"/>
      <c r="G1003" s="24"/>
      <c r="H1003" s="24"/>
      <c r="I1003" s="24"/>
      <c r="J1003" s="3"/>
      <c r="K1003" s="8"/>
      <c r="L1003" s="8"/>
      <c r="M1003" s="8"/>
      <c r="N1003" s="22"/>
      <c r="O1003" s="9"/>
      <c r="P1003" s="20"/>
      <c r="Q1003" s="20"/>
      <c r="R1003" s="20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</row>
    <row r="1004" spans="4:49" ht="15" thickBot="1" x14ac:dyDescent="0.35">
      <c r="D1004" s="2">
        <f t="shared" si="55"/>
        <v>998</v>
      </c>
      <c r="E1004" s="6">
        <v>6.3232135569290477</v>
      </c>
      <c r="F1004" s="24"/>
      <c r="G1004" s="24"/>
      <c r="H1004" s="24"/>
      <c r="I1004" s="24"/>
      <c r="J1004" s="3"/>
      <c r="K1004" s="8"/>
      <c r="L1004" s="8"/>
      <c r="M1004" s="8"/>
      <c r="N1004" s="13"/>
      <c r="O1004" s="9"/>
      <c r="P1004" s="20"/>
      <c r="Q1004" s="20"/>
      <c r="R1004" s="20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</row>
    <row r="1005" spans="4:49" ht="15" thickBot="1" x14ac:dyDescent="0.35">
      <c r="D1005" s="2">
        <f t="shared" si="55"/>
        <v>999</v>
      </c>
      <c r="E1005" s="6">
        <v>2.1117176488940848</v>
      </c>
      <c r="F1005" s="24"/>
      <c r="G1005" s="24"/>
      <c r="H1005" s="24"/>
      <c r="I1005" s="24"/>
      <c r="J1005" s="3"/>
      <c r="K1005" s="8"/>
      <c r="L1005" s="8"/>
      <c r="M1005" s="8"/>
      <c r="N1005" s="22"/>
      <c r="O1005" s="9"/>
      <c r="P1005" s="20"/>
      <c r="Q1005" s="20"/>
      <c r="R1005" s="20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</row>
    <row r="1006" spans="4:49" ht="15" thickBot="1" x14ac:dyDescent="0.35">
      <c r="D1006" s="2">
        <f t="shared" si="55"/>
        <v>1000</v>
      </c>
      <c r="E1006" s="6">
        <v>0.99793277280350101</v>
      </c>
      <c r="F1006" s="24"/>
      <c r="G1006" s="24"/>
      <c r="H1006" s="24"/>
      <c r="I1006" s="24"/>
      <c r="J1006" s="3"/>
      <c r="K1006" s="8"/>
      <c r="L1006" s="8"/>
      <c r="M1006" s="8"/>
      <c r="N1006" s="13"/>
      <c r="O1006" s="9"/>
      <c r="P1006" s="20"/>
      <c r="Q1006" s="20"/>
      <c r="R1006" s="20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</row>
    <row r="1007" spans="4:49" ht="15" thickBot="1" x14ac:dyDescent="0.35">
      <c r="D1007" s="2">
        <f t="shared" si="55"/>
        <v>1001</v>
      </c>
      <c r="E1007" s="6">
        <v>4.6130339821919826</v>
      </c>
      <c r="F1007" s="24"/>
      <c r="G1007" s="24"/>
      <c r="H1007" s="24"/>
      <c r="I1007" s="24"/>
      <c r="J1007" s="3"/>
      <c r="K1007" s="8"/>
      <c r="L1007" s="8"/>
      <c r="M1007" s="8"/>
      <c r="N1007" s="13"/>
      <c r="O1007" s="9"/>
      <c r="P1007" s="20"/>
      <c r="Q1007" s="20"/>
      <c r="R1007" s="20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</row>
    <row r="1008" spans="4:49" ht="15" thickBot="1" x14ac:dyDescent="0.35">
      <c r="D1008" s="2">
        <f t="shared" si="55"/>
        <v>1002</v>
      </c>
      <c r="E1008" s="6">
        <v>5.9381672909715144</v>
      </c>
      <c r="F1008" s="24"/>
      <c r="G1008" s="24"/>
      <c r="H1008" s="24"/>
      <c r="I1008" s="24"/>
      <c r="J1008" s="3"/>
      <c r="K1008" s="8"/>
      <c r="L1008" s="8"/>
      <c r="M1008" s="8"/>
      <c r="N1008" s="13"/>
      <c r="O1008" s="9"/>
      <c r="P1008" s="20"/>
      <c r="Q1008" s="20"/>
      <c r="R1008" s="20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</row>
    <row r="1009" spans="4:49" ht="15" thickBot="1" x14ac:dyDescent="0.35">
      <c r="D1009" s="2">
        <f t="shared" si="55"/>
        <v>1003</v>
      </c>
      <c r="E1009" s="6">
        <v>1.6977631639138773</v>
      </c>
      <c r="F1009" s="24"/>
      <c r="G1009" s="24"/>
      <c r="H1009" s="24"/>
      <c r="I1009" s="24"/>
      <c r="J1009" s="3"/>
      <c r="K1009" s="8"/>
      <c r="L1009" s="8"/>
      <c r="M1009" s="8"/>
      <c r="N1009" s="13"/>
      <c r="O1009" s="9"/>
      <c r="P1009" s="20"/>
      <c r="Q1009" s="20"/>
      <c r="R1009" s="20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</row>
    <row r="1010" spans="4:49" ht="15" thickBot="1" x14ac:dyDescent="0.35">
      <c r="D1010" s="2">
        <f t="shared" si="55"/>
        <v>1004</v>
      </c>
      <c r="E1010" s="6">
        <v>1.1713809483146309</v>
      </c>
      <c r="F1010" s="24"/>
      <c r="G1010" s="24"/>
      <c r="H1010" s="24"/>
      <c r="I1010" s="24"/>
      <c r="J1010" s="3"/>
      <c r="K1010" s="8"/>
      <c r="L1010" s="8"/>
      <c r="M1010" s="8"/>
      <c r="N1010" s="13"/>
      <c r="O1010" s="9"/>
      <c r="P1010" s="20"/>
      <c r="Q1010" s="20"/>
      <c r="R1010" s="20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</row>
    <row r="1011" spans="4:49" ht="15" thickBot="1" x14ac:dyDescent="0.35">
      <c r="D1011" s="2">
        <f t="shared" si="55"/>
        <v>1005</v>
      </c>
      <c r="E1011" s="6">
        <v>3.737270751044691</v>
      </c>
      <c r="F1011" s="24"/>
      <c r="G1011" s="24"/>
      <c r="H1011" s="24"/>
      <c r="I1011" s="24"/>
      <c r="J1011" s="3"/>
      <c r="K1011" s="8"/>
      <c r="L1011" s="8"/>
      <c r="M1011" s="8"/>
      <c r="N1011" s="13"/>
      <c r="O1011" s="9"/>
      <c r="P1011" s="20"/>
      <c r="Q1011" s="20"/>
      <c r="R1011" s="20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</row>
    <row r="1012" spans="4:49" ht="15" thickBot="1" x14ac:dyDescent="0.35">
      <c r="D1012" s="2">
        <f t="shared" si="55"/>
        <v>1006</v>
      </c>
      <c r="E1012" s="6">
        <v>7.3334075760637214</v>
      </c>
      <c r="F1012" s="24"/>
      <c r="G1012" s="24"/>
      <c r="H1012" s="24"/>
      <c r="I1012" s="24"/>
      <c r="J1012" s="3"/>
      <c r="K1012" s="8"/>
      <c r="L1012" s="8"/>
      <c r="M1012" s="8"/>
      <c r="N1012" s="13"/>
      <c r="O1012" s="9"/>
      <c r="P1012" s="20"/>
      <c r="Q1012" s="20"/>
      <c r="R1012" s="20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</row>
    <row r="1013" spans="4:49" ht="15" thickBot="1" x14ac:dyDescent="0.35">
      <c r="D1013" s="2">
        <f t="shared" si="55"/>
        <v>1007</v>
      </c>
      <c r="E1013" s="6">
        <v>2.022096759102654</v>
      </c>
      <c r="F1013" s="24"/>
      <c r="G1013" s="24"/>
      <c r="H1013" s="24"/>
      <c r="I1013" s="24"/>
      <c r="J1013" s="3"/>
      <c r="K1013" s="8"/>
      <c r="L1013" s="8"/>
      <c r="M1013" s="8"/>
      <c r="N1013" s="13"/>
      <c r="O1013" s="9"/>
      <c r="P1013" s="20"/>
      <c r="Q1013" s="20"/>
      <c r="R1013" s="20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</row>
    <row r="1014" spans="4:49" ht="15" thickBot="1" x14ac:dyDescent="0.35">
      <c r="D1014" s="2">
        <f t="shared" si="55"/>
        <v>1008</v>
      </c>
      <c r="E1014" s="6">
        <v>2.0706641601826181</v>
      </c>
      <c r="F1014" s="24"/>
      <c r="G1014" s="24"/>
      <c r="H1014" s="24"/>
      <c r="I1014" s="24"/>
      <c r="J1014" s="3"/>
      <c r="K1014" s="8"/>
      <c r="L1014" s="8"/>
      <c r="M1014" s="8"/>
      <c r="N1014" s="13"/>
      <c r="O1014" s="9"/>
      <c r="P1014" s="20"/>
      <c r="Q1014" s="20"/>
      <c r="R1014" s="20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</row>
    <row r="1015" spans="4:49" ht="15" thickBot="1" x14ac:dyDescent="0.35">
      <c r="D1015" s="2">
        <f t="shared" si="55"/>
        <v>1009</v>
      </c>
      <c r="E1015" s="6">
        <v>6.9615544037831727</v>
      </c>
      <c r="F1015" s="24"/>
      <c r="G1015" s="24"/>
      <c r="H1015" s="24"/>
      <c r="I1015" s="24"/>
      <c r="J1015" s="3"/>
      <c r="K1015" s="8"/>
      <c r="L1015" s="8"/>
      <c r="M1015" s="8"/>
      <c r="N1015" s="13"/>
      <c r="O1015" s="9"/>
      <c r="P1015" s="20"/>
      <c r="Q1015" s="20"/>
      <c r="R1015" s="20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</row>
    <row r="1016" spans="4:49" ht="15" thickBot="1" x14ac:dyDescent="0.35">
      <c r="D1016" s="2">
        <f t="shared" si="55"/>
        <v>1010</v>
      </c>
      <c r="E1016" s="6">
        <v>0.5301681436775677</v>
      </c>
      <c r="F1016" s="24"/>
      <c r="G1016" s="24"/>
      <c r="H1016" s="24"/>
      <c r="I1016" s="24"/>
      <c r="J1016" s="3"/>
      <c r="K1016" s="8"/>
      <c r="L1016" s="8"/>
      <c r="M1016" s="8"/>
      <c r="N1016" s="13"/>
      <c r="O1016" s="9"/>
      <c r="P1016" s="20"/>
      <c r="Q1016" s="20"/>
      <c r="R1016" s="20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</row>
    <row r="1017" spans="4:49" ht="15" thickBot="1" x14ac:dyDescent="0.35">
      <c r="D1017" s="2">
        <f t="shared" si="55"/>
        <v>1011</v>
      </c>
      <c r="E1017" s="6">
        <v>13.90405431063647</v>
      </c>
      <c r="F1017" s="24"/>
      <c r="G1017" s="24"/>
      <c r="H1017" s="24"/>
      <c r="I1017" s="24"/>
      <c r="J1017" s="3"/>
      <c r="K1017" s="8"/>
      <c r="L1017" s="8"/>
      <c r="M1017" s="8"/>
      <c r="N1017" s="13"/>
      <c r="O1017" s="9"/>
      <c r="P1017" s="20"/>
      <c r="Q1017" s="20"/>
      <c r="R1017" s="20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</row>
    <row r="1018" spans="4:49" ht="15" thickBot="1" x14ac:dyDescent="0.35">
      <c r="D1018" s="2">
        <f t="shared" si="55"/>
        <v>1012</v>
      </c>
      <c r="E1018" s="6">
        <v>7.6478643250471103</v>
      </c>
      <c r="F1018" s="24"/>
      <c r="G1018" s="24"/>
      <c r="H1018" s="24"/>
      <c r="I1018" s="24"/>
      <c r="J1018" s="3"/>
      <c r="K1018" s="8"/>
      <c r="L1018" s="8"/>
      <c r="M1018" s="8"/>
      <c r="N1018" s="13"/>
      <c r="O1018" s="9"/>
      <c r="P1018" s="20"/>
      <c r="Q1018" s="20"/>
      <c r="R1018" s="20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</row>
    <row r="1019" spans="4:49" ht="15" thickBot="1" x14ac:dyDescent="0.35">
      <c r="D1019" s="2">
        <f t="shared" si="55"/>
        <v>1013</v>
      </c>
      <c r="E1019" s="6">
        <v>3.7261991763642839</v>
      </c>
      <c r="F1019" s="24"/>
      <c r="G1019" s="24"/>
      <c r="H1019" s="24"/>
      <c r="I1019" s="24"/>
      <c r="J1019" s="3"/>
      <c r="K1019" s="8"/>
      <c r="L1019" s="8"/>
      <c r="M1019" s="8"/>
      <c r="N1019" s="13"/>
      <c r="O1019" s="9"/>
      <c r="P1019" s="20"/>
      <c r="Q1019" s="20"/>
      <c r="R1019" s="20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</row>
    <row r="1020" spans="4:49" ht="15" thickBot="1" x14ac:dyDescent="0.35">
      <c r="D1020" s="2">
        <f t="shared" si="55"/>
        <v>1014</v>
      </c>
      <c r="E1020" s="6">
        <v>1.7444795728553653</v>
      </c>
      <c r="F1020" s="24"/>
      <c r="G1020" s="24"/>
      <c r="H1020" s="24"/>
      <c r="I1020" s="24"/>
      <c r="J1020" s="3"/>
      <c r="K1020" s="8"/>
      <c r="L1020" s="8"/>
      <c r="M1020" s="8"/>
      <c r="N1020" s="13"/>
      <c r="O1020" s="9"/>
      <c r="P1020" s="20"/>
      <c r="Q1020" s="20"/>
      <c r="R1020" s="20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</row>
    <row r="1021" spans="4:49" ht="15" thickBot="1" x14ac:dyDescent="0.35">
      <c r="D1021" s="2">
        <f t="shared" si="55"/>
        <v>1015</v>
      </c>
      <c r="E1021" s="6">
        <v>10.199184218177626</v>
      </c>
      <c r="F1021" s="24"/>
      <c r="G1021" s="24"/>
      <c r="H1021" s="24"/>
      <c r="I1021" s="24"/>
      <c r="J1021" s="3"/>
      <c r="K1021" s="8"/>
      <c r="L1021" s="8"/>
      <c r="M1021" s="8"/>
      <c r="N1021" s="13"/>
      <c r="O1021" s="9"/>
      <c r="P1021" s="20"/>
      <c r="Q1021" s="20"/>
      <c r="R1021" s="20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</row>
    <row r="1022" spans="4:49" ht="15" thickBot="1" x14ac:dyDescent="0.35">
      <c r="D1022" s="2">
        <f t="shared" si="55"/>
        <v>1016</v>
      </c>
      <c r="E1022" s="6">
        <v>0.77223632669895326</v>
      </c>
      <c r="F1022" s="24"/>
      <c r="G1022" s="24"/>
      <c r="H1022" s="24"/>
      <c r="I1022" s="24"/>
      <c r="J1022" s="3"/>
      <c r="K1022" s="8"/>
      <c r="L1022" s="8"/>
      <c r="M1022" s="8"/>
      <c r="N1022" s="13"/>
      <c r="O1022" s="9"/>
      <c r="P1022" s="20"/>
      <c r="Q1022" s="20"/>
      <c r="R1022" s="20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</row>
    <row r="1023" spans="4:49" ht="15" thickBot="1" x14ac:dyDescent="0.35">
      <c r="D1023" s="2">
        <f t="shared" si="55"/>
        <v>1017</v>
      </c>
      <c r="E1023" s="6">
        <v>2.9863958097396974</v>
      </c>
      <c r="F1023" s="24"/>
      <c r="G1023" s="24"/>
      <c r="H1023" s="24"/>
      <c r="I1023" s="24"/>
      <c r="J1023" s="3"/>
      <c r="K1023" s="8"/>
      <c r="L1023" s="8"/>
      <c r="M1023" s="8"/>
      <c r="N1023" s="13"/>
      <c r="O1023" s="9"/>
      <c r="P1023" s="20"/>
      <c r="Q1023" s="20"/>
      <c r="R1023" s="20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</row>
    <row r="1024" spans="4:49" ht="15" thickBot="1" x14ac:dyDescent="0.35">
      <c r="D1024" s="2">
        <f t="shared" si="55"/>
        <v>1018</v>
      </c>
      <c r="E1024" s="6">
        <v>9.7263757850304593</v>
      </c>
      <c r="F1024" s="24"/>
      <c r="G1024" s="24"/>
      <c r="H1024" s="24"/>
      <c r="I1024" s="24"/>
      <c r="J1024" s="3"/>
      <c r="K1024" s="8"/>
      <c r="L1024" s="8"/>
      <c r="M1024" s="8"/>
      <c r="N1024" s="13"/>
      <c r="O1024" s="9"/>
      <c r="P1024" s="20"/>
      <c r="Q1024" s="20"/>
      <c r="R1024" s="20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</row>
    <row r="1025" spans="4:49" ht="15" thickBot="1" x14ac:dyDescent="0.35">
      <c r="D1025" s="2">
        <f t="shared" si="55"/>
        <v>1019</v>
      </c>
      <c r="E1025" s="6">
        <v>14.940992388460387</v>
      </c>
      <c r="F1025" s="24"/>
      <c r="G1025" s="24"/>
      <c r="H1025" s="24"/>
      <c r="I1025" s="24"/>
      <c r="J1025" s="3"/>
      <c r="K1025" s="8"/>
      <c r="L1025" s="8"/>
      <c r="M1025" s="8"/>
      <c r="N1025" s="13"/>
      <c r="O1025" s="9"/>
      <c r="P1025" s="20"/>
      <c r="Q1025" s="20"/>
      <c r="R1025" s="20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</row>
    <row r="1026" spans="4:49" ht="15" thickBot="1" x14ac:dyDescent="0.35">
      <c r="D1026" s="2">
        <f t="shared" si="55"/>
        <v>1020</v>
      </c>
      <c r="E1026" s="6">
        <v>0.54896529161060281</v>
      </c>
      <c r="F1026" s="24"/>
      <c r="G1026" s="24"/>
      <c r="H1026" s="24"/>
      <c r="I1026" s="24"/>
      <c r="J1026" s="3"/>
      <c r="K1026" s="8"/>
      <c r="L1026" s="8"/>
      <c r="M1026" s="8"/>
      <c r="N1026" s="13"/>
      <c r="O1026" s="9"/>
      <c r="P1026" s="20"/>
      <c r="Q1026" s="20"/>
      <c r="R1026" s="20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</row>
    <row r="1027" spans="4:49" ht="15" thickBot="1" x14ac:dyDescent="0.35">
      <c r="D1027" s="2">
        <f t="shared" si="55"/>
        <v>1021</v>
      </c>
      <c r="E1027" s="6">
        <v>1.1990289802961873</v>
      </c>
      <c r="F1027" s="24"/>
      <c r="G1027" s="24"/>
      <c r="H1027" s="24"/>
      <c r="I1027" s="24"/>
      <c r="J1027" s="3"/>
      <c r="K1027" s="8"/>
      <c r="L1027" s="8"/>
      <c r="M1027" s="8"/>
      <c r="N1027" s="13"/>
      <c r="O1027" s="9"/>
      <c r="P1027" s="20"/>
      <c r="Q1027" s="20"/>
      <c r="R1027" s="20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</row>
    <row r="1028" spans="4:49" ht="15" thickBot="1" x14ac:dyDescent="0.35">
      <c r="D1028" s="2">
        <f t="shared" si="55"/>
        <v>1022</v>
      </c>
      <c r="E1028" s="6">
        <v>2.0253916864998267</v>
      </c>
      <c r="F1028" s="24"/>
      <c r="G1028" s="24"/>
      <c r="H1028" s="24"/>
      <c r="I1028" s="24"/>
      <c r="J1028" s="3"/>
      <c r="K1028" s="8"/>
      <c r="L1028" s="8"/>
      <c r="M1028" s="8"/>
      <c r="N1028" s="13"/>
      <c r="O1028" s="9"/>
      <c r="P1028" s="20"/>
      <c r="Q1028" s="20"/>
      <c r="R1028" s="20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</row>
    <row r="1029" spans="4:49" ht="15" thickBot="1" x14ac:dyDescent="0.35">
      <c r="D1029" s="2">
        <f t="shared" si="55"/>
        <v>1023</v>
      </c>
      <c r="E1029" s="6">
        <v>2.6066163496035042</v>
      </c>
      <c r="F1029" s="24"/>
      <c r="G1029" s="24"/>
      <c r="H1029" s="24"/>
      <c r="I1029" s="24"/>
      <c r="J1029" s="3"/>
      <c r="K1029" s="8"/>
      <c r="L1029" s="8"/>
      <c r="M1029" s="8"/>
      <c r="N1029" s="13"/>
      <c r="O1029" s="9"/>
      <c r="P1029" s="20"/>
      <c r="Q1029" s="20"/>
      <c r="R1029" s="20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</row>
    <row r="1030" spans="4:49" ht="15" thickBot="1" x14ac:dyDescent="0.35">
      <c r="D1030" s="2">
        <f t="shared" si="55"/>
        <v>1024</v>
      </c>
      <c r="E1030" s="6">
        <v>5.8613341365981482</v>
      </c>
      <c r="F1030" s="24"/>
      <c r="G1030" s="24"/>
      <c r="H1030" s="24"/>
      <c r="I1030" s="24"/>
      <c r="J1030" s="3"/>
      <c r="K1030" s="8"/>
      <c r="L1030" s="8"/>
      <c r="M1030" s="8"/>
      <c r="N1030" s="13"/>
      <c r="O1030" s="9"/>
      <c r="P1030" s="20"/>
      <c r="Q1030" s="20"/>
      <c r="R1030" s="20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</row>
    <row r="1031" spans="4:49" ht="15" thickBot="1" x14ac:dyDescent="0.35">
      <c r="D1031" s="2">
        <f t="shared" ref="D1031:D1094" si="56">ROW()-6</f>
        <v>1025</v>
      </c>
      <c r="E1031" s="6">
        <v>1.9397839774786654</v>
      </c>
      <c r="F1031" s="24"/>
      <c r="G1031" s="24"/>
      <c r="H1031" s="24"/>
      <c r="I1031" s="24"/>
      <c r="J1031" s="3"/>
      <c r="K1031" s="8"/>
      <c r="L1031" s="8"/>
      <c r="M1031" s="8"/>
      <c r="N1031" s="13"/>
      <c r="O1031" s="9"/>
      <c r="P1031" s="20"/>
      <c r="Q1031" s="20"/>
      <c r="R1031" s="20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</row>
    <row r="1032" spans="4:49" ht="15" thickBot="1" x14ac:dyDescent="0.35">
      <c r="D1032" s="2">
        <f t="shared" si="56"/>
        <v>1026</v>
      </c>
      <c r="E1032" s="6">
        <v>0.55204110364689896</v>
      </c>
      <c r="F1032" s="24"/>
      <c r="G1032" s="24"/>
      <c r="H1032" s="24"/>
      <c r="I1032" s="24"/>
      <c r="J1032" s="3"/>
      <c r="K1032" s="8"/>
      <c r="L1032" s="8"/>
      <c r="M1032" s="8"/>
      <c r="N1032" s="13"/>
      <c r="O1032" s="9"/>
      <c r="P1032" s="20"/>
      <c r="Q1032" s="20"/>
      <c r="R1032" s="20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</row>
    <row r="1033" spans="4:49" ht="15" thickBot="1" x14ac:dyDescent="0.35">
      <c r="D1033" s="2">
        <f t="shared" si="56"/>
        <v>1027</v>
      </c>
      <c r="E1033" s="6">
        <v>0.79467089833917226</v>
      </c>
      <c r="F1033" s="24"/>
      <c r="G1033" s="24"/>
      <c r="H1033" s="24"/>
      <c r="I1033" s="24"/>
      <c r="J1033" s="3"/>
      <c r="K1033" s="8"/>
      <c r="L1033" s="8"/>
      <c r="M1033" s="8"/>
      <c r="N1033" s="13"/>
      <c r="O1033" s="9"/>
      <c r="P1033" s="20"/>
      <c r="Q1033" s="20"/>
      <c r="R1033" s="20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</row>
    <row r="1034" spans="4:49" ht="15" thickBot="1" x14ac:dyDescent="0.35">
      <c r="D1034" s="2">
        <f t="shared" si="56"/>
        <v>1028</v>
      </c>
      <c r="E1034" s="6">
        <v>9.6623162839451577</v>
      </c>
      <c r="F1034" s="24"/>
      <c r="G1034" s="24"/>
      <c r="H1034" s="24"/>
      <c r="I1034" s="24"/>
      <c r="J1034" s="3"/>
      <c r="K1034" s="8"/>
      <c r="L1034" s="8"/>
      <c r="M1034" s="8"/>
      <c r="N1034" s="13"/>
      <c r="O1034" s="9"/>
      <c r="P1034" s="20"/>
      <c r="Q1034" s="20"/>
      <c r="R1034" s="20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</row>
    <row r="1035" spans="4:49" ht="15" thickBot="1" x14ac:dyDescent="0.35">
      <c r="D1035" s="2">
        <f t="shared" si="56"/>
        <v>1029</v>
      </c>
      <c r="E1035" s="6">
        <v>2.3651865837483963</v>
      </c>
      <c r="F1035" s="24"/>
      <c r="G1035" s="24"/>
      <c r="H1035" s="24"/>
      <c r="I1035" s="24"/>
      <c r="J1035" s="3"/>
      <c r="K1035" s="8"/>
      <c r="L1035" s="8"/>
      <c r="M1035" s="8"/>
      <c r="N1035" s="13"/>
      <c r="O1035" s="9"/>
      <c r="P1035" s="20"/>
      <c r="Q1035" s="20"/>
      <c r="R1035" s="20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</row>
    <row r="1036" spans="4:49" ht="15" thickBot="1" x14ac:dyDescent="0.35">
      <c r="D1036" s="2">
        <f t="shared" si="56"/>
        <v>1030</v>
      </c>
      <c r="E1036" s="6">
        <v>1.4849078876542037</v>
      </c>
      <c r="F1036" s="24"/>
      <c r="G1036" s="24"/>
      <c r="H1036" s="24"/>
      <c r="I1036" s="24"/>
      <c r="J1036" s="3"/>
      <c r="K1036" s="8"/>
      <c r="L1036" s="8"/>
      <c r="M1036" s="8"/>
      <c r="N1036" s="13"/>
      <c r="O1036" s="9"/>
      <c r="P1036" s="20"/>
      <c r="Q1036" s="20"/>
      <c r="R1036" s="20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</row>
    <row r="1037" spans="4:49" ht="15" thickBot="1" x14ac:dyDescent="0.35">
      <c r="D1037" s="2">
        <f t="shared" si="56"/>
        <v>1031</v>
      </c>
      <c r="E1037" s="6">
        <v>1.2723727449178828</v>
      </c>
      <c r="F1037" s="24"/>
      <c r="G1037" s="24"/>
      <c r="H1037" s="24"/>
      <c r="I1037" s="24"/>
      <c r="J1037" s="3"/>
      <c r="K1037" s="8"/>
      <c r="L1037" s="8"/>
      <c r="M1037" s="8"/>
      <c r="N1037" s="13"/>
      <c r="O1037" s="9"/>
      <c r="P1037" s="20"/>
      <c r="Q1037" s="20"/>
      <c r="R1037" s="20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</row>
    <row r="1038" spans="4:49" ht="15" thickBot="1" x14ac:dyDescent="0.35">
      <c r="D1038" s="2">
        <f t="shared" si="56"/>
        <v>1032</v>
      </c>
      <c r="E1038" s="6">
        <v>1.7328423002359519</v>
      </c>
      <c r="F1038" s="24"/>
      <c r="G1038" s="24"/>
      <c r="H1038" s="24"/>
      <c r="I1038" s="24"/>
      <c r="J1038" s="3"/>
      <c r="K1038" s="8"/>
      <c r="L1038" s="8"/>
      <c r="M1038" s="8"/>
      <c r="N1038" s="13"/>
      <c r="O1038" s="9"/>
      <c r="P1038" s="20"/>
      <c r="Q1038" s="20"/>
      <c r="R1038" s="20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</row>
    <row r="1039" spans="4:49" ht="15" thickBot="1" x14ac:dyDescent="0.35">
      <c r="D1039" s="2">
        <f t="shared" si="56"/>
        <v>1033</v>
      </c>
      <c r="E1039" s="6">
        <v>1.3626728423733105</v>
      </c>
      <c r="F1039" s="24"/>
      <c r="G1039" s="24"/>
      <c r="H1039" s="24"/>
      <c r="I1039" s="24"/>
      <c r="J1039" s="3"/>
      <c r="K1039" s="8"/>
      <c r="L1039" s="8"/>
      <c r="M1039" s="8"/>
      <c r="N1039" s="13"/>
      <c r="O1039" s="9"/>
      <c r="P1039" s="20"/>
      <c r="Q1039" s="20"/>
      <c r="R1039" s="20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</row>
    <row r="1040" spans="4:49" ht="15" thickBot="1" x14ac:dyDescent="0.35">
      <c r="D1040" s="2">
        <f t="shared" si="56"/>
        <v>1034</v>
      </c>
      <c r="E1040" s="6">
        <v>7.2839400082748575</v>
      </c>
      <c r="F1040" s="24"/>
      <c r="G1040" s="24"/>
      <c r="H1040" s="24"/>
      <c r="I1040" s="24"/>
      <c r="J1040" s="3"/>
      <c r="K1040" s="8"/>
      <c r="L1040" s="8"/>
      <c r="M1040" s="8"/>
      <c r="N1040" s="13"/>
      <c r="O1040" s="9"/>
      <c r="P1040" s="20"/>
      <c r="Q1040" s="20"/>
      <c r="R1040" s="20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</row>
    <row r="1041" spans="4:49" ht="15" thickBot="1" x14ac:dyDescent="0.35">
      <c r="D1041" s="2">
        <f t="shared" si="56"/>
        <v>1035</v>
      </c>
      <c r="E1041" s="6">
        <v>9.0386963154183491</v>
      </c>
      <c r="F1041" s="24"/>
      <c r="G1041" s="24"/>
      <c r="H1041" s="24"/>
      <c r="I1041" s="24"/>
      <c r="J1041" s="3"/>
      <c r="K1041" s="8"/>
      <c r="L1041" s="8"/>
      <c r="M1041" s="8"/>
      <c r="N1041" s="13"/>
      <c r="O1041" s="9"/>
      <c r="P1041" s="20"/>
      <c r="Q1041" s="20"/>
      <c r="R1041" s="20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</row>
    <row r="1042" spans="4:49" ht="15" thickBot="1" x14ac:dyDescent="0.35">
      <c r="D1042" s="2">
        <f t="shared" si="56"/>
        <v>1036</v>
      </c>
      <c r="E1042" s="6">
        <v>5.5883552074717544</v>
      </c>
      <c r="F1042" s="24"/>
      <c r="G1042" s="24"/>
      <c r="H1042" s="24"/>
      <c r="I1042" s="24"/>
      <c r="J1042" s="3"/>
      <c r="K1042" s="8"/>
      <c r="L1042" s="8"/>
      <c r="M1042" s="8"/>
      <c r="N1042" s="13"/>
      <c r="O1042" s="9"/>
      <c r="P1042" s="20"/>
      <c r="Q1042" s="20"/>
      <c r="R1042" s="20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</row>
    <row r="1043" spans="4:49" ht="15" thickBot="1" x14ac:dyDescent="0.35">
      <c r="D1043" s="2">
        <f t="shared" si="56"/>
        <v>1037</v>
      </c>
      <c r="E1043" s="6">
        <v>3.9709100914987623</v>
      </c>
      <c r="F1043" s="24"/>
      <c r="G1043" s="24"/>
      <c r="H1043" s="24"/>
      <c r="I1043" s="24"/>
      <c r="J1043" s="3"/>
      <c r="K1043" s="8"/>
      <c r="L1043" s="8"/>
      <c r="M1043" s="8"/>
      <c r="N1043" s="13"/>
      <c r="O1043" s="9"/>
      <c r="P1043" s="20"/>
      <c r="Q1043" s="20"/>
      <c r="R1043" s="20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</row>
    <row r="1044" spans="4:49" ht="15" thickBot="1" x14ac:dyDescent="0.35">
      <c r="D1044" s="2">
        <f t="shared" si="56"/>
        <v>1038</v>
      </c>
      <c r="E1044" s="6">
        <v>8.4676470715379395</v>
      </c>
      <c r="F1044" s="24"/>
      <c r="G1044" s="24"/>
      <c r="H1044" s="24"/>
      <c r="I1044" s="24"/>
      <c r="J1044" s="3"/>
      <c r="K1044" s="8"/>
      <c r="L1044" s="8"/>
      <c r="M1044" s="8"/>
      <c r="N1044" s="13"/>
      <c r="O1044" s="9"/>
      <c r="P1044" s="20"/>
      <c r="Q1044" s="20"/>
      <c r="R1044" s="20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</row>
    <row r="1045" spans="4:49" ht="15" thickBot="1" x14ac:dyDescent="0.35">
      <c r="D1045" s="2">
        <f t="shared" si="56"/>
        <v>1039</v>
      </c>
      <c r="E1045" s="6">
        <v>7.6969306886137074</v>
      </c>
      <c r="F1045" s="24"/>
      <c r="G1045" s="24"/>
      <c r="H1045" s="24"/>
      <c r="I1045" s="24"/>
      <c r="J1045" s="3"/>
      <c r="K1045" s="8"/>
      <c r="L1045" s="8"/>
      <c r="M1045" s="8"/>
      <c r="N1045" s="13"/>
      <c r="O1045" s="9"/>
      <c r="P1045" s="20"/>
      <c r="Q1045" s="20"/>
      <c r="R1045" s="20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</row>
    <row r="1046" spans="4:49" ht="15" thickBot="1" x14ac:dyDescent="0.35">
      <c r="D1046" s="2">
        <f t="shared" si="56"/>
        <v>1040</v>
      </c>
      <c r="E1046" s="6">
        <v>4.333788759402041</v>
      </c>
      <c r="F1046" s="24"/>
      <c r="G1046" s="24"/>
      <c r="H1046" s="24"/>
      <c r="I1046" s="24"/>
      <c r="J1046" s="3"/>
      <c r="K1046" s="8"/>
      <c r="L1046" s="8"/>
      <c r="M1046" s="8"/>
      <c r="N1046" s="13"/>
      <c r="O1046" s="9"/>
      <c r="P1046" s="20"/>
      <c r="Q1046" s="20"/>
      <c r="R1046" s="20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</row>
    <row r="1047" spans="4:49" ht="15" thickBot="1" x14ac:dyDescent="0.35">
      <c r="D1047" s="2">
        <f t="shared" si="56"/>
        <v>1041</v>
      </c>
      <c r="E1047" s="6">
        <v>2.2820277651347785E-2</v>
      </c>
      <c r="F1047" s="24"/>
      <c r="G1047" s="24"/>
      <c r="H1047" s="24"/>
      <c r="I1047" s="24"/>
      <c r="J1047" s="3"/>
      <c r="K1047" s="8"/>
      <c r="L1047" s="8"/>
      <c r="M1047" s="8"/>
      <c r="N1047" s="13"/>
      <c r="O1047" s="9"/>
      <c r="P1047" s="20"/>
      <c r="Q1047" s="20"/>
      <c r="R1047" s="20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</row>
    <row r="1048" spans="4:49" ht="15" thickBot="1" x14ac:dyDescent="0.35">
      <c r="D1048" s="2">
        <f t="shared" si="56"/>
        <v>1042</v>
      </c>
      <c r="E1048" s="6">
        <v>2.0011500809793681</v>
      </c>
      <c r="F1048" s="24"/>
      <c r="G1048" s="24"/>
      <c r="H1048" s="24"/>
      <c r="I1048" s="24"/>
      <c r="J1048" s="3"/>
      <c r="K1048" s="8"/>
      <c r="L1048" s="8"/>
      <c r="M1048" s="8"/>
      <c r="N1048" s="13"/>
      <c r="O1048" s="9"/>
      <c r="P1048" s="20"/>
      <c r="Q1048" s="20"/>
      <c r="R1048" s="20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</row>
    <row r="1049" spans="4:49" ht="15" thickBot="1" x14ac:dyDescent="0.35">
      <c r="D1049" s="2">
        <f t="shared" si="56"/>
        <v>1043</v>
      </c>
      <c r="E1049" s="6">
        <v>4.6478314807137409</v>
      </c>
      <c r="F1049" s="24"/>
      <c r="G1049" s="24"/>
      <c r="H1049" s="24"/>
      <c r="I1049" s="24"/>
      <c r="J1049" s="3"/>
      <c r="K1049" s="8"/>
      <c r="L1049" s="8"/>
      <c r="M1049" s="8"/>
      <c r="N1049" s="13"/>
      <c r="O1049" s="9"/>
      <c r="P1049" s="20"/>
      <c r="Q1049" s="20"/>
      <c r="R1049" s="20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</row>
    <row r="1050" spans="4:49" ht="15" thickBot="1" x14ac:dyDescent="0.35">
      <c r="D1050" s="2">
        <f t="shared" si="56"/>
        <v>1044</v>
      </c>
      <c r="E1050" s="6">
        <v>9.7995919537202401</v>
      </c>
      <c r="F1050" s="24"/>
      <c r="G1050" s="24"/>
      <c r="H1050" s="24"/>
      <c r="I1050" s="24"/>
      <c r="J1050" s="3"/>
      <c r="K1050" s="8"/>
      <c r="L1050" s="8"/>
      <c r="M1050" s="8"/>
      <c r="N1050" s="13"/>
      <c r="O1050" s="9"/>
      <c r="P1050" s="20"/>
      <c r="Q1050" s="20"/>
      <c r="R1050" s="20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</row>
    <row r="1051" spans="4:49" ht="15" thickBot="1" x14ac:dyDescent="0.35">
      <c r="D1051" s="2">
        <f t="shared" si="56"/>
        <v>1045</v>
      </c>
      <c r="E1051" s="6">
        <v>2.5288890859563287</v>
      </c>
      <c r="F1051" s="24"/>
      <c r="G1051" s="24"/>
      <c r="H1051" s="24"/>
      <c r="I1051" s="24"/>
      <c r="J1051" s="3"/>
      <c r="K1051" s="8"/>
      <c r="L1051" s="8"/>
      <c r="M1051" s="8"/>
      <c r="N1051" s="13"/>
      <c r="O1051" s="9"/>
      <c r="P1051" s="20"/>
      <c r="Q1051" s="20"/>
      <c r="R1051" s="20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</row>
    <row r="1052" spans="4:49" ht="15" thickBot="1" x14ac:dyDescent="0.35">
      <c r="D1052" s="2">
        <f t="shared" si="56"/>
        <v>1046</v>
      </c>
      <c r="E1052" s="6">
        <v>5.7517393625396753</v>
      </c>
      <c r="F1052" s="24"/>
      <c r="G1052" s="24"/>
      <c r="H1052" s="24"/>
      <c r="I1052" s="24"/>
      <c r="J1052" s="3"/>
      <c r="K1052" s="8"/>
      <c r="L1052" s="8"/>
      <c r="M1052" s="8"/>
      <c r="N1052" s="13"/>
      <c r="O1052" s="9"/>
      <c r="P1052" s="20"/>
      <c r="Q1052" s="20"/>
      <c r="R1052" s="20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</row>
    <row r="1053" spans="4:49" ht="15" thickBot="1" x14ac:dyDescent="0.35">
      <c r="D1053" s="2">
        <f t="shared" si="56"/>
        <v>1047</v>
      </c>
      <c r="E1053" s="6">
        <v>2.6173699589343</v>
      </c>
      <c r="F1053" s="24"/>
      <c r="G1053" s="24"/>
      <c r="H1053" s="24"/>
      <c r="I1053" s="24"/>
      <c r="J1053" s="3"/>
      <c r="K1053" s="8"/>
      <c r="L1053" s="8"/>
      <c r="M1053" s="8"/>
      <c r="N1053" s="13"/>
      <c r="O1053" s="9"/>
      <c r="P1053" s="20"/>
      <c r="Q1053" s="20"/>
      <c r="R1053" s="20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</row>
    <row r="1054" spans="4:49" ht="15" thickBot="1" x14ac:dyDescent="0.35">
      <c r="D1054" s="2">
        <f t="shared" si="56"/>
        <v>1048</v>
      </c>
      <c r="E1054" s="6">
        <v>7.0924944270580257</v>
      </c>
      <c r="F1054" s="24"/>
      <c r="G1054" s="24"/>
      <c r="H1054" s="24"/>
      <c r="I1054" s="24"/>
      <c r="J1054" s="3"/>
      <c r="K1054" s="8"/>
      <c r="L1054" s="8"/>
      <c r="M1054" s="8"/>
      <c r="N1054" s="13"/>
      <c r="O1054" s="9"/>
      <c r="P1054" s="20"/>
      <c r="Q1054" s="20"/>
      <c r="R1054" s="20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</row>
    <row r="1055" spans="4:49" ht="15" thickBot="1" x14ac:dyDescent="0.35">
      <c r="D1055" s="2">
        <f t="shared" si="56"/>
        <v>1049</v>
      </c>
      <c r="E1055" s="6">
        <v>1.95696631643547</v>
      </c>
      <c r="F1055" s="24"/>
      <c r="G1055" s="24"/>
      <c r="H1055" s="24"/>
      <c r="I1055" s="24"/>
      <c r="J1055" s="3"/>
      <c r="K1055" s="8"/>
      <c r="L1055" s="8"/>
      <c r="M1055" s="8"/>
      <c r="N1055" s="13"/>
      <c r="O1055" s="9"/>
      <c r="P1055" s="20"/>
      <c r="Q1055" s="20"/>
      <c r="R1055" s="20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</row>
    <row r="1056" spans="4:49" ht="15" thickBot="1" x14ac:dyDescent="0.35">
      <c r="D1056" s="2">
        <f t="shared" si="56"/>
        <v>1050</v>
      </c>
      <c r="E1056" s="6">
        <v>1.1120518714119676</v>
      </c>
      <c r="F1056" s="24"/>
      <c r="G1056" s="24"/>
      <c r="H1056" s="24"/>
      <c r="I1056" s="24"/>
      <c r="J1056" s="3"/>
      <c r="K1056" s="8"/>
      <c r="L1056" s="8"/>
      <c r="M1056" s="8"/>
      <c r="N1056" s="13"/>
      <c r="O1056" s="9"/>
      <c r="P1056" s="20"/>
      <c r="Q1056" s="20"/>
      <c r="R1056" s="20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</row>
    <row r="1057" spans="4:49" ht="15" thickBot="1" x14ac:dyDescent="0.35">
      <c r="D1057" s="2">
        <f t="shared" si="56"/>
        <v>1051</v>
      </c>
      <c r="E1057" s="6">
        <v>10.318987669192648</v>
      </c>
      <c r="F1057" s="24"/>
      <c r="G1057" s="24"/>
      <c r="H1057" s="24"/>
      <c r="I1057" s="24"/>
      <c r="J1057" s="3"/>
      <c r="K1057" s="8"/>
      <c r="L1057" s="8"/>
      <c r="M1057" s="8"/>
      <c r="N1057" s="13"/>
      <c r="O1057" s="9"/>
      <c r="P1057" s="20"/>
      <c r="Q1057" s="20"/>
      <c r="R1057" s="20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</row>
    <row r="1058" spans="4:49" ht="15" thickBot="1" x14ac:dyDescent="0.35">
      <c r="D1058" s="2">
        <f t="shared" si="56"/>
        <v>1052</v>
      </c>
      <c r="E1058" s="6">
        <v>12.495312531375045</v>
      </c>
      <c r="F1058" s="24"/>
      <c r="G1058" s="24"/>
      <c r="H1058" s="24"/>
      <c r="I1058" s="24"/>
      <c r="J1058" s="3"/>
      <c r="K1058" s="8"/>
      <c r="L1058" s="8"/>
      <c r="M1058" s="8"/>
      <c r="N1058" s="13"/>
      <c r="O1058" s="9"/>
      <c r="P1058" s="20"/>
      <c r="Q1058" s="20"/>
      <c r="R1058" s="20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</row>
    <row r="1059" spans="4:49" ht="15" thickBot="1" x14ac:dyDescent="0.35">
      <c r="D1059" s="2">
        <f t="shared" si="56"/>
        <v>1053</v>
      </c>
      <c r="E1059" s="6">
        <v>1.051799210312099</v>
      </c>
      <c r="F1059" s="24"/>
      <c r="G1059" s="24"/>
      <c r="H1059" s="24"/>
      <c r="I1059" s="24"/>
      <c r="J1059" s="3"/>
      <c r="K1059" s="8"/>
      <c r="L1059" s="8"/>
      <c r="M1059" s="8"/>
      <c r="N1059" s="13"/>
      <c r="O1059" s="9"/>
      <c r="P1059" s="20"/>
      <c r="Q1059" s="20"/>
      <c r="R1059" s="20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</row>
    <row r="1060" spans="4:49" ht="15" thickBot="1" x14ac:dyDescent="0.35">
      <c r="D1060" s="2">
        <f t="shared" si="56"/>
        <v>1054</v>
      </c>
      <c r="E1060" s="6">
        <v>1.5177815184629058</v>
      </c>
      <c r="F1060" s="24"/>
      <c r="G1060" s="24"/>
      <c r="H1060" s="24"/>
      <c r="I1060" s="24"/>
      <c r="J1060" s="3"/>
      <c r="K1060" s="8"/>
      <c r="L1060" s="8"/>
      <c r="M1060" s="8"/>
      <c r="N1060" s="13"/>
      <c r="O1060" s="9"/>
      <c r="P1060" s="20"/>
      <c r="Q1060" s="20"/>
      <c r="R1060" s="20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</row>
    <row r="1061" spans="4:49" ht="15" thickBot="1" x14ac:dyDescent="0.35">
      <c r="D1061" s="2">
        <f t="shared" si="56"/>
        <v>1055</v>
      </c>
      <c r="E1061" s="6">
        <v>15.878017845259158</v>
      </c>
      <c r="F1061" s="24"/>
      <c r="G1061" s="24"/>
      <c r="H1061" s="24"/>
      <c r="I1061" s="24"/>
      <c r="J1061" s="3"/>
      <c r="K1061" s="8"/>
      <c r="L1061" s="8"/>
      <c r="M1061" s="8"/>
      <c r="N1061" s="13"/>
      <c r="O1061" s="9"/>
      <c r="P1061" s="20"/>
      <c r="Q1061" s="20"/>
      <c r="R1061" s="20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</row>
    <row r="1062" spans="4:49" ht="15" thickBot="1" x14ac:dyDescent="0.35">
      <c r="D1062" s="2">
        <f t="shared" si="56"/>
        <v>1056</v>
      </c>
      <c r="E1062" s="6">
        <v>5.9556974070771398</v>
      </c>
      <c r="F1062" s="24"/>
      <c r="G1062" s="24"/>
      <c r="H1062" s="24"/>
      <c r="I1062" s="24"/>
      <c r="J1062" s="3"/>
      <c r="K1062" s="8"/>
      <c r="L1062" s="8"/>
      <c r="M1062" s="8"/>
      <c r="N1062" s="13"/>
      <c r="O1062" s="9"/>
      <c r="P1062" s="20"/>
      <c r="Q1062" s="20"/>
      <c r="R1062" s="20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</row>
    <row r="1063" spans="4:49" ht="15" thickBot="1" x14ac:dyDescent="0.35">
      <c r="D1063" s="2">
        <f t="shared" si="56"/>
        <v>1057</v>
      </c>
      <c r="E1063" s="6">
        <v>5.7585414847848782</v>
      </c>
      <c r="F1063" s="24"/>
      <c r="G1063" s="24"/>
      <c r="H1063" s="24"/>
      <c r="I1063" s="24"/>
      <c r="J1063" s="3"/>
      <c r="K1063" s="8"/>
      <c r="L1063" s="8"/>
      <c r="M1063" s="8"/>
      <c r="N1063" s="13"/>
      <c r="O1063" s="9"/>
      <c r="P1063" s="20"/>
      <c r="Q1063" s="20"/>
      <c r="R1063" s="20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</row>
    <row r="1064" spans="4:49" ht="15" thickBot="1" x14ac:dyDescent="0.35">
      <c r="D1064" s="2">
        <f t="shared" si="56"/>
        <v>1058</v>
      </c>
      <c r="E1064" s="6">
        <v>7.7341586510549893</v>
      </c>
      <c r="F1064" s="24"/>
      <c r="G1064" s="24"/>
      <c r="H1064" s="24"/>
      <c r="I1064" s="24"/>
      <c r="J1064" s="3"/>
      <c r="K1064" s="8"/>
      <c r="L1064" s="8"/>
      <c r="M1064" s="8"/>
      <c r="N1064" s="13"/>
      <c r="O1064" s="9"/>
      <c r="P1064" s="20"/>
      <c r="Q1064" s="20"/>
      <c r="R1064" s="20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</row>
    <row r="1065" spans="4:49" ht="15" thickBot="1" x14ac:dyDescent="0.35">
      <c r="D1065" s="2">
        <f t="shared" si="56"/>
        <v>1059</v>
      </c>
      <c r="E1065" s="6">
        <v>4.0731873737783628</v>
      </c>
      <c r="F1065" s="24"/>
      <c r="G1065" s="24"/>
      <c r="H1065" s="24"/>
      <c r="I1065" s="24"/>
      <c r="J1065" s="3"/>
      <c r="K1065" s="8"/>
      <c r="L1065" s="8"/>
      <c r="M1065" s="8"/>
      <c r="N1065" s="13"/>
      <c r="O1065" s="9"/>
      <c r="P1065" s="20"/>
      <c r="Q1065" s="20"/>
      <c r="R1065" s="20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</row>
    <row r="1066" spans="4:49" ht="15" thickBot="1" x14ac:dyDescent="0.35">
      <c r="D1066" s="2">
        <f t="shared" si="56"/>
        <v>1060</v>
      </c>
      <c r="E1066" s="6">
        <v>3.6658417222945507</v>
      </c>
      <c r="F1066" s="24"/>
      <c r="G1066" s="24"/>
      <c r="H1066" s="24"/>
      <c r="I1066" s="24"/>
      <c r="J1066" s="3"/>
      <c r="K1066" s="8"/>
      <c r="L1066" s="8"/>
      <c r="M1066" s="8"/>
      <c r="N1066" s="13"/>
      <c r="O1066" s="9"/>
      <c r="P1066" s="20"/>
      <c r="Q1066" s="20"/>
      <c r="R1066" s="20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</row>
    <row r="1067" spans="4:49" ht="15" thickBot="1" x14ac:dyDescent="0.35">
      <c r="D1067" s="2">
        <f t="shared" si="56"/>
        <v>1061</v>
      </c>
      <c r="E1067" s="6">
        <v>3.4981953284761169</v>
      </c>
      <c r="F1067" s="24"/>
      <c r="G1067" s="24"/>
      <c r="H1067" s="24"/>
      <c r="I1067" s="24"/>
      <c r="J1067" s="3"/>
      <c r="K1067" s="8"/>
      <c r="L1067" s="8"/>
      <c r="M1067" s="8"/>
      <c r="N1067" s="13"/>
      <c r="O1067" s="9"/>
      <c r="P1067" s="20"/>
      <c r="Q1067" s="20"/>
      <c r="R1067" s="20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</row>
    <row r="1068" spans="4:49" ht="15" thickBot="1" x14ac:dyDescent="0.35">
      <c r="D1068" s="2">
        <f t="shared" si="56"/>
        <v>1062</v>
      </c>
      <c r="E1068" s="6">
        <v>2.9375499013449216</v>
      </c>
      <c r="F1068" s="24"/>
      <c r="G1068" s="24"/>
      <c r="H1068" s="24"/>
      <c r="I1068" s="24"/>
      <c r="J1068" s="3"/>
      <c r="K1068" s="8"/>
      <c r="L1068" s="8"/>
      <c r="M1068" s="8"/>
      <c r="N1068" s="13"/>
      <c r="O1068" s="9"/>
      <c r="P1068" s="20"/>
      <c r="Q1068" s="20"/>
      <c r="R1068" s="20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</row>
    <row r="1069" spans="4:49" ht="15" thickBot="1" x14ac:dyDescent="0.35">
      <c r="D1069" s="2">
        <f t="shared" si="56"/>
        <v>1063</v>
      </c>
      <c r="E1069" s="6">
        <v>3.2776782698619824</v>
      </c>
      <c r="F1069" s="24"/>
      <c r="G1069" s="24"/>
      <c r="H1069" s="24"/>
      <c r="I1069" s="24"/>
      <c r="J1069" s="3"/>
      <c r="K1069" s="8"/>
      <c r="L1069" s="8"/>
      <c r="M1069" s="8"/>
      <c r="N1069" s="13"/>
      <c r="O1069" s="9"/>
      <c r="P1069" s="20"/>
      <c r="Q1069" s="20"/>
      <c r="R1069" s="20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</row>
    <row r="1070" spans="4:49" ht="15" thickBot="1" x14ac:dyDescent="0.35">
      <c r="D1070" s="2">
        <f t="shared" si="56"/>
        <v>1064</v>
      </c>
      <c r="E1070" s="6">
        <v>0.20251905669370901</v>
      </c>
      <c r="F1070" s="24"/>
      <c r="G1070" s="24"/>
      <c r="H1070" s="24"/>
      <c r="I1070" s="24"/>
      <c r="J1070" s="3"/>
      <c r="K1070" s="8"/>
      <c r="L1070" s="8"/>
      <c r="M1070" s="8"/>
      <c r="N1070" s="13"/>
      <c r="O1070" s="9"/>
      <c r="P1070" s="20"/>
      <c r="Q1070" s="20"/>
      <c r="R1070" s="20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</row>
    <row r="1071" spans="4:49" ht="15" thickBot="1" x14ac:dyDescent="0.35">
      <c r="D1071" s="2">
        <f t="shared" si="56"/>
        <v>1065</v>
      </c>
      <c r="E1071" s="6">
        <v>0.33521278333665883</v>
      </c>
      <c r="F1071" s="24"/>
      <c r="G1071" s="24"/>
      <c r="H1071" s="24"/>
      <c r="I1071" s="24"/>
      <c r="J1071" s="3"/>
      <c r="K1071" s="8"/>
      <c r="L1071" s="8"/>
      <c r="M1071" s="8"/>
      <c r="N1071" s="13"/>
      <c r="O1071" s="9"/>
      <c r="P1071" s="20"/>
      <c r="Q1071" s="20"/>
      <c r="R1071" s="20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</row>
    <row r="1072" spans="4:49" ht="15" thickBot="1" x14ac:dyDescent="0.35">
      <c r="D1072" s="2">
        <f t="shared" si="56"/>
        <v>1066</v>
      </c>
      <c r="E1072" s="6">
        <v>3.7041180129732818</v>
      </c>
      <c r="F1072" s="24"/>
      <c r="G1072" s="24"/>
      <c r="H1072" s="24"/>
      <c r="I1072" s="24"/>
      <c r="J1072" s="3"/>
      <c r="K1072" s="8"/>
      <c r="L1072" s="8"/>
      <c r="M1072" s="8"/>
      <c r="N1072" s="13"/>
      <c r="O1072" s="9"/>
      <c r="P1072" s="20"/>
      <c r="Q1072" s="20"/>
      <c r="R1072" s="20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</row>
    <row r="1073" spans="4:49" ht="15" thickBot="1" x14ac:dyDescent="0.35">
      <c r="D1073" s="2">
        <f t="shared" si="56"/>
        <v>1067</v>
      </c>
      <c r="E1073" s="6">
        <v>2.5257219402707918</v>
      </c>
      <c r="F1073" s="24"/>
      <c r="G1073" s="24"/>
      <c r="H1073" s="24"/>
      <c r="I1073" s="24"/>
      <c r="J1073" s="3"/>
      <c r="K1073" s="8"/>
      <c r="L1073" s="8"/>
      <c r="M1073" s="8"/>
      <c r="N1073" s="13"/>
      <c r="O1073" s="9"/>
      <c r="P1073" s="20"/>
      <c r="Q1073" s="20"/>
      <c r="R1073" s="20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</row>
    <row r="1074" spans="4:49" ht="15" thickBot="1" x14ac:dyDescent="0.35">
      <c r="D1074" s="2">
        <f t="shared" si="56"/>
        <v>1068</v>
      </c>
      <c r="E1074" s="6">
        <v>1.6220077137452003</v>
      </c>
      <c r="F1074" s="24"/>
      <c r="G1074" s="24"/>
      <c r="H1074" s="24"/>
      <c r="I1074" s="24"/>
      <c r="J1074" s="3"/>
      <c r="K1074" s="8"/>
      <c r="L1074" s="8"/>
      <c r="M1074" s="8"/>
      <c r="N1074" s="13"/>
      <c r="O1074" s="9"/>
      <c r="P1074" s="20"/>
      <c r="Q1074" s="20"/>
      <c r="R1074" s="20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</row>
    <row r="1075" spans="4:49" ht="15" thickBot="1" x14ac:dyDescent="0.35">
      <c r="D1075" s="2">
        <f t="shared" si="56"/>
        <v>1069</v>
      </c>
      <c r="E1075" s="6">
        <v>4.379817517319224</v>
      </c>
      <c r="F1075" s="24"/>
      <c r="G1075" s="24"/>
      <c r="H1075" s="24"/>
      <c r="I1075" s="24"/>
      <c r="J1075" s="3"/>
      <c r="K1075" s="8"/>
      <c r="L1075" s="8"/>
      <c r="M1075" s="8"/>
      <c r="N1075" s="13"/>
      <c r="O1075" s="9"/>
      <c r="P1075" s="20"/>
      <c r="Q1075" s="20"/>
      <c r="R1075" s="20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</row>
    <row r="1076" spans="4:49" ht="15" thickBot="1" x14ac:dyDescent="0.35">
      <c r="D1076" s="2">
        <f t="shared" si="56"/>
        <v>1070</v>
      </c>
      <c r="E1076" s="6">
        <v>8.1182322160172031</v>
      </c>
      <c r="F1076" s="24"/>
      <c r="G1076" s="24"/>
      <c r="H1076" s="24"/>
      <c r="I1076" s="24"/>
      <c r="J1076" s="3"/>
      <c r="K1076" s="8"/>
      <c r="L1076" s="8"/>
      <c r="M1076" s="8"/>
      <c r="N1076" s="13"/>
      <c r="O1076" s="9"/>
      <c r="P1076" s="20"/>
      <c r="Q1076" s="20"/>
      <c r="R1076" s="20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</row>
    <row r="1077" spans="4:49" ht="15" thickBot="1" x14ac:dyDescent="0.35">
      <c r="D1077" s="2">
        <f t="shared" si="56"/>
        <v>1071</v>
      </c>
      <c r="E1077" s="6">
        <v>2.4374519891663411</v>
      </c>
      <c r="F1077" s="24"/>
      <c r="G1077" s="24"/>
      <c r="H1077" s="24"/>
      <c r="I1077" s="24"/>
      <c r="J1077" s="3"/>
      <c r="K1077" s="8"/>
      <c r="L1077" s="8"/>
      <c r="M1077" s="8"/>
      <c r="N1077" s="13"/>
      <c r="O1077" s="9"/>
      <c r="P1077" s="20"/>
      <c r="Q1077" s="20"/>
      <c r="R1077" s="20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</row>
    <row r="1078" spans="4:49" ht="15" thickBot="1" x14ac:dyDescent="0.35">
      <c r="D1078" s="2">
        <f t="shared" si="56"/>
        <v>1072</v>
      </c>
      <c r="E1078" s="6">
        <v>13.594990580190487</v>
      </c>
      <c r="F1078" s="24"/>
      <c r="G1078" s="24"/>
      <c r="H1078" s="24"/>
      <c r="I1078" s="24"/>
      <c r="J1078" s="3"/>
      <c r="K1078" s="8"/>
      <c r="L1078" s="8"/>
      <c r="M1078" s="8"/>
      <c r="N1078" s="13"/>
      <c r="O1078" s="9"/>
      <c r="P1078" s="20"/>
      <c r="Q1078" s="20"/>
      <c r="R1078" s="20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</row>
    <row r="1079" spans="4:49" ht="15" thickBot="1" x14ac:dyDescent="0.35">
      <c r="D1079" s="2">
        <f t="shared" si="56"/>
        <v>1073</v>
      </c>
      <c r="E1079" s="6">
        <v>16.48321604052397</v>
      </c>
      <c r="F1079" s="24"/>
      <c r="G1079" s="24"/>
      <c r="H1079" s="24"/>
      <c r="I1079" s="24"/>
      <c r="J1079" s="3"/>
      <c r="K1079" s="8"/>
      <c r="L1079" s="8"/>
      <c r="M1079" s="8"/>
      <c r="N1079" s="13"/>
      <c r="O1079" s="9"/>
      <c r="P1079" s="20"/>
      <c r="Q1079" s="20"/>
      <c r="R1079" s="20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</row>
    <row r="1080" spans="4:49" ht="15" thickBot="1" x14ac:dyDescent="0.35">
      <c r="D1080" s="2">
        <f t="shared" si="56"/>
        <v>1074</v>
      </c>
      <c r="E1080" s="6">
        <v>3.1463942851448787</v>
      </c>
      <c r="F1080" s="24"/>
      <c r="G1080" s="24"/>
      <c r="H1080" s="24"/>
      <c r="I1080" s="24"/>
      <c r="J1080" s="3"/>
      <c r="K1080" s="8"/>
      <c r="L1080" s="8"/>
      <c r="M1080" s="8"/>
      <c r="N1080" s="13"/>
      <c r="O1080" s="9"/>
      <c r="P1080" s="20"/>
      <c r="Q1080" s="20"/>
      <c r="R1080" s="20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</row>
    <row r="1081" spans="4:49" ht="15" thickBot="1" x14ac:dyDescent="0.35">
      <c r="D1081" s="2">
        <f t="shared" si="56"/>
        <v>1075</v>
      </c>
      <c r="E1081" s="6">
        <v>0.39451182157970094</v>
      </c>
      <c r="F1081" s="24"/>
      <c r="G1081" s="24"/>
      <c r="H1081" s="24"/>
      <c r="I1081" s="24"/>
      <c r="J1081" s="3"/>
      <c r="K1081" s="8"/>
      <c r="L1081" s="8"/>
      <c r="M1081" s="8"/>
      <c r="N1081" s="13"/>
      <c r="O1081" s="9"/>
      <c r="P1081" s="20"/>
      <c r="Q1081" s="20"/>
      <c r="R1081" s="20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</row>
    <row r="1082" spans="4:49" ht="15" thickBot="1" x14ac:dyDescent="0.35">
      <c r="D1082" s="2">
        <f t="shared" si="56"/>
        <v>1076</v>
      </c>
      <c r="E1082" s="6">
        <v>1.6113776550128822</v>
      </c>
      <c r="F1082" s="24"/>
      <c r="G1082" s="24"/>
      <c r="H1082" s="24"/>
      <c r="I1082" s="24"/>
      <c r="J1082" s="3"/>
      <c r="K1082" s="8"/>
      <c r="L1082" s="8"/>
      <c r="M1082" s="8"/>
      <c r="N1082" s="13"/>
      <c r="O1082" s="9"/>
      <c r="P1082" s="20"/>
      <c r="Q1082" s="20"/>
      <c r="R1082" s="20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</row>
    <row r="1083" spans="4:49" ht="15" thickBot="1" x14ac:dyDescent="0.35">
      <c r="D1083" s="2">
        <f t="shared" si="56"/>
        <v>1077</v>
      </c>
      <c r="E1083" s="6">
        <v>3.2941421575317</v>
      </c>
      <c r="F1083" s="24"/>
      <c r="G1083" s="24"/>
      <c r="H1083" s="24"/>
      <c r="I1083" s="24"/>
      <c r="J1083" s="3"/>
      <c r="K1083" s="8"/>
      <c r="L1083" s="8"/>
      <c r="M1083" s="8"/>
      <c r="N1083" s="13"/>
      <c r="O1083" s="9"/>
      <c r="P1083" s="20"/>
      <c r="Q1083" s="20"/>
      <c r="R1083" s="20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</row>
    <row r="1084" spans="4:49" ht="15" thickBot="1" x14ac:dyDescent="0.35">
      <c r="D1084" s="2">
        <f t="shared" si="56"/>
        <v>1078</v>
      </c>
      <c r="E1084" s="6">
        <v>8.6440414409209527</v>
      </c>
      <c r="F1084" s="24"/>
      <c r="G1084" s="24"/>
      <c r="H1084" s="24"/>
      <c r="I1084" s="24"/>
      <c r="J1084" s="3"/>
      <c r="K1084" s="8"/>
      <c r="L1084" s="8"/>
      <c r="M1084" s="8"/>
      <c r="N1084" s="13"/>
      <c r="O1084" s="9"/>
      <c r="P1084" s="20"/>
      <c r="Q1084" s="20"/>
      <c r="R1084" s="20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</row>
    <row r="1085" spans="4:49" ht="15" thickBot="1" x14ac:dyDescent="0.35">
      <c r="D1085" s="2">
        <f t="shared" si="56"/>
        <v>1079</v>
      </c>
      <c r="E1085" s="6">
        <v>0.57223321028328766</v>
      </c>
      <c r="F1085" s="24"/>
      <c r="G1085" s="24"/>
      <c r="H1085" s="24"/>
      <c r="I1085" s="24"/>
      <c r="J1085" s="3"/>
      <c r="K1085" s="8"/>
      <c r="L1085" s="8"/>
      <c r="M1085" s="8"/>
      <c r="N1085" s="13"/>
      <c r="O1085" s="9"/>
      <c r="P1085" s="20"/>
      <c r="Q1085" s="20"/>
      <c r="R1085" s="20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</row>
    <row r="1086" spans="4:49" ht="15" thickBot="1" x14ac:dyDescent="0.35">
      <c r="D1086" s="2">
        <f t="shared" si="56"/>
        <v>1080</v>
      </c>
      <c r="E1086" s="6">
        <v>1.3271415186613156</v>
      </c>
      <c r="F1086" s="24"/>
      <c r="G1086" s="24"/>
      <c r="H1086" s="24"/>
      <c r="I1086" s="24"/>
      <c r="J1086" s="3"/>
      <c r="K1086" s="8"/>
      <c r="L1086" s="8"/>
      <c r="M1086" s="8"/>
      <c r="N1086" s="13"/>
      <c r="O1086" s="9"/>
      <c r="P1086" s="20"/>
      <c r="Q1086" s="20"/>
      <c r="R1086" s="20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</row>
    <row r="1087" spans="4:49" ht="15" thickBot="1" x14ac:dyDescent="0.35">
      <c r="D1087" s="2">
        <f t="shared" si="56"/>
        <v>1081</v>
      </c>
      <c r="E1087" s="6">
        <v>0.72745553304113841</v>
      </c>
      <c r="F1087" s="24"/>
      <c r="G1087" s="24"/>
      <c r="H1087" s="24"/>
      <c r="I1087" s="24"/>
      <c r="J1087" s="3"/>
      <c r="K1087" s="8"/>
      <c r="L1087" s="8"/>
      <c r="M1087" s="8"/>
      <c r="N1087" s="13"/>
      <c r="O1087" s="9"/>
      <c r="P1087" s="20"/>
      <c r="Q1087" s="20"/>
      <c r="R1087" s="20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</row>
    <row r="1088" spans="4:49" ht="15" thickBot="1" x14ac:dyDescent="0.35">
      <c r="D1088" s="2">
        <f t="shared" si="56"/>
        <v>1082</v>
      </c>
      <c r="E1088" s="6">
        <v>1.2163461090665031</v>
      </c>
      <c r="F1088" s="24"/>
      <c r="G1088" s="24"/>
      <c r="H1088" s="24"/>
      <c r="I1088" s="24"/>
      <c r="J1088" s="3"/>
      <c r="K1088" s="8"/>
      <c r="L1088" s="8"/>
      <c r="M1088" s="8"/>
      <c r="N1088" s="13"/>
      <c r="O1088" s="9"/>
      <c r="P1088" s="20"/>
      <c r="Q1088" s="20"/>
      <c r="R1088" s="20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</row>
    <row r="1089" spans="4:49" ht="15" thickBot="1" x14ac:dyDescent="0.35">
      <c r="D1089" s="2">
        <f t="shared" si="56"/>
        <v>1083</v>
      </c>
      <c r="E1089" s="6">
        <v>4.9199373926406347</v>
      </c>
      <c r="F1089" s="24"/>
      <c r="G1089" s="24"/>
      <c r="H1089" s="24"/>
      <c r="I1089" s="24"/>
      <c r="J1089" s="3"/>
      <c r="K1089" s="8"/>
      <c r="L1089" s="8"/>
      <c r="M1089" s="8"/>
      <c r="N1089" s="13"/>
      <c r="O1089" s="9"/>
      <c r="P1089" s="20"/>
      <c r="Q1089" s="20"/>
      <c r="R1089" s="20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</row>
    <row r="1090" spans="4:49" ht="15" thickBot="1" x14ac:dyDescent="0.35">
      <c r="D1090" s="2">
        <f t="shared" si="56"/>
        <v>1084</v>
      </c>
      <c r="E1090" s="6">
        <v>3.6930848190201497</v>
      </c>
      <c r="F1090" s="24"/>
      <c r="G1090" s="24"/>
      <c r="H1090" s="24"/>
      <c r="I1090" s="24"/>
      <c r="J1090" s="3"/>
      <c r="K1090" s="8"/>
      <c r="L1090" s="8"/>
      <c r="M1090" s="8"/>
      <c r="N1090" s="13"/>
      <c r="O1090" s="9"/>
      <c r="P1090" s="20"/>
      <c r="Q1090" s="20"/>
      <c r="R1090" s="20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</row>
    <row r="1091" spans="4:49" ht="15" thickBot="1" x14ac:dyDescent="0.35">
      <c r="D1091" s="2">
        <f t="shared" si="56"/>
        <v>1085</v>
      </c>
      <c r="E1091" s="6">
        <v>2.9448966580317606</v>
      </c>
      <c r="F1091" s="24"/>
      <c r="G1091" s="24"/>
      <c r="H1091" s="24"/>
      <c r="I1091" s="24"/>
      <c r="J1091" s="3"/>
      <c r="K1091" s="8"/>
      <c r="L1091" s="8"/>
      <c r="M1091" s="8"/>
      <c r="N1091" s="13"/>
      <c r="O1091" s="9"/>
      <c r="P1091" s="20"/>
      <c r="Q1091" s="20"/>
      <c r="R1091" s="20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</row>
    <row r="1092" spans="4:49" ht="15" thickBot="1" x14ac:dyDescent="0.35">
      <c r="D1092" s="2">
        <f t="shared" si="56"/>
        <v>1086</v>
      </c>
      <c r="E1092" s="6">
        <v>0.22317580511116067</v>
      </c>
      <c r="F1092" s="24"/>
      <c r="G1092" s="24"/>
      <c r="H1092" s="24"/>
      <c r="I1092" s="24"/>
      <c r="J1092" s="3"/>
      <c r="K1092" s="8"/>
      <c r="L1092" s="8"/>
      <c r="M1092" s="8"/>
      <c r="N1092" s="13"/>
      <c r="O1092" s="9"/>
      <c r="P1092" s="20"/>
      <c r="Q1092" s="20"/>
      <c r="R1092" s="20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</row>
    <row r="1093" spans="4:49" ht="15" thickBot="1" x14ac:dyDescent="0.35">
      <c r="D1093" s="2">
        <f t="shared" si="56"/>
        <v>1087</v>
      </c>
      <c r="E1093" s="6">
        <v>5.7815222576519139</v>
      </c>
      <c r="F1093" s="24"/>
      <c r="G1093" s="24"/>
      <c r="H1093" s="24"/>
      <c r="I1093" s="24"/>
      <c r="J1093" s="3"/>
      <c r="K1093" s="8"/>
      <c r="L1093" s="8"/>
      <c r="M1093" s="8"/>
      <c r="N1093" s="13"/>
      <c r="O1093" s="9"/>
      <c r="P1093" s="20"/>
      <c r="Q1093" s="20"/>
      <c r="R1093" s="20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</row>
    <row r="1094" spans="4:49" ht="15" thickBot="1" x14ac:dyDescent="0.35">
      <c r="D1094" s="2">
        <f t="shared" si="56"/>
        <v>1088</v>
      </c>
      <c r="E1094" s="6">
        <v>1.3966520105893787</v>
      </c>
      <c r="F1094" s="24"/>
      <c r="G1094" s="24"/>
      <c r="H1094" s="24"/>
      <c r="I1094" s="24"/>
      <c r="J1094" s="3"/>
      <c r="K1094" s="8"/>
      <c r="L1094" s="8"/>
      <c r="M1094" s="8"/>
      <c r="N1094" s="13"/>
      <c r="O1094" s="9"/>
      <c r="P1094" s="20"/>
      <c r="Q1094" s="20"/>
      <c r="R1094" s="20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</row>
    <row r="1095" spans="4:49" ht="15" thickBot="1" x14ac:dyDescent="0.35">
      <c r="D1095" s="2">
        <f t="shared" ref="D1095:D1158" si="57">ROW()-6</f>
        <v>1089</v>
      </c>
      <c r="E1095" s="6">
        <v>1.4391146868068172</v>
      </c>
      <c r="F1095" s="24"/>
      <c r="G1095" s="24"/>
      <c r="H1095" s="24"/>
      <c r="I1095" s="24"/>
      <c r="J1095" s="3"/>
      <c r="K1095" s="8"/>
      <c r="L1095" s="8"/>
      <c r="M1095" s="8"/>
      <c r="N1095" s="13"/>
      <c r="O1095" s="9"/>
      <c r="P1095" s="20"/>
      <c r="Q1095" s="20"/>
      <c r="R1095" s="20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</row>
    <row r="1096" spans="4:49" ht="15" thickBot="1" x14ac:dyDescent="0.35">
      <c r="D1096" s="2">
        <f t="shared" si="57"/>
        <v>1090</v>
      </c>
      <c r="E1096" s="6">
        <v>2.2305055135131346</v>
      </c>
      <c r="F1096" s="24"/>
      <c r="G1096" s="24"/>
      <c r="H1096" s="24"/>
      <c r="I1096" s="24"/>
      <c r="J1096" s="3"/>
      <c r="K1096" s="8"/>
      <c r="L1096" s="8"/>
      <c r="M1096" s="8"/>
      <c r="N1096" s="13"/>
      <c r="O1096" s="9"/>
      <c r="P1096" s="20"/>
      <c r="Q1096" s="20"/>
      <c r="R1096" s="20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</row>
    <row r="1097" spans="4:49" ht="15" thickBot="1" x14ac:dyDescent="0.35">
      <c r="D1097" s="2">
        <f t="shared" si="57"/>
        <v>1091</v>
      </c>
      <c r="E1097" s="6">
        <v>3.3839513069742102</v>
      </c>
      <c r="F1097" s="24"/>
      <c r="G1097" s="24"/>
      <c r="H1097" s="24"/>
      <c r="I1097" s="24"/>
      <c r="J1097" s="3"/>
      <c r="K1097" s="8"/>
      <c r="L1097" s="8"/>
      <c r="M1097" s="8"/>
      <c r="N1097" s="13"/>
      <c r="O1097" s="9"/>
      <c r="P1097" s="20"/>
      <c r="Q1097" s="20"/>
      <c r="R1097" s="20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</row>
    <row r="1098" spans="4:49" ht="15" thickBot="1" x14ac:dyDescent="0.35">
      <c r="D1098" s="2">
        <f t="shared" si="57"/>
        <v>1092</v>
      </c>
      <c r="E1098" s="6">
        <v>0.47370339194526712</v>
      </c>
      <c r="F1098" s="24"/>
      <c r="G1098" s="24"/>
      <c r="H1098" s="24"/>
      <c r="I1098" s="24"/>
      <c r="J1098" s="3"/>
      <c r="K1098" s="8"/>
      <c r="L1098" s="8"/>
      <c r="M1098" s="8"/>
      <c r="N1098" s="13"/>
      <c r="O1098" s="9"/>
      <c r="P1098" s="20"/>
      <c r="Q1098" s="20"/>
      <c r="R1098" s="20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</row>
    <row r="1099" spans="4:49" ht="15" thickBot="1" x14ac:dyDescent="0.35">
      <c r="D1099" s="2">
        <f t="shared" si="57"/>
        <v>1093</v>
      </c>
      <c r="E1099" s="6">
        <v>0.99734718897698427</v>
      </c>
      <c r="F1099" s="24"/>
      <c r="G1099" s="24"/>
      <c r="H1099" s="24"/>
      <c r="I1099" s="24"/>
      <c r="J1099" s="3"/>
      <c r="K1099" s="8"/>
      <c r="L1099" s="8"/>
      <c r="M1099" s="8"/>
      <c r="N1099" s="13"/>
      <c r="O1099" s="9"/>
      <c r="P1099" s="20"/>
      <c r="Q1099" s="20"/>
      <c r="R1099" s="20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</row>
    <row r="1100" spans="4:49" ht="15" thickBot="1" x14ac:dyDescent="0.35">
      <c r="D1100" s="2">
        <f t="shared" si="57"/>
        <v>1094</v>
      </c>
      <c r="E1100" s="6">
        <v>0.12609061441372682</v>
      </c>
      <c r="F1100" s="24"/>
      <c r="G1100" s="24"/>
      <c r="H1100" s="24"/>
      <c r="I1100" s="24"/>
      <c r="J1100" s="3"/>
      <c r="K1100" s="8"/>
      <c r="L1100" s="8"/>
      <c r="M1100" s="8"/>
      <c r="N1100" s="13"/>
      <c r="O1100" s="9"/>
      <c r="P1100" s="20"/>
      <c r="Q1100" s="20"/>
      <c r="R1100" s="20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</row>
    <row r="1101" spans="4:49" ht="15" thickBot="1" x14ac:dyDescent="0.35">
      <c r="D1101" s="2">
        <f t="shared" si="57"/>
        <v>1095</v>
      </c>
      <c r="E1101" s="6">
        <v>0.73710335566675733</v>
      </c>
      <c r="F1101" s="24"/>
      <c r="G1101" s="24"/>
      <c r="H1101" s="24"/>
      <c r="I1101" s="24"/>
      <c r="J1101" s="3"/>
      <c r="K1101" s="8"/>
      <c r="L1101" s="8"/>
      <c r="M1101" s="8"/>
      <c r="N1101" s="13"/>
      <c r="O1101" s="9"/>
      <c r="P1101" s="20"/>
      <c r="Q1101" s="20"/>
      <c r="R1101" s="20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</row>
    <row r="1102" spans="4:49" ht="15" thickBot="1" x14ac:dyDescent="0.35">
      <c r="D1102" s="2">
        <f t="shared" si="57"/>
        <v>1096</v>
      </c>
      <c r="E1102" s="6">
        <v>8.869896783258266</v>
      </c>
      <c r="F1102" s="24"/>
      <c r="G1102" s="24"/>
      <c r="H1102" s="24"/>
      <c r="I1102" s="24"/>
      <c r="J1102" s="3"/>
      <c r="K1102" s="8"/>
      <c r="L1102" s="8"/>
      <c r="M1102" s="8"/>
      <c r="N1102" s="13"/>
      <c r="O1102" s="9"/>
      <c r="P1102" s="20"/>
      <c r="Q1102" s="20"/>
      <c r="R1102" s="20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</row>
    <row r="1103" spans="4:49" ht="15" thickBot="1" x14ac:dyDescent="0.35">
      <c r="D1103" s="2">
        <f t="shared" si="57"/>
        <v>1097</v>
      </c>
      <c r="E1103" s="6">
        <v>0.96229479668683271</v>
      </c>
      <c r="F1103" s="24"/>
      <c r="G1103" s="24"/>
      <c r="H1103" s="24"/>
      <c r="I1103" s="24"/>
      <c r="J1103" s="3"/>
      <c r="K1103" s="8"/>
      <c r="L1103" s="8"/>
      <c r="M1103" s="8"/>
      <c r="N1103" s="13"/>
      <c r="O1103" s="9"/>
      <c r="P1103" s="20"/>
      <c r="Q1103" s="20"/>
      <c r="R1103" s="20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</row>
    <row r="1104" spans="4:49" ht="15" thickBot="1" x14ac:dyDescent="0.35">
      <c r="D1104" s="2">
        <f t="shared" si="57"/>
        <v>1098</v>
      </c>
      <c r="E1104" s="6">
        <v>0.84928877796455637</v>
      </c>
      <c r="F1104" s="24"/>
      <c r="G1104" s="24"/>
      <c r="H1104" s="24"/>
      <c r="I1104" s="24"/>
      <c r="J1104" s="3"/>
      <c r="K1104" s="8"/>
      <c r="L1104" s="8"/>
      <c r="M1104" s="8"/>
      <c r="N1104" s="13"/>
      <c r="O1104" s="9"/>
      <c r="P1104" s="20"/>
      <c r="Q1104" s="20"/>
      <c r="R1104" s="20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</row>
    <row r="1105" spans="4:49" ht="15" thickBot="1" x14ac:dyDescent="0.35">
      <c r="D1105" s="2">
        <f t="shared" si="57"/>
        <v>1099</v>
      </c>
      <c r="E1105" s="6">
        <v>0.6930621776012571</v>
      </c>
      <c r="F1105" s="24"/>
      <c r="G1105" s="24"/>
      <c r="H1105" s="24"/>
      <c r="I1105" s="24"/>
      <c r="J1105" s="3"/>
      <c r="K1105" s="8"/>
      <c r="L1105" s="8"/>
      <c r="M1105" s="8"/>
      <c r="N1105" s="13"/>
      <c r="O1105" s="9"/>
      <c r="P1105" s="20"/>
      <c r="Q1105" s="20"/>
      <c r="R1105" s="20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</row>
    <row r="1106" spans="4:49" ht="15" thickBot="1" x14ac:dyDescent="0.35">
      <c r="D1106" s="2">
        <f t="shared" si="57"/>
        <v>1100</v>
      </c>
      <c r="E1106" s="6">
        <v>3.1261649269550151</v>
      </c>
      <c r="F1106" s="24"/>
      <c r="G1106" s="24"/>
      <c r="H1106" s="24"/>
      <c r="I1106" s="24"/>
      <c r="J1106" s="3"/>
      <c r="K1106" s="8"/>
      <c r="L1106" s="8"/>
      <c r="M1106" s="8"/>
      <c r="N1106" s="13"/>
      <c r="O1106" s="9"/>
      <c r="P1106" s="20"/>
      <c r="Q1106" s="20"/>
      <c r="R1106" s="20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</row>
    <row r="1107" spans="4:49" ht="15" thickBot="1" x14ac:dyDescent="0.35">
      <c r="D1107" s="2">
        <f t="shared" si="57"/>
        <v>1101</v>
      </c>
      <c r="E1107" s="6">
        <v>3.43502657380043</v>
      </c>
      <c r="F1107" s="24"/>
      <c r="G1107" s="24"/>
      <c r="H1107" s="24"/>
      <c r="I1107" s="24"/>
      <c r="J1107" s="3"/>
      <c r="K1107" s="8"/>
      <c r="L1107" s="8"/>
      <c r="M1107" s="8"/>
      <c r="N1107" s="13"/>
      <c r="O1107" s="9"/>
      <c r="P1107" s="20"/>
      <c r="Q1107" s="20"/>
      <c r="R1107" s="20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</row>
    <row r="1108" spans="4:49" ht="15" thickBot="1" x14ac:dyDescent="0.35">
      <c r="D1108" s="2">
        <f t="shared" si="57"/>
        <v>1102</v>
      </c>
      <c r="E1108" s="6">
        <v>2.2126720518883203</v>
      </c>
      <c r="F1108" s="24"/>
      <c r="G1108" s="24"/>
      <c r="H1108" s="24"/>
      <c r="I1108" s="24"/>
      <c r="J1108" s="3"/>
      <c r="K1108" s="8"/>
      <c r="L1108" s="8"/>
      <c r="M1108" s="8"/>
      <c r="N1108" s="13"/>
      <c r="O1108" s="9"/>
      <c r="P1108" s="20"/>
      <c r="Q1108" s="20"/>
      <c r="R1108" s="20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</row>
    <row r="1109" spans="4:49" ht="15" thickBot="1" x14ac:dyDescent="0.35">
      <c r="D1109" s="2">
        <f t="shared" si="57"/>
        <v>1103</v>
      </c>
      <c r="E1109" s="6">
        <v>0.25591110532382522</v>
      </c>
      <c r="F1109" s="24"/>
      <c r="G1109" s="24"/>
      <c r="H1109" s="24"/>
      <c r="I1109" s="24"/>
      <c r="J1109" s="3"/>
      <c r="K1109" s="8"/>
      <c r="L1109" s="8"/>
      <c r="M1109" s="8"/>
      <c r="N1109" s="13"/>
      <c r="O1109" s="9"/>
      <c r="P1109" s="20"/>
      <c r="Q1109" s="20"/>
      <c r="R1109" s="20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</row>
    <row r="1110" spans="4:49" ht="15" thickBot="1" x14ac:dyDescent="0.35">
      <c r="D1110" s="2">
        <f t="shared" si="57"/>
        <v>1104</v>
      </c>
      <c r="E1110" s="6">
        <v>5.2932971565207962</v>
      </c>
      <c r="F1110" s="24"/>
      <c r="G1110" s="24"/>
      <c r="H1110" s="24"/>
      <c r="I1110" s="24"/>
      <c r="J1110" s="3"/>
      <c r="K1110" s="8"/>
      <c r="L1110" s="8"/>
      <c r="M1110" s="8"/>
      <c r="N1110" s="13"/>
      <c r="O1110" s="9"/>
      <c r="P1110" s="20"/>
      <c r="Q1110" s="20"/>
      <c r="R1110" s="20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</row>
    <row r="1111" spans="4:49" ht="15" thickBot="1" x14ac:dyDescent="0.35">
      <c r="D1111" s="2">
        <f t="shared" si="57"/>
        <v>1105</v>
      </c>
      <c r="E1111" s="6">
        <v>3.0869531542478148</v>
      </c>
      <c r="F1111" s="24"/>
      <c r="G1111" s="24"/>
      <c r="H1111" s="24"/>
      <c r="I1111" s="24"/>
      <c r="J1111" s="3"/>
      <c r="K1111" s="8"/>
      <c r="L1111" s="8"/>
      <c r="M1111" s="8"/>
      <c r="N1111" s="13"/>
      <c r="O1111" s="9"/>
      <c r="P1111" s="20"/>
      <c r="Q1111" s="20"/>
      <c r="R1111" s="20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</row>
    <row r="1112" spans="4:49" ht="15" thickBot="1" x14ac:dyDescent="0.35">
      <c r="D1112" s="2">
        <f t="shared" si="57"/>
        <v>1106</v>
      </c>
      <c r="E1112" s="6">
        <v>1.2572449834001178</v>
      </c>
      <c r="F1112" s="24"/>
      <c r="G1112" s="24"/>
      <c r="H1112" s="24"/>
      <c r="I1112" s="24"/>
      <c r="J1112" s="3"/>
      <c r="K1112" s="8"/>
      <c r="L1112" s="8"/>
      <c r="M1112" s="8"/>
      <c r="N1112" s="13"/>
      <c r="O1112" s="9"/>
      <c r="P1112" s="20"/>
      <c r="Q1112" s="20"/>
      <c r="R1112" s="20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</row>
    <row r="1113" spans="4:49" ht="15" thickBot="1" x14ac:dyDescent="0.35">
      <c r="D1113" s="2">
        <f t="shared" si="57"/>
        <v>1107</v>
      </c>
      <c r="E1113" s="6">
        <v>0.29215876808846519</v>
      </c>
      <c r="F1113" s="24"/>
      <c r="G1113" s="24"/>
      <c r="H1113" s="24"/>
      <c r="I1113" s="24"/>
      <c r="J1113" s="3"/>
      <c r="K1113" s="8"/>
      <c r="L1113" s="8"/>
      <c r="M1113" s="8"/>
      <c r="N1113" s="13"/>
      <c r="O1113" s="9"/>
      <c r="P1113" s="20"/>
      <c r="Q1113" s="20"/>
      <c r="R1113" s="20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</row>
    <row r="1114" spans="4:49" ht="15" thickBot="1" x14ac:dyDescent="0.35">
      <c r="D1114" s="2">
        <f t="shared" si="57"/>
        <v>1108</v>
      </c>
      <c r="E1114" s="6">
        <v>0.6895490520994364</v>
      </c>
      <c r="F1114" s="24"/>
      <c r="G1114" s="24"/>
      <c r="H1114" s="24"/>
      <c r="I1114" s="24"/>
      <c r="J1114" s="3"/>
      <c r="K1114" s="8"/>
      <c r="L1114" s="8"/>
      <c r="M1114" s="8"/>
      <c r="N1114" s="13"/>
      <c r="O1114" s="9"/>
      <c r="P1114" s="20"/>
      <c r="Q1114" s="20"/>
      <c r="R1114" s="20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</row>
    <row r="1115" spans="4:49" ht="15" thickBot="1" x14ac:dyDescent="0.35">
      <c r="D1115" s="2">
        <f t="shared" si="57"/>
        <v>1109</v>
      </c>
      <c r="E1115" s="6">
        <v>6.612479249743991E-2</v>
      </c>
      <c r="F1115" s="24"/>
      <c r="G1115" s="24"/>
      <c r="H1115" s="24"/>
      <c r="I1115" s="24"/>
      <c r="J1115" s="3"/>
      <c r="K1115" s="8"/>
      <c r="L1115" s="8"/>
      <c r="M1115" s="8"/>
      <c r="N1115" s="13"/>
      <c r="O1115" s="9"/>
      <c r="P1115" s="20"/>
      <c r="Q1115" s="20"/>
      <c r="R1115" s="20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</row>
    <row r="1116" spans="4:49" ht="15" thickBot="1" x14ac:dyDescent="0.35">
      <c r="D1116" s="2">
        <f t="shared" si="57"/>
        <v>1110</v>
      </c>
      <c r="E1116" s="6">
        <v>1.6319158453581351</v>
      </c>
      <c r="F1116" s="24"/>
      <c r="G1116" s="24"/>
      <c r="H1116" s="24"/>
      <c r="I1116" s="24"/>
      <c r="J1116" s="3"/>
      <c r="K1116" s="8"/>
      <c r="L1116" s="8"/>
      <c r="M1116" s="8"/>
      <c r="N1116" s="13"/>
      <c r="O1116" s="9"/>
      <c r="P1116" s="20"/>
      <c r="Q1116" s="20"/>
      <c r="R1116" s="20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</row>
    <row r="1117" spans="4:49" ht="15" thickBot="1" x14ac:dyDescent="0.35">
      <c r="D1117" s="2">
        <f t="shared" si="57"/>
        <v>1111</v>
      </c>
      <c r="E1117" s="6">
        <v>0.31343752956651794</v>
      </c>
      <c r="F1117" s="24"/>
      <c r="G1117" s="24"/>
      <c r="H1117" s="24"/>
      <c r="I1117" s="24"/>
      <c r="J1117" s="3"/>
      <c r="K1117" s="8"/>
      <c r="L1117" s="8"/>
      <c r="M1117" s="8"/>
      <c r="N1117" s="13"/>
      <c r="O1117" s="9"/>
      <c r="P1117" s="20"/>
      <c r="Q1117" s="20"/>
      <c r="R1117" s="20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</row>
    <row r="1118" spans="4:49" ht="15" thickBot="1" x14ac:dyDescent="0.35">
      <c r="D1118" s="2">
        <f t="shared" si="57"/>
        <v>1112</v>
      </c>
      <c r="E1118" s="6">
        <v>8.9399981076977877</v>
      </c>
      <c r="F1118" s="24"/>
      <c r="G1118" s="24"/>
      <c r="H1118" s="24"/>
      <c r="I1118" s="24"/>
      <c r="J1118" s="3"/>
      <c r="K1118" s="8"/>
      <c r="L1118" s="8"/>
      <c r="M1118" s="8"/>
      <c r="N1118" s="13"/>
      <c r="O1118" s="9"/>
      <c r="P1118" s="20"/>
      <c r="Q1118" s="20"/>
      <c r="R1118" s="20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</row>
    <row r="1119" spans="4:49" ht="15" thickBot="1" x14ac:dyDescent="0.35">
      <c r="D1119" s="2">
        <f t="shared" si="57"/>
        <v>1113</v>
      </c>
      <c r="E1119" s="6">
        <v>0.41996299806368409</v>
      </c>
      <c r="F1119" s="24"/>
      <c r="G1119" s="24"/>
      <c r="H1119" s="24"/>
      <c r="I1119" s="24"/>
      <c r="J1119" s="3"/>
      <c r="K1119" s="8"/>
      <c r="L1119" s="8"/>
      <c r="M1119" s="8"/>
      <c r="N1119" s="13"/>
      <c r="O1119" s="9"/>
      <c r="P1119" s="20"/>
      <c r="Q1119" s="20"/>
      <c r="R1119" s="20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</row>
    <row r="1120" spans="4:49" ht="15" thickBot="1" x14ac:dyDescent="0.35">
      <c r="D1120" s="2">
        <f t="shared" si="57"/>
        <v>1114</v>
      </c>
      <c r="E1120" s="6">
        <v>3.186612360800146</v>
      </c>
      <c r="F1120" s="24"/>
      <c r="G1120" s="24"/>
      <c r="H1120" s="24"/>
      <c r="I1120" s="24"/>
      <c r="J1120" s="3"/>
      <c r="K1120" s="8"/>
      <c r="L1120" s="8"/>
      <c r="M1120" s="8"/>
      <c r="N1120" s="13"/>
      <c r="O1120" s="9"/>
      <c r="P1120" s="20"/>
      <c r="Q1120" s="20"/>
      <c r="R1120" s="20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</row>
    <row r="1121" spans="4:49" ht="15" thickBot="1" x14ac:dyDescent="0.35">
      <c r="D1121" s="2">
        <f t="shared" si="57"/>
        <v>1115</v>
      </c>
      <c r="E1121" s="6">
        <v>3.861086115787236</v>
      </c>
      <c r="F1121" s="24"/>
      <c r="G1121" s="24"/>
      <c r="H1121" s="24"/>
      <c r="I1121" s="24"/>
      <c r="J1121" s="3"/>
      <c r="K1121" s="8"/>
      <c r="L1121" s="8"/>
      <c r="M1121" s="8"/>
      <c r="N1121" s="13"/>
      <c r="O1121" s="9"/>
      <c r="P1121" s="20"/>
      <c r="Q1121" s="20"/>
      <c r="R1121" s="20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</row>
    <row r="1122" spans="4:49" ht="15" thickBot="1" x14ac:dyDescent="0.35">
      <c r="D1122" s="2">
        <f t="shared" si="57"/>
        <v>1116</v>
      </c>
      <c r="E1122" s="6">
        <v>0.84109852832639342</v>
      </c>
      <c r="F1122" s="24"/>
      <c r="G1122" s="24"/>
      <c r="H1122" s="24"/>
      <c r="I1122" s="24"/>
      <c r="J1122" s="3"/>
      <c r="K1122" s="8"/>
      <c r="L1122" s="8"/>
      <c r="M1122" s="8"/>
      <c r="N1122" s="13"/>
      <c r="O1122" s="9"/>
      <c r="P1122" s="20"/>
      <c r="Q1122" s="20"/>
      <c r="R1122" s="20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</row>
    <row r="1123" spans="4:49" ht="15" thickBot="1" x14ac:dyDescent="0.35">
      <c r="D1123" s="2">
        <f t="shared" si="57"/>
        <v>1117</v>
      </c>
      <c r="E1123" s="6">
        <v>3.134900070164766</v>
      </c>
      <c r="F1123" s="24"/>
      <c r="G1123" s="24"/>
      <c r="H1123" s="24"/>
      <c r="I1123" s="24"/>
      <c r="J1123" s="3"/>
      <c r="K1123" s="8"/>
      <c r="L1123" s="8"/>
      <c r="M1123" s="8"/>
      <c r="N1123" s="13"/>
      <c r="O1123" s="9"/>
      <c r="P1123" s="20"/>
      <c r="Q1123" s="20"/>
      <c r="R1123" s="20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</row>
    <row r="1124" spans="4:49" ht="15" thickBot="1" x14ac:dyDescent="0.35">
      <c r="D1124" s="2">
        <f t="shared" si="57"/>
        <v>1118</v>
      </c>
      <c r="E1124" s="6">
        <v>1.5661707711387443</v>
      </c>
      <c r="F1124" s="24"/>
      <c r="G1124" s="24"/>
      <c r="H1124" s="24"/>
      <c r="I1124" s="24"/>
      <c r="J1124" s="3"/>
      <c r="K1124" s="8"/>
      <c r="L1124" s="8"/>
      <c r="M1124" s="8"/>
      <c r="N1124" s="13"/>
      <c r="O1124" s="9"/>
      <c r="P1124" s="20"/>
      <c r="Q1124" s="20"/>
      <c r="R1124" s="20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</row>
    <row r="1125" spans="4:49" ht="15" thickBot="1" x14ac:dyDescent="0.35">
      <c r="D1125" s="2">
        <f t="shared" si="57"/>
        <v>1119</v>
      </c>
      <c r="E1125" s="6">
        <v>0.23689167998827335</v>
      </c>
      <c r="F1125" s="24"/>
      <c r="G1125" s="24"/>
      <c r="H1125" s="24"/>
      <c r="I1125" s="24"/>
      <c r="J1125" s="3"/>
      <c r="K1125" s="8"/>
      <c r="L1125" s="8"/>
      <c r="M1125" s="8"/>
      <c r="N1125" s="13"/>
      <c r="O1125" s="9"/>
      <c r="P1125" s="20"/>
      <c r="Q1125" s="20"/>
      <c r="R1125" s="20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</row>
    <row r="1126" spans="4:49" ht="15" thickBot="1" x14ac:dyDescent="0.35">
      <c r="D1126" s="2">
        <f t="shared" si="57"/>
        <v>1120</v>
      </c>
      <c r="E1126" s="6">
        <v>8.349380831878932</v>
      </c>
      <c r="F1126" s="24"/>
      <c r="G1126" s="24"/>
      <c r="H1126" s="24"/>
      <c r="I1126" s="24"/>
      <c r="J1126" s="3"/>
      <c r="K1126" s="8"/>
      <c r="L1126" s="8"/>
      <c r="M1126" s="8"/>
      <c r="N1126" s="13"/>
      <c r="O1126" s="9"/>
      <c r="P1126" s="20"/>
      <c r="Q1126" s="20"/>
      <c r="R1126" s="20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</row>
    <row r="1127" spans="4:49" ht="15" thickBot="1" x14ac:dyDescent="0.35">
      <c r="D1127" s="2">
        <f t="shared" si="57"/>
        <v>1121</v>
      </c>
      <c r="E1127" s="6">
        <v>0.50143222458568915</v>
      </c>
      <c r="F1127" s="24"/>
      <c r="G1127" s="24"/>
      <c r="H1127" s="24"/>
      <c r="I1127" s="24"/>
      <c r="J1127" s="3"/>
      <c r="K1127" s="8"/>
      <c r="L1127" s="8"/>
      <c r="M1127" s="8"/>
      <c r="N1127" s="13"/>
      <c r="O1127" s="9"/>
      <c r="P1127" s="20"/>
      <c r="Q1127" s="20"/>
      <c r="R1127" s="20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</row>
    <row r="1128" spans="4:49" ht="15" thickBot="1" x14ac:dyDescent="0.35">
      <c r="D1128" s="2">
        <f t="shared" si="57"/>
        <v>1122</v>
      </c>
      <c r="E1128" s="6">
        <v>20.303759908003759</v>
      </c>
      <c r="F1128" s="24"/>
      <c r="G1128" s="24"/>
      <c r="H1128" s="24"/>
      <c r="I1128" s="24"/>
      <c r="J1128" s="3"/>
      <c r="K1128" s="8"/>
      <c r="L1128" s="8"/>
      <c r="M1128" s="8"/>
      <c r="N1128" s="13"/>
      <c r="O1128" s="9"/>
      <c r="P1128" s="20"/>
      <c r="Q1128" s="20"/>
      <c r="R1128" s="20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</row>
    <row r="1129" spans="4:49" ht="15" thickBot="1" x14ac:dyDescent="0.35">
      <c r="D1129" s="2">
        <f t="shared" si="57"/>
        <v>1123</v>
      </c>
      <c r="E1129" s="6">
        <v>3.8742567357068913</v>
      </c>
      <c r="F1129" s="24"/>
      <c r="G1129" s="24"/>
      <c r="H1129" s="24"/>
      <c r="I1129" s="24"/>
      <c r="J1129" s="3"/>
      <c r="K1129" s="8"/>
      <c r="L1129" s="8"/>
      <c r="M1129" s="8"/>
      <c r="N1129" s="13"/>
      <c r="O1129" s="9"/>
      <c r="P1129" s="20"/>
      <c r="Q1129" s="20"/>
      <c r="R1129" s="20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</row>
    <row r="1130" spans="4:49" ht="15" thickBot="1" x14ac:dyDescent="0.35">
      <c r="D1130" s="2">
        <f t="shared" si="57"/>
        <v>1124</v>
      </c>
      <c r="E1130" s="6">
        <v>2.674638061019635</v>
      </c>
      <c r="F1130" s="24"/>
      <c r="G1130" s="24"/>
      <c r="H1130" s="24"/>
      <c r="I1130" s="24"/>
      <c r="J1130" s="3"/>
      <c r="K1130" s="8"/>
      <c r="L1130" s="8"/>
      <c r="M1130" s="8"/>
      <c r="N1130" s="13"/>
      <c r="O1130" s="9"/>
      <c r="P1130" s="20"/>
      <c r="Q1130" s="20"/>
      <c r="R1130" s="20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</row>
    <row r="1131" spans="4:49" ht="15" thickBot="1" x14ac:dyDescent="0.35">
      <c r="D1131" s="2">
        <f t="shared" si="57"/>
        <v>1125</v>
      </c>
      <c r="E1131" s="6">
        <v>13.019868293065031</v>
      </c>
      <c r="F1131" s="24"/>
      <c r="G1131" s="24"/>
      <c r="H1131" s="24"/>
      <c r="I1131" s="24"/>
      <c r="J1131" s="3"/>
      <c r="K1131" s="8"/>
      <c r="L1131" s="8"/>
      <c r="M1131" s="8"/>
      <c r="N1131" s="13"/>
      <c r="O1131" s="9"/>
      <c r="P1131" s="20"/>
      <c r="Q1131" s="20"/>
      <c r="R1131" s="20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</row>
    <row r="1132" spans="4:49" ht="15" thickBot="1" x14ac:dyDescent="0.35">
      <c r="D1132" s="2">
        <f t="shared" si="57"/>
        <v>1126</v>
      </c>
      <c r="E1132" s="6">
        <v>8.3523575357040727</v>
      </c>
      <c r="F1132" s="24"/>
      <c r="G1132" s="24"/>
      <c r="H1132" s="24"/>
      <c r="I1132" s="24"/>
      <c r="J1132" s="3"/>
      <c r="K1132" s="8"/>
      <c r="L1132" s="8"/>
      <c r="M1132" s="8"/>
      <c r="N1132" s="13"/>
      <c r="O1132" s="9"/>
      <c r="P1132" s="20"/>
      <c r="Q1132" s="20"/>
      <c r="R1132" s="20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</row>
    <row r="1133" spans="4:49" ht="15" thickBot="1" x14ac:dyDescent="0.35">
      <c r="D1133" s="2">
        <f t="shared" si="57"/>
        <v>1127</v>
      </c>
      <c r="E1133" s="6">
        <v>1.8768774918806599</v>
      </c>
      <c r="F1133" s="24"/>
      <c r="G1133" s="24"/>
      <c r="H1133" s="24"/>
      <c r="I1133" s="24"/>
      <c r="J1133" s="3"/>
      <c r="K1133" s="8"/>
      <c r="L1133" s="8"/>
      <c r="M1133" s="8"/>
      <c r="N1133" s="13"/>
      <c r="O1133" s="9"/>
      <c r="P1133" s="20"/>
      <c r="Q1133" s="20"/>
      <c r="R1133" s="20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</row>
    <row r="1134" spans="4:49" ht="15" thickBot="1" x14ac:dyDescent="0.35">
      <c r="D1134" s="2">
        <f t="shared" si="57"/>
        <v>1128</v>
      </c>
      <c r="E1134" s="6">
        <v>1.3124307797165571</v>
      </c>
      <c r="F1134" s="24"/>
      <c r="G1134" s="24"/>
      <c r="H1134" s="24"/>
      <c r="I1134" s="24"/>
      <c r="J1134" s="3"/>
      <c r="K1134" s="8"/>
      <c r="L1134" s="8"/>
      <c r="M1134" s="8"/>
      <c r="N1134" s="13"/>
      <c r="O1134" s="9"/>
      <c r="P1134" s="20"/>
      <c r="Q1134" s="20"/>
      <c r="R1134" s="20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</row>
    <row r="1135" spans="4:49" ht="15" thickBot="1" x14ac:dyDescent="0.35">
      <c r="D1135" s="2">
        <f t="shared" si="57"/>
        <v>1129</v>
      </c>
      <c r="E1135" s="6">
        <v>4.8218580238892557</v>
      </c>
      <c r="F1135" s="24"/>
      <c r="G1135" s="24"/>
      <c r="H1135" s="24"/>
      <c r="I1135" s="24"/>
      <c r="J1135" s="3"/>
      <c r="K1135" s="8"/>
      <c r="L1135" s="8"/>
      <c r="M1135" s="8"/>
      <c r="N1135" s="13"/>
      <c r="O1135" s="9"/>
      <c r="P1135" s="20"/>
      <c r="Q1135" s="20"/>
      <c r="R1135" s="20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</row>
    <row r="1136" spans="4:49" ht="15" thickBot="1" x14ac:dyDescent="0.35">
      <c r="D1136" s="2">
        <f t="shared" si="57"/>
        <v>1130</v>
      </c>
      <c r="E1136" s="6">
        <v>3.6178838393502835</v>
      </c>
      <c r="F1136" s="24"/>
      <c r="G1136" s="24"/>
      <c r="H1136" s="24"/>
      <c r="I1136" s="24"/>
      <c r="J1136" s="3"/>
      <c r="K1136" s="8"/>
      <c r="L1136" s="8"/>
      <c r="M1136" s="8"/>
      <c r="N1136" s="13"/>
      <c r="O1136" s="9"/>
      <c r="P1136" s="20"/>
      <c r="Q1136" s="20"/>
      <c r="R1136" s="20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</row>
    <row r="1137" spans="4:49" ht="15" thickBot="1" x14ac:dyDescent="0.35">
      <c r="D1137" s="2">
        <f t="shared" si="57"/>
        <v>1131</v>
      </c>
      <c r="E1137" s="6">
        <v>0.57895195351700812</v>
      </c>
      <c r="F1137" s="24"/>
      <c r="G1137" s="24"/>
      <c r="H1137" s="24"/>
      <c r="I1137" s="24"/>
      <c r="J1137" s="3"/>
      <c r="K1137" s="8"/>
      <c r="L1137" s="8"/>
      <c r="M1137" s="8"/>
      <c r="N1137" s="13"/>
      <c r="O1137" s="9"/>
      <c r="P1137" s="20"/>
      <c r="Q1137" s="20"/>
      <c r="R1137" s="20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</row>
    <row r="1138" spans="4:49" ht="15" thickBot="1" x14ac:dyDescent="0.35">
      <c r="D1138" s="2">
        <f t="shared" si="57"/>
        <v>1132</v>
      </c>
      <c r="E1138" s="6">
        <v>3.9709354839388133</v>
      </c>
      <c r="F1138" s="24"/>
      <c r="G1138" s="24"/>
      <c r="H1138" s="24"/>
      <c r="I1138" s="24"/>
      <c r="J1138" s="3"/>
      <c r="K1138" s="8"/>
      <c r="L1138" s="8"/>
      <c r="M1138" s="8"/>
      <c r="N1138" s="13"/>
      <c r="O1138" s="9"/>
      <c r="P1138" s="20"/>
      <c r="Q1138" s="20"/>
      <c r="R1138" s="20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</row>
    <row r="1139" spans="4:49" ht="15" thickBot="1" x14ac:dyDescent="0.35">
      <c r="D1139" s="2">
        <f t="shared" si="57"/>
        <v>1133</v>
      </c>
      <c r="E1139" s="6">
        <v>3.7842605698092511</v>
      </c>
      <c r="F1139" s="24"/>
      <c r="G1139" s="24"/>
      <c r="H1139" s="24"/>
      <c r="I1139" s="24"/>
      <c r="J1139" s="3"/>
      <c r="K1139" s="8"/>
      <c r="L1139" s="8"/>
      <c r="M1139" s="8"/>
      <c r="N1139" s="13"/>
      <c r="O1139" s="9"/>
      <c r="P1139" s="20"/>
      <c r="Q1139" s="20"/>
      <c r="R1139" s="20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</row>
    <row r="1140" spans="4:49" ht="15" thickBot="1" x14ac:dyDescent="0.35">
      <c r="D1140" s="2">
        <f t="shared" si="57"/>
        <v>1134</v>
      </c>
      <c r="E1140" s="6">
        <v>1.5651921401757198</v>
      </c>
      <c r="F1140" s="24"/>
      <c r="G1140" s="24"/>
      <c r="H1140" s="24"/>
      <c r="I1140" s="24"/>
      <c r="J1140" s="3"/>
      <c r="K1140" s="8"/>
      <c r="L1140" s="8"/>
      <c r="M1140" s="8"/>
      <c r="N1140" s="13"/>
      <c r="O1140" s="9"/>
      <c r="P1140" s="20"/>
      <c r="Q1140" s="20"/>
      <c r="R1140" s="20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</row>
    <row r="1141" spans="4:49" ht="15" thickBot="1" x14ac:dyDescent="0.35">
      <c r="D1141" s="2">
        <f t="shared" si="57"/>
        <v>1135</v>
      </c>
      <c r="E1141" s="6">
        <v>5.0699535754542113</v>
      </c>
      <c r="F1141" s="24"/>
      <c r="G1141" s="24"/>
      <c r="H1141" s="24"/>
      <c r="I1141" s="24"/>
      <c r="J1141" s="3"/>
      <c r="K1141" s="8"/>
      <c r="L1141" s="8"/>
      <c r="M1141" s="8"/>
      <c r="N1141" s="13"/>
      <c r="O1141" s="9"/>
      <c r="P1141" s="20"/>
      <c r="Q1141" s="20"/>
      <c r="R1141" s="20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</row>
    <row r="1142" spans="4:49" ht="15" thickBot="1" x14ac:dyDescent="0.35">
      <c r="D1142" s="2">
        <f t="shared" si="57"/>
        <v>1136</v>
      </c>
      <c r="E1142" s="6">
        <v>4.3400670926333937</v>
      </c>
      <c r="F1142" s="24"/>
      <c r="G1142" s="24"/>
      <c r="H1142" s="24"/>
      <c r="I1142" s="24"/>
      <c r="J1142" s="3"/>
      <c r="K1142" s="8"/>
      <c r="L1142" s="8"/>
      <c r="M1142" s="8"/>
      <c r="N1142" s="13"/>
      <c r="O1142" s="9"/>
      <c r="P1142" s="20"/>
      <c r="Q1142" s="20"/>
      <c r="R1142" s="20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</row>
    <row r="1143" spans="4:49" ht="15" thickBot="1" x14ac:dyDescent="0.35">
      <c r="D1143" s="2">
        <f t="shared" si="57"/>
        <v>1137</v>
      </c>
      <c r="E1143" s="6">
        <v>13.494347041838736</v>
      </c>
      <c r="F1143" s="24"/>
      <c r="G1143" s="24"/>
      <c r="H1143" s="24"/>
      <c r="I1143" s="24"/>
      <c r="J1143" s="3"/>
      <c r="K1143" s="8"/>
      <c r="L1143" s="8"/>
      <c r="M1143" s="8"/>
      <c r="N1143" s="13"/>
      <c r="O1143" s="9"/>
      <c r="P1143" s="20"/>
      <c r="Q1143" s="20"/>
      <c r="R1143" s="20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</row>
    <row r="1144" spans="4:49" ht="15" thickBot="1" x14ac:dyDescent="0.35">
      <c r="D1144" s="2">
        <f t="shared" si="57"/>
        <v>1138</v>
      </c>
      <c r="E1144" s="6">
        <v>5.5343473229978031</v>
      </c>
      <c r="F1144" s="24"/>
      <c r="G1144" s="24"/>
      <c r="H1144" s="24"/>
      <c r="I1144" s="24"/>
      <c r="J1144" s="3"/>
      <c r="K1144" s="8"/>
      <c r="L1144" s="8"/>
      <c r="M1144" s="8"/>
      <c r="N1144" s="13"/>
      <c r="O1144" s="9"/>
      <c r="P1144" s="20"/>
      <c r="Q1144" s="20"/>
      <c r="R1144" s="20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</row>
    <row r="1145" spans="4:49" ht="15" thickBot="1" x14ac:dyDescent="0.35">
      <c r="D1145" s="2">
        <f t="shared" si="57"/>
        <v>1139</v>
      </c>
      <c r="E1145" s="6">
        <v>1.2617256208765293</v>
      </c>
      <c r="F1145" s="24"/>
      <c r="G1145" s="24"/>
      <c r="H1145" s="24"/>
      <c r="I1145" s="24"/>
      <c r="J1145" s="3"/>
      <c r="K1145" s="8"/>
      <c r="L1145" s="8"/>
      <c r="M1145" s="8"/>
      <c r="N1145" s="13"/>
      <c r="O1145" s="9"/>
      <c r="P1145" s="20"/>
      <c r="Q1145" s="20"/>
      <c r="R1145" s="20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</row>
    <row r="1146" spans="4:49" ht="15" thickBot="1" x14ac:dyDescent="0.35">
      <c r="D1146" s="2">
        <f t="shared" si="57"/>
        <v>1140</v>
      </c>
      <c r="E1146" s="6">
        <v>4.4080831747050855</v>
      </c>
      <c r="F1146" s="24"/>
      <c r="G1146" s="24"/>
      <c r="H1146" s="24"/>
      <c r="I1146" s="24"/>
      <c r="J1146" s="3"/>
      <c r="K1146" s="8"/>
      <c r="L1146" s="8"/>
      <c r="M1146" s="8"/>
      <c r="N1146" s="13"/>
      <c r="O1146" s="9"/>
      <c r="P1146" s="20"/>
      <c r="Q1146" s="20"/>
      <c r="R1146" s="20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</row>
    <row r="1147" spans="4:49" ht="15" thickBot="1" x14ac:dyDescent="0.35">
      <c r="D1147" s="2">
        <f t="shared" si="57"/>
        <v>1141</v>
      </c>
      <c r="E1147" s="6">
        <v>2.536389389917888</v>
      </c>
      <c r="F1147" s="24"/>
      <c r="G1147" s="24"/>
      <c r="H1147" s="24"/>
      <c r="I1147" s="24"/>
      <c r="J1147" s="3"/>
      <c r="K1147" s="8"/>
      <c r="L1147" s="8"/>
      <c r="M1147" s="8"/>
      <c r="N1147" s="13"/>
      <c r="O1147" s="9"/>
      <c r="P1147" s="20"/>
      <c r="Q1147" s="20"/>
      <c r="R1147" s="20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</row>
    <row r="1148" spans="4:49" ht="15" thickBot="1" x14ac:dyDescent="0.35">
      <c r="D1148" s="2">
        <f t="shared" si="57"/>
        <v>1142</v>
      </c>
      <c r="E1148" s="6">
        <v>8.9306913927110383</v>
      </c>
      <c r="F1148" s="24"/>
      <c r="G1148" s="24"/>
      <c r="H1148" s="24"/>
      <c r="I1148" s="24"/>
      <c r="J1148" s="3"/>
      <c r="K1148" s="8"/>
      <c r="L1148" s="8"/>
      <c r="M1148" s="8"/>
      <c r="N1148" s="13"/>
      <c r="O1148" s="9"/>
      <c r="P1148" s="20"/>
      <c r="Q1148" s="20"/>
      <c r="R1148" s="20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</row>
    <row r="1149" spans="4:49" ht="15" thickBot="1" x14ac:dyDescent="0.35">
      <c r="D1149" s="2">
        <f t="shared" si="57"/>
        <v>1143</v>
      </c>
      <c r="E1149" s="6">
        <v>0.86532464028942446</v>
      </c>
      <c r="F1149" s="24"/>
      <c r="G1149" s="24"/>
      <c r="H1149" s="24"/>
      <c r="I1149" s="24"/>
      <c r="J1149" s="3"/>
      <c r="K1149" s="8"/>
      <c r="L1149" s="8"/>
      <c r="M1149" s="8"/>
      <c r="N1149" s="13"/>
      <c r="O1149" s="9"/>
      <c r="P1149" s="20"/>
      <c r="Q1149" s="20"/>
      <c r="R1149" s="20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</row>
    <row r="1150" spans="4:49" ht="15" thickBot="1" x14ac:dyDescent="0.35">
      <c r="D1150" s="2">
        <f t="shared" si="57"/>
        <v>1144</v>
      </c>
      <c r="E1150" s="6">
        <v>0.99915949958746286</v>
      </c>
      <c r="F1150" s="24"/>
      <c r="G1150" s="24"/>
      <c r="H1150" s="24"/>
      <c r="I1150" s="24"/>
      <c r="J1150" s="3"/>
      <c r="K1150" s="8"/>
      <c r="L1150" s="8"/>
      <c r="M1150" s="8"/>
      <c r="N1150" s="13"/>
      <c r="O1150" s="9"/>
      <c r="P1150" s="20"/>
      <c r="Q1150" s="20"/>
      <c r="R1150" s="20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</row>
    <row r="1151" spans="4:49" ht="15" thickBot="1" x14ac:dyDescent="0.35">
      <c r="D1151" s="2">
        <f t="shared" si="57"/>
        <v>1145</v>
      </c>
      <c r="E1151" s="6">
        <v>3.3223882126318305</v>
      </c>
      <c r="F1151" s="24"/>
      <c r="G1151" s="24"/>
      <c r="H1151" s="24"/>
      <c r="I1151" s="24"/>
      <c r="J1151" s="3"/>
      <c r="K1151" s="8"/>
      <c r="L1151" s="8"/>
      <c r="M1151" s="8"/>
      <c r="N1151" s="13"/>
      <c r="O1151" s="9"/>
      <c r="P1151" s="20"/>
      <c r="Q1151" s="20"/>
      <c r="R1151" s="20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</row>
    <row r="1152" spans="4:49" ht="15" thickBot="1" x14ac:dyDescent="0.35">
      <c r="D1152" s="2">
        <f t="shared" si="57"/>
        <v>1146</v>
      </c>
      <c r="E1152" s="6">
        <v>0.33951618455269511</v>
      </c>
      <c r="F1152" s="24"/>
      <c r="G1152" s="24"/>
      <c r="H1152" s="24"/>
      <c r="I1152" s="24"/>
      <c r="J1152" s="3"/>
      <c r="K1152" s="8"/>
      <c r="L1152" s="8"/>
      <c r="M1152" s="8"/>
      <c r="N1152" s="13"/>
      <c r="O1152" s="9"/>
      <c r="P1152" s="20"/>
      <c r="Q1152" s="20"/>
      <c r="R1152" s="20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</row>
    <row r="1153" spans="4:49" ht="15" thickBot="1" x14ac:dyDescent="0.35">
      <c r="D1153" s="2">
        <f t="shared" si="57"/>
        <v>1147</v>
      </c>
      <c r="E1153" s="6">
        <v>4.9789681654159983</v>
      </c>
      <c r="F1153" s="24"/>
      <c r="G1153" s="24"/>
      <c r="H1153" s="24"/>
      <c r="I1153" s="24"/>
      <c r="J1153" s="3"/>
      <c r="K1153" s="8"/>
      <c r="L1153" s="8"/>
      <c r="M1153" s="8"/>
      <c r="N1153" s="13"/>
      <c r="O1153" s="9"/>
      <c r="P1153" s="20"/>
      <c r="Q1153" s="20"/>
      <c r="R1153" s="20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</row>
    <row r="1154" spans="4:49" ht="15" thickBot="1" x14ac:dyDescent="0.35">
      <c r="D1154" s="2">
        <f t="shared" si="57"/>
        <v>1148</v>
      </c>
      <c r="E1154" s="6">
        <v>5.2129330725699221</v>
      </c>
      <c r="F1154" s="24"/>
      <c r="G1154" s="24"/>
      <c r="H1154" s="24"/>
      <c r="I1154" s="24"/>
      <c r="J1154" s="3"/>
      <c r="K1154" s="8"/>
      <c r="L1154" s="8"/>
      <c r="M1154" s="8"/>
      <c r="N1154" s="13"/>
      <c r="O1154" s="9"/>
      <c r="P1154" s="20"/>
      <c r="Q1154" s="20"/>
      <c r="R1154" s="20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</row>
    <row r="1155" spans="4:49" ht="15" thickBot="1" x14ac:dyDescent="0.35">
      <c r="D1155" s="2">
        <f t="shared" si="57"/>
        <v>1149</v>
      </c>
      <c r="E1155" s="6">
        <v>3.4435974329572279</v>
      </c>
      <c r="F1155" s="24"/>
      <c r="G1155" s="24"/>
      <c r="H1155" s="24"/>
      <c r="I1155" s="24"/>
      <c r="J1155" s="3"/>
      <c r="K1155" s="8"/>
      <c r="L1155" s="8"/>
      <c r="M1155" s="8"/>
      <c r="N1155" s="13"/>
      <c r="O1155" s="9"/>
      <c r="P1155" s="20"/>
      <c r="Q1155" s="20"/>
      <c r="R1155" s="20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</row>
    <row r="1156" spans="4:49" ht="15" thickBot="1" x14ac:dyDescent="0.35">
      <c r="D1156" s="2">
        <f t="shared" si="57"/>
        <v>1150</v>
      </c>
      <c r="E1156" s="6">
        <v>0.70160624825774609</v>
      </c>
      <c r="F1156" s="24"/>
      <c r="G1156" s="24"/>
      <c r="H1156" s="24"/>
      <c r="I1156" s="24"/>
      <c r="J1156" s="3"/>
      <c r="K1156" s="8"/>
      <c r="L1156" s="8"/>
      <c r="M1156" s="8"/>
      <c r="N1156" s="13"/>
      <c r="O1156" s="9"/>
      <c r="P1156" s="20"/>
      <c r="Q1156" s="20"/>
      <c r="R1156" s="20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</row>
    <row r="1157" spans="4:49" ht="15" thickBot="1" x14ac:dyDescent="0.35">
      <c r="D1157" s="2">
        <f t="shared" si="57"/>
        <v>1151</v>
      </c>
      <c r="E1157" s="6">
        <v>2.3745177539401747</v>
      </c>
      <c r="F1157" s="24"/>
      <c r="G1157" s="24"/>
      <c r="H1157" s="24"/>
      <c r="I1157" s="24"/>
      <c r="J1157" s="3"/>
      <c r="K1157" s="8"/>
      <c r="L1157" s="8"/>
      <c r="M1157" s="8"/>
      <c r="N1157" s="13"/>
      <c r="O1157" s="9"/>
      <c r="P1157" s="20"/>
      <c r="Q1157" s="20"/>
      <c r="R1157" s="20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</row>
    <row r="1158" spans="4:49" ht="15" thickBot="1" x14ac:dyDescent="0.35">
      <c r="D1158" s="2">
        <f t="shared" si="57"/>
        <v>1152</v>
      </c>
      <c r="E1158" s="6">
        <v>5.1405627752672602</v>
      </c>
      <c r="F1158" s="24"/>
      <c r="G1158" s="24"/>
      <c r="H1158" s="24"/>
      <c r="I1158" s="24"/>
      <c r="J1158" s="3"/>
      <c r="K1158" s="8"/>
      <c r="L1158" s="8"/>
      <c r="M1158" s="8"/>
      <c r="N1158" s="13"/>
      <c r="O1158" s="9"/>
      <c r="P1158" s="20"/>
      <c r="Q1158" s="20"/>
      <c r="R1158" s="20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</row>
    <row r="1159" spans="4:49" ht="15" thickBot="1" x14ac:dyDescent="0.35">
      <c r="D1159" s="2">
        <f t="shared" ref="D1159:D1222" si="58">ROW()-6</f>
        <v>1153</v>
      </c>
      <c r="E1159" s="6">
        <v>15.941927988752363</v>
      </c>
      <c r="F1159" s="24"/>
      <c r="G1159" s="24"/>
      <c r="H1159" s="24"/>
      <c r="I1159" s="24"/>
      <c r="J1159" s="3"/>
      <c r="K1159" s="8"/>
      <c r="L1159" s="8"/>
      <c r="M1159" s="8"/>
      <c r="N1159" s="13"/>
      <c r="O1159" s="9"/>
      <c r="P1159" s="20"/>
      <c r="Q1159" s="20"/>
      <c r="R1159" s="20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</row>
    <row r="1160" spans="4:49" ht="15" thickBot="1" x14ac:dyDescent="0.35">
      <c r="D1160" s="2">
        <f t="shared" si="58"/>
        <v>1154</v>
      </c>
      <c r="E1160" s="6">
        <v>0.99078604566955919</v>
      </c>
      <c r="F1160" s="24"/>
      <c r="G1160" s="24"/>
      <c r="H1160" s="24"/>
      <c r="I1160" s="24"/>
      <c r="J1160" s="3"/>
      <c r="K1160" s="8"/>
      <c r="L1160" s="8"/>
      <c r="M1160" s="8"/>
      <c r="N1160" s="13"/>
      <c r="O1160" s="9"/>
      <c r="P1160" s="20"/>
      <c r="Q1160" s="20"/>
      <c r="R1160" s="20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</row>
    <row r="1161" spans="4:49" ht="15" thickBot="1" x14ac:dyDescent="0.35">
      <c r="D1161" s="2">
        <f t="shared" si="58"/>
        <v>1155</v>
      </c>
      <c r="E1161" s="6">
        <v>1.4549441680003696</v>
      </c>
      <c r="F1161" s="24"/>
      <c r="G1161" s="24"/>
      <c r="H1161" s="24"/>
      <c r="I1161" s="24"/>
      <c r="J1161" s="3"/>
      <c r="K1161" s="8"/>
      <c r="L1161" s="8"/>
      <c r="M1161" s="8"/>
      <c r="N1161" s="13"/>
      <c r="O1161" s="9"/>
      <c r="P1161" s="20"/>
      <c r="Q1161" s="20"/>
      <c r="R1161" s="20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</row>
    <row r="1162" spans="4:49" ht="15" thickBot="1" x14ac:dyDescent="0.35">
      <c r="D1162" s="2">
        <f t="shared" si="58"/>
        <v>1156</v>
      </c>
      <c r="E1162" s="6">
        <v>11.087363853601836</v>
      </c>
      <c r="F1162" s="24"/>
      <c r="G1162" s="24"/>
      <c r="H1162" s="24"/>
      <c r="I1162" s="24"/>
      <c r="J1162" s="3"/>
      <c r="K1162" s="8"/>
      <c r="L1162" s="8"/>
      <c r="M1162" s="8"/>
      <c r="N1162" s="13"/>
      <c r="O1162" s="9"/>
      <c r="P1162" s="20"/>
      <c r="Q1162" s="20"/>
      <c r="R1162" s="20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</row>
    <row r="1163" spans="4:49" ht="15" thickBot="1" x14ac:dyDescent="0.35">
      <c r="D1163" s="2">
        <f t="shared" si="58"/>
        <v>1157</v>
      </c>
      <c r="E1163" s="6">
        <v>0.37473379405049123</v>
      </c>
      <c r="F1163" s="24"/>
      <c r="G1163" s="24"/>
      <c r="H1163" s="24"/>
      <c r="I1163" s="24"/>
      <c r="J1163" s="3"/>
      <c r="K1163" s="8"/>
      <c r="L1163" s="8"/>
      <c r="M1163" s="8"/>
      <c r="N1163" s="13"/>
      <c r="O1163" s="9"/>
      <c r="P1163" s="20"/>
      <c r="Q1163" s="20"/>
      <c r="R1163" s="20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</row>
    <row r="1164" spans="4:49" ht="15" thickBot="1" x14ac:dyDescent="0.35">
      <c r="D1164" s="2">
        <f t="shared" si="58"/>
        <v>1158</v>
      </c>
      <c r="E1164" s="6">
        <v>21.505787926987537</v>
      </c>
      <c r="F1164" s="24"/>
      <c r="G1164" s="24"/>
      <c r="H1164" s="24"/>
      <c r="I1164" s="24"/>
      <c r="J1164" s="3"/>
      <c r="K1164" s="8"/>
      <c r="L1164" s="8"/>
      <c r="M1164" s="8"/>
      <c r="N1164" s="13"/>
      <c r="O1164" s="9"/>
      <c r="P1164" s="20"/>
      <c r="Q1164" s="20"/>
      <c r="R1164" s="20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</row>
    <row r="1165" spans="4:49" ht="15" thickBot="1" x14ac:dyDescent="0.35">
      <c r="D1165" s="2">
        <f t="shared" si="58"/>
        <v>1159</v>
      </c>
      <c r="E1165" s="6">
        <v>3.1242286985976371</v>
      </c>
      <c r="F1165" s="24"/>
      <c r="G1165" s="24"/>
      <c r="H1165" s="24"/>
      <c r="I1165" s="24"/>
      <c r="J1165" s="3"/>
      <c r="K1165" s="8"/>
      <c r="L1165" s="8"/>
      <c r="M1165" s="8"/>
      <c r="N1165" s="13"/>
      <c r="O1165" s="9"/>
      <c r="P1165" s="20"/>
      <c r="Q1165" s="20"/>
      <c r="R1165" s="20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</row>
    <row r="1166" spans="4:49" ht="15" thickBot="1" x14ac:dyDescent="0.35">
      <c r="D1166" s="2">
        <f t="shared" si="58"/>
        <v>1160</v>
      </c>
      <c r="E1166" s="6">
        <v>4.1981280397249368</v>
      </c>
      <c r="F1166" s="24"/>
      <c r="G1166" s="24"/>
      <c r="H1166" s="24"/>
      <c r="I1166" s="24"/>
      <c r="J1166" s="3"/>
      <c r="K1166" s="8"/>
      <c r="L1166" s="8"/>
      <c r="M1166" s="8"/>
      <c r="N1166" s="13"/>
      <c r="O1166" s="9"/>
      <c r="P1166" s="20"/>
      <c r="Q1166" s="20"/>
      <c r="R1166" s="20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</row>
    <row r="1167" spans="4:49" ht="15" thickBot="1" x14ac:dyDescent="0.35">
      <c r="D1167" s="2">
        <f t="shared" si="58"/>
        <v>1161</v>
      </c>
      <c r="E1167" s="6">
        <v>3.2864322160798487</v>
      </c>
      <c r="F1167" s="24"/>
      <c r="G1167" s="24"/>
      <c r="H1167" s="24"/>
      <c r="I1167" s="24"/>
      <c r="J1167" s="3"/>
      <c r="K1167" s="8"/>
      <c r="L1167" s="8"/>
      <c r="M1167" s="8"/>
      <c r="N1167" s="13"/>
      <c r="O1167" s="9"/>
      <c r="P1167" s="20"/>
      <c r="Q1167" s="20"/>
      <c r="R1167" s="20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</row>
    <row r="1168" spans="4:49" ht="15" thickBot="1" x14ac:dyDescent="0.35">
      <c r="D1168" s="2">
        <f t="shared" si="58"/>
        <v>1162</v>
      </c>
      <c r="E1168" s="6">
        <v>7.9113768831874269</v>
      </c>
      <c r="F1168" s="24"/>
      <c r="G1168" s="24"/>
      <c r="H1168" s="24"/>
      <c r="I1168" s="24"/>
      <c r="J1168" s="3"/>
      <c r="K1168" s="8"/>
      <c r="L1168" s="8"/>
      <c r="M1168" s="8"/>
      <c r="N1168" s="13"/>
      <c r="O1168" s="9"/>
      <c r="P1168" s="20"/>
      <c r="Q1168" s="20"/>
      <c r="R1168" s="20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</row>
    <row r="1169" spans="4:49" ht="15" thickBot="1" x14ac:dyDescent="0.35">
      <c r="D1169" s="2">
        <f t="shared" si="58"/>
        <v>1163</v>
      </c>
      <c r="E1169" s="6">
        <v>0.19936953385722903</v>
      </c>
      <c r="F1169" s="24"/>
      <c r="G1169" s="24"/>
      <c r="H1169" s="24"/>
      <c r="I1169" s="24"/>
      <c r="J1169" s="3"/>
      <c r="K1169" s="8"/>
      <c r="L1169" s="8"/>
      <c r="M1169" s="8"/>
      <c r="N1169" s="13"/>
      <c r="O1169" s="9"/>
      <c r="P1169" s="20"/>
      <c r="Q1169" s="20"/>
      <c r="R1169" s="20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</row>
    <row r="1170" spans="4:49" ht="15" thickBot="1" x14ac:dyDescent="0.35">
      <c r="D1170" s="2">
        <f t="shared" si="58"/>
        <v>1164</v>
      </c>
      <c r="E1170" s="6">
        <v>0.40267593259594192</v>
      </c>
      <c r="F1170" s="24"/>
      <c r="G1170" s="24"/>
      <c r="H1170" s="24"/>
      <c r="I1170" s="24"/>
      <c r="J1170" s="3"/>
      <c r="K1170" s="8"/>
      <c r="L1170" s="8"/>
      <c r="M1170" s="8"/>
      <c r="N1170" s="13"/>
      <c r="O1170" s="9"/>
      <c r="P1170" s="20"/>
      <c r="Q1170" s="20"/>
      <c r="R1170" s="20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</row>
    <row r="1171" spans="4:49" ht="15" thickBot="1" x14ac:dyDescent="0.35">
      <c r="D1171" s="2">
        <f t="shared" si="58"/>
        <v>1165</v>
      </c>
      <c r="E1171" s="6">
        <v>5.8831263570333343</v>
      </c>
      <c r="F1171" s="24"/>
      <c r="G1171" s="24"/>
      <c r="H1171" s="24"/>
      <c r="I1171" s="24"/>
      <c r="J1171" s="3"/>
      <c r="K1171" s="8"/>
      <c r="L1171" s="8"/>
      <c r="M1171" s="8"/>
      <c r="N1171" s="13"/>
      <c r="O1171" s="9"/>
      <c r="P1171" s="20"/>
      <c r="Q1171" s="20"/>
      <c r="R1171" s="20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</row>
    <row r="1172" spans="4:49" ht="15" thickBot="1" x14ac:dyDescent="0.35">
      <c r="D1172" s="2">
        <f t="shared" si="58"/>
        <v>1166</v>
      </c>
      <c r="E1172" s="6">
        <v>10.193628150439794</v>
      </c>
      <c r="F1172" s="24"/>
      <c r="G1172" s="24"/>
      <c r="H1172" s="24"/>
      <c r="I1172" s="24"/>
      <c r="J1172" s="3"/>
      <c r="K1172" s="8"/>
      <c r="L1172" s="8"/>
      <c r="M1172" s="8"/>
      <c r="N1172" s="13"/>
      <c r="O1172" s="9"/>
      <c r="P1172" s="20"/>
      <c r="Q1172" s="20"/>
      <c r="R1172" s="20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</row>
    <row r="1173" spans="4:49" ht="15" thickBot="1" x14ac:dyDescent="0.35">
      <c r="D1173" s="2">
        <f t="shared" si="58"/>
        <v>1167</v>
      </c>
      <c r="E1173" s="6">
        <v>13.395182006644822</v>
      </c>
      <c r="F1173" s="24"/>
      <c r="G1173" s="24"/>
      <c r="H1173" s="24"/>
      <c r="I1173" s="24"/>
      <c r="J1173" s="3"/>
      <c r="K1173" s="8"/>
      <c r="L1173" s="8"/>
      <c r="M1173" s="8"/>
      <c r="N1173" s="13"/>
      <c r="O1173" s="9"/>
      <c r="P1173" s="20"/>
      <c r="Q1173" s="20"/>
      <c r="R1173" s="20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</row>
    <row r="1174" spans="4:49" ht="15" thickBot="1" x14ac:dyDescent="0.35">
      <c r="D1174" s="2">
        <f t="shared" si="58"/>
        <v>1168</v>
      </c>
      <c r="E1174" s="6">
        <v>2.5901709655193992</v>
      </c>
      <c r="F1174" s="24"/>
      <c r="G1174" s="24"/>
      <c r="H1174" s="24"/>
      <c r="I1174" s="24"/>
      <c r="J1174" s="3"/>
      <c r="K1174" s="8"/>
      <c r="L1174" s="8"/>
      <c r="M1174" s="8"/>
      <c r="N1174" s="13"/>
      <c r="O1174" s="9"/>
      <c r="P1174" s="20"/>
      <c r="Q1174" s="20"/>
      <c r="R1174" s="20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</row>
    <row r="1175" spans="4:49" ht="15" thickBot="1" x14ac:dyDescent="0.35">
      <c r="D1175" s="2">
        <f t="shared" si="58"/>
        <v>1169</v>
      </c>
      <c r="E1175" s="6">
        <v>4.2783633933782781</v>
      </c>
      <c r="F1175" s="24"/>
      <c r="G1175" s="24"/>
      <c r="H1175" s="24"/>
      <c r="I1175" s="24"/>
      <c r="J1175" s="3"/>
      <c r="K1175" s="8"/>
      <c r="L1175" s="8"/>
      <c r="M1175" s="8"/>
      <c r="N1175" s="13"/>
      <c r="O1175" s="9"/>
      <c r="P1175" s="20"/>
      <c r="Q1175" s="20"/>
      <c r="R1175" s="20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</row>
    <row r="1176" spans="4:49" ht="15" thickBot="1" x14ac:dyDescent="0.35">
      <c r="D1176" s="2">
        <f t="shared" si="58"/>
        <v>1170</v>
      </c>
      <c r="E1176" s="6">
        <v>3.4041951732695988</v>
      </c>
      <c r="F1176" s="24"/>
      <c r="G1176" s="24"/>
      <c r="H1176" s="24"/>
      <c r="I1176" s="24"/>
      <c r="J1176" s="3"/>
      <c r="K1176" s="8"/>
      <c r="L1176" s="8"/>
      <c r="M1176" s="8"/>
      <c r="N1176" s="13"/>
      <c r="O1176" s="9"/>
      <c r="P1176" s="20"/>
      <c r="Q1176" s="20"/>
      <c r="R1176" s="20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</row>
    <row r="1177" spans="4:49" ht="15" thickBot="1" x14ac:dyDescent="0.35">
      <c r="D1177" s="2">
        <f t="shared" si="58"/>
        <v>1171</v>
      </c>
      <c r="E1177" s="6">
        <v>3.4904791348534934</v>
      </c>
      <c r="F1177" s="24"/>
      <c r="G1177" s="24"/>
      <c r="H1177" s="24"/>
      <c r="I1177" s="24"/>
      <c r="J1177" s="3"/>
      <c r="K1177" s="8"/>
      <c r="L1177" s="8"/>
      <c r="M1177" s="8"/>
      <c r="N1177" s="13"/>
      <c r="O1177" s="9"/>
      <c r="P1177" s="20"/>
      <c r="Q1177" s="20"/>
      <c r="R1177" s="20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</row>
    <row r="1178" spans="4:49" ht="15" thickBot="1" x14ac:dyDescent="0.35">
      <c r="D1178" s="2">
        <f t="shared" si="58"/>
        <v>1172</v>
      </c>
      <c r="E1178" s="6">
        <v>6.430629075762976</v>
      </c>
      <c r="F1178" s="24"/>
      <c r="G1178" s="24"/>
      <c r="H1178" s="24"/>
      <c r="I1178" s="24"/>
      <c r="J1178" s="3"/>
      <c r="K1178" s="8"/>
      <c r="L1178" s="8"/>
      <c r="M1178" s="8"/>
      <c r="N1178" s="13"/>
      <c r="O1178" s="9"/>
      <c r="P1178" s="20"/>
      <c r="Q1178" s="20"/>
      <c r="R1178" s="20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</row>
    <row r="1179" spans="4:49" ht="15" thickBot="1" x14ac:dyDescent="0.35">
      <c r="D1179" s="2">
        <f t="shared" si="58"/>
        <v>1173</v>
      </c>
      <c r="E1179" s="6">
        <v>0.11791768110163328</v>
      </c>
      <c r="F1179" s="24"/>
      <c r="G1179" s="24"/>
      <c r="H1179" s="24"/>
      <c r="I1179" s="24"/>
      <c r="J1179" s="3"/>
      <c r="K1179" s="8"/>
      <c r="L1179" s="8"/>
      <c r="M1179" s="8"/>
      <c r="N1179" s="13"/>
      <c r="O1179" s="9"/>
      <c r="P1179" s="20"/>
      <c r="Q1179" s="20"/>
      <c r="R1179" s="20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</row>
    <row r="1180" spans="4:49" ht="15" thickBot="1" x14ac:dyDescent="0.35">
      <c r="D1180" s="2">
        <f t="shared" si="58"/>
        <v>1174</v>
      </c>
      <c r="E1180" s="6">
        <v>1.1879474267422103</v>
      </c>
      <c r="F1180" s="24"/>
      <c r="G1180" s="24"/>
      <c r="H1180" s="24"/>
      <c r="I1180" s="24"/>
      <c r="J1180" s="3"/>
      <c r="K1180" s="8"/>
      <c r="L1180" s="8"/>
      <c r="M1180" s="8"/>
      <c r="N1180" s="13"/>
      <c r="O1180" s="9"/>
      <c r="P1180" s="20"/>
      <c r="Q1180" s="20"/>
      <c r="R1180" s="20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</row>
    <row r="1181" spans="4:49" ht="15" thickBot="1" x14ac:dyDescent="0.35">
      <c r="D1181" s="2">
        <f t="shared" si="58"/>
        <v>1175</v>
      </c>
      <c r="E1181" s="6">
        <v>8.7281741125365322</v>
      </c>
      <c r="F1181" s="24"/>
      <c r="G1181" s="24"/>
      <c r="H1181" s="24"/>
      <c r="I1181" s="24"/>
      <c r="J1181" s="3"/>
      <c r="K1181" s="8"/>
      <c r="L1181" s="8"/>
      <c r="M1181" s="8"/>
      <c r="N1181" s="13"/>
      <c r="O1181" s="9"/>
      <c r="P1181" s="20"/>
      <c r="Q1181" s="20"/>
      <c r="R1181" s="20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</row>
    <row r="1182" spans="4:49" ht="15" thickBot="1" x14ac:dyDescent="0.35">
      <c r="D1182" s="2">
        <f t="shared" si="58"/>
        <v>1176</v>
      </c>
      <c r="E1182" s="6">
        <v>11.086241865490507</v>
      </c>
      <c r="F1182" s="24"/>
      <c r="G1182" s="24"/>
      <c r="H1182" s="24"/>
      <c r="I1182" s="24"/>
      <c r="J1182" s="3"/>
      <c r="K1182" s="8"/>
      <c r="L1182" s="8"/>
      <c r="M1182" s="8"/>
      <c r="N1182" s="13"/>
      <c r="O1182" s="9"/>
      <c r="P1182" s="20"/>
      <c r="Q1182" s="20"/>
      <c r="R1182" s="20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</row>
    <row r="1183" spans="4:49" ht="15" thickBot="1" x14ac:dyDescent="0.35">
      <c r="D1183" s="2">
        <f t="shared" si="58"/>
        <v>1177</v>
      </c>
      <c r="E1183" s="6">
        <v>3.4542020140958871</v>
      </c>
      <c r="F1183" s="24"/>
      <c r="G1183" s="24"/>
      <c r="H1183" s="24"/>
      <c r="I1183" s="24"/>
      <c r="J1183" s="3"/>
      <c r="K1183" s="8"/>
      <c r="L1183" s="8"/>
      <c r="M1183" s="8"/>
      <c r="N1183" s="13"/>
      <c r="O1183" s="9"/>
      <c r="P1183" s="20"/>
      <c r="Q1183" s="20"/>
      <c r="R1183" s="20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</row>
    <row r="1184" spans="4:49" ht="15" thickBot="1" x14ac:dyDescent="0.35">
      <c r="D1184" s="2">
        <f t="shared" si="58"/>
        <v>1178</v>
      </c>
      <c r="E1184" s="6">
        <v>1.9278723922853864</v>
      </c>
      <c r="F1184" s="24"/>
      <c r="G1184" s="24"/>
      <c r="H1184" s="24"/>
      <c r="I1184" s="24"/>
      <c r="J1184" s="3"/>
      <c r="K1184" s="8"/>
      <c r="L1184" s="8"/>
      <c r="M1184" s="8"/>
      <c r="N1184" s="13"/>
      <c r="O1184" s="9"/>
      <c r="P1184" s="20"/>
      <c r="Q1184" s="20"/>
      <c r="R1184" s="20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</row>
    <row r="1185" spans="4:49" ht="15" thickBot="1" x14ac:dyDescent="0.35">
      <c r="D1185" s="2">
        <f t="shared" si="58"/>
        <v>1179</v>
      </c>
      <c r="E1185" s="6">
        <v>7.4585399910821284</v>
      </c>
      <c r="F1185" s="24"/>
      <c r="G1185" s="24"/>
      <c r="H1185" s="24"/>
      <c r="I1185" s="24"/>
      <c r="J1185" s="3"/>
      <c r="K1185" s="8"/>
      <c r="L1185" s="8"/>
      <c r="M1185" s="8"/>
      <c r="N1185" s="13"/>
      <c r="O1185" s="9"/>
      <c r="P1185" s="20"/>
      <c r="Q1185" s="20"/>
      <c r="R1185" s="20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</row>
    <row r="1186" spans="4:49" ht="15" thickBot="1" x14ac:dyDescent="0.35">
      <c r="D1186" s="2">
        <f t="shared" si="58"/>
        <v>1180</v>
      </c>
      <c r="E1186" s="6">
        <v>1.1372776777589895</v>
      </c>
      <c r="F1186" s="24"/>
      <c r="G1186" s="24"/>
      <c r="H1186" s="24"/>
      <c r="I1186" s="24"/>
      <c r="J1186" s="3"/>
      <c r="K1186" s="8"/>
      <c r="L1186" s="8"/>
      <c r="M1186" s="8"/>
      <c r="N1186" s="13"/>
      <c r="O1186" s="9"/>
      <c r="P1186" s="20"/>
      <c r="Q1186" s="20"/>
      <c r="R1186" s="20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</row>
    <row r="1187" spans="4:49" ht="15" thickBot="1" x14ac:dyDescent="0.35">
      <c r="D1187" s="2">
        <f t="shared" si="58"/>
        <v>1181</v>
      </c>
      <c r="E1187" s="6">
        <v>0.80092158347382325</v>
      </c>
      <c r="F1187" s="24"/>
      <c r="G1187" s="24"/>
      <c r="H1187" s="24"/>
      <c r="I1187" s="24"/>
      <c r="J1187" s="3"/>
      <c r="K1187" s="8"/>
      <c r="L1187" s="8"/>
      <c r="M1187" s="8"/>
      <c r="N1187" s="13"/>
      <c r="O1187" s="9"/>
      <c r="P1187" s="20"/>
      <c r="Q1187" s="20"/>
      <c r="R1187" s="20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</row>
    <row r="1188" spans="4:49" ht="15" thickBot="1" x14ac:dyDescent="0.35">
      <c r="D1188" s="2">
        <f t="shared" si="58"/>
        <v>1182</v>
      </c>
      <c r="E1188" s="6">
        <v>2.3214049886769867</v>
      </c>
      <c r="F1188" s="24"/>
      <c r="G1188" s="24"/>
      <c r="H1188" s="24"/>
      <c r="I1188" s="24"/>
      <c r="J1188" s="3"/>
      <c r="K1188" s="8"/>
      <c r="L1188" s="8"/>
      <c r="M1188" s="8"/>
      <c r="N1188" s="13"/>
      <c r="O1188" s="9"/>
      <c r="P1188" s="20"/>
      <c r="Q1188" s="20"/>
      <c r="R1188" s="20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</row>
    <row r="1189" spans="4:49" ht="15" thickBot="1" x14ac:dyDescent="0.35">
      <c r="D1189" s="2">
        <f t="shared" si="58"/>
        <v>1183</v>
      </c>
      <c r="E1189" s="6">
        <v>3.2335746514473409</v>
      </c>
      <c r="F1189" s="24"/>
      <c r="G1189" s="24"/>
      <c r="H1189" s="24"/>
      <c r="I1189" s="24"/>
      <c r="J1189" s="3"/>
      <c r="K1189" s="8"/>
      <c r="L1189" s="8"/>
      <c r="M1189" s="8"/>
      <c r="N1189" s="13"/>
      <c r="O1189" s="9"/>
      <c r="P1189" s="20"/>
      <c r="Q1189" s="20"/>
      <c r="R1189" s="20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</row>
    <row r="1190" spans="4:49" ht="15" thickBot="1" x14ac:dyDescent="0.35">
      <c r="D1190" s="2">
        <f t="shared" si="58"/>
        <v>1184</v>
      </c>
      <c r="E1190" s="6">
        <v>2.7095146311597946</v>
      </c>
      <c r="F1190" s="24"/>
      <c r="G1190" s="24"/>
      <c r="H1190" s="24"/>
      <c r="I1190" s="24"/>
      <c r="J1190" s="3"/>
      <c r="K1190" s="8"/>
      <c r="L1190" s="8"/>
      <c r="M1190" s="8"/>
      <c r="N1190" s="13"/>
      <c r="O1190" s="9"/>
      <c r="P1190" s="20"/>
      <c r="Q1190" s="20"/>
      <c r="R1190" s="20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</row>
    <row r="1191" spans="4:49" ht="15" thickBot="1" x14ac:dyDescent="0.35">
      <c r="D1191" s="2">
        <f t="shared" si="58"/>
        <v>1185</v>
      </c>
      <c r="E1191" s="6">
        <v>1.173427626712245</v>
      </c>
      <c r="F1191" s="24"/>
      <c r="G1191" s="24"/>
      <c r="H1191" s="24"/>
      <c r="I1191" s="24"/>
      <c r="J1191" s="3"/>
      <c r="K1191" s="8"/>
      <c r="L1191" s="8"/>
      <c r="M1191" s="8"/>
      <c r="N1191" s="13"/>
      <c r="O1191" s="9"/>
      <c r="P1191" s="20"/>
      <c r="Q1191" s="20"/>
      <c r="R1191" s="20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</row>
    <row r="1192" spans="4:49" ht="15" thickBot="1" x14ac:dyDescent="0.35">
      <c r="D1192" s="2">
        <f t="shared" si="58"/>
        <v>1186</v>
      </c>
      <c r="E1192" s="6">
        <v>0.95147492747540274</v>
      </c>
      <c r="F1192" s="24"/>
      <c r="G1192" s="24"/>
      <c r="H1192" s="24"/>
      <c r="I1192" s="24"/>
      <c r="J1192" s="3"/>
      <c r="K1192" s="8"/>
      <c r="L1192" s="8"/>
      <c r="M1192" s="8"/>
      <c r="N1192" s="13"/>
      <c r="O1192" s="9"/>
      <c r="P1192" s="20"/>
      <c r="Q1192" s="20"/>
      <c r="R1192" s="20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</row>
    <row r="1193" spans="4:49" ht="15" thickBot="1" x14ac:dyDescent="0.35">
      <c r="D1193" s="2">
        <f t="shared" si="58"/>
        <v>1187</v>
      </c>
      <c r="E1193" s="6">
        <v>9.0494385697292401</v>
      </c>
      <c r="F1193" s="24"/>
      <c r="G1193" s="24"/>
      <c r="H1193" s="24"/>
      <c r="I1193" s="24"/>
      <c r="J1193" s="3"/>
      <c r="K1193" s="8"/>
      <c r="L1193" s="8"/>
      <c r="M1193" s="8"/>
      <c r="N1193" s="13"/>
      <c r="O1193" s="9"/>
      <c r="P1193" s="20"/>
      <c r="Q1193" s="20"/>
      <c r="R1193" s="20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</row>
    <row r="1194" spans="4:49" ht="15" thickBot="1" x14ac:dyDescent="0.35">
      <c r="D1194" s="2">
        <f t="shared" si="58"/>
        <v>1188</v>
      </c>
      <c r="E1194" s="6">
        <v>0.72800736915132624</v>
      </c>
      <c r="F1194" s="24"/>
      <c r="G1194" s="24"/>
      <c r="H1194" s="24"/>
      <c r="I1194" s="24"/>
      <c r="J1194" s="3"/>
      <c r="K1194" s="8"/>
      <c r="L1194" s="8"/>
      <c r="M1194" s="8"/>
      <c r="N1194" s="13"/>
      <c r="O1194" s="9"/>
      <c r="P1194" s="20"/>
      <c r="Q1194" s="20"/>
      <c r="R1194" s="20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</row>
    <row r="1195" spans="4:49" ht="15" thickBot="1" x14ac:dyDescent="0.35">
      <c r="D1195" s="2">
        <f t="shared" si="58"/>
        <v>1189</v>
      </c>
      <c r="E1195" s="6">
        <v>0.55340932918710195</v>
      </c>
      <c r="F1195" s="24"/>
      <c r="G1195" s="24"/>
      <c r="H1195" s="24"/>
      <c r="I1195" s="24"/>
      <c r="J1195" s="3"/>
      <c r="K1195" s="8"/>
      <c r="L1195" s="8"/>
      <c r="M1195" s="8"/>
      <c r="N1195" s="13"/>
      <c r="O1195" s="9"/>
      <c r="P1195" s="20"/>
      <c r="Q1195" s="20"/>
      <c r="R1195" s="20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</row>
    <row r="1196" spans="4:49" ht="15" thickBot="1" x14ac:dyDescent="0.35">
      <c r="D1196" s="2">
        <f t="shared" si="58"/>
        <v>1190</v>
      </c>
      <c r="E1196" s="6">
        <v>1.7507856964238453</v>
      </c>
      <c r="F1196" s="24"/>
      <c r="G1196" s="24"/>
      <c r="H1196" s="24"/>
      <c r="I1196" s="24"/>
      <c r="J1196" s="3"/>
      <c r="K1196" s="8"/>
      <c r="L1196" s="8"/>
      <c r="M1196" s="8"/>
      <c r="N1196" s="13"/>
      <c r="O1196" s="9"/>
      <c r="P1196" s="20"/>
      <c r="Q1196" s="20"/>
      <c r="R1196" s="20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</row>
    <row r="1197" spans="4:49" ht="15" thickBot="1" x14ac:dyDescent="0.35">
      <c r="D1197" s="2">
        <f t="shared" si="58"/>
        <v>1191</v>
      </c>
      <c r="E1197" s="6">
        <v>2.5656185189370104</v>
      </c>
      <c r="F1197" s="24"/>
      <c r="G1197" s="24"/>
      <c r="H1197" s="24"/>
      <c r="I1197" s="24"/>
      <c r="J1197" s="3"/>
      <c r="K1197" s="8"/>
      <c r="L1197" s="8"/>
      <c r="M1197" s="8"/>
      <c r="N1197" s="13"/>
      <c r="O1197" s="9"/>
      <c r="P1197" s="20"/>
      <c r="Q1197" s="20"/>
      <c r="R1197" s="20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</row>
    <row r="1198" spans="4:49" ht="15" thickBot="1" x14ac:dyDescent="0.35">
      <c r="D1198" s="2">
        <f t="shared" si="58"/>
        <v>1192</v>
      </c>
      <c r="E1198" s="6">
        <v>12.734639237875497</v>
      </c>
      <c r="F1198" s="24"/>
      <c r="G1198" s="24"/>
      <c r="H1198" s="24"/>
      <c r="I1198" s="24"/>
      <c r="J1198" s="3"/>
      <c r="K1198" s="8"/>
      <c r="L1198" s="8"/>
      <c r="M1198" s="8"/>
      <c r="N1198" s="13"/>
      <c r="O1198" s="9"/>
      <c r="P1198" s="20"/>
      <c r="Q1198" s="20"/>
      <c r="R1198" s="20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</row>
    <row r="1199" spans="4:49" ht="15" thickBot="1" x14ac:dyDescent="0.35">
      <c r="D1199" s="2">
        <f t="shared" si="58"/>
        <v>1193</v>
      </c>
      <c r="E1199" s="6">
        <v>1.1656699536467019</v>
      </c>
      <c r="F1199" s="24"/>
      <c r="G1199" s="24"/>
      <c r="H1199" s="24"/>
      <c r="I1199" s="24"/>
      <c r="J1199" s="3"/>
      <c r="K1199" s="8"/>
      <c r="L1199" s="8"/>
      <c r="M1199" s="8"/>
      <c r="N1199" s="13"/>
      <c r="O1199" s="9"/>
      <c r="P1199" s="20"/>
      <c r="Q1199" s="20"/>
      <c r="R1199" s="20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</row>
    <row r="1200" spans="4:49" ht="15" thickBot="1" x14ac:dyDescent="0.35">
      <c r="D1200" s="2">
        <f t="shared" si="58"/>
        <v>1194</v>
      </c>
      <c r="E1200" s="6">
        <v>4.4948359306083141</v>
      </c>
      <c r="F1200" s="24"/>
      <c r="G1200" s="24"/>
      <c r="H1200" s="24"/>
      <c r="I1200" s="24"/>
      <c r="J1200" s="3"/>
      <c r="K1200" s="8"/>
      <c r="L1200" s="8"/>
      <c r="M1200" s="8"/>
      <c r="N1200" s="13"/>
      <c r="O1200" s="9"/>
      <c r="P1200" s="20"/>
      <c r="Q1200" s="20"/>
      <c r="R1200" s="20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</row>
    <row r="1201" spans="4:49" ht="15" thickBot="1" x14ac:dyDescent="0.35">
      <c r="D1201" s="2">
        <f t="shared" si="58"/>
        <v>1195</v>
      </c>
      <c r="E1201" s="6">
        <v>13.833237392191949</v>
      </c>
      <c r="F1201" s="24"/>
      <c r="G1201" s="24"/>
      <c r="H1201" s="24"/>
      <c r="I1201" s="24"/>
      <c r="J1201" s="3"/>
      <c r="K1201" s="8"/>
      <c r="L1201" s="8"/>
      <c r="M1201" s="8"/>
      <c r="N1201" s="13"/>
      <c r="O1201" s="9"/>
      <c r="P1201" s="20"/>
      <c r="Q1201" s="20"/>
      <c r="R1201" s="20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</row>
    <row r="1202" spans="4:49" ht="15" thickBot="1" x14ac:dyDescent="0.35">
      <c r="D1202" s="2">
        <f t="shared" si="58"/>
        <v>1196</v>
      </c>
      <c r="E1202" s="6">
        <v>2.8851874387813852</v>
      </c>
      <c r="F1202" s="24"/>
      <c r="G1202" s="24"/>
      <c r="H1202" s="24"/>
      <c r="I1202" s="24"/>
      <c r="J1202" s="3"/>
      <c r="K1202" s="8"/>
      <c r="L1202" s="8"/>
      <c r="M1202" s="8"/>
      <c r="N1202" s="13"/>
      <c r="O1202" s="9"/>
      <c r="P1202" s="20"/>
      <c r="Q1202" s="20"/>
      <c r="R1202" s="20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</row>
    <row r="1203" spans="4:49" ht="15" thickBot="1" x14ac:dyDescent="0.35">
      <c r="D1203" s="2">
        <f t="shared" si="58"/>
        <v>1197</v>
      </c>
      <c r="E1203" s="6">
        <v>0.67332425687742481</v>
      </c>
      <c r="F1203" s="24"/>
      <c r="G1203" s="24"/>
      <c r="H1203" s="24"/>
      <c r="I1203" s="24"/>
      <c r="J1203" s="3"/>
      <c r="K1203" s="8"/>
      <c r="L1203" s="8"/>
      <c r="M1203" s="8"/>
      <c r="N1203" s="13"/>
      <c r="O1203" s="9"/>
      <c r="P1203" s="20"/>
      <c r="Q1203" s="20"/>
      <c r="R1203" s="20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</row>
    <row r="1204" spans="4:49" ht="15" thickBot="1" x14ac:dyDescent="0.35">
      <c r="D1204" s="2">
        <f t="shared" si="58"/>
        <v>1198</v>
      </c>
      <c r="E1204" s="6">
        <v>9.2714478379707472</v>
      </c>
      <c r="F1204" s="24"/>
      <c r="G1204" s="24"/>
      <c r="H1204" s="24"/>
      <c r="I1204" s="24"/>
      <c r="J1204" s="3"/>
      <c r="K1204" s="8"/>
      <c r="L1204" s="8"/>
      <c r="M1204" s="8"/>
      <c r="N1204" s="13"/>
      <c r="O1204" s="9"/>
      <c r="P1204" s="20"/>
      <c r="Q1204" s="20"/>
      <c r="R1204" s="20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</row>
    <row r="1205" spans="4:49" ht="15" thickBot="1" x14ac:dyDescent="0.35">
      <c r="D1205" s="2">
        <f t="shared" si="58"/>
        <v>1199</v>
      </c>
      <c r="E1205" s="6">
        <v>4.6490385522945497</v>
      </c>
      <c r="F1205" s="24"/>
      <c r="G1205" s="24"/>
      <c r="H1205" s="24"/>
      <c r="I1205" s="24"/>
      <c r="J1205" s="3"/>
      <c r="K1205" s="8"/>
      <c r="L1205" s="8"/>
      <c r="M1205" s="8"/>
      <c r="N1205" s="13"/>
      <c r="O1205" s="9"/>
      <c r="P1205" s="20"/>
      <c r="Q1205" s="20"/>
      <c r="R1205" s="20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</row>
    <row r="1206" spans="4:49" ht="15" thickBot="1" x14ac:dyDescent="0.35">
      <c r="D1206" s="2">
        <f t="shared" si="58"/>
        <v>1200</v>
      </c>
      <c r="E1206" s="6">
        <v>2.4549548961951224</v>
      </c>
      <c r="F1206" s="24"/>
      <c r="G1206" s="24"/>
      <c r="H1206" s="24"/>
      <c r="I1206" s="24"/>
      <c r="J1206" s="3"/>
      <c r="K1206" s="8"/>
      <c r="L1206" s="8"/>
      <c r="M1206" s="8"/>
      <c r="N1206" s="13"/>
      <c r="O1206" s="9"/>
      <c r="P1206" s="20"/>
      <c r="Q1206" s="20"/>
      <c r="R1206" s="20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</row>
    <row r="1207" spans="4:49" ht="15" thickBot="1" x14ac:dyDescent="0.35">
      <c r="D1207" s="2">
        <f t="shared" si="58"/>
        <v>1201</v>
      </c>
      <c r="E1207" s="6">
        <v>23.061910973050793</v>
      </c>
      <c r="F1207" s="24"/>
      <c r="G1207" s="24"/>
      <c r="H1207" s="24"/>
      <c r="I1207" s="24"/>
      <c r="J1207" s="3"/>
      <c r="K1207" s="8"/>
      <c r="L1207" s="8"/>
      <c r="M1207" s="8"/>
      <c r="N1207" s="13"/>
      <c r="O1207" s="9"/>
      <c r="P1207" s="20"/>
      <c r="Q1207" s="20"/>
      <c r="R1207" s="20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</row>
    <row r="1208" spans="4:49" ht="15" thickBot="1" x14ac:dyDescent="0.35">
      <c r="D1208" s="2">
        <f t="shared" si="58"/>
        <v>1202</v>
      </c>
      <c r="E1208" s="6">
        <v>0.17169568765383664</v>
      </c>
      <c r="F1208" s="24"/>
      <c r="G1208" s="24"/>
      <c r="H1208" s="24"/>
      <c r="I1208" s="24"/>
      <c r="J1208" s="3"/>
      <c r="K1208" s="8"/>
      <c r="L1208" s="8"/>
      <c r="M1208" s="8"/>
      <c r="N1208" s="13"/>
      <c r="O1208" s="9"/>
      <c r="P1208" s="20"/>
      <c r="Q1208" s="20"/>
      <c r="R1208" s="20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</row>
    <row r="1209" spans="4:49" ht="15" thickBot="1" x14ac:dyDescent="0.35">
      <c r="D1209" s="2">
        <f t="shared" si="58"/>
        <v>1203</v>
      </c>
      <c r="E1209" s="6">
        <v>0.5882164537739395</v>
      </c>
      <c r="F1209" s="24"/>
      <c r="G1209" s="24"/>
      <c r="H1209" s="24"/>
      <c r="I1209" s="24"/>
      <c r="J1209" s="3"/>
      <c r="K1209" s="8"/>
      <c r="L1209" s="8"/>
      <c r="M1209" s="8"/>
      <c r="N1209" s="13"/>
      <c r="O1209" s="9"/>
      <c r="P1209" s="20"/>
      <c r="Q1209" s="20"/>
      <c r="R1209" s="20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</row>
    <row r="1210" spans="4:49" ht="15" thickBot="1" x14ac:dyDescent="0.35">
      <c r="D1210" s="2">
        <f t="shared" si="58"/>
        <v>1204</v>
      </c>
      <c r="E1210" s="6">
        <v>1.6618755359336248</v>
      </c>
      <c r="F1210" s="24"/>
      <c r="G1210" s="24"/>
      <c r="H1210" s="24"/>
      <c r="I1210" s="24"/>
      <c r="J1210" s="3"/>
      <c r="K1210" s="8"/>
      <c r="L1210" s="8"/>
      <c r="M1210" s="8"/>
      <c r="N1210" s="13"/>
      <c r="O1210" s="9"/>
      <c r="P1210" s="20"/>
      <c r="Q1210" s="20"/>
      <c r="R1210" s="20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</row>
    <row r="1211" spans="4:49" ht="15" thickBot="1" x14ac:dyDescent="0.35">
      <c r="D1211" s="2">
        <f t="shared" si="58"/>
        <v>1205</v>
      </c>
      <c r="E1211" s="6">
        <v>1.9982006949605318</v>
      </c>
      <c r="F1211" s="24"/>
      <c r="G1211" s="24"/>
      <c r="H1211" s="24"/>
      <c r="I1211" s="24"/>
      <c r="J1211" s="3"/>
      <c r="K1211" s="8"/>
      <c r="L1211" s="8"/>
      <c r="M1211" s="8"/>
      <c r="N1211" s="13"/>
      <c r="O1211" s="9"/>
      <c r="P1211" s="20"/>
      <c r="Q1211" s="20"/>
      <c r="R1211" s="20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</row>
    <row r="1212" spans="4:49" ht="15" thickBot="1" x14ac:dyDescent="0.35">
      <c r="D1212" s="2">
        <f t="shared" si="58"/>
        <v>1206</v>
      </c>
      <c r="E1212" s="6">
        <v>1.0521132242333862</v>
      </c>
      <c r="F1212" s="24"/>
      <c r="G1212" s="24"/>
      <c r="H1212" s="24"/>
      <c r="I1212" s="24"/>
      <c r="J1212" s="3"/>
      <c r="K1212" s="8"/>
      <c r="L1212" s="8"/>
      <c r="M1212" s="8"/>
      <c r="N1212" s="13"/>
      <c r="O1212" s="9"/>
      <c r="P1212" s="20"/>
      <c r="Q1212" s="20"/>
      <c r="R1212" s="20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</row>
    <row r="1213" spans="4:49" ht="15" thickBot="1" x14ac:dyDescent="0.35">
      <c r="D1213" s="2">
        <f t="shared" si="58"/>
        <v>1207</v>
      </c>
      <c r="E1213" s="6">
        <v>1.9274807132095082</v>
      </c>
      <c r="F1213" s="24"/>
      <c r="G1213" s="24"/>
      <c r="H1213" s="24"/>
      <c r="I1213" s="24"/>
      <c r="J1213" s="3"/>
      <c r="K1213" s="8"/>
      <c r="L1213" s="8"/>
      <c r="M1213" s="8"/>
      <c r="N1213" s="13"/>
      <c r="O1213" s="9"/>
      <c r="P1213" s="20"/>
      <c r="Q1213" s="20"/>
      <c r="R1213" s="20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</row>
    <row r="1214" spans="4:49" ht="15" thickBot="1" x14ac:dyDescent="0.35">
      <c r="D1214" s="2">
        <f t="shared" si="58"/>
        <v>1208</v>
      </c>
      <c r="E1214" s="6">
        <v>9.6174102431688926</v>
      </c>
      <c r="F1214" s="24"/>
      <c r="G1214" s="24"/>
      <c r="H1214" s="24"/>
      <c r="I1214" s="24"/>
      <c r="J1214" s="3"/>
      <c r="K1214" s="8"/>
      <c r="L1214" s="8"/>
      <c r="M1214" s="8"/>
      <c r="N1214" s="13"/>
      <c r="O1214" s="9"/>
      <c r="P1214" s="20"/>
      <c r="Q1214" s="20"/>
      <c r="R1214" s="20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</row>
    <row r="1215" spans="4:49" ht="15" thickBot="1" x14ac:dyDescent="0.35">
      <c r="D1215" s="2">
        <f t="shared" si="58"/>
        <v>1209</v>
      </c>
      <c r="E1215" s="6">
        <v>1.6188136927627201</v>
      </c>
      <c r="F1215" s="24"/>
      <c r="G1215" s="24"/>
      <c r="H1215" s="24"/>
      <c r="I1215" s="24"/>
      <c r="J1215" s="3"/>
      <c r="K1215" s="8"/>
      <c r="L1215" s="8"/>
      <c r="M1215" s="8"/>
      <c r="N1215" s="13"/>
      <c r="O1215" s="9"/>
      <c r="P1215" s="20"/>
      <c r="Q1215" s="20"/>
      <c r="R1215" s="20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</row>
    <row r="1216" spans="4:49" ht="15" thickBot="1" x14ac:dyDescent="0.35">
      <c r="D1216" s="2">
        <f t="shared" si="58"/>
        <v>1210</v>
      </c>
      <c r="E1216" s="6">
        <v>5.2917283603099872</v>
      </c>
      <c r="F1216" s="24"/>
      <c r="G1216" s="24"/>
      <c r="H1216" s="24"/>
      <c r="I1216" s="24"/>
      <c r="J1216" s="3"/>
      <c r="K1216" s="8"/>
      <c r="L1216" s="8"/>
      <c r="M1216" s="8"/>
      <c r="N1216" s="13"/>
      <c r="O1216" s="9"/>
      <c r="P1216" s="20"/>
      <c r="Q1216" s="20"/>
      <c r="R1216" s="20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</row>
    <row r="1217" spans="4:49" ht="15" thickBot="1" x14ac:dyDescent="0.35">
      <c r="D1217" s="2">
        <f t="shared" si="58"/>
        <v>1211</v>
      </c>
      <c r="E1217" s="6">
        <v>3.3867732753213118</v>
      </c>
      <c r="F1217" s="24"/>
      <c r="G1217" s="24"/>
      <c r="H1217" s="24"/>
      <c r="I1217" s="24"/>
      <c r="J1217" s="3"/>
      <c r="K1217" s="8"/>
      <c r="L1217" s="8"/>
      <c r="M1217" s="8"/>
      <c r="N1217" s="13"/>
      <c r="O1217" s="9"/>
      <c r="P1217" s="20"/>
      <c r="Q1217" s="20"/>
      <c r="R1217" s="20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</row>
    <row r="1218" spans="4:49" ht="15" thickBot="1" x14ac:dyDescent="0.35">
      <c r="D1218" s="2">
        <f t="shared" si="58"/>
        <v>1212</v>
      </c>
      <c r="E1218" s="6">
        <v>0.9762849500665316</v>
      </c>
      <c r="F1218" s="24"/>
      <c r="G1218" s="24"/>
      <c r="H1218" s="24"/>
      <c r="I1218" s="24"/>
      <c r="J1218" s="3"/>
      <c r="K1218" s="8"/>
      <c r="L1218" s="8"/>
      <c r="M1218" s="8"/>
      <c r="N1218" s="13"/>
      <c r="O1218" s="9"/>
      <c r="P1218" s="20"/>
      <c r="Q1218" s="20"/>
      <c r="R1218" s="20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</row>
    <row r="1219" spans="4:49" ht="15" thickBot="1" x14ac:dyDescent="0.35">
      <c r="D1219" s="2">
        <f t="shared" si="58"/>
        <v>1213</v>
      </c>
      <c r="E1219" s="6">
        <v>0.33803582811788668</v>
      </c>
      <c r="F1219" s="24"/>
      <c r="G1219" s="24"/>
      <c r="H1219" s="24"/>
      <c r="I1219" s="24"/>
      <c r="J1219" s="3"/>
      <c r="K1219" s="8"/>
      <c r="L1219" s="8"/>
      <c r="M1219" s="8"/>
      <c r="N1219" s="13"/>
      <c r="O1219" s="9"/>
      <c r="P1219" s="20"/>
      <c r="Q1219" s="20"/>
      <c r="R1219" s="20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</row>
    <row r="1220" spans="4:49" ht="15" thickBot="1" x14ac:dyDescent="0.35">
      <c r="D1220" s="2">
        <f t="shared" si="58"/>
        <v>1214</v>
      </c>
      <c r="E1220" s="6">
        <v>0.94891366696407586</v>
      </c>
      <c r="F1220" s="24"/>
      <c r="G1220" s="24"/>
      <c r="H1220" s="24"/>
      <c r="I1220" s="24"/>
      <c r="J1220" s="3"/>
      <c r="K1220" s="8"/>
      <c r="L1220" s="8"/>
      <c r="M1220" s="8"/>
      <c r="N1220" s="13"/>
      <c r="O1220" s="9"/>
      <c r="P1220" s="20"/>
      <c r="Q1220" s="20"/>
      <c r="R1220" s="20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</row>
    <row r="1221" spans="4:49" ht="15" thickBot="1" x14ac:dyDescent="0.35">
      <c r="D1221" s="2">
        <f t="shared" si="58"/>
        <v>1215</v>
      </c>
      <c r="E1221" s="6">
        <v>5.7359681878497044</v>
      </c>
      <c r="F1221" s="24"/>
      <c r="G1221" s="24"/>
      <c r="H1221" s="24"/>
      <c r="I1221" s="24"/>
      <c r="J1221" s="3"/>
      <c r="K1221" s="8"/>
      <c r="L1221" s="8"/>
      <c r="M1221" s="8"/>
      <c r="N1221" s="13"/>
      <c r="O1221" s="9"/>
      <c r="P1221" s="20"/>
      <c r="Q1221" s="20"/>
      <c r="R1221" s="20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</row>
    <row r="1222" spans="4:49" ht="15" thickBot="1" x14ac:dyDescent="0.35">
      <c r="D1222" s="2">
        <f t="shared" si="58"/>
        <v>1216</v>
      </c>
      <c r="E1222" s="6">
        <v>0.27572156309709395</v>
      </c>
      <c r="F1222" s="24"/>
      <c r="G1222" s="24"/>
      <c r="H1222" s="24"/>
      <c r="I1222" s="24"/>
      <c r="J1222" s="3"/>
      <c r="K1222" s="8"/>
      <c r="L1222" s="8"/>
      <c r="M1222" s="8"/>
      <c r="N1222" s="13"/>
      <c r="O1222" s="9"/>
      <c r="P1222" s="20"/>
      <c r="Q1222" s="20"/>
      <c r="R1222" s="20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</row>
    <row r="1223" spans="4:49" ht="15" thickBot="1" x14ac:dyDescent="0.35">
      <c r="D1223" s="2">
        <f t="shared" ref="D1223:D1286" si="59">ROW()-6</f>
        <v>1217</v>
      </c>
      <c r="E1223" s="6">
        <v>4.6520188852855888</v>
      </c>
      <c r="F1223" s="24"/>
      <c r="G1223" s="24"/>
      <c r="H1223" s="24"/>
      <c r="I1223" s="24"/>
      <c r="J1223" s="3"/>
      <c r="K1223" s="8"/>
      <c r="L1223" s="8"/>
      <c r="M1223" s="8"/>
      <c r="N1223" s="13"/>
      <c r="O1223" s="9"/>
      <c r="P1223" s="20"/>
      <c r="Q1223" s="20"/>
      <c r="R1223" s="20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</row>
    <row r="1224" spans="4:49" ht="15" thickBot="1" x14ac:dyDescent="0.35">
      <c r="D1224" s="2">
        <f t="shared" si="59"/>
        <v>1218</v>
      </c>
      <c r="E1224" s="6">
        <v>6.2095801168505842</v>
      </c>
      <c r="F1224" s="24"/>
      <c r="G1224" s="24"/>
      <c r="H1224" s="24"/>
      <c r="I1224" s="24"/>
      <c r="J1224" s="3"/>
      <c r="K1224" s="8"/>
      <c r="L1224" s="8"/>
      <c r="M1224" s="8"/>
      <c r="N1224" s="13"/>
      <c r="O1224" s="9"/>
      <c r="P1224" s="20"/>
      <c r="Q1224" s="20"/>
      <c r="R1224" s="20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</row>
    <row r="1225" spans="4:49" ht="15" thickBot="1" x14ac:dyDescent="0.35">
      <c r="D1225" s="2">
        <f t="shared" si="59"/>
        <v>1219</v>
      </c>
      <c r="E1225" s="6">
        <v>2.490525756949149</v>
      </c>
      <c r="F1225" s="24"/>
      <c r="G1225" s="24"/>
      <c r="H1225" s="24"/>
      <c r="I1225" s="24"/>
      <c r="J1225" s="3"/>
      <c r="K1225" s="8"/>
      <c r="L1225" s="8"/>
      <c r="M1225" s="8"/>
      <c r="N1225" s="13"/>
      <c r="O1225" s="9"/>
      <c r="P1225" s="20"/>
      <c r="Q1225" s="20"/>
      <c r="R1225" s="20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</row>
    <row r="1226" spans="4:49" ht="15" thickBot="1" x14ac:dyDescent="0.35">
      <c r="D1226" s="2">
        <f t="shared" si="59"/>
        <v>1220</v>
      </c>
      <c r="E1226" s="6">
        <v>0.59491196613196895</v>
      </c>
      <c r="F1226" s="24"/>
      <c r="G1226" s="24"/>
      <c r="H1226" s="24"/>
      <c r="I1226" s="24"/>
      <c r="J1226" s="3"/>
      <c r="K1226" s="8"/>
      <c r="L1226" s="8"/>
      <c r="M1226" s="8"/>
      <c r="N1226" s="13"/>
      <c r="O1226" s="9"/>
      <c r="P1226" s="20"/>
      <c r="Q1226" s="20"/>
      <c r="R1226" s="20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</row>
    <row r="1227" spans="4:49" ht="15" thickBot="1" x14ac:dyDescent="0.35">
      <c r="D1227" s="2">
        <f t="shared" si="59"/>
        <v>1221</v>
      </c>
      <c r="E1227" s="6">
        <v>5.9604035063586975</v>
      </c>
      <c r="F1227" s="24"/>
      <c r="G1227" s="24"/>
      <c r="H1227" s="24"/>
      <c r="I1227" s="24"/>
      <c r="J1227" s="3"/>
      <c r="K1227" s="8"/>
      <c r="L1227" s="8"/>
      <c r="M1227" s="8"/>
      <c r="N1227" s="13"/>
      <c r="O1227" s="9"/>
      <c r="P1227" s="20"/>
      <c r="Q1227" s="20"/>
      <c r="R1227" s="20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</row>
    <row r="1228" spans="4:49" ht="15" thickBot="1" x14ac:dyDescent="0.35">
      <c r="D1228" s="2">
        <f t="shared" si="59"/>
        <v>1222</v>
      </c>
      <c r="E1228" s="6">
        <v>6.6368662521491659</v>
      </c>
      <c r="F1228" s="24"/>
      <c r="G1228" s="24"/>
      <c r="H1228" s="24"/>
      <c r="I1228" s="24"/>
      <c r="J1228" s="3"/>
      <c r="K1228" s="8"/>
      <c r="L1228" s="8"/>
      <c r="M1228" s="8"/>
      <c r="N1228" s="13"/>
      <c r="O1228" s="9"/>
      <c r="P1228" s="20"/>
      <c r="Q1228" s="20"/>
      <c r="R1228" s="20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</row>
    <row r="1229" spans="4:49" ht="15" thickBot="1" x14ac:dyDescent="0.35">
      <c r="D1229" s="2">
        <f t="shared" si="59"/>
        <v>1223</v>
      </c>
      <c r="E1229" s="6">
        <v>7.5752006159679759</v>
      </c>
      <c r="F1229" s="24"/>
      <c r="G1229" s="24"/>
      <c r="H1229" s="24"/>
      <c r="I1229" s="24"/>
      <c r="J1229" s="3"/>
      <c r="K1229" s="8"/>
      <c r="L1229" s="8"/>
      <c r="M1229" s="8"/>
      <c r="N1229" s="13"/>
      <c r="O1229" s="9"/>
      <c r="P1229" s="20"/>
      <c r="Q1229" s="20"/>
      <c r="R1229" s="20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</row>
    <row r="1230" spans="4:49" ht="15" thickBot="1" x14ac:dyDescent="0.35">
      <c r="D1230" s="2">
        <f t="shared" si="59"/>
        <v>1224</v>
      </c>
      <c r="E1230" s="6">
        <v>4.4141480448240253</v>
      </c>
      <c r="F1230" s="24"/>
      <c r="G1230" s="24"/>
      <c r="H1230" s="24"/>
      <c r="I1230" s="24"/>
      <c r="J1230" s="3"/>
      <c r="K1230" s="8"/>
      <c r="L1230" s="8"/>
      <c r="M1230" s="8"/>
      <c r="N1230" s="13"/>
      <c r="O1230" s="9"/>
      <c r="P1230" s="20"/>
      <c r="Q1230" s="20"/>
      <c r="R1230" s="20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</row>
    <row r="1231" spans="4:49" ht="15" thickBot="1" x14ac:dyDescent="0.35">
      <c r="D1231" s="2">
        <f t="shared" si="59"/>
        <v>1225</v>
      </c>
      <c r="E1231" s="6">
        <v>24.101124566150069</v>
      </c>
      <c r="F1231" s="24"/>
      <c r="G1231" s="24"/>
      <c r="H1231" s="24"/>
      <c r="I1231" s="24"/>
      <c r="J1231" s="3"/>
      <c r="K1231" s="8"/>
      <c r="L1231" s="8"/>
      <c r="M1231" s="8"/>
      <c r="N1231" s="13"/>
      <c r="O1231" s="9"/>
      <c r="P1231" s="20"/>
      <c r="Q1231" s="20"/>
      <c r="R1231" s="20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</row>
    <row r="1232" spans="4:49" ht="15" thickBot="1" x14ac:dyDescent="0.35">
      <c r="D1232" s="2">
        <f t="shared" si="59"/>
        <v>1226</v>
      </c>
      <c r="E1232" s="6">
        <v>4.3649057361373051</v>
      </c>
      <c r="F1232" s="24"/>
      <c r="G1232" s="24"/>
      <c r="H1232" s="24"/>
      <c r="I1232" s="24"/>
      <c r="J1232" s="3"/>
      <c r="K1232" s="8"/>
      <c r="L1232" s="8"/>
      <c r="M1232" s="8"/>
      <c r="N1232" s="13"/>
      <c r="O1232" s="9"/>
      <c r="P1232" s="20"/>
      <c r="Q1232" s="20"/>
      <c r="R1232" s="20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</row>
    <row r="1233" spans="4:49" ht="15" thickBot="1" x14ac:dyDescent="0.35">
      <c r="D1233" s="2">
        <f t="shared" si="59"/>
        <v>1227</v>
      </c>
      <c r="E1233" s="6">
        <v>4.91120311401209</v>
      </c>
      <c r="F1233" s="24"/>
      <c r="G1233" s="24"/>
      <c r="H1233" s="24"/>
      <c r="I1233" s="24"/>
      <c r="J1233" s="3"/>
      <c r="K1233" s="8"/>
      <c r="L1233" s="8"/>
      <c r="M1233" s="8"/>
      <c r="N1233" s="13"/>
      <c r="O1233" s="9"/>
      <c r="P1233" s="20"/>
      <c r="Q1233" s="20"/>
      <c r="R1233" s="20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</row>
    <row r="1234" spans="4:49" ht="15" thickBot="1" x14ac:dyDescent="0.35">
      <c r="D1234" s="2">
        <f t="shared" si="59"/>
        <v>1228</v>
      </c>
      <c r="E1234" s="6">
        <v>6.788164303058962</v>
      </c>
      <c r="F1234" s="24"/>
      <c r="G1234" s="24"/>
      <c r="H1234" s="24"/>
      <c r="I1234" s="24"/>
      <c r="J1234" s="3"/>
      <c r="K1234" s="8"/>
      <c r="L1234" s="8"/>
      <c r="M1234" s="8"/>
      <c r="N1234" s="13"/>
      <c r="O1234" s="9"/>
      <c r="P1234" s="20"/>
      <c r="Q1234" s="20"/>
      <c r="R1234" s="20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</row>
    <row r="1235" spans="4:49" ht="15" thickBot="1" x14ac:dyDescent="0.35">
      <c r="D1235" s="2">
        <f t="shared" si="59"/>
        <v>1229</v>
      </c>
      <c r="E1235" s="6">
        <v>2.7546876250826164</v>
      </c>
      <c r="F1235" s="24"/>
      <c r="G1235" s="24"/>
      <c r="H1235" s="24"/>
      <c r="I1235" s="24"/>
      <c r="J1235" s="3"/>
      <c r="K1235" s="8"/>
      <c r="L1235" s="8"/>
      <c r="M1235" s="8"/>
      <c r="N1235" s="13"/>
      <c r="O1235" s="9"/>
      <c r="P1235" s="20"/>
      <c r="Q1235" s="20"/>
      <c r="R1235" s="20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</row>
    <row r="1236" spans="4:49" ht="15" thickBot="1" x14ac:dyDescent="0.35">
      <c r="D1236" s="2">
        <f t="shared" si="59"/>
        <v>1230</v>
      </c>
      <c r="E1236" s="6">
        <v>0.8520994662624406</v>
      </c>
      <c r="F1236" s="24"/>
      <c r="G1236" s="24"/>
      <c r="H1236" s="24"/>
      <c r="I1236" s="24"/>
      <c r="J1236" s="3"/>
      <c r="K1236" s="8"/>
      <c r="L1236" s="8"/>
      <c r="M1236" s="8"/>
      <c r="N1236" s="13"/>
      <c r="O1236" s="9"/>
      <c r="P1236" s="20"/>
      <c r="Q1236" s="20"/>
      <c r="R1236" s="20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</row>
    <row r="1237" spans="4:49" ht="15" thickBot="1" x14ac:dyDescent="0.35">
      <c r="D1237" s="2">
        <f t="shared" si="59"/>
        <v>1231</v>
      </c>
      <c r="E1237" s="6">
        <v>9.8590508164975308</v>
      </c>
      <c r="F1237" s="24"/>
      <c r="G1237" s="24"/>
      <c r="H1237" s="24"/>
      <c r="I1237" s="24"/>
      <c r="J1237" s="3"/>
      <c r="K1237" s="8"/>
      <c r="L1237" s="8"/>
      <c r="M1237" s="8"/>
      <c r="N1237" s="13"/>
      <c r="O1237" s="9"/>
      <c r="P1237" s="20"/>
      <c r="Q1237" s="20"/>
      <c r="R1237" s="20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</row>
    <row r="1238" spans="4:49" ht="15" thickBot="1" x14ac:dyDescent="0.35">
      <c r="D1238" s="2">
        <f t="shared" si="59"/>
        <v>1232</v>
      </c>
      <c r="E1238" s="6">
        <v>8.4440601505449244</v>
      </c>
      <c r="F1238" s="24"/>
      <c r="G1238" s="24"/>
      <c r="H1238" s="24"/>
      <c r="I1238" s="24"/>
      <c r="J1238" s="3"/>
      <c r="K1238" s="8"/>
      <c r="L1238" s="8"/>
      <c r="M1238" s="8"/>
      <c r="N1238" s="13"/>
      <c r="O1238" s="9"/>
      <c r="P1238" s="20"/>
      <c r="Q1238" s="20"/>
      <c r="R1238" s="20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</row>
    <row r="1239" spans="4:49" ht="15" thickBot="1" x14ac:dyDescent="0.35">
      <c r="D1239" s="2">
        <f t="shared" si="59"/>
        <v>1233</v>
      </c>
      <c r="E1239" s="6">
        <v>1.584691863756752</v>
      </c>
      <c r="F1239" s="24"/>
      <c r="G1239" s="24"/>
      <c r="H1239" s="24"/>
      <c r="I1239" s="24"/>
      <c r="J1239" s="3"/>
      <c r="K1239" s="8"/>
      <c r="L1239" s="8"/>
      <c r="M1239" s="8"/>
      <c r="N1239" s="13"/>
      <c r="O1239" s="9"/>
      <c r="P1239" s="20"/>
      <c r="Q1239" s="20"/>
      <c r="R1239" s="20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</row>
    <row r="1240" spans="4:49" ht="15" thickBot="1" x14ac:dyDescent="0.35">
      <c r="D1240" s="2">
        <f t="shared" si="59"/>
        <v>1234</v>
      </c>
      <c r="E1240" s="6">
        <v>8.5140406890780529</v>
      </c>
      <c r="F1240" s="24"/>
      <c r="G1240" s="24"/>
      <c r="H1240" s="24"/>
      <c r="I1240" s="24"/>
      <c r="J1240" s="3"/>
      <c r="K1240" s="8"/>
      <c r="L1240" s="8"/>
      <c r="M1240" s="8"/>
      <c r="N1240" s="13"/>
      <c r="O1240" s="9"/>
      <c r="P1240" s="20"/>
      <c r="Q1240" s="20"/>
      <c r="R1240" s="20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</row>
    <row r="1241" spans="4:49" ht="15" thickBot="1" x14ac:dyDescent="0.35">
      <c r="D1241" s="2">
        <f t="shared" si="59"/>
        <v>1235</v>
      </c>
      <c r="E1241" s="6">
        <v>1.2015687742908985</v>
      </c>
      <c r="F1241" s="24"/>
      <c r="G1241" s="24"/>
      <c r="H1241" s="24"/>
      <c r="I1241" s="24"/>
      <c r="J1241" s="3"/>
      <c r="K1241" s="8"/>
      <c r="L1241" s="8"/>
      <c r="M1241" s="8"/>
      <c r="N1241" s="13"/>
      <c r="O1241" s="9"/>
      <c r="P1241" s="20"/>
      <c r="Q1241" s="20"/>
      <c r="R1241" s="20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</row>
    <row r="1242" spans="4:49" ht="15" thickBot="1" x14ac:dyDescent="0.35">
      <c r="D1242" s="2">
        <f t="shared" si="59"/>
        <v>1236</v>
      </c>
      <c r="E1242" s="6">
        <v>4.7638467448535264</v>
      </c>
      <c r="F1242" s="24"/>
      <c r="G1242" s="24"/>
      <c r="H1242" s="24"/>
      <c r="I1242" s="24"/>
      <c r="J1242" s="3"/>
      <c r="K1242" s="8"/>
      <c r="L1242" s="8"/>
      <c r="M1242" s="8"/>
      <c r="N1242" s="13"/>
      <c r="O1242" s="9"/>
      <c r="P1242" s="20"/>
      <c r="Q1242" s="20"/>
      <c r="R1242" s="20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</row>
    <row r="1243" spans="4:49" ht="15" thickBot="1" x14ac:dyDescent="0.35">
      <c r="D1243" s="2">
        <f t="shared" si="59"/>
        <v>1237</v>
      </c>
      <c r="E1243" s="6">
        <v>13.475972029353224</v>
      </c>
      <c r="F1243" s="24"/>
      <c r="G1243" s="24"/>
      <c r="H1243" s="24"/>
      <c r="I1243" s="24"/>
      <c r="J1243" s="3"/>
      <c r="K1243" s="8"/>
      <c r="L1243" s="8"/>
      <c r="M1243" s="8"/>
      <c r="N1243" s="13"/>
      <c r="O1243" s="9"/>
      <c r="P1243" s="20"/>
      <c r="Q1243" s="20"/>
      <c r="R1243" s="20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</row>
    <row r="1244" spans="4:49" ht="15" thickBot="1" x14ac:dyDescent="0.35">
      <c r="D1244" s="2">
        <f t="shared" si="59"/>
        <v>1238</v>
      </c>
      <c r="E1244" s="6">
        <v>5.533860535068909</v>
      </c>
      <c r="F1244" s="24"/>
      <c r="G1244" s="24"/>
      <c r="H1244" s="24"/>
      <c r="I1244" s="24"/>
      <c r="J1244" s="3"/>
      <c r="K1244" s="8"/>
      <c r="L1244" s="8"/>
      <c r="M1244" s="8"/>
      <c r="N1244" s="13"/>
      <c r="O1244" s="9"/>
      <c r="P1244" s="20"/>
      <c r="Q1244" s="20"/>
      <c r="R1244" s="20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</row>
    <row r="1245" spans="4:49" ht="15" thickBot="1" x14ac:dyDescent="0.35">
      <c r="D1245" s="2">
        <f t="shared" si="59"/>
        <v>1239</v>
      </c>
      <c r="E1245" s="6">
        <v>0.20244923765914116</v>
      </c>
      <c r="F1245" s="24"/>
      <c r="G1245" s="24"/>
      <c r="H1245" s="24"/>
      <c r="I1245" s="24"/>
      <c r="J1245" s="3"/>
      <c r="K1245" s="8"/>
      <c r="L1245" s="8"/>
      <c r="M1245" s="8"/>
      <c r="N1245" s="13"/>
      <c r="O1245" s="9"/>
      <c r="P1245" s="20"/>
      <c r="Q1245" s="20"/>
      <c r="R1245" s="20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</row>
    <row r="1246" spans="4:49" ht="15" thickBot="1" x14ac:dyDescent="0.35">
      <c r="D1246" s="2">
        <f t="shared" si="59"/>
        <v>1240</v>
      </c>
      <c r="E1246" s="6">
        <v>3.2639999511299673</v>
      </c>
      <c r="F1246" s="24"/>
      <c r="G1246" s="24"/>
      <c r="H1246" s="24"/>
      <c r="I1246" s="24"/>
      <c r="J1246" s="3"/>
      <c r="K1246" s="8"/>
      <c r="L1246" s="8"/>
      <c r="M1246" s="8"/>
      <c r="N1246" s="13"/>
      <c r="O1246" s="9"/>
      <c r="P1246" s="20"/>
      <c r="Q1246" s="20"/>
      <c r="R1246" s="20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</row>
    <row r="1247" spans="4:49" ht="15" thickBot="1" x14ac:dyDescent="0.35">
      <c r="D1247" s="2">
        <f t="shared" si="59"/>
        <v>1241</v>
      </c>
      <c r="E1247" s="6">
        <v>2.8739618982945676</v>
      </c>
      <c r="F1247" s="24"/>
      <c r="G1247" s="24"/>
      <c r="H1247" s="24"/>
      <c r="I1247" s="24"/>
      <c r="J1247" s="3"/>
      <c r="K1247" s="8"/>
      <c r="L1247" s="8"/>
      <c r="M1247" s="8"/>
      <c r="N1247" s="13"/>
      <c r="O1247" s="9"/>
      <c r="P1247" s="20"/>
      <c r="Q1247" s="20"/>
      <c r="R1247" s="20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</row>
    <row r="1248" spans="4:49" ht="15" thickBot="1" x14ac:dyDescent="0.35">
      <c r="D1248" s="2">
        <f t="shared" si="59"/>
        <v>1242</v>
      </c>
      <c r="E1248" s="6">
        <v>6.7256244810965579E-2</v>
      </c>
      <c r="F1248" s="24"/>
      <c r="G1248" s="24"/>
      <c r="H1248" s="24"/>
      <c r="I1248" s="24"/>
      <c r="J1248" s="3"/>
      <c r="K1248" s="8"/>
      <c r="L1248" s="8"/>
      <c r="M1248" s="8"/>
      <c r="N1248" s="13"/>
      <c r="O1248" s="9"/>
      <c r="P1248" s="20"/>
      <c r="Q1248" s="20"/>
      <c r="R1248" s="20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</row>
    <row r="1249" spans="4:49" ht="15" thickBot="1" x14ac:dyDescent="0.35">
      <c r="D1249" s="2">
        <f t="shared" si="59"/>
        <v>1243</v>
      </c>
      <c r="E1249" s="6">
        <v>2.8983270044923852</v>
      </c>
      <c r="F1249" s="24"/>
      <c r="G1249" s="24"/>
      <c r="H1249" s="24"/>
      <c r="I1249" s="24"/>
      <c r="J1249" s="3"/>
      <c r="K1249" s="8"/>
      <c r="L1249" s="8"/>
      <c r="M1249" s="8"/>
      <c r="N1249" s="13"/>
      <c r="O1249" s="9"/>
      <c r="P1249" s="20"/>
      <c r="Q1249" s="20"/>
      <c r="R1249" s="20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</row>
    <row r="1250" spans="4:49" ht="15" thickBot="1" x14ac:dyDescent="0.35">
      <c r="D1250" s="2">
        <f t="shared" si="59"/>
        <v>1244</v>
      </c>
      <c r="E1250" s="6">
        <v>2.40816726174263</v>
      </c>
      <c r="F1250" s="24"/>
      <c r="G1250" s="24"/>
      <c r="H1250" s="24"/>
      <c r="I1250" s="24"/>
      <c r="J1250" s="3"/>
      <c r="K1250" s="8"/>
      <c r="L1250" s="8"/>
      <c r="M1250" s="8"/>
      <c r="N1250" s="13"/>
      <c r="O1250" s="9"/>
      <c r="P1250" s="20"/>
      <c r="Q1250" s="20"/>
      <c r="R1250" s="20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</row>
    <row r="1251" spans="4:49" ht="15" thickBot="1" x14ac:dyDescent="0.35">
      <c r="D1251" s="2">
        <f t="shared" si="59"/>
        <v>1245</v>
      </c>
      <c r="E1251" s="6">
        <v>0.48650082850311804</v>
      </c>
      <c r="F1251" s="24"/>
      <c r="G1251" s="24"/>
      <c r="H1251" s="24"/>
      <c r="I1251" s="24"/>
      <c r="J1251" s="3"/>
      <c r="K1251" s="8"/>
      <c r="L1251" s="8"/>
      <c r="M1251" s="8"/>
      <c r="N1251" s="13"/>
      <c r="O1251" s="9"/>
      <c r="P1251" s="20"/>
      <c r="Q1251" s="20"/>
      <c r="R1251" s="20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</row>
    <row r="1252" spans="4:49" ht="15" thickBot="1" x14ac:dyDescent="0.35">
      <c r="D1252" s="2">
        <f t="shared" si="59"/>
        <v>1246</v>
      </c>
      <c r="E1252" s="6">
        <v>0.91006806839501608</v>
      </c>
      <c r="F1252" s="24"/>
      <c r="G1252" s="24"/>
      <c r="H1252" s="24"/>
      <c r="I1252" s="24"/>
      <c r="J1252" s="3"/>
      <c r="K1252" s="8"/>
      <c r="L1252" s="8"/>
      <c r="M1252" s="8"/>
      <c r="N1252" s="13"/>
      <c r="O1252" s="9"/>
      <c r="P1252" s="20"/>
      <c r="Q1252" s="20"/>
      <c r="R1252" s="20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</row>
    <row r="1253" spans="4:49" ht="15" thickBot="1" x14ac:dyDescent="0.35">
      <c r="D1253" s="2">
        <f t="shared" si="59"/>
        <v>1247</v>
      </c>
      <c r="E1253" s="6">
        <v>1.4479666772370239</v>
      </c>
      <c r="F1253" s="24"/>
      <c r="G1253" s="24"/>
      <c r="H1253" s="24"/>
      <c r="I1253" s="24"/>
      <c r="J1253" s="3"/>
      <c r="K1253" s="8"/>
      <c r="L1253" s="8"/>
      <c r="M1253" s="8"/>
      <c r="N1253" s="13"/>
      <c r="O1253" s="9"/>
      <c r="P1253" s="20"/>
      <c r="Q1253" s="20"/>
      <c r="R1253" s="20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</row>
    <row r="1254" spans="4:49" ht="15" thickBot="1" x14ac:dyDescent="0.35">
      <c r="D1254" s="2">
        <f t="shared" si="59"/>
        <v>1248</v>
      </c>
      <c r="E1254" s="6">
        <v>9.8538215540358145</v>
      </c>
      <c r="F1254" s="24"/>
      <c r="G1254" s="24"/>
      <c r="H1254" s="24"/>
      <c r="I1254" s="24"/>
      <c r="J1254" s="3"/>
      <c r="K1254" s="8"/>
      <c r="L1254" s="8"/>
      <c r="M1254" s="8"/>
      <c r="N1254" s="13"/>
      <c r="O1254" s="9"/>
      <c r="P1254" s="20"/>
      <c r="Q1254" s="20"/>
      <c r="R1254" s="20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</row>
    <row r="1255" spans="4:49" ht="15" thickBot="1" x14ac:dyDescent="0.35">
      <c r="D1255" s="2">
        <f t="shared" si="59"/>
        <v>1249</v>
      </c>
      <c r="E1255" s="6">
        <v>0.57732131944109932</v>
      </c>
      <c r="F1255" s="24"/>
      <c r="G1255" s="24"/>
      <c r="H1255" s="24"/>
      <c r="I1255" s="24"/>
      <c r="J1255" s="3"/>
      <c r="K1255" s="8"/>
      <c r="L1255" s="8"/>
      <c r="M1255" s="8"/>
      <c r="N1255" s="13"/>
      <c r="O1255" s="9"/>
      <c r="P1255" s="20"/>
      <c r="Q1255" s="20"/>
      <c r="R1255" s="20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</row>
    <row r="1256" spans="4:49" ht="15" thickBot="1" x14ac:dyDescent="0.35">
      <c r="D1256" s="2">
        <f t="shared" si="59"/>
        <v>1250</v>
      </c>
      <c r="E1256" s="6">
        <v>5.721874699509061</v>
      </c>
      <c r="F1256" s="24"/>
      <c r="G1256" s="24"/>
      <c r="H1256" s="24"/>
      <c r="I1256" s="24"/>
      <c r="J1256" s="3"/>
      <c r="K1256" s="8"/>
      <c r="L1256" s="8"/>
      <c r="M1256" s="8"/>
      <c r="N1256" s="13"/>
      <c r="O1256" s="9"/>
      <c r="P1256" s="20"/>
      <c r="Q1256" s="20"/>
      <c r="R1256" s="20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</row>
    <row r="1257" spans="4:49" ht="15" thickBot="1" x14ac:dyDescent="0.35">
      <c r="D1257" s="2">
        <f t="shared" si="59"/>
        <v>1251</v>
      </c>
      <c r="E1257" s="6">
        <v>1.0717241167062204</v>
      </c>
      <c r="F1257" s="24"/>
      <c r="G1257" s="24"/>
      <c r="H1257" s="24"/>
      <c r="I1257" s="24"/>
      <c r="J1257" s="3"/>
      <c r="K1257" s="8"/>
      <c r="L1257" s="8"/>
      <c r="M1257" s="8"/>
      <c r="N1257" s="13"/>
      <c r="O1257" s="9"/>
      <c r="P1257" s="20"/>
      <c r="Q1257" s="20"/>
      <c r="R1257" s="20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</row>
    <row r="1258" spans="4:49" ht="15" thickBot="1" x14ac:dyDescent="0.35">
      <c r="D1258" s="2">
        <f t="shared" si="59"/>
        <v>1252</v>
      </c>
      <c r="E1258" s="6">
        <v>0.76582772153751177</v>
      </c>
      <c r="F1258" s="24"/>
      <c r="G1258" s="24"/>
      <c r="H1258" s="24"/>
      <c r="I1258" s="24"/>
      <c r="J1258" s="3"/>
      <c r="K1258" s="8"/>
      <c r="L1258" s="8"/>
      <c r="M1258" s="8"/>
      <c r="N1258" s="13"/>
      <c r="O1258" s="9"/>
      <c r="P1258" s="20"/>
      <c r="Q1258" s="20"/>
      <c r="R1258" s="20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</row>
    <row r="1259" spans="4:49" ht="15" thickBot="1" x14ac:dyDescent="0.35">
      <c r="D1259" s="2">
        <f t="shared" si="59"/>
        <v>1253</v>
      </c>
      <c r="E1259" s="6">
        <v>6.4513429998758856</v>
      </c>
      <c r="F1259" s="24"/>
      <c r="G1259" s="24"/>
      <c r="H1259" s="24"/>
      <c r="I1259" s="24"/>
      <c r="J1259" s="3"/>
      <c r="K1259" s="8"/>
      <c r="L1259" s="8"/>
      <c r="M1259" s="8"/>
      <c r="N1259" s="13"/>
      <c r="O1259" s="9"/>
      <c r="P1259" s="20"/>
      <c r="Q1259" s="20"/>
      <c r="R1259" s="20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</row>
    <row r="1260" spans="4:49" ht="15" thickBot="1" x14ac:dyDescent="0.35">
      <c r="D1260" s="2">
        <f t="shared" si="59"/>
        <v>1254</v>
      </c>
      <c r="E1260" s="6">
        <v>1.0077564220358937</v>
      </c>
      <c r="F1260" s="24"/>
      <c r="G1260" s="24"/>
      <c r="H1260" s="24"/>
      <c r="I1260" s="24"/>
      <c r="J1260" s="3"/>
      <c r="K1260" s="8"/>
      <c r="L1260" s="8"/>
      <c r="M1260" s="8"/>
      <c r="N1260" s="13"/>
      <c r="O1260" s="9"/>
      <c r="P1260" s="20"/>
      <c r="Q1260" s="20"/>
      <c r="R1260" s="20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</row>
    <row r="1261" spans="4:49" ht="15" thickBot="1" x14ac:dyDescent="0.35">
      <c r="D1261" s="2">
        <f t="shared" si="59"/>
        <v>1255</v>
      </c>
      <c r="E1261" s="6">
        <v>6.7617037999372034</v>
      </c>
      <c r="F1261" s="24"/>
      <c r="G1261" s="24"/>
      <c r="H1261" s="24"/>
      <c r="I1261" s="24"/>
      <c r="J1261" s="3"/>
      <c r="K1261" s="8"/>
      <c r="L1261" s="8"/>
      <c r="M1261" s="8"/>
      <c r="N1261" s="13"/>
      <c r="O1261" s="9"/>
      <c r="P1261" s="20"/>
      <c r="Q1261" s="20"/>
      <c r="R1261" s="20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</row>
    <row r="1262" spans="4:49" ht="15" thickBot="1" x14ac:dyDescent="0.35">
      <c r="D1262" s="2">
        <f t="shared" si="59"/>
        <v>1256</v>
      </c>
      <c r="E1262" s="6">
        <v>4.0272719403855284</v>
      </c>
      <c r="F1262" s="24"/>
      <c r="G1262" s="24"/>
      <c r="H1262" s="24"/>
      <c r="I1262" s="24"/>
      <c r="J1262" s="3"/>
      <c r="K1262" s="8"/>
      <c r="L1262" s="8"/>
      <c r="M1262" s="8"/>
      <c r="N1262" s="13"/>
      <c r="O1262" s="9"/>
      <c r="P1262" s="20"/>
      <c r="Q1262" s="20"/>
      <c r="R1262" s="20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</row>
    <row r="1263" spans="4:49" ht="15" thickBot="1" x14ac:dyDescent="0.35">
      <c r="D1263" s="2">
        <f t="shared" si="59"/>
        <v>1257</v>
      </c>
      <c r="E1263" s="6">
        <v>4.4145668134452016</v>
      </c>
      <c r="F1263" s="24"/>
      <c r="G1263" s="24"/>
      <c r="H1263" s="24"/>
      <c r="I1263" s="24"/>
      <c r="J1263" s="3"/>
      <c r="K1263" s="8"/>
      <c r="L1263" s="8"/>
      <c r="M1263" s="8"/>
      <c r="N1263" s="13"/>
      <c r="O1263" s="9"/>
      <c r="P1263" s="20"/>
      <c r="Q1263" s="20"/>
      <c r="R1263" s="20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</row>
    <row r="1264" spans="4:49" ht="15" thickBot="1" x14ac:dyDescent="0.35">
      <c r="D1264" s="2">
        <f t="shared" si="59"/>
        <v>1258</v>
      </c>
      <c r="E1264" s="6">
        <v>16.092262758703001</v>
      </c>
      <c r="F1264" s="24"/>
      <c r="G1264" s="24"/>
      <c r="H1264" s="24"/>
      <c r="I1264" s="24"/>
      <c r="J1264" s="3"/>
      <c r="K1264" s="8"/>
      <c r="L1264" s="8"/>
      <c r="M1264" s="8"/>
      <c r="N1264" s="13"/>
      <c r="O1264" s="9"/>
      <c r="P1264" s="20"/>
      <c r="Q1264" s="20"/>
      <c r="R1264" s="20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</row>
    <row r="1265" spans="4:49" ht="15" thickBot="1" x14ac:dyDescent="0.35">
      <c r="D1265" s="2">
        <f t="shared" si="59"/>
        <v>1259</v>
      </c>
      <c r="E1265" s="6">
        <v>2.942651556483423</v>
      </c>
      <c r="F1265" s="24"/>
      <c r="G1265" s="24"/>
      <c r="H1265" s="24"/>
      <c r="I1265" s="24"/>
      <c r="J1265" s="3"/>
      <c r="K1265" s="8"/>
      <c r="L1265" s="8"/>
      <c r="M1265" s="8"/>
      <c r="N1265" s="13"/>
      <c r="O1265" s="9"/>
      <c r="P1265" s="20"/>
      <c r="Q1265" s="20"/>
      <c r="R1265" s="20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</row>
    <row r="1266" spans="4:49" ht="15" thickBot="1" x14ac:dyDescent="0.35">
      <c r="D1266" s="2">
        <f t="shared" si="59"/>
        <v>1260</v>
      </c>
      <c r="E1266" s="6">
        <v>0.49880504263508069</v>
      </c>
      <c r="F1266" s="24"/>
      <c r="G1266" s="24"/>
      <c r="H1266" s="24"/>
      <c r="I1266" s="24"/>
      <c r="J1266" s="3"/>
      <c r="K1266" s="8"/>
      <c r="L1266" s="8"/>
      <c r="M1266" s="8"/>
      <c r="N1266" s="13"/>
      <c r="O1266" s="9"/>
      <c r="P1266" s="20"/>
      <c r="Q1266" s="20"/>
      <c r="R1266" s="20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</row>
    <row r="1267" spans="4:49" ht="15" thickBot="1" x14ac:dyDescent="0.35">
      <c r="D1267" s="2">
        <f t="shared" si="59"/>
        <v>1261</v>
      </c>
      <c r="E1267" s="6">
        <v>0.30668677852448667</v>
      </c>
      <c r="F1267" s="24"/>
      <c r="G1267" s="24"/>
      <c r="H1267" s="24"/>
      <c r="I1267" s="24"/>
      <c r="J1267" s="3"/>
      <c r="K1267" s="8"/>
      <c r="L1267" s="8"/>
      <c r="M1267" s="8"/>
      <c r="N1267" s="13"/>
      <c r="O1267" s="9"/>
      <c r="P1267" s="20"/>
      <c r="Q1267" s="20"/>
      <c r="R1267" s="20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</row>
    <row r="1268" spans="4:49" ht="15" thickBot="1" x14ac:dyDescent="0.35">
      <c r="D1268" s="2">
        <f t="shared" si="59"/>
        <v>1262</v>
      </c>
      <c r="E1268" s="6">
        <v>1.470963880408183</v>
      </c>
      <c r="F1268" s="24"/>
      <c r="G1268" s="24"/>
      <c r="H1268" s="24"/>
      <c r="I1268" s="24"/>
      <c r="J1268" s="3"/>
      <c r="K1268" s="8"/>
      <c r="L1268" s="8"/>
      <c r="M1268" s="8"/>
      <c r="N1268" s="13"/>
      <c r="O1268" s="9"/>
      <c r="P1268" s="20"/>
      <c r="Q1268" s="20"/>
      <c r="R1268" s="20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</row>
    <row r="1269" spans="4:49" ht="15" thickBot="1" x14ac:dyDescent="0.35">
      <c r="D1269" s="2">
        <f t="shared" si="59"/>
        <v>1263</v>
      </c>
      <c r="E1269" s="6">
        <v>2.5872619989369867</v>
      </c>
      <c r="F1269" s="24"/>
      <c r="G1269" s="24"/>
      <c r="H1269" s="24"/>
      <c r="I1269" s="24"/>
      <c r="J1269" s="3"/>
      <c r="K1269" s="8"/>
      <c r="L1269" s="8"/>
      <c r="M1269" s="8"/>
      <c r="N1269" s="13"/>
      <c r="O1269" s="9"/>
      <c r="P1269" s="20"/>
      <c r="Q1269" s="20"/>
      <c r="R1269" s="20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</row>
    <row r="1270" spans="4:49" ht="15" thickBot="1" x14ac:dyDescent="0.35">
      <c r="D1270" s="2">
        <f t="shared" si="59"/>
        <v>1264</v>
      </c>
      <c r="E1270" s="6">
        <v>6.6196466633596405</v>
      </c>
      <c r="F1270" s="24"/>
      <c r="G1270" s="24"/>
      <c r="H1270" s="24"/>
      <c r="I1270" s="24"/>
      <c r="J1270" s="3"/>
      <c r="K1270" s="8"/>
      <c r="L1270" s="8"/>
      <c r="M1270" s="8"/>
      <c r="N1270" s="13"/>
      <c r="O1270" s="9"/>
      <c r="P1270" s="20"/>
      <c r="Q1270" s="20"/>
      <c r="R1270" s="20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</row>
    <row r="1271" spans="4:49" ht="15" thickBot="1" x14ac:dyDescent="0.35">
      <c r="D1271" s="2">
        <f t="shared" si="59"/>
        <v>1265</v>
      </c>
      <c r="E1271" s="6">
        <v>7.6699321625863899</v>
      </c>
      <c r="F1271" s="24"/>
      <c r="G1271" s="24"/>
      <c r="H1271" s="24"/>
      <c r="I1271" s="24"/>
      <c r="J1271" s="3"/>
      <c r="K1271" s="8"/>
      <c r="L1271" s="8"/>
      <c r="M1271" s="8"/>
      <c r="N1271" s="13"/>
      <c r="O1271" s="9"/>
      <c r="P1271" s="20"/>
      <c r="Q1271" s="20"/>
      <c r="R1271" s="20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</row>
    <row r="1272" spans="4:49" ht="15" thickBot="1" x14ac:dyDescent="0.35">
      <c r="D1272" s="2">
        <f t="shared" si="59"/>
        <v>1266</v>
      </c>
      <c r="E1272" s="6">
        <v>9.0474267736362517</v>
      </c>
      <c r="F1272" s="24"/>
      <c r="G1272" s="24"/>
      <c r="H1272" s="24"/>
      <c r="I1272" s="24"/>
      <c r="J1272" s="3"/>
      <c r="K1272" s="8"/>
      <c r="L1272" s="8"/>
      <c r="M1272" s="8"/>
      <c r="N1272" s="13"/>
      <c r="O1272" s="9"/>
      <c r="P1272" s="20"/>
      <c r="Q1272" s="20"/>
      <c r="R1272" s="20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</row>
    <row r="1273" spans="4:49" ht="15" thickBot="1" x14ac:dyDescent="0.35">
      <c r="D1273" s="2">
        <f t="shared" si="59"/>
        <v>1267</v>
      </c>
      <c r="E1273" s="6">
        <v>4.2188377405289881</v>
      </c>
      <c r="F1273" s="24"/>
      <c r="G1273" s="24"/>
      <c r="H1273" s="24"/>
      <c r="I1273" s="24"/>
      <c r="J1273" s="3"/>
      <c r="K1273" s="8"/>
      <c r="L1273" s="8"/>
      <c r="M1273" s="8"/>
      <c r="N1273" s="13"/>
      <c r="O1273" s="9"/>
      <c r="P1273" s="20"/>
      <c r="Q1273" s="20"/>
      <c r="R1273" s="20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</row>
    <row r="1274" spans="4:49" ht="15" thickBot="1" x14ac:dyDescent="0.35">
      <c r="D1274" s="2">
        <f t="shared" si="59"/>
        <v>1268</v>
      </c>
      <c r="E1274" s="6">
        <v>1.8809784413624531</v>
      </c>
      <c r="F1274" s="24"/>
      <c r="G1274" s="24"/>
      <c r="H1274" s="24"/>
      <c r="I1274" s="24"/>
      <c r="J1274" s="3"/>
      <c r="K1274" s="8"/>
      <c r="L1274" s="8"/>
      <c r="M1274" s="8"/>
      <c r="N1274" s="13"/>
      <c r="O1274" s="9"/>
      <c r="P1274" s="20"/>
      <c r="Q1274" s="20"/>
      <c r="R1274" s="20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</row>
    <row r="1275" spans="4:49" ht="15" thickBot="1" x14ac:dyDescent="0.35">
      <c r="D1275" s="2">
        <f t="shared" si="59"/>
        <v>1269</v>
      </c>
      <c r="E1275" s="6">
        <v>6.4426437562530952</v>
      </c>
      <c r="F1275" s="24"/>
      <c r="G1275" s="24"/>
      <c r="H1275" s="24"/>
      <c r="I1275" s="24"/>
      <c r="J1275" s="3"/>
      <c r="K1275" s="8"/>
      <c r="L1275" s="8"/>
      <c r="M1275" s="8"/>
      <c r="N1275" s="13"/>
      <c r="O1275" s="9"/>
      <c r="P1275" s="20"/>
      <c r="Q1275" s="20"/>
      <c r="R1275" s="20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</row>
    <row r="1276" spans="4:49" ht="15" thickBot="1" x14ac:dyDescent="0.35">
      <c r="D1276" s="2">
        <f t="shared" si="59"/>
        <v>1270</v>
      </c>
      <c r="E1276" s="6">
        <v>4.7295683454711979</v>
      </c>
      <c r="F1276" s="24"/>
      <c r="G1276" s="24"/>
      <c r="H1276" s="24"/>
      <c r="I1276" s="24"/>
      <c r="J1276" s="3"/>
      <c r="K1276" s="8"/>
      <c r="L1276" s="8"/>
      <c r="M1276" s="8"/>
      <c r="N1276" s="13"/>
      <c r="O1276" s="9"/>
      <c r="P1276" s="20"/>
      <c r="Q1276" s="20"/>
      <c r="R1276" s="20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</row>
    <row r="1277" spans="4:49" ht="15" thickBot="1" x14ac:dyDescent="0.35">
      <c r="D1277" s="2">
        <f t="shared" si="59"/>
        <v>1271</v>
      </c>
      <c r="E1277" s="6">
        <v>1.1396120949760813E-2</v>
      </c>
      <c r="F1277" s="24"/>
      <c r="G1277" s="24"/>
      <c r="H1277" s="24"/>
      <c r="I1277" s="24"/>
      <c r="J1277" s="3"/>
      <c r="K1277" s="8"/>
      <c r="L1277" s="8"/>
      <c r="M1277" s="8"/>
      <c r="N1277" s="13"/>
      <c r="O1277" s="9"/>
      <c r="P1277" s="20"/>
      <c r="Q1277" s="20"/>
      <c r="R1277" s="20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</row>
    <row r="1278" spans="4:49" ht="15" thickBot="1" x14ac:dyDescent="0.35">
      <c r="D1278" s="2">
        <f t="shared" si="59"/>
        <v>1272</v>
      </c>
      <c r="E1278" s="6">
        <v>2.4467669635395621</v>
      </c>
      <c r="F1278" s="24"/>
      <c r="G1278" s="24"/>
      <c r="H1278" s="24"/>
      <c r="I1278" s="24"/>
      <c r="J1278" s="3"/>
      <c r="K1278" s="8"/>
      <c r="L1278" s="8"/>
      <c r="M1278" s="8"/>
      <c r="N1278" s="13"/>
      <c r="O1278" s="9"/>
      <c r="P1278" s="20"/>
      <c r="Q1278" s="20"/>
      <c r="R1278" s="20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</row>
    <row r="1279" spans="4:49" ht="15" thickBot="1" x14ac:dyDescent="0.35">
      <c r="D1279" s="2">
        <f t="shared" si="59"/>
        <v>1273</v>
      </c>
      <c r="E1279" s="6">
        <v>13.248786837705914</v>
      </c>
      <c r="F1279" s="24"/>
      <c r="G1279" s="24"/>
      <c r="H1279" s="24"/>
      <c r="I1279" s="24"/>
      <c r="J1279" s="3"/>
      <c r="K1279" s="8"/>
      <c r="L1279" s="8"/>
      <c r="M1279" s="8"/>
      <c r="N1279" s="13"/>
      <c r="O1279" s="9"/>
      <c r="P1279" s="20"/>
      <c r="Q1279" s="20"/>
      <c r="R1279" s="20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</row>
    <row r="1280" spans="4:49" ht="15" thickBot="1" x14ac:dyDescent="0.35">
      <c r="D1280" s="2">
        <f t="shared" si="59"/>
        <v>1274</v>
      </c>
      <c r="E1280" s="6">
        <v>3.3016632391325552E-3</v>
      </c>
      <c r="F1280" s="24"/>
      <c r="G1280" s="24"/>
      <c r="H1280" s="24"/>
      <c r="I1280" s="24"/>
      <c r="J1280" s="3"/>
      <c r="K1280" s="8"/>
      <c r="L1280" s="8"/>
      <c r="M1280" s="8"/>
      <c r="N1280" s="13"/>
      <c r="O1280" s="9"/>
      <c r="P1280" s="20"/>
      <c r="Q1280" s="20"/>
      <c r="R1280" s="20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</row>
    <row r="1281" spans="4:49" ht="15" thickBot="1" x14ac:dyDescent="0.35">
      <c r="D1281" s="2">
        <f t="shared" si="59"/>
        <v>1275</v>
      </c>
      <c r="E1281" s="6">
        <v>0.75133005681329623</v>
      </c>
      <c r="F1281" s="24"/>
      <c r="G1281" s="24"/>
      <c r="H1281" s="24"/>
      <c r="I1281" s="24"/>
      <c r="J1281" s="3"/>
      <c r="K1281" s="8"/>
      <c r="L1281" s="8"/>
      <c r="M1281" s="8"/>
      <c r="N1281" s="13"/>
      <c r="O1281" s="9"/>
      <c r="P1281" s="20"/>
      <c r="Q1281" s="20"/>
      <c r="R1281" s="20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</row>
    <row r="1282" spans="4:49" ht="15" thickBot="1" x14ac:dyDescent="0.35">
      <c r="D1282" s="2">
        <f t="shared" si="59"/>
        <v>1276</v>
      </c>
      <c r="E1282" s="6">
        <v>0.85094785305946008</v>
      </c>
      <c r="F1282" s="24"/>
      <c r="G1282" s="24"/>
      <c r="H1282" s="24"/>
      <c r="I1282" s="24"/>
      <c r="J1282" s="3"/>
      <c r="K1282" s="8"/>
      <c r="L1282" s="8"/>
      <c r="M1282" s="8"/>
      <c r="N1282" s="13"/>
      <c r="O1282" s="9"/>
      <c r="P1282" s="20"/>
      <c r="Q1282" s="20"/>
      <c r="R1282" s="20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</row>
    <row r="1283" spans="4:49" ht="15" thickBot="1" x14ac:dyDescent="0.35">
      <c r="D1283" s="2">
        <f t="shared" si="59"/>
        <v>1277</v>
      </c>
      <c r="E1283" s="6">
        <v>2.3148030462302618</v>
      </c>
      <c r="F1283" s="24"/>
      <c r="G1283" s="24"/>
      <c r="H1283" s="24"/>
      <c r="I1283" s="24"/>
      <c r="J1283" s="3"/>
      <c r="K1283" s="8"/>
      <c r="L1283" s="8"/>
      <c r="M1283" s="8"/>
      <c r="N1283" s="13"/>
      <c r="O1283" s="9"/>
      <c r="P1283" s="20"/>
      <c r="Q1283" s="20"/>
      <c r="R1283" s="20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</row>
    <row r="1284" spans="4:49" ht="15" thickBot="1" x14ac:dyDescent="0.35">
      <c r="D1284" s="2">
        <f t="shared" si="59"/>
        <v>1278</v>
      </c>
      <c r="E1284" s="6">
        <v>1.6167359868024096</v>
      </c>
      <c r="F1284" s="24"/>
      <c r="G1284" s="24"/>
      <c r="H1284" s="24"/>
      <c r="I1284" s="24"/>
      <c r="J1284" s="3"/>
      <c r="K1284" s="8"/>
      <c r="L1284" s="8"/>
      <c r="M1284" s="8"/>
      <c r="N1284" s="13"/>
      <c r="O1284" s="9"/>
      <c r="P1284" s="20"/>
      <c r="Q1284" s="20"/>
      <c r="R1284" s="20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</row>
    <row r="1285" spans="4:49" ht="15" thickBot="1" x14ac:dyDescent="0.35">
      <c r="D1285" s="2">
        <f t="shared" si="59"/>
        <v>1279</v>
      </c>
      <c r="E1285" s="6">
        <v>5.5913464709783849</v>
      </c>
      <c r="F1285" s="24"/>
      <c r="G1285" s="24"/>
      <c r="H1285" s="24"/>
      <c r="I1285" s="24"/>
      <c r="J1285" s="3"/>
      <c r="K1285" s="8"/>
      <c r="L1285" s="8"/>
      <c r="M1285" s="8"/>
      <c r="N1285" s="13"/>
      <c r="O1285" s="9"/>
      <c r="P1285" s="20"/>
      <c r="Q1285" s="20"/>
      <c r="R1285" s="20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</row>
    <row r="1286" spans="4:49" ht="15" thickBot="1" x14ac:dyDescent="0.35">
      <c r="D1286" s="2">
        <f t="shared" si="59"/>
        <v>1280</v>
      </c>
      <c r="E1286" s="6">
        <v>2.3544150232687513</v>
      </c>
      <c r="F1286" s="24"/>
      <c r="G1286" s="24"/>
      <c r="H1286" s="24"/>
      <c r="I1286" s="24"/>
      <c r="J1286" s="3"/>
      <c r="K1286" s="8"/>
      <c r="L1286" s="8"/>
      <c r="M1286" s="8"/>
      <c r="N1286" s="13"/>
      <c r="O1286" s="9"/>
      <c r="P1286" s="20"/>
      <c r="Q1286" s="20"/>
      <c r="R1286" s="20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</row>
    <row r="1287" spans="4:49" ht="15" thickBot="1" x14ac:dyDescent="0.35">
      <c r="D1287" s="2">
        <f t="shared" ref="D1287:D1350" si="60">ROW()-6</f>
        <v>1281</v>
      </c>
      <c r="E1287" s="6">
        <v>1.7483083628513705</v>
      </c>
      <c r="F1287" s="24"/>
      <c r="G1287" s="24"/>
      <c r="H1287" s="24"/>
      <c r="I1287" s="24"/>
      <c r="J1287" s="3"/>
      <c r="K1287" s="8"/>
      <c r="L1287" s="8"/>
      <c r="M1287" s="8"/>
      <c r="N1287" s="13"/>
      <c r="O1287" s="9"/>
      <c r="P1287" s="20"/>
      <c r="Q1287" s="20"/>
      <c r="R1287" s="20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</row>
    <row r="1288" spans="4:49" ht="15" thickBot="1" x14ac:dyDescent="0.35">
      <c r="D1288" s="2">
        <f t="shared" si="60"/>
        <v>1282</v>
      </c>
      <c r="E1288" s="6">
        <v>0.83870702147952303</v>
      </c>
      <c r="F1288" s="24"/>
      <c r="G1288" s="24"/>
      <c r="H1288" s="24"/>
      <c r="I1288" s="24"/>
      <c r="J1288" s="3"/>
      <c r="K1288" s="8"/>
      <c r="L1288" s="8"/>
      <c r="M1288" s="8"/>
      <c r="N1288" s="13"/>
      <c r="O1288" s="9"/>
      <c r="P1288" s="20"/>
      <c r="Q1288" s="20"/>
      <c r="R1288" s="20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</row>
    <row r="1289" spans="4:49" ht="15" thickBot="1" x14ac:dyDescent="0.35">
      <c r="D1289" s="2">
        <f t="shared" si="60"/>
        <v>1283</v>
      </c>
      <c r="E1289" s="6">
        <v>2.6705939323237371</v>
      </c>
      <c r="F1289" s="24"/>
      <c r="G1289" s="24"/>
      <c r="H1289" s="24"/>
      <c r="I1289" s="24"/>
      <c r="J1289" s="3"/>
      <c r="K1289" s="8"/>
      <c r="L1289" s="8"/>
      <c r="M1289" s="8"/>
      <c r="N1289" s="13"/>
      <c r="O1289" s="9"/>
      <c r="P1289" s="20"/>
      <c r="Q1289" s="20"/>
      <c r="R1289" s="20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</row>
    <row r="1290" spans="4:49" ht="15" thickBot="1" x14ac:dyDescent="0.35">
      <c r="D1290" s="2">
        <f t="shared" si="60"/>
        <v>1284</v>
      </c>
      <c r="E1290" s="6">
        <v>5.3013211993038558</v>
      </c>
      <c r="F1290" s="24"/>
      <c r="G1290" s="24"/>
      <c r="H1290" s="24"/>
      <c r="I1290" s="24"/>
      <c r="J1290" s="3"/>
      <c r="K1290" s="8"/>
      <c r="L1290" s="8"/>
      <c r="M1290" s="8"/>
      <c r="N1290" s="13"/>
      <c r="O1290" s="9"/>
      <c r="P1290" s="20"/>
      <c r="Q1290" s="20"/>
      <c r="R1290" s="20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</row>
    <row r="1291" spans="4:49" ht="15" thickBot="1" x14ac:dyDescent="0.35">
      <c r="D1291" s="2">
        <f t="shared" si="60"/>
        <v>1285</v>
      </c>
      <c r="E1291" s="6">
        <v>3.8283611572510563</v>
      </c>
      <c r="F1291" s="24"/>
      <c r="G1291" s="24"/>
      <c r="H1291" s="24"/>
      <c r="I1291" s="24"/>
      <c r="J1291" s="3"/>
      <c r="K1291" s="8"/>
      <c r="L1291" s="8"/>
      <c r="M1291" s="8"/>
      <c r="N1291" s="13"/>
      <c r="O1291" s="9"/>
      <c r="P1291" s="20"/>
      <c r="Q1291" s="20"/>
      <c r="R1291" s="20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</row>
    <row r="1292" spans="4:49" ht="15" thickBot="1" x14ac:dyDescent="0.35">
      <c r="D1292" s="2">
        <f t="shared" si="60"/>
        <v>1286</v>
      </c>
      <c r="E1292" s="6">
        <v>0.35809458347188627</v>
      </c>
      <c r="F1292" s="24"/>
      <c r="G1292" s="24"/>
      <c r="H1292" s="24"/>
      <c r="I1292" s="24"/>
      <c r="J1292" s="3"/>
      <c r="K1292" s="8"/>
      <c r="L1292" s="8"/>
      <c r="M1292" s="8"/>
      <c r="N1292" s="13"/>
      <c r="O1292" s="9"/>
      <c r="P1292" s="20"/>
      <c r="Q1292" s="20"/>
      <c r="R1292" s="20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</row>
    <row r="1293" spans="4:49" ht="15" thickBot="1" x14ac:dyDescent="0.35">
      <c r="D1293" s="2">
        <f t="shared" si="60"/>
        <v>1287</v>
      </c>
      <c r="E1293" s="6">
        <v>10.527064325313185</v>
      </c>
      <c r="F1293" s="24"/>
      <c r="G1293" s="24"/>
      <c r="H1293" s="24"/>
      <c r="I1293" s="24"/>
      <c r="J1293" s="3"/>
      <c r="K1293" s="8"/>
      <c r="L1293" s="8"/>
      <c r="M1293" s="8"/>
      <c r="N1293" s="13"/>
      <c r="O1293" s="9"/>
      <c r="P1293" s="20"/>
      <c r="Q1293" s="20"/>
      <c r="R1293" s="20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</row>
    <row r="1294" spans="4:49" ht="15" thickBot="1" x14ac:dyDescent="0.35">
      <c r="D1294" s="2">
        <f t="shared" si="60"/>
        <v>1288</v>
      </c>
      <c r="E1294" s="6">
        <v>0.78284269812004825</v>
      </c>
      <c r="F1294" s="24"/>
      <c r="G1294" s="24"/>
      <c r="H1294" s="24"/>
      <c r="I1294" s="24"/>
      <c r="J1294" s="3"/>
      <c r="K1294" s="8"/>
      <c r="L1294" s="8"/>
      <c r="M1294" s="8"/>
      <c r="N1294" s="13"/>
      <c r="O1294" s="9"/>
      <c r="P1294" s="20"/>
      <c r="Q1294" s="20"/>
      <c r="R1294" s="20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</row>
    <row r="1295" spans="4:49" ht="15" thickBot="1" x14ac:dyDescent="0.35">
      <c r="D1295" s="2">
        <f t="shared" si="60"/>
        <v>1289</v>
      </c>
      <c r="E1295" s="6">
        <v>0.27749215099843677</v>
      </c>
      <c r="F1295" s="24"/>
      <c r="G1295" s="24"/>
      <c r="H1295" s="24"/>
      <c r="I1295" s="24"/>
      <c r="J1295" s="3"/>
      <c r="K1295" s="8"/>
      <c r="L1295" s="8"/>
      <c r="M1295" s="8"/>
      <c r="N1295" s="13"/>
      <c r="O1295" s="9"/>
      <c r="P1295" s="20"/>
      <c r="Q1295" s="20"/>
      <c r="R1295" s="20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</row>
    <row r="1296" spans="4:49" ht="15" thickBot="1" x14ac:dyDescent="0.35">
      <c r="D1296" s="2">
        <f t="shared" si="60"/>
        <v>1290</v>
      </c>
      <c r="E1296" s="6">
        <v>5.6550158477490378</v>
      </c>
      <c r="F1296" s="24"/>
      <c r="G1296" s="24"/>
      <c r="H1296" s="24"/>
      <c r="I1296" s="24"/>
      <c r="J1296" s="3"/>
      <c r="K1296" s="8"/>
      <c r="L1296" s="8"/>
      <c r="M1296" s="8"/>
      <c r="N1296" s="13"/>
      <c r="O1296" s="9"/>
      <c r="P1296" s="20"/>
      <c r="Q1296" s="20"/>
      <c r="R1296" s="20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</row>
    <row r="1297" spans="4:49" ht="15" thickBot="1" x14ac:dyDescent="0.35">
      <c r="D1297" s="2">
        <f t="shared" si="60"/>
        <v>1291</v>
      </c>
      <c r="E1297" s="6">
        <v>1.8226824693642749</v>
      </c>
      <c r="F1297" s="24"/>
      <c r="G1297" s="24"/>
      <c r="H1297" s="24"/>
      <c r="I1297" s="24"/>
      <c r="J1297" s="3"/>
      <c r="K1297" s="8"/>
      <c r="L1297" s="8"/>
      <c r="M1297" s="8"/>
      <c r="N1297" s="13"/>
      <c r="O1297" s="9"/>
      <c r="P1297" s="20"/>
      <c r="Q1297" s="20"/>
      <c r="R1297" s="20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</row>
    <row r="1298" spans="4:49" ht="15" thickBot="1" x14ac:dyDescent="0.35">
      <c r="D1298" s="2">
        <f t="shared" si="60"/>
        <v>1292</v>
      </c>
      <c r="E1298" s="6">
        <v>0.65855256834314746</v>
      </c>
      <c r="F1298" s="24"/>
      <c r="G1298" s="24"/>
      <c r="H1298" s="24"/>
      <c r="I1298" s="24"/>
      <c r="J1298" s="3"/>
      <c r="K1298" s="8"/>
      <c r="L1298" s="8"/>
      <c r="M1298" s="8"/>
      <c r="N1298" s="13"/>
      <c r="O1298" s="9"/>
      <c r="P1298" s="20"/>
      <c r="Q1298" s="20"/>
      <c r="R1298" s="20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</row>
    <row r="1299" spans="4:49" ht="15" thickBot="1" x14ac:dyDescent="0.35">
      <c r="D1299" s="2">
        <f t="shared" si="60"/>
        <v>1293</v>
      </c>
      <c r="E1299" s="6">
        <v>7.5042343868718095</v>
      </c>
      <c r="F1299" s="24"/>
      <c r="G1299" s="24"/>
      <c r="H1299" s="24"/>
      <c r="I1299" s="24"/>
      <c r="J1299" s="3"/>
      <c r="K1299" s="8"/>
      <c r="L1299" s="8"/>
      <c r="M1299" s="8"/>
      <c r="N1299" s="13"/>
      <c r="O1299" s="9"/>
      <c r="P1299" s="20"/>
      <c r="Q1299" s="20"/>
      <c r="R1299" s="20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</row>
    <row r="1300" spans="4:49" ht="15" thickBot="1" x14ac:dyDescent="0.35">
      <c r="D1300" s="2">
        <f t="shared" si="60"/>
        <v>1294</v>
      </c>
      <c r="E1300" s="6">
        <v>0.2252635817286103</v>
      </c>
      <c r="F1300" s="24"/>
      <c r="G1300" s="24"/>
      <c r="H1300" s="24"/>
      <c r="I1300" s="24"/>
      <c r="J1300" s="3"/>
      <c r="K1300" s="8"/>
      <c r="L1300" s="8"/>
      <c r="M1300" s="8"/>
      <c r="N1300" s="13"/>
      <c r="O1300" s="9"/>
      <c r="P1300" s="20"/>
      <c r="Q1300" s="20"/>
      <c r="R1300" s="20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</row>
    <row r="1301" spans="4:49" ht="15" thickBot="1" x14ac:dyDescent="0.35">
      <c r="D1301" s="2">
        <f t="shared" si="60"/>
        <v>1295</v>
      </c>
      <c r="E1301" s="6">
        <v>6.9615018930223922</v>
      </c>
      <c r="F1301" s="24"/>
      <c r="G1301" s="24"/>
      <c r="H1301" s="24"/>
      <c r="I1301" s="24"/>
      <c r="J1301" s="3"/>
      <c r="K1301" s="8"/>
      <c r="L1301" s="8"/>
      <c r="M1301" s="8"/>
      <c r="N1301" s="13"/>
      <c r="O1301" s="9"/>
      <c r="P1301" s="20"/>
      <c r="Q1301" s="20"/>
      <c r="R1301" s="20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</row>
    <row r="1302" spans="4:49" ht="15" thickBot="1" x14ac:dyDescent="0.35">
      <c r="D1302" s="2">
        <f t="shared" si="60"/>
        <v>1296</v>
      </c>
      <c r="E1302" s="6">
        <v>2.1039975666266351</v>
      </c>
      <c r="F1302" s="24"/>
      <c r="G1302" s="24"/>
      <c r="H1302" s="24"/>
      <c r="I1302" s="24"/>
      <c r="J1302" s="3"/>
      <c r="K1302" s="8"/>
      <c r="L1302" s="8"/>
      <c r="M1302" s="8"/>
      <c r="N1302" s="13"/>
      <c r="O1302" s="9"/>
      <c r="P1302" s="20"/>
      <c r="Q1302" s="20"/>
      <c r="R1302" s="20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</row>
    <row r="1303" spans="4:49" ht="15" thickBot="1" x14ac:dyDescent="0.35">
      <c r="D1303" s="2">
        <f t="shared" si="60"/>
        <v>1297</v>
      </c>
      <c r="E1303" s="6">
        <v>1.2909971881649041</v>
      </c>
      <c r="F1303" s="24"/>
      <c r="G1303" s="24"/>
      <c r="H1303" s="24"/>
      <c r="I1303" s="24"/>
      <c r="J1303" s="3"/>
      <c r="K1303" s="8"/>
      <c r="L1303" s="8"/>
      <c r="M1303" s="8"/>
      <c r="N1303" s="13"/>
      <c r="O1303" s="9"/>
      <c r="P1303" s="20"/>
      <c r="Q1303" s="20"/>
      <c r="R1303" s="20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</row>
    <row r="1304" spans="4:49" ht="15" thickBot="1" x14ac:dyDescent="0.35">
      <c r="D1304" s="2">
        <f t="shared" si="60"/>
        <v>1298</v>
      </c>
      <c r="E1304" s="6">
        <v>1.6284846341337249</v>
      </c>
      <c r="F1304" s="24"/>
      <c r="G1304" s="24"/>
      <c r="H1304" s="24"/>
      <c r="I1304" s="24"/>
      <c r="J1304" s="3"/>
      <c r="K1304" s="8"/>
      <c r="L1304" s="8"/>
      <c r="M1304" s="8"/>
      <c r="N1304" s="13"/>
      <c r="O1304" s="9"/>
      <c r="P1304" s="20"/>
      <c r="Q1304" s="20"/>
      <c r="R1304" s="20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</row>
    <row r="1305" spans="4:49" ht="15" thickBot="1" x14ac:dyDescent="0.35">
      <c r="D1305" s="2">
        <f t="shared" si="60"/>
        <v>1299</v>
      </c>
      <c r="E1305" s="6">
        <v>10.72415657308456</v>
      </c>
      <c r="F1305" s="24"/>
      <c r="G1305" s="24"/>
      <c r="H1305" s="24"/>
      <c r="I1305" s="24"/>
      <c r="J1305" s="3"/>
      <c r="K1305" s="8"/>
      <c r="L1305" s="8"/>
      <c r="M1305" s="8"/>
      <c r="N1305" s="13"/>
      <c r="O1305" s="9"/>
      <c r="P1305" s="20"/>
      <c r="Q1305" s="20"/>
      <c r="R1305" s="20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</row>
    <row r="1306" spans="4:49" ht="15" thickBot="1" x14ac:dyDescent="0.35">
      <c r="D1306" s="2">
        <f t="shared" si="60"/>
        <v>1300</v>
      </c>
      <c r="E1306" s="6">
        <v>3.595878710481748</v>
      </c>
      <c r="F1306" s="24"/>
      <c r="G1306" s="24"/>
      <c r="H1306" s="24"/>
      <c r="I1306" s="24"/>
      <c r="J1306" s="3"/>
      <c r="K1306" s="8"/>
      <c r="L1306" s="8"/>
      <c r="M1306" s="8"/>
      <c r="N1306" s="13"/>
      <c r="O1306" s="9"/>
      <c r="P1306" s="20"/>
      <c r="Q1306" s="20"/>
      <c r="R1306" s="20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</row>
    <row r="1307" spans="4:49" ht="15" thickBot="1" x14ac:dyDescent="0.35">
      <c r="D1307" s="2">
        <f t="shared" si="60"/>
        <v>1301</v>
      </c>
      <c r="E1307" s="6">
        <v>3.2634813069620754</v>
      </c>
      <c r="F1307" s="24"/>
      <c r="G1307" s="24"/>
      <c r="H1307" s="24"/>
      <c r="I1307" s="24"/>
      <c r="J1307" s="3"/>
      <c r="K1307" s="8"/>
      <c r="L1307" s="8"/>
      <c r="M1307" s="8"/>
      <c r="N1307" s="13"/>
      <c r="O1307" s="9"/>
      <c r="P1307" s="20"/>
      <c r="Q1307" s="20"/>
      <c r="R1307" s="20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</row>
    <row r="1308" spans="4:49" ht="15" thickBot="1" x14ac:dyDescent="0.35">
      <c r="D1308" s="2">
        <f t="shared" si="60"/>
        <v>1302</v>
      </c>
      <c r="E1308" s="6">
        <v>1.0001016728217542</v>
      </c>
      <c r="F1308" s="24"/>
      <c r="G1308" s="24"/>
      <c r="H1308" s="24"/>
      <c r="I1308" s="24"/>
      <c r="J1308" s="3"/>
      <c r="K1308" s="8"/>
      <c r="L1308" s="8"/>
      <c r="M1308" s="8"/>
      <c r="N1308" s="13"/>
      <c r="O1308" s="9"/>
      <c r="P1308" s="20"/>
      <c r="Q1308" s="20"/>
      <c r="R1308" s="20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</row>
    <row r="1309" spans="4:49" ht="15" thickBot="1" x14ac:dyDescent="0.35">
      <c r="D1309" s="2">
        <f t="shared" si="60"/>
        <v>1303</v>
      </c>
      <c r="E1309" s="6">
        <v>1.2146291323160099</v>
      </c>
      <c r="F1309" s="24"/>
      <c r="G1309" s="24"/>
      <c r="H1309" s="24"/>
      <c r="I1309" s="24"/>
      <c r="J1309" s="3"/>
      <c r="K1309" s="8"/>
      <c r="L1309" s="8"/>
      <c r="M1309" s="8"/>
      <c r="N1309" s="13"/>
      <c r="O1309" s="9"/>
      <c r="P1309" s="20"/>
      <c r="Q1309" s="20"/>
      <c r="R1309" s="20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</row>
    <row r="1310" spans="4:49" ht="15" thickBot="1" x14ac:dyDescent="0.35">
      <c r="D1310" s="2">
        <f t="shared" si="60"/>
        <v>1304</v>
      </c>
      <c r="E1310" s="6">
        <v>7.9230543628246757</v>
      </c>
      <c r="F1310" s="24"/>
      <c r="G1310" s="24"/>
      <c r="H1310" s="24"/>
      <c r="I1310" s="24"/>
      <c r="J1310" s="3"/>
      <c r="K1310" s="8"/>
      <c r="L1310" s="8"/>
      <c r="M1310" s="8"/>
      <c r="N1310" s="13"/>
      <c r="O1310" s="9"/>
      <c r="P1310" s="20"/>
      <c r="Q1310" s="20"/>
      <c r="R1310" s="20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</row>
    <row r="1311" spans="4:49" ht="15" thickBot="1" x14ac:dyDescent="0.35">
      <c r="D1311" s="2">
        <f t="shared" si="60"/>
        <v>1305</v>
      </c>
      <c r="E1311" s="6">
        <v>3.2464679854584775</v>
      </c>
      <c r="F1311" s="24"/>
      <c r="G1311" s="24"/>
      <c r="H1311" s="24"/>
      <c r="I1311" s="24"/>
      <c r="J1311" s="3"/>
      <c r="K1311" s="8"/>
      <c r="L1311" s="8"/>
      <c r="M1311" s="8"/>
      <c r="N1311" s="13"/>
      <c r="O1311" s="9"/>
      <c r="P1311" s="20"/>
      <c r="Q1311" s="20"/>
      <c r="R1311" s="20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</row>
    <row r="1312" spans="4:49" ht="15" thickBot="1" x14ac:dyDescent="0.35">
      <c r="D1312" s="2">
        <f t="shared" si="60"/>
        <v>1306</v>
      </c>
      <c r="E1312" s="6">
        <v>1.0989723463604122</v>
      </c>
      <c r="F1312" s="24"/>
      <c r="G1312" s="24"/>
      <c r="H1312" s="24"/>
      <c r="I1312" s="24"/>
      <c r="J1312" s="3"/>
      <c r="K1312" s="8"/>
      <c r="L1312" s="8"/>
      <c r="M1312" s="8"/>
      <c r="N1312" s="13"/>
      <c r="O1312" s="9"/>
      <c r="P1312" s="20"/>
      <c r="Q1312" s="20"/>
      <c r="R1312" s="20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</row>
    <row r="1313" spans="4:49" ht="15" thickBot="1" x14ac:dyDescent="0.35">
      <c r="D1313" s="2">
        <f t="shared" si="60"/>
        <v>1307</v>
      </c>
      <c r="E1313" s="6">
        <v>1.670051028044228</v>
      </c>
      <c r="F1313" s="24"/>
      <c r="G1313" s="24"/>
      <c r="H1313" s="24"/>
      <c r="I1313" s="24"/>
      <c r="J1313" s="3"/>
      <c r="K1313" s="8"/>
      <c r="L1313" s="8"/>
      <c r="M1313" s="8"/>
      <c r="N1313" s="13"/>
      <c r="O1313" s="9"/>
      <c r="P1313" s="20"/>
      <c r="Q1313" s="20"/>
      <c r="R1313" s="20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</row>
    <row r="1314" spans="4:49" ht="15" thickBot="1" x14ac:dyDescent="0.35">
      <c r="D1314" s="2">
        <f t="shared" si="60"/>
        <v>1308</v>
      </c>
      <c r="E1314" s="6">
        <v>1.3974828670668902</v>
      </c>
      <c r="F1314" s="24"/>
      <c r="G1314" s="24"/>
      <c r="H1314" s="24"/>
      <c r="I1314" s="24"/>
      <c r="J1314" s="3"/>
      <c r="K1314" s="8"/>
      <c r="L1314" s="8"/>
      <c r="M1314" s="8"/>
      <c r="N1314" s="13"/>
      <c r="O1314" s="9"/>
      <c r="P1314" s="20"/>
      <c r="Q1314" s="20"/>
      <c r="R1314" s="20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</row>
    <row r="1315" spans="4:49" ht="15" thickBot="1" x14ac:dyDescent="0.35">
      <c r="D1315" s="2">
        <f t="shared" si="60"/>
        <v>1309</v>
      </c>
      <c r="E1315" s="6">
        <v>0.10648300145540936</v>
      </c>
      <c r="F1315" s="24"/>
      <c r="G1315" s="24"/>
      <c r="H1315" s="24"/>
      <c r="I1315" s="24"/>
      <c r="J1315" s="3"/>
      <c r="K1315" s="8"/>
      <c r="L1315" s="8"/>
      <c r="M1315" s="8"/>
      <c r="N1315" s="13"/>
      <c r="O1315" s="9"/>
      <c r="P1315" s="20"/>
      <c r="Q1315" s="20"/>
      <c r="R1315" s="20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</row>
    <row r="1316" spans="4:49" ht="15" thickBot="1" x14ac:dyDescent="0.35">
      <c r="D1316" s="2">
        <f t="shared" si="60"/>
        <v>1310</v>
      </c>
      <c r="E1316" s="6">
        <v>4.9769289905016265</v>
      </c>
      <c r="F1316" s="24"/>
      <c r="G1316" s="24"/>
      <c r="H1316" s="24"/>
      <c r="I1316" s="24"/>
      <c r="J1316" s="3"/>
      <c r="K1316" s="8"/>
      <c r="L1316" s="8"/>
      <c r="M1316" s="8"/>
      <c r="N1316" s="13"/>
      <c r="O1316" s="9"/>
      <c r="P1316" s="20"/>
      <c r="Q1316" s="20"/>
      <c r="R1316" s="20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</row>
    <row r="1317" spans="4:49" ht="15" thickBot="1" x14ac:dyDescent="0.35">
      <c r="D1317" s="2">
        <f t="shared" si="60"/>
        <v>1311</v>
      </c>
      <c r="E1317" s="6">
        <v>3.4134573563406816</v>
      </c>
      <c r="F1317" s="24"/>
      <c r="G1317" s="24"/>
      <c r="H1317" s="24"/>
      <c r="I1317" s="24"/>
      <c r="J1317" s="3"/>
      <c r="K1317" s="8"/>
      <c r="L1317" s="8"/>
      <c r="M1317" s="8"/>
      <c r="N1317" s="13"/>
      <c r="O1317" s="9"/>
      <c r="P1317" s="20"/>
      <c r="Q1317" s="20"/>
      <c r="R1317" s="20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</row>
    <row r="1318" spans="4:49" ht="15" thickBot="1" x14ac:dyDescent="0.35">
      <c r="D1318" s="2">
        <f t="shared" si="60"/>
        <v>1312</v>
      </c>
      <c r="E1318" s="6">
        <v>1.3890890577775168</v>
      </c>
      <c r="F1318" s="24"/>
      <c r="G1318" s="24"/>
      <c r="H1318" s="24"/>
      <c r="I1318" s="24"/>
      <c r="J1318" s="3"/>
      <c r="K1318" s="8"/>
      <c r="L1318" s="8"/>
      <c r="M1318" s="8"/>
      <c r="N1318" s="13"/>
      <c r="O1318" s="9"/>
      <c r="P1318" s="20"/>
      <c r="Q1318" s="20"/>
      <c r="R1318" s="20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</row>
    <row r="1319" spans="4:49" ht="15" thickBot="1" x14ac:dyDescent="0.35">
      <c r="D1319" s="2">
        <f t="shared" si="60"/>
        <v>1313</v>
      </c>
      <c r="E1319" s="6">
        <v>22.533616374531253</v>
      </c>
      <c r="F1319" s="24"/>
      <c r="G1319" s="24"/>
      <c r="H1319" s="24"/>
      <c r="I1319" s="24"/>
      <c r="J1319" s="3"/>
      <c r="K1319" s="8"/>
      <c r="L1319" s="8"/>
      <c r="M1319" s="8"/>
      <c r="N1319" s="13"/>
      <c r="O1319" s="9"/>
      <c r="P1319" s="20"/>
      <c r="Q1319" s="20"/>
      <c r="R1319" s="20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</row>
    <row r="1320" spans="4:49" ht="15" thickBot="1" x14ac:dyDescent="0.35">
      <c r="D1320" s="2">
        <f t="shared" si="60"/>
        <v>1314</v>
      </c>
      <c r="E1320" s="6">
        <v>0.90630432824958929</v>
      </c>
      <c r="F1320" s="24"/>
      <c r="G1320" s="24"/>
      <c r="H1320" s="24"/>
      <c r="I1320" s="24"/>
      <c r="J1320" s="3"/>
      <c r="K1320" s="8"/>
      <c r="L1320" s="8"/>
      <c r="M1320" s="8"/>
      <c r="N1320" s="13"/>
      <c r="O1320" s="9"/>
      <c r="P1320" s="20"/>
      <c r="Q1320" s="20"/>
      <c r="R1320" s="20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</row>
    <row r="1321" spans="4:49" ht="15" thickBot="1" x14ac:dyDescent="0.35">
      <c r="D1321" s="2">
        <f t="shared" si="60"/>
        <v>1315</v>
      </c>
      <c r="E1321" s="6">
        <v>2.5045600636965486</v>
      </c>
      <c r="F1321" s="24"/>
      <c r="G1321" s="24"/>
      <c r="H1321" s="24"/>
      <c r="I1321" s="24"/>
      <c r="J1321" s="3"/>
      <c r="K1321" s="8"/>
      <c r="L1321" s="8"/>
      <c r="M1321" s="8"/>
      <c r="N1321" s="13"/>
      <c r="O1321" s="9"/>
      <c r="P1321" s="20"/>
      <c r="Q1321" s="20"/>
      <c r="R1321" s="20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</row>
    <row r="1322" spans="4:49" ht="15" thickBot="1" x14ac:dyDescent="0.35">
      <c r="D1322" s="2">
        <f t="shared" si="60"/>
        <v>1316</v>
      </c>
      <c r="E1322" s="6">
        <v>3.1223559310795399</v>
      </c>
      <c r="F1322" s="24"/>
      <c r="G1322" s="24"/>
      <c r="H1322" s="24"/>
      <c r="I1322" s="24"/>
      <c r="J1322" s="3"/>
      <c r="K1322" s="8"/>
      <c r="L1322" s="8"/>
      <c r="M1322" s="8"/>
      <c r="N1322" s="13"/>
      <c r="O1322" s="9"/>
      <c r="P1322" s="20"/>
      <c r="Q1322" s="20"/>
      <c r="R1322" s="20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</row>
    <row r="1323" spans="4:49" ht="15" thickBot="1" x14ac:dyDescent="0.35">
      <c r="D1323" s="2">
        <f t="shared" si="60"/>
        <v>1317</v>
      </c>
      <c r="E1323" s="6">
        <v>0.19260739980668587</v>
      </c>
      <c r="F1323" s="24"/>
      <c r="G1323" s="24"/>
      <c r="H1323" s="24"/>
      <c r="I1323" s="24"/>
      <c r="J1323" s="3"/>
      <c r="K1323" s="8"/>
      <c r="L1323" s="8"/>
      <c r="M1323" s="8"/>
      <c r="N1323" s="13"/>
      <c r="O1323" s="9"/>
      <c r="P1323" s="20"/>
      <c r="Q1323" s="20"/>
      <c r="R1323" s="20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</row>
    <row r="1324" spans="4:49" ht="15" thickBot="1" x14ac:dyDescent="0.35">
      <c r="D1324" s="2">
        <f t="shared" si="60"/>
        <v>1318</v>
      </c>
      <c r="E1324" s="6">
        <v>1.0081262890411766</v>
      </c>
      <c r="F1324" s="24"/>
      <c r="G1324" s="24"/>
      <c r="H1324" s="24"/>
      <c r="I1324" s="24"/>
      <c r="J1324" s="3"/>
      <c r="K1324" s="8"/>
      <c r="L1324" s="8"/>
      <c r="M1324" s="8"/>
      <c r="N1324" s="13"/>
      <c r="O1324" s="9"/>
      <c r="P1324" s="20"/>
      <c r="Q1324" s="20"/>
      <c r="R1324" s="20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</row>
    <row r="1325" spans="4:49" ht="15" thickBot="1" x14ac:dyDescent="0.35">
      <c r="D1325" s="2">
        <f t="shared" si="60"/>
        <v>1319</v>
      </c>
      <c r="E1325" s="6">
        <v>8.9969227337741167</v>
      </c>
      <c r="F1325" s="24"/>
      <c r="G1325" s="24"/>
      <c r="H1325" s="24"/>
      <c r="I1325" s="24"/>
      <c r="J1325" s="3"/>
      <c r="K1325" s="8"/>
      <c r="L1325" s="8"/>
      <c r="M1325" s="8"/>
      <c r="N1325" s="13"/>
      <c r="O1325" s="9"/>
      <c r="P1325" s="20"/>
      <c r="Q1325" s="20"/>
      <c r="R1325" s="20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</row>
    <row r="1326" spans="4:49" ht="15" thickBot="1" x14ac:dyDescent="0.35">
      <c r="D1326" s="2">
        <f t="shared" si="60"/>
        <v>1320</v>
      </c>
      <c r="E1326" s="6">
        <v>16.578598314387371</v>
      </c>
      <c r="F1326" s="24"/>
      <c r="G1326" s="24"/>
      <c r="H1326" s="24"/>
      <c r="I1326" s="24"/>
      <c r="J1326" s="3"/>
      <c r="K1326" s="8"/>
      <c r="L1326" s="8"/>
      <c r="M1326" s="8"/>
      <c r="N1326" s="13"/>
      <c r="O1326" s="9"/>
      <c r="P1326" s="20"/>
      <c r="Q1326" s="20"/>
      <c r="R1326" s="20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</row>
    <row r="1327" spans="4:49" ht="15" thickBot="1" x14ac:dyDescent="0.35">
      <c r="D1327" s="2">
        <f t="shared" si="60"/>
        <v>1321</v>
      </c>
      <c r="E1327" s="6">
        <v>10.53853053408813</v>
      </c>
      <c r="F1327" s="24"/>
      <c r="G1327" s="24"/>
      <c r="H1327" s="24"/>
      <c r="I1327" s="24"/>
      <c r="J1327" s="3"/>
      <c r="K1327" s="8"/>
      <c r="L1327" s="8"/>
      <c r="M1327" s="8"/>
      <c r="N1327" s="13"/>
      <c r="O1327" s="9"/>
      <c r="P1327" s="20"/>
      <c r="Q1327" s="20"/>
      <c r="R1327" s="20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</row>
    <row r="1328" spans="4:49" ht="15" thickBot="1" x14ac:dyDescent="0.35">
      <c r="D1328" s="2">
        <f t="shared" si="60"/>
        <v>1322</v>
      </c>
      <c r="E1328" s="6">
        <v>6.8414513030378412</v>
      </c>
      <c r="F1328" s="24"/>
      <c r="G1328" s="24"/>
      <c r="H1328" s="24"/>
      <c r="I1328" s="24"/>
      <c r="J1328" s="3"/>
      <c r="K1328" s="8"/>
      <c r="L1328" s="8"/>
      <c r="M1328" s="8"/>
      <c r="N1328" s="13"/>
      <c r="O1328" s="9"/>
      <c r="P1328" s="20"/>
      <c r="Q1328" s="20"/>
      <c r="R1328" s="20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</row>
    <row r="1329" spans="4:49" ht="15" thickBot="1" x14ac:dyDescent="0.35">
      <c r="D1329" s="2">
        <f t="shared" si="60"/>
        <v>1323</v>
      </c>
      <c r="E1329" s="6">
        <v>1.9984217358691205</v>
      </c>
      <c r="F1329" s="24"/>
      <c r="G1329" s="24"/>
      <c r="H1329" s="24"/>
      <c r="I1329" s="24"/>
      <c r="J1329" s="3"/>
      <c r="K1329" s="8"/>
      <c r="L1329" s="8"/>
      <c r="M1329" s="8"/>
      <c r="N1329" s="13"/>
      <c r="O1329" s="9"/>
      <c r="P1329" s="20"/>
      <c r="Q1329" s="20"/>
      <c r="R1329" s="20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</row>
    <row r="1330" spans="4:49" ht="15" thickBot="1" x14ac:dyDescent="0.35">
      <c r="D1330" s="2">
        <f t="shared" si="60"/>
        <v>1324</v>
      </c>
      <c r="E1330" s="6">
        <v>17.063933149135643</v>
      </c>
      <c r="F1330" s="24"/>
      <c r="G1330" s="24"/>
      <c r="H1330" s="24"/>
      <c r="I1330" s="24"/>
      <c r="J1330" s="3"/>
      <c r="K1330" s="8"/>
      <c r="L1330" s="8"/>
      <c r="M1330" s="8"/>
      <c r="N1330" s="13"/>
      <c r="O1330" s="9"/>
      <c r="P1330" s="20"/>
      <c r="Q1330" s="20"/>
      <c r="R1330" s="20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</row>
    <row r="1331" spans="4:49" ht="15" thickBot="1" x14ac:dyDescent="0.35">
      <c r="D1331" s="2">
        <f t="shared" si="60"/>
        <v>1325</v>
      </c>
      <c r="E1331" s="6">
        <v>1.5200506233155953</v>
      </c>
      <c r="F1331" s="24"/>
      <c r="G1331" s="24"/>
      <c r="H1331" s="24"/>
      <c r="I1331" s="24"/>
      <c r="J1331" s="3"/>
      <c r="K1331" s="8"/>
      <c r="L1331" s="8"/>
      <c r="M1331" s="8"/>
      <c r="N1331" s="13"/>
      <c r="O1331" s="9"/>
      <c r="P1331" s="20"/>
      <c r="Q1331" s="20"/>
      <c r="R1331" s="20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</row>
    <row r="1332" spans="4:49" ht="15" thickBot="1" x14ac:dyDescent="0.35">
      <c r="D1332" s="2">
        <f t="shared" si="60"/>
        <v>1326</v>
      </c>
      <c r="E1332" s="6">
        <v>9.4012803471108537</v>
      </c>
      <c r="F1332" s="24"/>
      <c r="G1332" s="24"/>
      <c r="H1332" s="24"/>
      <c r="I1332" s="24"/>
      <c r="J1332" s="3"/>
      <c r="K1332" s="8"/>
      <c r="L1332" s="8"/>
      <c r="M1332" s="8"/>
      <c r="N1332" s="13"/>
      <c r="O1332" s="9"/>
      <c r="P1332" s="20"/>
      <c r="Q1332" s="20"/>
      <c r="R1332" s="20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</row>
    <row r="1333" spans="4:49" ht="15" thickBot="1" x14ac:dyDescent="0.35">
      <c r="D1333" s="2">
        <f t="shared" si="60"/>
        <v>1327</v>
      </c>
      <c r="E1333" s="6">
        <v>0.22463796783821563</v>
      </c>
      <c r="F1333" s="24"/>
      <c r="G1333" s="24"/>
      <c r="H1333" s="24"/>
      <c r="I1333" s="24"/>
      <c r="J1333" s="3"/>
      <c r="K1333" s="8"/>
      <c r="L1333" s="8"/>
      <c r="M1333" s="8"/>
      <c r="N1333" s="13"/>
      <c r="O1333" s="9"/>
      <c r="P1333" s="20"/>
      <c r="Q1333" s="20"/>
      <c r="R1333" s="20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</row>
    <row r="1334" spans="4:49" ht="15" thickBot="1" x14ac:dyDescent="0.35">
      <c r="D1334" s="2">
        <f t="shared" si="60"/>
        <v>1328</v>
      </c>
      <c r="E1334" s="6">
        <v>0.17547123007951498</v>
      </c>
      <c r="F1334" s="24"/>
      <c r="G1334" s="24"/>
      <c r="H1334" s="24"/>
      <c r="I1334" s="24"/>
      <c r="J1334" s="3"/>
      <c r="K1334" s="8"/>
      <c r="L1334" s="8"/>
      <c r="M1334" s="8"/>
      <c r="N1334" s="13"/>
      <c r="O1334" s="9"/>
      <c r="P1334" s="20"/>
      <c r="Q1334" s="20"/>
      <c r="R1334" s="20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</row>
    <row r="1335" spans="4:49" ht="15" thickBot="1" x14ac:dyDescent="0.35">
      <c r="D1335" s="2">
        <f t="shared" si="60"/>
        <v>1329</v>
      </c>
      <c r="E1335" s="6">
        <v>1.3182079237608797</v>
      </c>
      <c r="F1335" s="24"/>
      <c r="G1335" s="24"/>
      <c r="H1335" s="24"/>
      <c r="I1335" s="24"/>
      <c r="J1335" s="3"/>
      <c r="K1335" s="8"/>
      <c r="L1335" s="8"/>
      <c r="M1335" s="8"/>
      <c r="N1335" s="13"/>
      <c r="O1335" s="9"/>
      <c r="P1335" s="20"/>
      <c r="Q1335" s="20"/>
      <c r="R1335" s="20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</row>
    <row r="1336" spans="4:49" ht="15" thickBot="1" x14ac:dyDescent="0.35">
      <c r="D1336" s="2">
        <f t="shared" si="60"/>
        <v>1330</v>
      </c>
      <c r="E1336" s="6">
        <v>2.0163483140827627</v>
      </c>
      <c r="F1336" s="24"/>
      <c r="G1336" s="24"/>
      <c r="H1336" s="24"/>
      <c r="I1336" s="24"/>
      <c r="J1336" s="3"/>
      <c r="K1336" s="8"/>
      <c r="L1336" s="8"/>
      <c r="M1336" s="8"/>
      <c r="N1336" s="13"/>
      <c r="O1336" s="9"/>
      <c r="P1336" s="20"/>
      <c r="Q1336" s="20"/>
      <c r="R1336" s="20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</row>
    <row r="1337" spans="4:49" ht="15" thickBot="1" x14ac:dyDescent="0.35">
      <c r="D1337" s="2">
        <f t="shared" si="60"/>
        <v>1331</v>
      </c>
      <c r="E1337" s="6">
        <v>1.0354413129945663</v>
      </c>
      <c r="F1337" s="24"/>
      <c r="G1337" s="24"/>
      <c r="H1337" s="24"/>
      <c r="I1337" s="24"/>
      <c r="J1337" s="3"/>
      <c r="K1337" s="8"/>
      <c r="L1337" s="8"/>
      <c r="M1337" s="8"/>
      <c r="N1337" s="13"/>
      <c r="O1337" s="9"/>
      <c r="P1337" s="20"/>
      <c r="Q1337" s="20"/>
      <c r="R1337" s="20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</row>
    <row r="1338" spans="4:49" ht="15" thickBot="1" x14ac:dyDescent="0.35">
      <c r="D1338" s="2">
        <f t="shared" si="60"/>
        <v>1332</v>
      </c>
      <c r="E1338" s="6">
        <v>7.1774614258327629</v>
      </c>
      <c r="F1338" s="24"/>
      <c r="G1338" s="24"/>
      <c r="H1338" s="24"/>
      <c r="I1338" s="24"/>
      <c r="J1338" s="3"/>
      <c r="K1338" s="8"/>
      <c r="L1338" s="8"/>
      <c r="M1338" s="8"/>
      <c r="N1338" s="13"/>
      <c r="O1338" s="9"/>
      <c r="P1338" s="20"/>
      <c r="Q1338" s="20"/>
      <c r="R1338" s="20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</row>
    <row r="1339" spans="4:49" ht="15" thickBot="1" x14ac:dyDescent="0.35">
      <c r="D1339" s="2">
        <f t="shared" si="60"/>
        <v>1333</v>
      </c>
      <c r="E1339" s="6">
        <v>4.2504675497444122</v>
      </c>
      <c r="F1339" s="24"/>
      <c r="G1339" s="24"/>
      <c r="H1339" s="24"/>
      <c r="I1339" s="24"/>
      <c r="J1339" s="3"/>
      <c r="K1339" s="8"/>
      <c r="L1339" s="8"/>
      <c r="M1339" s="8"/>
      <c r="N1339" s="13"/>
      <c r="O1339" s="9"/>
      <c r="P1339" s="20"/>
      <c r="Q1339" s="20"/>
      <c r="R1339" s="20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</row>
    <row r="1340" spans="4:49" ht="15" thickBot="1" x14ac:dyDescent="0.35">
      <c r="D1340" s="2">
        <f t="shared" si="60"/>
        <v>1334</v>
      </c>
      <c r="E1340" s="6">
        <v>1.8012027771707664</v>
      </c>
      <c r="F1340" s="24"/>
      <c r="G1340" s="24"/>
      <c r="H1340" s="24"/>
      <c r="I1340" s="24"/>
      <c r="J1340" s="3"/>
      <c r="K1340" s="8"/>
      <c r="L1340" s="8"/>
      <c r="M1340" s="8"/>
      <c r="N1340" s="13"/>
      <c r="O1340" s="9"/>
      <c r="P1340" s="20"/>
      <c r="Q1340" s="20"/>
      <c r="R1340" s="20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</row>
    <row r="1341" spans="4:49" ht="15" thickBot="1" x14ac:dyDescent="0.35">
      <c r="D1341" s="2">
        <f t="shared" si="60"/>
        <v>1335</v>
      </c>
      <c r="E1341" s="6">
        <v>1.9306375766503567</v>
      </c>
      <c r="F1341" s="24"/>
      <c r="G1341" s="24"/>
      <c r="H1341" s="24"/>
      <c r="I1341" s="24"/>
      <c r="J1341" s="3"/>
      <c r="K1341" s="8"/>
      <c r="L1341" s="8"/>
      <c r="M1341" s="8"/>
      <c r="N1341" s="13"/>
      <c r="O1341" s="9"/>
      <c r="P1341" s="20"/>
      <c r="Q1341" s="20"/>
      <c r="R1341" s="20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</row>
    <row r="1342" spans="4:49" ht="15" thickBot="1" x14ac:dyDescent="0.35">
      <c r="D1342" s="2">
        <f t="shared" si="60"/>
        <v>1336</v>
      </c>
      <c r="E1342" s="6">
        <v>0.7363507624624166</v>
      </c>
      <c r="F1342" s="24"/>
      <c r="G1342" s="24"/>
      <c r="H1342" s="24"/>
      <c r="I1342" s="24"/>
      <c r="J1342" s="3"/>
      <c r="K1342" s="8"/>
      <c r="L1342" s="8"/>
      <c r="M1342" s="8"/>
      <c r="N1342" s="13"/>
      <c r="O1342" s="9"/>
      <c r="P1342" s="20"/>
      <c r="Q1342" s="20"/>
      <c r="R1342" s="20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</row>
    <row r="1343" spans="4:49" ht="15" thickBot="1" x14ac:dyDescent="0.35">
      <c r="D1343" s="2">
        <f t="shared" si="60"/>
        <v>1337</v>
      </c>
      <c r="E1343" s="6">
        <v>2.6649390439484004</v>
      </c>
      <c r="F1343" s="24"/>
      <c r="G1343" s="24"/>
      <c r="H1343" s="24"/>
      <c r="I1343" s="24"/>
      <c r="J1343" s="3"/>
      <c r="K1343" s="8"/>
      <c r="L1343" s="8"/>
      <c r="M1343" s="8"/>
      <c r="N1343" s="13"/>
      <c r="O1343" s="9"/>
      <c r="P1343" s="20"/>
      <c r="Q1343" s="20"/>
      <c r="R1343" s="20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</row>
    <row r="1344" spans="4:49" ht="15" thickBot="1" x14ac:dyDescent="0.35">
      <c r="D1344" s="2">
        <f t="shared" si="60"/>
        <v>1338</v>
      </c>
      <c r="E1344" s="6">
        <v>5.5448858581309759</v>
      </c>
      <c r="F1344" s="24"/>
      <c r="G1344" s="24"/>
      <c r="H1344" s="24"/>
      <c r="I1344" s="24"/>
      <c r="J1344" s="3"/>
      <c r="K1344" s="8"/>
      <c r="L1344" s="8"/>
      <c r="M1344" s="8"/>
      <c r="N1344" s="13"/>
      <c r="O1344" s="9"/>
      <c r="P1344" s="20"/>
      <c r="Q1344" s="20"/>
      <c r="R1344" s="20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</row>
    <row r="1345" spans="4:49" ht="15" thickBot="1" x14ac:dyDescent="0.35">
      <c r="D1345" s="2">
        <f t="shared" si="60"/>
        <v>1339</v>
      </c>
      <c r="E1345" s="6">
        <v>4.4818120237034185</v>
      </c>
      <c r="F1345" s="24"/>
      <c r="G1345" s="24"/>
      <c r="H1345" s="24"/>
      <c r="I1345" s="24"/>
      <c r="J1345" s="3"/>
      <c r="K1345" s="8"/>
      <c r="L1345" s="8"/>
      <c r="M1345" s="8"/>
      <c r="N1345" s="13"/>
      <c r="O1345" s="9"/>
      <c r="P1345" s="20"/>
      <c r="Q1345" s="20"/>
      <c r="R1345" s="20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</row>
    <row r="1346" spans="4:49" ht="15" thickBot="1" x14ac:dyDescent="0.35">
      <c r="D1346" s="2">
        <f t="shared" si="60"/>
        <v>1340</v>
      </c>
      <c r="E1346" s="6">
        <v>4.3984069279893658</v>
      </c>
      <c r="F1346" s="24"/>
      <c r="G1346" s="24"/>
      <c r="H1346" s="24"/>
      <c r="I1346" s="24"/>
      <c r="J1346" s="3"/>
      <c r="K1346" s="8"/>
      <c r="L1346" s="8"/>
      <c r="M1346" s="8"/>
      <c r="N1346" s="13"/>
      <c r="O1346" s="9"/>
      <c r="P1346" s="20"/>
      <c r="Q1346" s="20"/>
      <c r="R1346" s="20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</row>
    <row r="1347" spans="4:49" ht="15" thickBot="1" x14ac:dyDescent="0.35">
      <c r="D1347" s="2">
        <f t="shared" si="60"/>
        <v>1341</v>
      </c>
      <c r="E1347" s="6">
        <v>2.8068598805033345</v>
      </c>
      <c r="F1347" s="24"/>
      <c r="G1347" s="24"/>
      <c r="H1347" s="24"/>
      <c r="I1347" s="24"/>
      <c r="J1347" s="3"/>
      <c r="K1347" s="8"/>
      <c r="L1347" s="8"/>
      <c r="M1347" s="8"/>
      <c r="N1347" s="13"/>
      <c r="O1347" s="9"/>
      <c r="P1347" s="20"/>
      <c r="Q1347" s="20"/>
      <c r="R1347" s="20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</row>
    <row r="1348" spans="4:49" ht="15" thickBot="1" x14ac:dyDescent="0.35">
      <c r="D1348" s="2">
        <f t="shared" si="60"/>
        <v>1342</v>
      </c>
      <c r="E1348" s="6">
        <v>0.99723979579073607</v>
      </c>
      <c r="F1348" s="24"/>
      <c r="G1348" s="24"/>
      <c r="H1348" s="24"/>
      <c r="I1348" s="24"/>
      <c r="J1348" s="3"/>
      <c r="K1348" s="8"/>
      <c r="L1348" s="8"/>
      <c r="M1348" s="8"/>
      <c r="N1348" s="13"/>
      <c r="O1348" s="9"/>
      <c r="P1348" s="20"/>
      <c r="Q1348" s="20"/>
      <c r="R1348" s="20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</row>
    <row r="1349" spans="4:49" ht="15" thickBot="1" x14ac:dyDescent="0.35">
      <c r="D1349" s="2">
        <f t="shared" si="60"/>
        <v>1343</v>
      </c>
      <c r="E1349" s="6">
        <v>10.479549044135608</v>
      </c>
      <c r="F1349" s="24"/>
      <c r="G1349" s="24"/>
      <c r="H1349" s="24"/>
      <c r="I1349" s="24"/>
      <c r="J1349" s="3"/>
      <c r="K1349" s="8"/>
      <c r="L1349" s="8"/>
      <c r="M1349" s="8"/>
      <c r="N1349" s="13"/>
      <c r="O1349" s="9"/>
      <c r="P1349" s="20"/>
      <c r="Q1349" s="20"/>
      <c r="R1349" s="20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</row>
    <row r="1350" spans="4:49" ht="15" thickBot="1" x14ac:dyDescent="0.35">
      <c r="D1350" s="2">
        <f t="shared" si="60"/>
        <v>1344</v>
      </c>
      <c r="E1350" s="6">
        <v>7.9592652642874615</v>
      </c>
      <c r="F1350" s="24"/>
      <c r="G1350" s="24"/>
      <c r="H1350" s="24"/>
      <c r="I1350" s="24"/>
      <c r="J1350" s="3"/>
      <c r="K1350" s="8"/>
      <c r="L1350" s="8"/>
      <c r="M1350" s="8"/>
      <c r="N1350" s="13"/>
      <c r="O1350" s="9"/>
      <c r="P1350" s="20"/>
      <c r="Q1350" s="20"/>
      <c r="R1350" s="20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</row>
    <row r="1351" spans="4:49" ht="15" thickBot="1" x14ac:dyDescent="0.35">
      <c r="D1351" s="2">
        <f t="shared" ref="D1351:D1414" si="61">ROW()-6</f>
        <v>1345</v>
      </c>
      <c r="E1351" s="6">
        <v>0.3524108830219515</v>
      </c>
      <c r="F1351" s="24"/>
      <c r="G1351" s="24"/>
      <c r="H1351" s="24"/>
      <c r="I1351" s="24"/>
      <c r="J1351" s="3"/>
      <c r="K1351" s="8"/>
      <c r="L1351" s="8"/>
      <c r="M1351" s="8"/>
      <c r="N1351" s="13"/>
      <c r="O1351" s="9"/>
      <c r="P1351" s="20"/>
      <c r="Q1351" s="20"/>
      <c r="R1351" s="20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</row>
    <row r="1352" spans="4:49" ht="15" thickBot="1" x14ac:dyDescent="0.35">
      <c r="D1352" s="2">
        <f t="shared" si="61"/>
        <v>1346</v>
      </c>
      <c r="E1352" s="6">
        <v>3.9777967293190124</v>
      </c>
      <c r="F1352" s="24"/>
      <c r="G1352" s="24"/>
      <c r="H1352" s="24"/>
      <c r="I1352" s="24"/>
      <c r="J1352" s="3"/>
      <c r="K1352" s="8"/>
      <c r="L1352" s="8"/>
      <c r="M1352" s="8"/>
      <c r="N1352" s="13"/>
      <c r="O1352" s="9"/>
      <c r="P1352" s="20"/>
      <c r="Q1352" s="20"/>
      <c r="R1352" s="20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</row>
    <row r="1353" spans="4:49" ht="15" thickBot="1" x14ac:dyDescent="0.35">
      <c r="D1353" s="2">
        <f t="shared" si="61"/>
        <v>1347</v>
      </c>
      <c r="E1353" s="6">
        <v>3.4571019551648794</v>
      </c>
      <c r="F1353" s="24"/>
      <c r="G1353" s="24"/>
      <c r="H1353" s="24"/>
      <c r="I1353" s="24"/>
      <c r="J1353" s="3"/>
      <c r="K1353" s="8"/>
      <c r="L1353" s="8"/>
      <c r="M1353" s="8"/>
      <c r="N1353" s="13"/>
      <c r="O1353" s="9"/>
      <c r="P1353" s="20"/>
      <c r="Q1353" s="20"/>
      <c r="R1353" s="20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</row>
    <row r="1354" spans="4:49" ht="15" thickBot="1" x14ac:dyDescent="0.35">
      <c r="D1354" s="2">
        <f t="shared" si="61"/>
        <v>1348</v>
      </c>
      <c r="E1354" s="6">
        <v>4.3975646148077443</v>
      </c>
      <c r="F1354" s="24"/>
      <c r="G1354" s="24"/>
      <c r="H1354" s="24"/>
      <c r="I1354" s="24"/>
      <c r="J1354" s="3"/>
      <c r="K1354" s="8"/>
      <c r="L1354" s="8"/>
      <c r="M1354" s="8"/>
      <c r="N1354" s="13"/>
      <c r="O1354" s="9"/>
      <c r="P1354" s="20"/>
      <c r="Q1354" s="20"/>
      <c r="R1354" s="20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</row>
    <row r="1355" spans="4:49" ht="15" thickBot="1" x14ac:dyDescent="0.35">
      <c r="D1355" s="2">
        <f t="shared" si="61"/>
        <v>1349</v>
      </c>
      <c r="E1355" s="6">
        <v>4.1400981098753196</v>
      </c>
      <c r="F1355" s="24"/>
      <c r="G1355" s="24"/>
      <c r="H1355" s="24"/>
      <c r="I1355" s="24"/>
      <c r="J1355" s="3"/>
      <c r="K1355" s="8"/>
      <c r="L1355" s="8"/>
      <c r="M1355" s="8"/>
      <c r="N1355" s="13"/>
      <c r="O1355" s="9"/>
      <c r="P1355" s="20"/>
      <c r="Q1355" s="20"/>
      <c r="R1355" s="20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</row>
    <row r="1356" spans="4:49" ht="15" thickBot="1" x14ac:dyDescent="0.35">
      <c r="D1356" s="2">
        <f t="shared" si="61"/>
        <v>1350</v>
      </c>
      <c r="E1356" s="6">
        <v>5.4184481107000373</v>
      </c>
      <c r="F1356" s="24"/>
      <c r="G1356" s="24"/>
      <c r="H1356" s="24"/>
      <c r="I1356" s="24"/>
      <c r="J1356" s="3"/>
      <c r="K1356" s="8"/>
      <c r="L1356" s="8"/>
      <c r="M1356" s="8"/>
      <c r="N1356" s="13"/>
      <c r="O1356" s="9"/>
      <c r="P1356" s="20"/>
      <c r="Q1356" s="20"/>
      <c r="R1356" s="20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</row>
    <row r="1357" spans="4:49" ht="15" thickBot="1" x14ac:dyDescent="0.35">
      <c r="D1357" s="2">
        <f t="shared" si="61"/>
        <v>1351</v>
      </c>
      <c r="E1357" s="6">
        <v>10.693389276256257</v>
      </c>
      <c r="F1357" s="24"/>
      <c r="G1357" s="24"/>
      <c r="H1357" s="24"/>
      <c r="I1357" s="24"/>
      <c r="J1357" s="3"/>
      <c r="K1357" s="8"/>
      <c r="L1357" s="8"/>
      <c r="M1357" s="8"/>
      <c r="N1357" s="13"/>
      <c r="O1357" s="9"/>
      <c r="P1357" s="20"/>
      <c r="Q1357" s="20"/>
      <c r="R1357" s="20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</row>
    <row r="1358" spans="4:49" ht="15" thickBot="1" x14ac:dyDescent="0.35">
      <c r="D1358" s="2">
        <f t="shared" si="61"/>
        <v>1352</v>
      </c>
      <c r="E1358" s="6">
        <v>2.9753708891378112</v>
      </c>
      <c r="F1358" s="24"/>
      <c r="G1358" s="24"/>
      <c r="H1358" s="24"/>
      <c r="I1358" s="24"/>
      <c r="J1358" s="3"/>
      <c r="K1358" s="8"/>
      <c r="L1358" s="8"/>
      <c r="M1358" s="8"/>
      <c r="N1358" s="13"/>
      <c r="O1358" s="9"/>
      <c r="P1358" s="20"/>
      <c r="Q1358" s="20"/>
      <c r="R1358" s="20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</row>
    <row r="1359" spans="4:49" ht="15" thickBot="1" x14ac:dyDescent="0.35">
      <c r="D1359" s="2">
        <f t="shared" si="61"/>
        <v>1353</v>
      </c>
      <c r="E1359" s="6">
        <v>17.465078378872153</v>
      </c>
      <c r="F1359" s="24"/>
      <c r="G1359" s="24"/>
      <c r="H1359" s="24"/>
      <c r="I1359" s="24"/>
      <c r="J1359" s="3"/>
      <c r="K1359" s="8"/>
      <c r="L1359" s="8"/>
      <c r="M1359" s="8"/>
      <c r="N1359" s="13"/>
      <c r="O1359" s="9"/>
      <c r="P1359" s="20"/>
      <c r="Q1359" s="20"/>
      <c r="R1359" s="20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</row>
    <row r="1360" spans="4:49" ht="15" thickBot="1" x14ac:dyDescent="0.35">
      <c r="D1360" s="2">
        <f t="shared" si="61"/>
        <v>1354</v>
      </c>
      <c r="E1360" s="6">
        <v>9.6540313373013298</v>
      </c>
      <c r="F1360" s="24"/>
      <c r="G1360" s="24"/>
      <c r="H1360" s="24"/>
      <c r="I1360" s="24"/>
      <c r="J1360" s="3"/>
      <c r="K1360" s="8"/>
      <c r="L1360" s="8"/>
      <c r="M1360" s="8"/>
      <c r="N1360" s="13"/>
      <c r="O1360" s="9"/>
      <c r="P1360" s="20"/>
      <c r="Q1360" s="20"/>
      <c r="R1360" s="20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</row>
    <row r="1361" spans="4:49" ht="15" thickBot="1" x14ac:dyDescent="0.35">
      <c r="D1361" s="2">
        <f t="shared" si="61"/>
        <v>1355</v>
      </c>
      <c r="E1361" s="6">
        <v>3.6908094004697523</v>
      </c>
      <c r="F1361" s="24"/>
      <c r="G1361" s="24"/>
      <c r="H1361" s="24"/>
      <c r="I1361" s="24"/>
      <c r="J1361" s="3"/>
      <c r="K1361" s="8"/>
      <c r="L1361" s="8"/>
      <c r="M1361" s="8"/>
      <c r="N1361" s="13"/>
      <c r="O1361" s="9"/>
      <c r="P1361" s="20"/>
      <c r="Q1361" s="20"/>
      <c r="R1361" s="20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</row>
    <row r="1362" spans="4:49" ht="15" thickBot="1" x14ac:dyDescent="0.35">
      <c r="D1362" s="2">
        <f t="shared" si="61"/>
        <v>1356</v>
      </c>
      <c r="E1362" s="6">
        <v>2.2175772309128594</v>
      </c>
      <c r="F1362" s="24"/>
      <c r="G1362" s="24"/>
      <c r="H1362" s="24"/>
      <c r="I1362" s="24"/>
      <c r="J1362" s="3"/>
      <c r="K1362" s="8"/>
      <c r="L1362" s="8"/>
      <c r="M1362" s="8"/>
      <c r="N1362" s="13"/>
      <c r="O1362" s="9"/>
      <c r="P1362" s="20"/>
      <c r="Q1362" s="20"/>
      <c r="R1362" s="20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</row>
    <row r="1363" spans="4:49" ht="15" thickBot="1" x14ac:dyDescent="0.35">
      <c r="D1363" s="2">
        <f t="shared" si="61"/>
        <v>1357</v>
      </c>
      <c r="E1363" s="6">
        <v>2.3090709607295063</v>
      </c>
      <c r="F1363" s="24"/>
      <c r="G1363" s="24"/>
      <c r="H1363" s="24"/>
      <c r="I1363" s="24"/>
      <c r="J1363" s="3"/>
      <c r="K1363" s="8"/>
      <c r="L1363" s="8"/>
      <c r="M1363" s="8"/>
      <c r="N1363" s="13"/>
      <c r="O1363" s="9"/>
      <c r="P1363" s="20"/>
      <c r="Q1363" s="20"/>
      <c r="R1363" s="20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</row>
    <row r="1364" spans="4:49" ht="15" thickBot="1" x14ac:dyDescent="0.35">
      <c r="D1364" s="2">
        <f t="shared" si="61"/>
        <v>1358</v>
      </c>
      <c r="E1364" s="6">
        <v>2.9486549507348778</v>
      </c>
      <c r="F1364" s="24"/>
      <c r="G1364" s="24"/>
      <c r="H1364" s="24"/>
      <c r="I1364" s="24"/>
      <c r="J1364" s="3"/>
      <c r="K1364" s="8"/>
      <c r="L1364" s="8"/>
      <c r="M1364" s="8"/>
      <c r="N1364" s="13"/>
      <c r="O1364" s="9"/>
      <c r="P1364" s="20"/>
      <c r="Q1364" s="20"/>
      <c r="R1364" s="20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</row>
    <row r="1365" spans="4:49" ht="15" thickBot="1" x14ac:dyDescent="0.35">
      <c r="D1365" s="2">
        <f t="shared" si="61"/>
        <v>1359</v>
      </c>
      <c r="E1365" s="6">
        <v>1.8546662691934894</v>
      </c>
      <c r="F1365" s="24"/>
      <c r="G1365" s="24"/>
      <c r="H1365" s="24"/>
      <c r="I1365" s="24"/>
      <c r="J1365" s="3"/>
      <c r="K1365" s="8"/>
      <c r="L1365" s="8"/>
      <c r="M1365" s="8"/>
      <c r="N1365" s="13"/>
      <c r="O1365" s="9"/>
      <c r="P1365" s="20"/>
      <c r="Q1365" s="20"/>
      <c r="R1365" s="20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</row>
    <row r="1366" spans="4:49" ht="15" thickBot="1" x14ac:dyDescent="0.35">
      <c r="D1366" s="2">
        <f t="shared" si="61"/>
        <v>1360</v>
      </c>
      <c r="E1366" s="6">
        <v>6.7140363733114583</v>
      </c>
      <c r="F1366" s="24"/>
      <c r="G1366" s="24"/>
      <c r="H1366" s="24"/>
      <c r="I1366" s="24"/>
      <c r="J1366" s="3"/>
      <c r="K1366" s="8"/>
      <c r="L1366" s="8"/>
      <c r="M1366" s="8"/>
      <c r="N1366" s="13"/>
      <c r="O1366" s="9"/>
      <c r="P1366" s="20"/>
      <c r="Q1366" s="20"/>
      <c r="R1366" s="20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</row>
    <row r="1367" spans="4:49" ht="15" thickBot="1" x14ac:dyDescent="0.35">
      <c r="D1367" s="2">
        <f t="shared" si="61"/>
        <v>1361</v>
      </c>
      <c r="E1367" s="6">
        <v>6.8329649753064636</v>
      </c>
      <c r="F1367" s="24"/>
      <c r="G1367" s="24"/>
      <c r="H1367" s="24"/>
      <c r="I1367" s="24"/>
      <c r="J1367" s="3"/>
      <c r="K1367" s="8"/>
      <c r="L1367" s="8"/>
      <c r="M1367" s="8"/>
      <c r="N1367" s="13"/>
      <c r="O1367" s="9"/>
      <c r="P1367" s="20"/>
      <c r="Q1367" s="20"/>
      <c r="R1367" s="20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</row>
    <row r="1368" spans="4:49" ht="15" thickBot="1" x14ac:dyDescent="0.35">
      <c r="D1368" s="2">
        <f t="shared" si="61"/>
        <v>1362</v>
      </c>
      <c r="E1368" s="6">
        <v>0.22935391597508556</v>
      </c>
      <c r="F1368" s="24"/>
      <c r="G1368" s="24"/>
      <c r="H1368" s="24"/>
      <c r="I1368" s="24"/>
      <c r="J1368" s="3"/>
      <c r="K1368" s="8"/>
      <c r="L1368" s="8"/>
      <c r="M1368" s="8"/>
      <c r="N1368" s="13"/>
      <c r="O1368" s="9"/>
      <c r="P1368" s="20"/>
      <c r="Q1368" s="20"/>
      <c r="R1368" s="20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</row>
    <row r="1369" spans="4:49" ht="15" thickBot="1" x14ac:dyDescent="0.35">
      <c r="D1369" s="2">
        <f t="shared" si="61"/>
        <v>1363</v>
      </c>
      <c r="E1369" s="6">
        <v>0.48095472213780499</v>
      </c>
      <c r="F1369" s="24"/>
      <c r="G1369" s="24"/>
      <c r="H1369" s="24"/>
      <c r="I1369" s="24"/>
      <c r="J1369" s="3"/>
      <c r="K1369" s="8"/>
      <c r="L1369" s="8"/>
      <c r="M1369" s="8"/>
      <c r="N1369" s="13"/>
      <c r="O1369" s="9"/>
      <c r="P1369" s="20"/>
      <c r="Q1369" s="20"/>
      <c r="R1369" s="20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</row>
    <row r="1370" spans="4:49" ht="15" thickBot="1" x14ac:dyDescent="0.35">
      <c r="D1370" s="2">
        <f t="shared" si="61"/>
        <v>1364</v>
      </c>
      <c r="E1370" s="6">
        <v>2.3724041093295831</v>
      </c>
      <c r="F1370" s="24"/>
      <c r="G1370" s="24"/>
      <c r="H1370" s="24"/>
      <c r="I1370" s="24"/>
      <c r="J1370" s="3"/>
      <c r="K1370" s="8"/>
      <c r="L1370" s="8"/>
      <c r="M1370" s="8"/>
      <c r="N1370" s="13"/>
      <c r="O1370" s="9"/>
      <c r="P1370" s="20"/>
      <c r="Q1370" s="20"/>
      <c r="R1370" s="20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</row>
    <row r="1371" spans="4:49" ht="15" thickBot="1" x14ac:dyDescent="0.35">
      <c r="D1371" s="2">
        <f t="shared" si="61"/>
        <v>1365</v>
      </c>
      <c r="E1371" s="6">
        <v>2.9478249157311502</v>
      </c>
      <c r="F1371" s="24"/>
      <c r="G1371" s="24"/>
      <c r="H1371" s="24"/>
      <c r="I1371" s="24"/>
      <c r="J1371" s="3"/>
      <c r="K1371" s="8"/>
      <c r="L1371" s="8"/>
      <c r="M1371" s="8"/>
      <c r="N1371" s="13"/>
      <c r="O1371" s="9"/>
      <c r="P1371" s="20"/>
      <c r="Q1371" s="20"/>
      <c r="R1371" s="20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</row>
    <row r="1372" spans="4:49" ht="15" thickBot="1" x14ac:dyDescent="0.35">
      <c r="D1372" s="2">
        <f t="shared" si="61"/>
        <v>1366</v>
      </c>
      <c r="E1372" s="6">
        <v>3.6735030865760265</v>
      </c>
      <c r="F1372" s="24"/>
      <c r="G1372" s="24"/>
      <c r="H1372" s="24"/>
      <c r="I1372" s="24"/>
      <c r="J1372" s="3"/>
      <c r="K1372" s="8"/>
      <c r="L1372" s="8"/>
      <c r="M1372" s="8"/>
      <c r="N1372" s="13"/>
      <c r="O1372" s="9"/>
      <c r="P1372" s="20"/>
      <c r="Q1372" s="20"/>
      <c r="R1372" s="20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</row>
    <row r="1373" spans="4:49" ht="15" thickBot="1" x14ac:dyDescent="0.35">
      <c r="D1373" s="2">
        <f t="shared" si="61"/>
        <v>1367</v>
      </c>
      <c r="E1373" s="6">
        <v>1.3570526863281438</v>
      </c>
      <c r="F1373" s="24"/>
      <c r="G1373" s="24"/>
      <c r="H1373" s="24"/>
      <c r="I1373" s="24"/>
      <c r="J1373" s="3"/>
      <c r="K1373" s="8"/>
      <c r="L1373" s="8"/>
      <c r="M1373" s="8"/>
      <c r="N1373" s="13"/>
      <c r="O1373" s="9"/>
      <c r="P1373" s="20"/>
      <c r="Q1373" s="20"/>
      <c r="R1373" s="20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</row>
    <row r="1374" spans="4:49" ht="15" thickBot="1" x14ac:dyDescent="0.35">
      <c r="D1374" s="2">
        <f t="shared" si="61"/>
        <v>1368</v>
      </c>
      <c r="E1374" s="6">
        <v>11.313346302506895</v>
      </c>
      <c r="F1374" s="24"/>
      <c r="G1374" s="24"/>
      <c r="H1374" s="24"/>
      <c r="I1374" s="24"/>
      <c r="J1374" s="3"/>
      <c r="K1374" s="8"/>
      <c r="L1374" s="8"/>
      <c r="M1374" s="8"/>
      <c r="N1374" s="13"/>
      <c r="O1374" s="9"/>
      <c r="P1374" s="20"/>
      <c r="Q1374" s="20"/>
      <c r="R1374" s="20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</row>
    <row r="1375" spans="4:49" ht="15" thickBot="1" x14ac:dyDescent="0.35">
      <c r="D1375" s="2">
        <f t="shared" si="61"/>
        <v>1369</v>
      </c>
      <c r="E1375" s="6">
        <v>5.2333791976049966</v>
      </c>
      <c r="F1375" s="24"/>
      <c r="G1375" s="24"/>
      <c r="H1375" s="24"/>
      <c r="I1375" s="24"/>
      <c r="J1375" s="3"/>
      <c r="K1375" s="8"/>
      <c r="L1375" s="8"/>
      <c r="M1375" s="8"/>
      <c r="N1375" s="13"/>
      <c r="O1375" s="9"/>
      <c r="P1375" s="20"/>
      <c r="Q1375" s="20"/>
      <c r="R1375" s="20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</row>
    <row r="1376" spans="4:49" ht="15" thickBot="1" x14ac:dyDescent="0.35">
      <c r="D1376" s="2">
        <f t="shared" si="61"/>
        <v>1370</v>
      </c>
      <c r="E1376" s="6">
        <v>9.081782785853461</v>
      </c>
      <c r="F1376" s="24"/>
      <c r="G1376" s="24"/>
      <c r="H1376" s="24"/>
      <c r="I1376" s="24"/>
      <c r="J1376" s="3"/>
      <c r="K1376" s="8"/>
      <c r="L1376" s="8"/>
      <c r="M1376" s="8"/>
      <c r="N1376" s="13"/>
      <c r="O1376" s="9"/>
      <c r="P1376" s="20"/>
      <c r="Q1376" s="20"/>
      <c r="R1376" s="20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</row>
    <row r="1377" spans="4:49" ht="15" thickBot="1" x14ac:dyDescent="0.35">
      <c r="D1377" s="2">
        <f t="shared" si="61"/>
        <v>1371</v>
      </c>
      <c r="E1377" s="6">
        <v>8.9475439094280471</v>
      </c>
      <c r="F1377" s="24"/>
      <c r="G1377" s="24"/>
      <c r="H1377" s="24"/>
      <c r="I1377" s="24"/>
      <c r="J1377" s="3"/>
      <c r="K1377" s="8"/>
      <c r="L1377" s="8"/>
      <c r="M1377" s="8"/>
      <c r="N1377" s="13"/>
      <c r="O1377" s="9"/>
      <c r="P1377" s="20"/>
      <c r="Q1377" s="20"/>
      <c r="R1377" s="20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</row>
    <row r="1378" spans="4:49" ht="15" thickBot="1" x14ac:dyDescent="0.35">
      <c r="D1378" s="2">
        <f t="shared" si="61"/>
        <v>1372</v>
      </c>
      <c r="E1378" s="6">
        <v>0.41357841761318043</v>
      </c>
      <c r="F1378" s="24"/>
      <c r="G1378" s="24"/>
      <c r="H1378" s="24"/>
      <c r="I1378" s="24"/>
      <c r="J1378" s="3"/>
      <c r="K1378" s="8"/>
      <c r="L1378" s="8"/>
      <c r="M1378" s="8"/>
      <c r="N1378" s="13"/>
      <c r="O1378" s="9"/>
      <c r="P1378" s="20"/>
      <c r="Q1378" s="20"/>
      <c r="R1378" s="20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</row>
    <row r="1379" spans="4:49" ht="15" thickBot="1" x14ac:dyDescent="0.35">
      <c r="D1379" s="2">
        <f t="shared" si="61"/>
        <v>1373</v>
      </c>
      <c r="E1379" s="6">
        <v>1.0032984061782497</v>
      </c>
      <c r="F1379" s="24"/>
      <c r="G1379" s="24"/>
      <c r="H1379" s="24"/>
      <c r="I1379" s="24"/>
      <c r="J1379" s="3"/>
      <c r="K1379" s="8"/>
      <c r="L1379" s="8"/>
      <c r="M1379" s="8"/>
      <c r="N1379" s="13"/>
      <c r="O1379" s="9"/>
      <c r="P1379" s="20"/>
      <c r="Q1379" s="20"/>
      <c r="R1379" s="20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</row>
    <row r="1380" spans="4:49" ht="15" thickBot="1" x14ac:dyDescent="0.35">
      <c r="D1380" s="2">
        <f t="shared" si="61"/>
        <v>1374</v>
      </c>
      <c r="E1380" s="6">
        <v>0.32714185946716606</v>
      </c>
      <c r="F1380" s="24"/>
      <c r="G1380" s="24"/>
      <c r="H1380" s="24"/>
      <c r="I1380" s="24"/>
      <c r="J1380" s="3"/>
      <c r="K1380" s="8"/>
      <c r="L1380" s="8"/>
      <c r="M1380" s="8"/>
      <c r="N1380" s="13"/>
      <c r="O1380" s="9"/>
      <c r="P1380" s="20"/>
      <c r="Q1380" s="20"/>
      <c r="R1380" s="20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</row>
    <row r="1381" spans="4:49" ht="15" thickBot="1" x14ac:dyDescent="0.35">
      <c r="D1381" s="2">
        <f t="shared" si="61"/>
        <v>1375</v>
      </c>
      <c r="E1381" s="6">
        <v>6.4827494258029477</v>
      </c>
      <c r="F1381" s="24"/>
      <c r="G1381" s="24"/>
      <c r="H1381" s="24"/>
      <c r="I1381" s="24"/>
      <c r="J1381" s="3"/>
      <c r="K1381" s="8"/>
      <c r="L1381" s="8"/>
      <c r="M1381" s="8"/>
      <c r="N1381" s="13"/>
      <c r="O1381" s="9"/>
      <c r="P1381" s="20"/>
      <c r="Q1381" s="20"/>
      <c r="R1381" s="20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</row>
    <row r="1382" spans="4:49" ht="15" thickBot="1" x14ac:dyDescent="0.35">
      <c r="D1382" s="2">
        <f t="shared" si="61"/>
        <v>1376</v>
      </c>
      <c r="E1382" s="6">
        <v>4.0306327666884112</v>
      </c>
      <c r="F1382" s="24"/>
      <c r="G1382" s="24"/>
      <c r="H1382" s="24"/>
      <c r="I1382" s="24"/>
      <c r="J1382" s="3"/>
      <c r="K1382" s="8"/>
      <c r="L1382" s="8"/>
      <c r="M1382" s="8"/>
      <c r="N1382" s="13"/>
      <c r="O1382" s="9"/>
      <c r="P1382" s="20"/>
      <c r="Q1382" s="20"/>
      <c r="R1382" s="20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</row>
    <row r="1383" spans="4:49" ht="15" thickBot="1" x14ac:dyDescent="0.35">
      <c r="D1383" s="2">
        <f t="shared" si="61"/>
        <v>1377</v>
      </c>
      <c r="E1383" s="6">
        <v>1.0319263846740083</v>
      </c>
      <c r="F1383" s="24"/>
      <c r="G1383" s="24"/>
      <c r="H1383" s="24"/>
      <c r="I1383" s="24"/>
      <c r="J1383" s="3"/>
      <c r="K1383" s="8"/>
      <c r="L1383" s="8"/>
      <c r="M1383" s="8"/>
      <c r="N1383" s="13"/>
      <c r="O1383" s="9"/>
      <c r="P1383" s="20"/>
      <c r="Q1383" s="20"/>
      <c r="R1383" s="20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</row>
    <row r="1384" spans="4:49" ht="15" thickBot="1" x14ac:dyDescent="0.35">
      <c r="D1384" s="2">
        <f t="shared" si="61"/>
        <v>1378</v>
      </c>
      <c r="E1384" s="6">
        <v>5.3478380941722854</v>
      </c>
      <c r="F1384" s="24"/>
      <c r="G1384" s="24"/>
      <c r="H1384" s="24"/>
      <c r="I1384" s="24"/>
      <c r="J1384" s="3"/>
      <c r="K1384" s="8"/>
      <c r="L1384" s="8"/>
      <c r="M1384" s="8"/>
      <c r="N1384" s="13"/>
      <c r="O1384" s="9"/>
      <c r="P1384" s="20"/>
      <c r="Q1384" s="20"/>
      <c r="R1384" s="20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</row>
    <row r="1385" spans="4:49" ht="15" thickBot="1" x14ac:dyDescent="0.35">
      <c r="D1385" s="2">
        <f t="shared" si="61"/>
        <v>1379</v>
      </c>
      <c r="E1385" s="6">
        <v>9.4871895802961177</v>
      </c>
      <c r="F1385" s="24"/>
      <c r="G1385" s="24"/>
      <c r="H1385" s="24"/>
      <c r="I1385" s="24"/>
      <c r="J1385" s="3"/>
      <c r="K1385" s="8"/>
      <c r="L1385" s="8"/>
      <c r="M1385" s="8"/>
      <c r="N1385" s="13"/>
      <c r="O1385" s="9"/>
      <c r="P1385" s="20"/>
      <c r="Q1385" s="20"/>
      <c r="R1385" s="20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</row>
    <row r="1386" spans="4:49" ht="15" thickBot="1" x14ac:dyDescent="0.35">
      <c r="D1386" s="2">
        <f t="shared" si="61"/>
        <v>1380</v>
      </c>
      <c r="E1386" s="6">
        <v>5.20749550071797</v>
      </c>
      <c r="F1386" s="24"/>
      <c r="G1386" s="24"/>
      <c r="H1386" s="24"/>
      <c r="I1386" s="24"/>
      <c r="J1386" s="3"/>
      <c r="K1386" s="8"/>
      <c r="L1386" s="8"/>
      <c r="M1386" s="8"/>
      <c r="N1386" s="13"/>
      <c r="O1386" s="9"/>
      <c r="P1386" s="20"/>
      <c r="Q1386" s="20"/>
      <c r="R1386" s="20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</row>
    <row r="1387" spans="4:49" ht="15" thickBot="1" x14ac:dyDescent="0.35">
      <c r="D1387" s="2">
        <f t="shared" si="61"/>
        <v>1381</v>
      </c>
      <c r="E1387" s="6">
        <v>8.4728503246522067</v>
      </c>
      <c r="F1387" s="24"/>
      <c r="G1387" s="24"/>
      <c r="H1387" s="24"/>
      <c r="I1387" s="24"/>
      <c r="J1387" s="3"/>
      <c r="K1387" s="8"/>
      <c r="L1387" s="8"/>
      <c r="M1387" s="8"/>
      <c r="N1387" s="13"/>
      <c r="O1387" s="9"/>
      <c r="P1387" s="20"/>
      <c r="Q1387" s="20"/>
      <c r="R1387" s="20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</row>
    <row r="1388" spans="4:49" ht="15" thickBot="1" x14ac:dyDescent="0.35">
      <c r="D1388" s="2">
        <f t="shared" si="61"/>
        <v>1382</v>
      </c>
      <c r="E1388" s="6">
        <v>11.532010702180049</v>
      </c>
      <c r="F1388" s="24"/>
      <c r="G1388" s="24"/>
      <c r="H1388" s="24"/>
      <c r="I1388" s="24"/>
      <c r="J1388" s="3"/>
      <c r="K1388" s="8"/>
      <c r="L1388" s="8"/>
      <c r="M1388" s="8"/>
      <c r="N1388" s="13"/>
      <c r="O1388" s="9"/>
      <c r="P1388" s="20"/>
      <c r="Q1388" s="20"/>
      <c r="R1388" s="20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</row>
    <row r="1389" spans="4:49" ht="15" thickBot="1" x14ac:dyDescent="0.35">
      <c r="D1389" s="2">
        <f t="shared" si="61"/>
        <v>1383</v>
      </c>
      <c r="E1389" s="6">
        <v>2.7423512653928035</v>
      </c>
      <c r="F1389" s="24"/>
      <c r="G1389" s="24"/>
      <c r="H1389" s="24"/>
      <c r="I1389" s="24"/>
      <c r="J1389" s="3"/>
      <c r="K1389" s="8"/>
      <c r="L1389" s="8"/>
      <c r="M1389" s="8"/>
      <c r="N1389" s="13"/>
      <c r="O1389" s="9"/>
      <c r="P1389" s="20"/>
      <c r="Q1389" s="20"/>
      <c r="R1389" s="20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</row>
    <row r="1390" spans="4:49" ht="15" thickBot="1" x14ac:dyDescent="0.35">
      <c r="D1390" s="2">
        <f t="shared" si="61"/>
        <v>1384</v>
      </c>
      <c r="E1390" s="6">
        <v>2.4149420851949088</v>
      </c>
      <c r="F1390" s="24"/>
      <c r="G1390" s="24"/>
      <c r="H1390" s="24"/>
      <c r="I1390" s="24"/>
      <c r="J1390" s="3"/>
      <c r="K1390" s="8"/>
      <c r="L1390" s="8"/>
      <c r="M1390" s="8"/>
      <c r="N1390" s="13"/>
      <c r="O1390" s="9"/>
      <c r="P1390" s="20"/>
      <c r="Q1390" s="20"/>
      <c r="R1390" s="20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</row>
    <row r="1391" spans="4:49" ht="15" thickBot="1" x14ac:dyDescent="0.35">
      <c r="D1391" s="2">
        <f t="shared" si="61"/>
        <v>1385</v>
      </c>
      <c r="E1391" s="6">
        <v>4.5091596964750185</v>
      </c>
      <c r="F1391" s="24"/>
      <c r="G1391" s="24"/>
      <c r="H1391" s="24"/>
      <c r="I1391" s="24"/>
      <c r="J1391" s="3"/>
      <c r="K1391" s="8"/>
      <c r="L1391" s="8"/>
      <c r="M1391" s="8"/>
      <c r="N1391" s="13"/>
      <c r="O1391" s="9"/>
      <c r="P1391" s="20"/>
      <c r="Q1391" s="20"/>
      <c r="R1391" s="20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</row>
    <row r="1392" spans="4:49" ht="15" thickBot="1" x14ac:dyDescent="0.35">
      <c r="D1392" s="2">
        <f t="shared" si="61"/>
        <v>1386</v>
      </c>
      <c r="E1392" s="6">
        <v>7.6391421861670459</v>
      </c>
      <c r="F1392" s="24"/>
      <c r="G1392" s="24"/>
      <c r="H1392" s="24"/>
      <c r="I1392" s="24"/>
      <c r="J1392" s="3"/>
      <c r="K1392" s="8"/>
      <c r="L1392" s="8"/>
      <c r="M1392" s="8"/>
      <c r="N1392" s="13"/>
      <c r="O1392" s="9"/>
      <c r="P1392" s="20"/>
      <c r="Q1392" s="20"/>
      <c r="R1392" s="20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</row>
    <row r="1393" spans="4:49" ht="15" thickBot="1" x14ac:dyDescent="0.35">
      <c r="D1393" s="2">
        <f t="shared" si="61"/>
        <v>1387</v>
      </c>
      <c r="E1393" s="6">
        <v>2.9485892839458367</v>
      </c>
      <c r="F1393" s="24"/>
      <c r="G1393" s="24"/>
      <c r="H1393" s="24"/>
      <c r="I1393" s="24"/>
      <c r="J1393" s="3"/>
      <c r="K1393" s="8"/>
      <c r="L1393" s="8"/>
      <c r="M1393" s="8"/>
      <c r="N1393" s="13"/>
      <c r="O1393" s="9"/>
      <c r="P1393" s="20"/>
      <c r="Q1393" s="20"/>
      <c r="R1393" s="20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</row>
    <row r="1394" spans="4:49" ht="15" thickBot="1" x14ac:dyDescent="0.35">
      <c r="D1394" s="2">
        <f t="shared" si="61"/>
        <v>1388</v>
      </c>
      <c r="E1394" s="6">
        <v>0.37693685490072149</v>
      </c>
      <c r="F1394" s="24"/>
      <c r="G1394" s="24"/>
      <c r="H1394" s="24"/>
      <c r="I1394" s="24"/>
      <c r="J1394" s="3"/>
      <c r="K1394" s="8"/>
      <c r="L1394" s="8"/>
      <c r="M1394" s="8"/>
      <c r="N1394" s="13"/>
      <c r="O1394" s="9"/>
      <c r="P1394" s="20"/>
      <c r="Q1394" s="20"/>
      <c r="R1394" s="20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</row>
    <row r="1395" spans="4:49" ht="15" thickBot="1" x14ac:dyDescent="0.35">
      <c r="D1395" s="2">
        <f t="shared" si="61"/>
        <v>1389</v>
      </c>
      <c r="E1395" s="6">
        <v>0.13426967559338449</v>
      </c>
      <c r="F1395" s="24"/>
      <c r="G1395" s="24"/>
      <c r="H1395" s="24"/>
      <c r="I1395" s="24"/>
      <c r="J1395" s="3"/>
      <c r="K1395" s="8"/>
      <c r="L1395" s="8"/>
      <c r="M1395" s="8"/>
      <c r="N1395" s="13"/>
      <c r="O1395" s="9"/>
      <c r="P1395" s="20"/>
      <c r="Q1395" s="20"/>
      <c r="R1395" s="20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</row>
    <row r="1396" spans="4:49" ht="15" thickBot="1" x14ac:dyDescent="0.35">
      <c r="D1396" s="2">
        <f t="shared" si="61"/>
        <v>1390</v>
      </c>
      <c r="E1396" s="6">
        <v>1.3119643238766199</v>
      </c>
      <c r="F1396" s="24"/>
      <c r="G1396" s="24"/>
      <c r="H1396" s="24"/>
      <c r="I1396" s="24"/>
      <c r="J1396" s="3"/>
      <c r="K1396" s="8"/>
      <c r="L1396" s="8"/>
      <c r="M1396" s="8"/>
      <c r="N1396" s="13"/>
      <c r="O1396" s="9"/>
      <c r="P1396" s="20"/>
      <c r="Q1396" s="20"/>
      <c r="R1396" s="20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</row>
    <row r="1397" spans="4:49" ht="15" thickBot="1" x14ac:dyDescent="0.35">
      <c r="D1397" s="2">
        <f t="shared" si="61"/>
        <v>1391</v>
      </c>
      <c r="E1397" s="6">
        <v>0.14904453355171504</v>
      </c>
      <c r="F1397" s="24"/>
      <c r="G1397" s="24"/>
      <c r="H1397" s="24"/>
      <c r="I1397" s="24"/>
      <c r="J1397" s="3"/>
      <c r="K1397" s="8"/>
      <c r="L1397" s="8"/>
      <c r="M1397" s="8"/>
      <c r="N1397" s="13"/>
      <c r="O1397" s="9"/>
      <c r="P1397" s="20"/>
      <c r="Q1397" s="20"/>
      <c r="R1397" s="20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</row>
    <row r="1398" spans="4:49" ht="15" thickBot="1" x14ac:dyDescent="0.35">
      <c r="D1398" s="2">
        <f t="shared" si="61"/>
        <v>1392</v>
      </c>
      <c r="E1398" s="6">
        <v>1.0243538882849499</v>
      </c>
      <c r="F1398" s="24"/>
      <c r="G1398" s="24"/>
      <c r="H1398" s="24"/>
      <c r="I1398" s="24"/>
      <c r="J1398" s="3"/>
      <c r="K1398" s="8"/>
      <c r="L1398" s="8"/>
      <c r="M1398" s="8"/>
      <c r="N1398" s="13"/>
      <c r="O1398" s="9"/>
      <c r="P1398" s="20"/>
      <c r="Q1398" s="20"/>
      <c r="R1398" s="20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</row>
    <row r="1399" spans="4:49" ht="15" thickBot="1" x14ac:dyDescent="0.35">
      <c r="D1399" s="2">
        <f t="shared" si="61"/>
        <v>1393</v>
      </c>
      <c r="E1399" s="6">
        <v>1.076352076920325</v>
      </c>
      <c r="F1399" s="24"/>
      <c r="G1399" s="24"/>
      <c r="H1399" s="24"/>
      <c r="I1399" s="24"/>
      <c r="J1399" s="3"/>
      <c r="K1399" s="8"/>
      <c r="L1399" s="8"/>
      <c r="M1399" s="8"/>
      <c r="N1399" s="13"/>
      <c r="O1399" s="9"/>
      <c r="P1399" s="20"/>
      <c r="Q1399" s="20"/>
      <c r="R1399" s="20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</row>
    <row r="1400" spans="4:49" ht="15" thickBot="1" x14ac:dyDescent="0.35">
      <c r="D1400" s="2">
        <f t="shared" si="61"/>
        <v>1394</v>
      </c>
      <c r="E1400" s="6">
        <v>1.8965319662981384</v>
      </c>
      <c r="F1400" s="24"/>
      <c r="G1400" s="24"/>
      <c r="H1400" s="24"/>
      <c r="I1400" s="24"/>
      <c r="J1400" s="3"/>
      <c r="K1400" s="8"/>
      <c r="L1400" s="8"/>
      <c r="M1400" s="8"/>
      <c r="N1400" s="13"/>
      <c r="O1400" s="9"/>
      <c r="P1400" s="20"/>
      <c r="Q1400" s="20"/>
      <c r="R1400" s="20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</row>
    <row r="1401" spans="4:49" ht="15" thickBot="1" x14ac:dyDescent="0.35">
      <c r="D1401" s="2">
        <f t="shared" si="61"/>
        <v>1395</v>
      </c>
      <c r="E1401" s="6">
        <v>4.7055297056160708</v>
      </c>
      <c r="F1401" s="24"/>
      <c r="G1401" s="24"/>
      <c r="H1401" s="24"/>
      <c r="I1401" s="24"/>
      <c r="J1401" s="3"/>
      <c r="K1401" s="8"/>
      <c r="L1401" s="8"/>
      <c r="M1401" s="8"/>
      <c r="N1401" s="13"/>
      <c r="O1401" s="9"/>
      <c r="P1401" s="20"/>
      <c r="Q1401" s="20"/>
      <c r="R1401" s="20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</row>
    <row r="1402" spans="4:49" ht="15" thickBot="1" x14ac:dyDescent="0.35">
      <c r="D1402" s="2">
        <f t="shared" si="61"/>
        <v>1396</v>
      </c>
      <c r="E1402" s="6">
        <v>4.1962748660126783</v>
      </c>
      <c r="F1402" s="24"/>
      <c r="G1402" s="24"/>
      <c r="H1402" s="24"/>
      <c r="I1402" s="24"/>
      <c r="J1402" s="3"/>
      <c r="K1402" s="8"/>
      <c r="L1402" s="8"/>
      <c r="M1402" s="8"/>
      <c r="N1402" s="13"/>
      <c r="O1402" s="9"/>
      <c r="P1402" s="20"/>
      <c r="Q1402" s="20"/>
      <c r="R1402" s="20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</row>
    <row r="1403" spans="4:49" ht="15" thickBot="1" x14ac:dyDescent="0.35">
      <c r="D1403" s="2">
        <f t="shared" si="61"/>
        <v>1397</v>
      </c>
      <c r="E1403" s="6">
        <v>0.69478313318293328</v>
      </c>
      <c r="F1403" s="24"/>
      <c r="G1403" s="24"/>
      <c r="H1403" s="24"/>
      <c r="I1403" s="24"/>
      <c r="J1403" s="3"/>
      <c r="K1403" s="8"/>
      <c r="L1403" s="8"/>
      <c r="M1403" s="8"/>
      <c r="N1403" s="13"/>
      <c r="O1403" s="9"/>
      <c r="P1403" s="20"/>
      <c r="Q1403" s="20"/>
      <c r="R1403" s="20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</row>
    <row r="1404" spans="4:49" ht="15" thickBot="1" x14ac:dyDescent="0.35">
      <c r="D1404" s="2">
        <f t="shared" si="61"/>
        <v>1398</v>
      </c>
      <c r="E1404" s="6">
        <v>1.5595344905182413</v>
      </c>
      <c r="F1404" s="24"/>
      <c r="G1404" s="24"/>
      <c r="H1404" s="24"/>
      <c r="I1404" s="24"/>
      <c r="J1404" s="3"/>
      <c r="K1404" s="8"/>
      <c r="L1404" s="8"/>
      <c r="M1404" s="8"/>
      <c r="N1404" s="13"/>
      <c r="O1404" s="9"/>
      <c r="P1404" s="20"/>
      <c r="Q1404" s="20"/>
      <c r="R1404" s="20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</row>
    <row r="1405" spans="4:49" ht="15" thickBot="1" x14ac:dyDescent="0.35">
      <c r="D1405" s="2">
        <f t="shared" si="61"/>
        <v>1399</v>
      </c>
      <c r="E1405" s="6">
        <v>0.45731837004030773</v>
      </c>
      <c r="F1405" s="24"/>
      <c r="G1405" s="24"/>
      <c r="H1405" s="24"/>
      <c r="I1405" s="24"/>
      <c r="J1405" s="3"/>
      <c r="K1405" s="8"/>
      <c r="L1405" s="8"/>
      <c r="M1405" s="8"/>
      <c r="N1405" s="13"/>
      <c r="O1405" s="9"/>
      <c r="P1405" s="20"/>
      <c r="Q1405" s="20"/>
      <c r="R1405" s="20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</row>
    <row r="1406" spans="4:49" ht="15" thickBot="1" x14ac:dyDescent="0.35">
      <c r="D1406" s="2">
        <f t="shared" si="61"/>
        <v>1400</v>
      </c>
      <c r="E1406" s="6">
        <v>3.5560143288413641</v>
      </c>
      <c r="F1406" s="24"/>
      <c r="G1406" s="24"/>
      <c r="H1406" s="24"/>
      <c r="I1406" s="24"/>
      <c r="J1406" s="3"/>
      <c r="K1406" s="8"/>
      <c r="L1406" s="8"/>
      <c r="M1406" s="8"/>
      <c r="N1406" s="13"/>
      <c r="O1406" s="9"/>
      <c r="P1406" s="20"/>
      <c r="Q1406" s="20"/>
      <c r="R1406" s="20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</row>
    <row r="1407" spans="4:49" ht="15" thickBot="1" x14ac:dyDescent="0.35">
      <c r="D1407" s="2">
        <f t="shared" si="61"/>
        <v>1401</v>
      </c>
      <c r="E1407" s="6">
        <v>2.0278111513625103</v>
      </c>
      <c r="F1407" s="24"/>
      <c r="G1407" s="24"/>
      <c r="H1407" s="24"/>
      <c r="I1407" s="24"/>
      <c r="J1407" s="3"/>
      <c r="K1407" s="8"/>
      <c r="L1407" s="8"/>
      <c r="M1407" s="8"/>
      <c r="N1407" s="13"/>
      <c r="O1407" s="9"/>
      <c r="P1407" s="20"/>
      <c r="Q1407" s="20"/>
      <c r="R1407" s="20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</row>
    <row r="1408" spans="4:49" ht="15" thickBot="1" x14ac:dyDescent="0.35">
      <c r="D1408" s="2">
        <f t="shared" si="61"/>
        <v>1402</v>
      </c>
      <c r="E1408" s="6">
        <v>3.0589619627056335</v>
      </c>
      <c r="F1408" s="24"/>
      <c r="G1408" s="24"/>
      <c r="H1408" s="24"/>
      <c r="I1408" s="24"/>
      <c r="J1408" s="3"/>
      <c r="K1408" s="8"/>
      <c r="L1408" s="8"/>
      <c r="M1408" s="8"/>
      <c r="N1408" s="13"/>
      <c r="O1408" s="9"/>
      <c r="P1408" s="20"/>
      <c r="Q1408" s="20"/>
      <c r="R1408" s="20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</row>
    <row r="1409" spans="4:49" ht="15" thickBot="1" x14ac:dyDescent="0.35">
      <c r="D1409" s="2">
        <f t="shared" si="61"/>
        <v>1403</v>
      </c>
      <c r="E1409" s="6">
        <v>3.0269946277814084</v>
      </c>
      <c r="F1409" s="24"/>
      <c r="G1409" s="24"/>
      <c r="H1409" s="24"/>
      <c r="I1409" s="24"/>
      <c r="J1409" s="3"/>
      <c r="K1409" s="8"/>
      <c r="L1409" s="8"/>
      <c r="M1409" s="8"/>
      <c r="N1409" s="13"/>
      <c r="O1409" s="9"/>
      <c r="P1409" s="20"/>
      <c r="Q1409" s="20"/>
      <c r="R1409" s="20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</row>
    <row r="1410" spans="4:49" ht="15" thickBot="1" x14ac:dyDescent="0.35">
      <c r="D1410" s="2">
        <f t="shared" si="61"/>
        <v>1404</v>
      </c>
      <c r="E1410" s="6">
        <v>0.43066583882424481</v>
      </c>
      <c r="F1410" s="24"/>
      <c r="G1410" s="24"/>
      <c r="H1410" s="24"/>
      <c r="I1410" s="24"/>
      <c r="J1410" s="3"/>
      <c r="K1410" s="8"/>
      <c r="L1410" s="8"/>
      <c r="M1410" s="8"/>
      <c r="N1410" s="13"/>
      <c r="O1410" s="9"/>
      <c r="P1410" s="20"/>
      <c r="Q1410" s="20"/>
      <c r="R1410" s="20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</row>
    <row r="1411" spans="4:49" ht="15" thickBot="1" x14ac:dyDescent="0.35">
      <c r="D1411" s="2">
        <f t="shared" si="61"/>
        <v>1405</v>
      </c>
      <c r="E1411" s="6">
        <v>1.1456706621259267</v>
      </c>
      <c r="F1411" s="24"/>
      <c r="G1411" s="24"/>
      <c r="H1411" s="24"/>
      <c r="I1411" s="24"/>
      <c r="J1411" s="3"/>
      <c r="K1411" s="8"/>
      <c r="L1411" s="8"/>
      <c r="M1411" s="8"/>
      <c r="N1411" s="13"/>
      <c r="O1411" s="9"/>
      <c r="P1411" s="20"/>
      <c r="Q1411" s="20"/>
      <c r="R1411" s="20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</row>
    <row r="1412" spans="4:49" ht="15" thickBot="1" x14ac:dyDescent="0.35">
      <c r="D1412" s="2">
        <f t="shared" si="61"/>
        <v>1406</v>
      </c>
      <c r="E1412" s="6">
        <v>2.2049612317269109</v>
      </c>
      <c r="F1412" s="24"/>
      <c r="G1412" s="24"/>
      <c r="H1412" s="24"/>
      <c r="I1412" s="24"/>
      <c r="J1412" s="3"/>
      <c r="K1412" s="8"/>
      <c r="L1412" s="8"/>
      <c r="M1412" s="8"/>
      <c r="N1412" s="13"/>
      <c r="O1412" s="9"/>
      <c r="P1412" s="20"/>
      <c r="Q1412" s="20"/>
      <c r="R1412" s="20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</row>
    <row r="1413" spans="4:49" ht="15" thickBot="1" x14ac:dyDescent="0.35">
      <c r="D1413" s="2">
        <f t="shared" si="61"/>
        <v>1407</v>
      </c>
      <c r="E1413" s="6">
        <v>6.0260111774912639</v>
      </c>
      <c r="F1413" s="24"/>
      <c r="G1413" s="24"/>
      <c r="H1413" s="24"/>
      <c r="I1413" s="24"/>
      <c r="J1413" s="3"/>
      <c r="K1413" s="8"/>
      <c r="L1413" s="8"/>
      <c r="M1413" s="8"/>
      <c r="N1413" s="13"/>
      <c r="O1413" s="9"/>
      <c r="P1413" s="20"/>
      <c r="Q1413" s="20"/>
      <c r="R1413" s="20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</row>
    <row r="1414" spans="4:49" ht="15" thickBot="1" x14ac:dyDescent="0.35">
      <c r="D1414" s="2">
        <f t="shared" si="61"/>
        <v>1408</v>
      </c>
      <c r="E1414" s="6">
        <v>4.3166318511400794</v>
      </c>
      <c r="F1414" s="24"/>
      <c r="G1414" s="24"/>
      <c r="H1414" s="24"/>
      <c r="I1414" s="24"/>
      <c r="J1414" s="3"/>
      <c r="K1414" s="8"/>
      <c r="L1414" s="8"/>
      <c r="M1414" s="8"/>
      <c r="N1414" s="13"/>
      <c r="O1414" s="9"/>
      <c r="P1414" s="20"/>
      <c r="Q1414" s="20"/>
      <c r="R1414" s="20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</row>
    <row r="1415" spans="4:49" ht="15" thickBot="1" x14ac:dyDescent="0.35">
      <c r="D1415" s="2">
        <f t="shared" ref="D1415:D1478" si="62">ROW()-6</f>
        <v>1409</v>
      </c>
      <c r="E1415" s="6">
        <v>10.453226697776392</v>
      </c>
      <c r="F1415" s="24"/>
      <c r="G1415" s="24"/>
      <c r="H1415" s="24"/>
      <c r="I1415" s="24"/>
      <c r="J1415" s="3"/>
      <c r="K1415" s="8"/>
      <c r="L1415" s="8"/>
      <c r="M1415" s="8"/>
      <c r="N1415" s="13"/>
      <c r="O1415" s="9"/>
      <c r="P1415" s="20"/>
      <c r="Q1415" s="20"/>
      <c r="R1415" s="20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</row>
    <row r="1416" spans="4:49" ht="15" thickBot="1" x14ac:dyDescent="0.35">
      <c r="D1416" s="2">
        <f t="shared" si="62"/>
        <v>1410</v>
      </c>
      <c r="E1416" s="6">
        <v>0.39687230983523158</v>
      </c>
      <c r="F1416" s="24"/>
      <c r="G1416" s="24"/>
      <c r="H1416" s="24"/>
      <c r="I1416" s="24"/>
      <c r="J1416" s="3"/>
      <c r="K1416" s="8"/>
      <c r="L1416" s="8"/>
      <c r="M1416" s="8"/>
      <c r="N1416" s="13"/>
      <c r="O1416" s="9"/>
      <c r="P1416" s="20"/>
      <c r="Q1416" s="20"/>
      <c r="R1416" s="20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</row>
    <row r="1417" spans="4:49" ht="15" thickBot="1" x14ac:dyDescent="0.35">
      <c r="D1417" s="2">
        <f t="shared" si="62"/>
        <v>1411</v>
      </c>
      <c r="E1417" s="6">
        <v>9.4789447679538501</v>
      </c>
      <c r="F1417" s="24"/>
      <c r="G1417" s="24"/>
      <c r="H1417" s="24"/>
      <c r="I1417" s="24"/>
      <c r="J1417" s="3"/>
      <c r="K1417" s="8"/>
      <c r="L1417" s="8"/>
      <c r="M1417" s="8"/>
      <c r="N1417" s="13"/>
      <c r="O1417" s="9"/>
      <c r="P1417" s="20"/>
      <c r="Q1417" s="20"/>
      <c r="R1417" s="20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</row>
    <row r="1418" spans="4:49" ht="15" thickBot="1" x14ac:dyDescent="0.35">
      <c r="D1418" s="2">
        <f t="shared" si="62"/>
        <v>1412</v>
      </c>
      <c r="E1418" s="6">
        <v>12.679691501674865</v>
      </c>
      <c r="F1418" s="24"/>
      <c r="G1418" s="24"/>
      <c r="H1418" s="24"/>
      <c r="I1418" s="24"/>
      <c r="J1418" s="3"/>
      <c r="K1418" s="8"/>
      <c r="L1418" s="8"/>
      <c r="M1418" s="8"/>
      <c r="N1418" s="13"/>
      <c r="O1418" s="9"/>
      <c r="P1418" s="20"/>
      <c r="Q1418" s="20"/>
      <c r="R1418" s="20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</row>
    <row r="1419" spans="4:49" ht="15" thickBot="1" x14ac:dyDescent="0.35">
      <c r="D1419" s="2">
        <f t="shared" si="62"/>
        <v>1413</v>
      </c>
      <c r="E1419" s="6">
        <v>2.7981104573940909</v>
      </c>
      <c r="F1419" s="24"/>
      <c r="G1419" s="24"/>
      <c r="H1419" s="24"/>
      <c r="I1419" s="24"/>
      <c r="J1419" s="3"/>
      <c r="K1419" s="8"/>
      <c r="L1419" s="8"/>
      <c r="M1419" s="8"/>
      <c r="N1419" s="13"/>
      <c r="O1419" s="9"/>
      <c r="P1419" s="20"/>
      <c r="Q1419" s="20"/>
      <c r="R1419" s="20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</row>
    <row r="1420" spans="4:49" ht="15" thickBot="1" x14ac:dyDescent="0.35">
      <c r="D1420" s="2">
        <f t="shared" si="62"/>
        <v>1414</v>
      </c>
      <c r="E1420" s="6">
        <v>10.742635354221186</v>
      </c>
      <c r="F1420" s="24"/>
      <c r="G1420" s="24"/>
      <c r="H1420" s="24"/>
      <c r="I1420" s="24"/>
      <c r="J1420" s="3"/>
      <c r="K1420" s="8"/>
      <c r="L1420" s="8"/>
      <c r="M1420" s="8"/>
      <c r="N1420" s="13"/>
      <c r="O1420" s="9"/>
      <c r="P1420" s="20"/>
      <c r="Q1420" s="20"/>
      <c r="R1420" s="20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</row>
    <row r="1421" spans="4:49" ht="15" thickBot="1" x14ac:dyDescent="0.35">
      <c r="D1421" s="2">
        <f t="shared" si="62"/>
        <v>1415</v>
      </c>
      <c r="E1421" s="6">
        <v>4.1497480730409722</v>
      </c>
      <c r="F1421" s="24"/>
      <c r="G1421" s="24"/>
      <c r="H1421" s="24"/>
      <c r="I1421" s="24"/>
      <c r="J1421" s="3"/>
      <c r="K1421" s="8"/>
      <c r="L1421" s="8"/>
      <c r="M1421" s="8"/>
      <c r="N1421" s="13"/>
      <c r="O1421" s="9"/>
      <c r="P1421" s="20"/>
      <c r="Q1421" s="20"/>
      <c r="R1421" s="20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</row>
    <row r="1422" spans="4:49" ht="15" thickBot="1" x14ac:dyDescent="0.35">
      <c r="D1422" s="2">
        <f t="shared" si="62"/>
        <v>1416</v>
      </c>
      <c r="E1422" s="6">
        <v>5.1870385824636474</v>
      </c>
      <c r="F1422" s="24"/>
      <c r="G1422" s="24"/>
      <c r="H1422" s="24"/>
      <c r="I1422" s="24"/>
      <c r="J1422" s="3"/>
      <c r="K1422" s="8"/>
      <c r="L1422" s="8"/>
      <c r="M1422" s="8"/>
      <c r="N1422" s="13"/>
      <c r="O1422" s="9"/>
      <c r="P1422" s="20"/>
      <c r="Q1422" s="20"/>
      <c r="R1422" s="20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</row>
    <row r="1423" spans="4:49" ht="15" thickBot="1" x14ac:dyDescent="0.35">
      <c r="D1423" s="2">
        <f t="shared" si="62"/>
        <v>1417</v>
      </c>
      <c r="E1423" s="6">
        <v>0.98658937352195664</v>
      </c>
      <c r="F1423" s="24"/>
      <c r="G1423" s="24"/>
      <c r="H1423" s="24"/>
      <c r="I1423" s="24"/>
      <c r="J1423" s="3"/>
      <c r="K1423" s="8"/>
      <c r="L1423" s="8"/>
      <c r="M1423" s="8"/>
      <c r="N1423" s="13"/>
      <c r="O1423" s="9"/>
      <c r="P1423" s="20"/>
      <c r="Q1423" s="20"/>
      <c r="R1423" s="20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</row>
    <row r="1424" spans="4:49" ht="15" thickBot="1" x14ac:dyDescent="0.35">
      <c r="D1424" s="2">
        <f t="shared" si="62"/>
        <v>1418</v>
      </c>
      <c r="E1424" s="6">
        <v>18.044223039175098</v>
      </c>
      <c r="F1424" s="24"/>
      <c r="G1424" s="24"/>
      <c r="H1424" s="24"/>
      <c r="I1424" s="24"/>
      <c r="J1424" s="3"/>
      <c r="K1424" s="8"/>
      <c r="L1424" s="8"/>
      <c r="M1424" s="8"/>
      <c r="N1424" s="13"/>
      <c r="O1424" s="9"/>
      <c r="P1424" s="20"/>
      <c r="Q1424" s="20"/>
      <c r="R1424" s="20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</row>
    <row r="1425" spans="4:49" ht="15" thickBot="1" x14ac:dyDescent="0.35">
      <c r="D1425" s="2">
        <f t="shared" si="62"/>
        <v>1419</v>
      </c>
      <c r="E1425" s="6">
        <v>0.28305386870630145</v>
      </c>
      <c r="F1425" s="24"/>
      <c r="G1425" s="24"/>
      <c r="H1425" s="24"/>
      <c r="I1425" s="24"/>
      <c r="J1425" s="3"/>
      <c r="K1425" s="8"/>
      <c r="L1425" s="8"/>
      <c r="M1425" s="8"/>
      <c r="N1425" s="13"/>
      <c r="O1425" s="9"/>
      <c r="P1425" s="20"/>
      <c r="Q1425" s="20"/>
      <c r="R1425" s="20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</row>
    <row r="1426" spans="4:49" ht="15" thickBot="1" x14ac:dyDescent="0.35">
      <c r="D1426" s="2">
        <f t="shared" si="62"/>
        <v>1420</v>
      </c>
      <c r="E1426" s="6">
        <v>0.25223427610487359</v>
      </c>
      <c r="F1426" s="24"/>
      <c r="G1426" s="24"/>
      <c r="H1426" s="24"/>
      <c r="I1426" s="24"/>
      <c r="J1426" s="3"/>
      <c r="K1426" s="8"/>
      <c r="L1426" s="8"/>
      <c r="M1426" s="8"/>
      <c r="N1426" s="13"/>
      <c r="O1426" s="9"/>
      <c r="P1426" s="20"/>
      <c r="Q1426" s="20"/>
      <c r="R1426" s="20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</row>
    <row r="1427" spans="4:49" ht="15" thickBot="1" x14ac:dyDescent="0.35">
      <c r="D1427" s="2">
        <f t="shared" si="62"/>
        <v>1421</v>
      </c>
      <c r="E1427" s="6">
        <v>0.40238024578470577</v>
      </c>
      <c r="F1427" s="24"/>
      <c r="G1427" s="24"/>
      <c r="H1427" s="24"/>
      <c r="I1427" s="24"/>
      <c r="J1427" s="3"/>
      <c r="K1427" s="8"/>
      <c r="L1427" s="8"/>
      <c r="M1427" s="8"/>
      <c r="N1427" s="13"/>
      <c r="O1427" s="9"/>
      <c r="P1427" s="20"/>
      <c r="Q1427" s="20"/>
      <c r="R1427" s="20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</row>
    <row r="1428" spans="4:49" ht="15" thickBot="1" x14ac:dyDescent="0.35">
      <c r="D1428" s="2">
        <f t="shared" si="62"/>
        <v>1422</v>
      </c>
      <c r="E1428" s="6">
        <v>1.2574131510402258</v>
      </c>
      <c r="F1428" s="24"/>
      <c r="G1428" s="24"/>
      <c r="H1428" s="24"/>
      <c r="I1428" s="24"/>
      <c r="J1428" s="3"/>
      <c r="K1428" s="8"/>
      <c r="L1428" s="8"/>
      <c r="M1428" s="8"/>
      <c r="N1428" s="13"/>
      <c r="O1428" s="9"/>
      <c r="P1428" s="20"/>
      <c r="Q1428" s="20"/>
      <c r="R1428" s="20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</row>
    <row r="1429" spans="4:49" ht="15" thickBot="1" x14ac:dyDescent="0.35">
      <c r="D1429" s="2">
        <f t="shared" si="62"/>
        <v>1423</v>
      </c>
      <c r="E1429" s="6">
        <v>1.1594047039907169</v>
      </c>
      <c r="F1429" s="24"/>
      <c r="G1429" s="24"/>
      <c r="H1429" s="24"/>
      <c r="I1429" s="24"/>
      <c r="J1429" s="3"/>
      <c r="K1429" s="8"/>
      <c r="L1429" s="8"/>
      <c r="M1429" s="8"/>
      <c r="N1429" s="13"/>
      <c r="O1429" s="9"/>
      <c r="P1429" s="20"/>
      <c r="Q1429" s="20"/>
      <c r="R1429" s="20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</row>
    <row r="1430" spans="4:49" ht="15" thickBot="1" x14ac:dyDescent="0.35">
      <c r="D1430" s="2">
        <f t="shared" si="62"/>
        <v>1424</v>
      </c>
      <c r="E1430" s="6">
        <v>4.047578944896598</v>
      </c>
      <c r="F1430" s="24"/>
      <c r="G1430" s="24"/>
      <c r="H1430" s="24"/>
      <c r="I1430" s="24"/>
      <c r="J1430" s="3"/>
      <c r="K1430" s="8"/>
      <c r="L1430" s="8"/>
      <c r="M1430" s="8"/>
      <c r="N1430" s="13"/>
      <c r="O1430" s="9"/>
      <c r="P1430" s="20"/>
      <c r="Q1430" s="20"/>
      <c r="R1430" s="20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</row>
    <row r="1431" spans="4:49" ht="15" thickBot="1" x14ac:dyDescent="0.35">
      <c r="D1431" s="2">
        <f t="shared" si="62"/>
        <v>1425</v>
      </c>
      <c r="E1431" s="6">
        <v>0.22412927688913153</v>
      </c>
      <c r="F1431" s="24"/>
      <c r="G1431" s="24"/>
      <c r="H1431" s="24"/>
      <c r="I1431" s="24"/>
      <c r="J1431" s="3"/>
      <c r="K1431" s="8"/>
      <c r="L1431" s="8"/>
      <c r="M1431" s="8"/>
      <c r="N1431" s="13"/>
      <c r="O1431" s="9"/>
      <c r="P1431" s="20"/>
      <c r="Q1431" s="20"/>
      <c r="R1431" s="20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</row>
    <row r="1432" spans="4:49" ht="15" thickBot="1" x14ac:dyDescent="0.35">
      <c r="D1432" s="2">
        <f t="shared" si="62"/>
        <v>1426</v>
      </c>
      <c r="E1432" s="6">
        <v>7.6168561538685893</v>
      </c>
      <c r="F1432" s="24"/>
      <c r="G1432" s="24"/>
      <c r="H1432" s="24"/>
      <c r="I1432" s="24"/>
      <c r="J1432" s="3"/>
      <c r="K1432" s="8"/>
      <c r="L1432" s="8"/>
      <c r="M1432" s="8"/>
      <c r="N1432" s="13"/>
      <c r="O1432" s="9"/>
      <c r="P1432" s="20"/>
      <c r="Q1432" s="20"/>
      <c r="R1432" s="20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</row>
    <row r="1433" spans="4:49" ht="15" thickBot="1" x14ac:dyDescent="0.35">
      <c r="D1433" s="2">
        <f t="shared" si="62"/>
        <v>1427</v>
      </c>
      <c r="E1433" s="6">
        <v>2.9118373059036791</v>
      </c>
      <c r="F1433" s="24"/>
      <c r="G1433" s="24"/>
      <c r="H1433" s="24"/>
      <c r="I1433" s="24"/>
      <c r="J1433" s="3"/>
      <c r="K1433" s="8"/>
      <c r="L1433" s="8"/>
      <c r="M1433" s="8"/>
      <c r="N1433" s="13"/>
      <c r="O1433" s="9"/>
      <c r="P1433" s="20"/>
      <c r="Q1433" s="20"/>
      <c r="R1433" s="20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</row>
    <row r="1434" spans="4:49" ht="15" thickBot="1" x14ac:dyDescent="0.35">
      <c r="D1434" s="2">
        <f t="shared" si="62"/>
        <v>1428</v>
      </c>
      <c r="E1434" s="6">
        <v>4.8637668948200368</v>
      </c>
      <c r="F1434" s="24"/>
      <c r="G1434" s="24"/>
      <c r="H1434" s="24"/>
      <c r="I1434" s="24"/>
      <c r="J1434" s="3"/>
      <c r="K1434" s="8"/>
      <c r="L1434" s="8"/>
      <c r="M1434" s="8"/>
      <c r="N1434" s="13"/>
      <c r="O1434" s="9"/>
      <c r="P1434" s="20"/>
      <c r="Q1434" s="20"/>
      <c r="R1434" s="20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</row>
    <row r="1435" spans="4:49" ht="15" thickBot="1" x14ac:dyDescent="0.35">
      <c r="D1435" s="2">
        <f t="shared" si="62"/>
        <v>1429</v>
      </c>
      <c r="E1435" s="6">
        <v>4.3089518232280453</v>
      </c>
      <c r="F1435" s="24"/>
      <c r="G1435" s="24"/>
      <c r="H1435" s="24"/>
      <c r="I1435" s="24"/>
      <c r="J1435" s="3"/>
      <c r="K1435" s="8"/>
      <c r="L1435" s="8"/>
      <c r="M1435" s="8"/>
      <c r="N1435" s="13"/>
      <c r="O1435" s="9"/>
      <c r="P1435" s="20"/>
      <c r="Q1435" s="20"/>
      <c r="R1435" s="20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</row>
    <row r="1436" spans="4:49" ht="15" thickBot="1" x14ac:dyDescent="0.35">
      <c r="D1436" s="2">
        <f t="shared" si="62"/>
        <v>1430</v>
      </c>
      <c r="E1436" s="6">
        <v>1.6008718696055049</v>
      </c>
      <c r="F1436" s="24"/>
      <c r="G1436" s="24"/>
      <c r="H1436" s="24"/>
      <c r="I1436" s="24"/>
      <c r="J1436" s="3"/>
      <c r="K1436" s="8"/>
      <c r="L1436" s="8"/>
      <c r="M1436" s="8"/>
      <c r="N1436" s="13"/>
      <c r="O1436" s="9"/>
      <c r="P1436" s="20"/>
      <c r="Q1436" s="20"/>
      <c r="R1436" s="20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</row>
    <row r="1437" spans="4:49" ht="15" thickBot="1" x14ac:dyDescent="0.35">
      <c r="D1437" s="2">
        <f t="shared" si="62"/>
        <v>1431</v>
      </c>
      <c r="E1437" s="6">
        <v>2.5681286720271124</v>
      </c>
      <c r="F1437" s="24"/>
      <c r="G1437" s="24"/>
      <c r="H1437" s="24"/>
      <c r="I1437" s="24"/>
      <c r="J1437" s="3"/>
      <c r="K1437" s="8"/>
      <c r="L1437" s="8"/>
      <c r="M1437" s="8"/>
      <c r="N1437" s="13"/>
      <c r="O1437" s="9"/>
      <c r="P1437" s="20"/>
      <c r="Q1437" s="20"/>
      <c r="R1437" s="20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</row>
    <row r="1438" spans="4:49" ht="15" thickBot="1" x14ac:dyDescent="0.35">
      <c r="D1438" s="2">
        <f t="shared" si="62"/>
        <v>1432</v>
      </c>
      <c r="E1438" s="6">
        <v>2.5914841008012273</v>
      </c>
      <c r="F1438" s="24"/>
      <c r="G1438" s="24"/>
      <c r="H1438" s="24"/>
      <c r="I1438" s="24"/>
      <c r="J1438" s="3"/>
      <c r="K1438" s="8"/>
      <c r="L1438" s="8"/>
      <c r="M1438" s="8"/>
      <c r="N1438" s="13"/>
      <c r="O1438" s="9"/>
      <c r="P1438" s="20"/>
      <c r="Q1438" s="20"/>
      <c r="R1438" s="20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</row>
    <row r="1439" spans="4:49" ht="15" thickBot="1" x14ac:dyDescent="0.35">
      <c r="D1439" s="2">
        <f t="shared" si="62"/>
        <v>1433</v>
      </c>
      <c r="E1439" s="6">
        <v>0.98783957349803009</v>
      </c>
      <c r="F1439" s="24"/>
      <c r="G1439" s="24"/>
      <c r="H1439" s="24"/>
      <c r="I1439" s="24"/>
      <c r="J1439" s="3"/>
      <c r="K1439" s="8"/>
      <c r="L1439" s="8"/>
      <c r="M1439" s="8"/>
      <c r="N1439" s="13"/>
      <c r="O1439" s="9"/>
      <c r="P1439" s="20"/>
      <c r="Q1439" s="20"/>
      <c r="R1439" s="20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</row>
    <row r="1440" spans="4:49" ht="15" thickBot="1" x14ac:dyDescent="0.35">
      <c r="D1440" s="2">
        <f t="shared" si="62"/>
        <v>1434</v>
      </c>
      <c r="E1440" s="6">
        <v>4.9839447577198293</v>
      </c>
      <c r="F1440" s="24"/>
      <c r="G1440" s="24"/>
      <c r="H1440" s="24"/>
      <c r="I1440" s="24"/>
      <c r="J1440" s="3"/>
      <c r="K1440" s="8"/>
      <c r="L1440" s="8"/>
      <c r="M1440" s="8"/>
      <c r="N1440" s="13"/>
      <c r="O1440" s="9"/>
      <c r="P1440" s="20"/>
      <c r="Q1440" s="20"/>
      <c r="R1440" s="20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</row>
    <row r="1441" spans="4:49" ht="15" thickBot="1" x14ac:dyDescent="0.35">
      <c r="D1441" s="2">
        <f t="shared" si="62"/>
        <v>1435</v>
      </c>
      <c r="E1441" s="6">
        <v>0.1356553759977891</v>
      </c>
      <c r="F1441" s="24"/>
      <c r="G1441" s="24"/>
      <c r="H1441" s="24"/>
      <c r="I1441" s="24"/>
      <c r="J1441" s="3"/>
      <c r="K1441" s="8"/>
      <c r="L1441" s="8"/>
      <c r="M1441" s="8"/>
      <c r="N1441" s="13"/>
      <c r="O1441" s="9"/>
      <c r="P1441" s="20"/>
      <c r="Q1441" s="20"/>
      <c r="R1441" s="20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</row>
    <row r="1442" spans="4:49" ht="15" thickBot="1" x14ac:dyDescent="0.35">
      <c r="D1442" s="2">
        <f t="shared" si="62"/>
        <v>1436</v>
      </c>
      <c r="E1442" s="6">
        <v>0.61731552211953511</v>
      </c>
      <c r="F1442" s="24"/>
      <c r="G1442" s="24"/>
      <c r="H1442" s="24"/>
      <c r="I1442" s="24"/>
      <c r="J1442" s="3"/>
      <c r="K1442" s="8"/>
      <c r="L1442" s="8"/>
      <c r="M1442" s="8"/>
      <c r="N1442" s="13"/>
      <c r="O1442" s="9"/>
      <c r="P1442" s="20"/>
      <c r="Q1442" s="20"/>
      <c r="R1442" s="20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</row>
    <row r="1443" spans="4:49" ht="15" thickBot="1" x14ac:dyDescent="0.35">
      <c r="D1443" s="2">
        <f t="shared" si="62"/>
        <v>1437</v>
      </c>
      <c r="E1443" s="6">
        <v>9.8919221742933079</v>
      </c>
      <c r="F1443" s="24"/>
      <c r="G1443" s="24"/>
      <c r="H1443" s="24"/>
      <c r="I1443" s="24"/>
      <c r="J1443" s="3"/>
      <c r="K1443" s="8"/>
      <c r="L1443" s="8"/>
      <c r="M1443" s="8"/>
      <c r="N1443" s="13"/>
      <c r="O1443" s="9"/>
      <c r="P1443" s="20"/>
      <c r="Q1443" s="20"/>
      <c r="R1443" s="20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</row>
    <row r="1444" spans="4:49" ht="15" thickBot="1" x14ac:dyDescent="0.35">
      <c r="D1444" s="2">
        <f t="shared" si="62"/>
        <v>1438</v>
      </c>
      <c r="E1444" s="6">
        <v>11.098817732857455</v>
      </c>
      <c r="F1444" s="24"/>
      <c r="G1444" s="24"/>
      <c r="H1444" s="24"/>
      <c r="I1444" s="24"/>
      <c r="J1444" s="3"/>
      <c r="K1444" s="8"/>
      <c r="L1444" s="8"/>
      <c r="M1444" s="8"/>
      <c r="N1444" s="13"/>
      <c r="O1444" s="9"/>
      <c r="P1444" s="20"/>
      <c r="Q1444" s="20"/>
      <c r="R1444" s="20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</row>
    <row r="1445" spans="4:49" ht="15" thickBot="1" x14ac:dyDescent="0.35">
      <c r="D1445" s="2">
        <f t="shared" si="62"/>
        <v>1439</v>
      </c>
      <c r="E1445" s="6">
        <v>2.932992408016847</v>
      </c>
      <c r="F1445" s="24"/>
      <c r="G1445" s="24"/>
      <c r="H1445" s="24"/>
      <c r="I1445" s="24"/>
      <c r="J1445" s="3"/>
      <c r="K1445" s="8"/>
      <c r="L1445" s="8"/>
      <c r="M1445" s="8"/>
      <c r="N1445" s="13"/>
      <c r="O1445" s="9"/>
      <c r="P1445" s="20"/>
      <c r="Q1445" s="20"/>
      <c r="R1445" s="20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</row>
    <row r="1446" spans="4:49" ht="15" thickBot="1" x14ac:dyDescent="0.35">
      <c r="D1446" s="2">
        <f t="shared" si="62"/>
        <v>1440</v>
      </c>
      <c r="E1446" s="6">
        <v>11.744480386890411</v>
      </c>
      <c r="F1446" s="24"/>
      <c r="G1446" s="24"/>
      <c r="H1446" s="24"/>
      <c r="I1446" s="24"/>
      <c r="J1446" s="3"/>
      <c r="K1446" s="8"/>
      <c r="L1446" s="8"/>
      <c r="M1446" s="8"/>
      <c r="N1446" s="13"/>
      <c r="O1446" s="9"/>
      <c r="P1446" s="20"/>
      <c r="Q1446" s="20"/>
      <c r="R1446" s="20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</row>
    <row r="1447" spans="4:49" ht="15" thickBot="1" x14ac:dyDescent="0.35">
      <c r="D1447" s="2">
        <f t="shared" si="62"/>
        <v>1441</v>
      </c>
      <c r="E1447" s="6">
        <v>2.2303331439276537</v>
      </c>
      <c r="F1447" s="24"/>
      <c r="G1447" s="24"/>
      <c r="H1447" s="24"/>
      <c r="I1447" s="24"/>
      <c r="J1447" s="3"/>
      <c r="K1447" s="8"/>
      <c r="L1447" s="8"/>
      <c r="M1447" s="8"/>
      <c r="N1447" s="13"/>
      <c r="O1447" s="9"/>
      <c r="P1447" s="20"/>
      <c r="Q1447" s="20"/>
      <c r="R1447" s="20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</row>
    <row r="1448" spans="4:49" ht="15" thickBot="1" x14ac:dyDescent="0.35">
      <c r="D1448" s="2">
        <f t="shared" si="62"/>
        <v>1442</v>
      </c>
      <c r="E1448" s="6">
        <v>4.5634487149025329</v>
      </c>
      <c r="F1448" s="24"/>
      <c r="G1448" s="24"/>
      <c r="H1448" s="24"/>
      <c r="I1448" s="24"/>
      <c r="J1448" s="3"/>
      <c r="K1448" s="8"/>
      <c r="L1448" s="8"/>
      <c r="M1448" s="8"/>
      <c r="N1448" s="13"/>
      <c r="O1448" s="9"/>
      <c r="P1448" s="20"/>
      <c r="Q1448" s="20"/>
      <c r="R1448" s="20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</row>
    <row r="1449" spans="4:49" ht="15" thickBot="1" x14ac:dyDescent="0.35">
      <c r="D1449" s="2">
        <f t="shared" si="62"/>
        <v>1443</v>
      </c>
      <c r="E1449" s="6">
        <v>5.4646330295425631</v>
      </c>
      <c r="F1449" s="24"/>
      <c r="G1449" s="24"/>
      <c r="H1449" s="24"/>
      <c r="I1449" s="24"/>
      <c r="J1449" s="3"/>
      <c r="K1449" s="8"/>
      <c r="L1449" s="8"/>
      <c r="M1449" s="8"/>
      <c r="N1449" s="13"/>
      <c r="O1449" s="9"/>
      <c r="P1449" s="20"/>
      <c r="Q1449" s="20"/>
      <c r="R1449" s="20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</row>
    <row r="1450" spans="4:49" ht="15" thickBot="1" x14ac:dyDescent="0.35">
      <c r="D1450" s="2">
        <f t="shared" si="62"/>
        <v>1444</v>
      </c>
      <c r="E1450" s="6">
        <v>2.3526289232653337</v>
      </c>
      <c r="F1450" s="24"/>
      <c r="G1450" s="24"/>
      <c r="H1450" s="24"/>
      <c r="I1450" s="24"/>
      <c r="J1450" s="3"/>
      <c r="K1450" s="8"/>
      <c r="L1450" s="8"/>
      <c r="M1450" s="8"/>
      <c r="N1450" s="13"/>
      <c r="O1450" s="9"/>
      <c r="P1450" s="20"/>
      <c r="Q1450" s="20"/>
      <c r="R1450" s="20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</row>
    <row r="1451" spans="4:49" ht="15" thickBot="1" x14ac:dyDescent="0.35">
      <c r="D1451" s="2">
        <f t="shared" si="62"/>
        <v>1445</v>
      </c>
      <c r="E1451" s="6">
        <v>3.8684878630558432</v>
      </c>
      <c r="F1451" s="24"/>
      <c r="G1451" s="24"/>
      <c r="H1451" s="24"/>
      <c r="I1451" s="24"/>
      <c r="J1451" s="3"/>
      <c r="K1451" s="8"/>
      <c r="L1451" s="8"/>
      <c r="M1451" s="8"/>
      <c r="N1451" s="13"/>
      <c r="O1451" s="9"/>
      <c r="P1451" s="20"/>
      <c r="Q1451" s="20"/>
      <c r="R1451" s="20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</row>
    <row r="1452" spans="4:49" ht="15" thickBot="1" x14ac:dyDescent="0.35">
      <c r="D1452" s="2">
        <f t="shared" si="62"/>
        <v>1446</v>
      </c>
      <c r="E1452" s="6">
        <v>3.9469895365865395</v>
      </c>
      <c r="F1452" s="24"/>
      <c r="G1452" s="24"/>
      <c r="H1452" s="24"/>
      <c r="I1452" s="24"/>
      <c r="J1452" s="3"/>
      <c r="K1452" s="8"/>
      <c r="L1452" s="8"/>
      <c r="M1452" s="8"/>
      <c r="N1452" s="13"/>
      <c r="O1452" s="9"/>
      <c r="P1452" s="20"/>
      <c r="Q1452" s="20"/>
      <c r="R1452" s="20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</row>
    <row r="1453" spans="4:49" ht="15" thickBot="1" x14ac:dyDescent="0.35">
      <c r="D1453" s="2">
        <f t="shared" si="62"/>
        <v>1447</v>
      </c>
      <c r="E1453" s="6">
        <v>29.860734989700013</v>
      </c>
      <c r="F1453" s="24"/>
      <c r="G1453" s="24"/>
      <c r="H1453" s="24"/>
      <c r="I1453" s="24"/>
      <c r="J1453" s="3"/>
      <c r="K1453" s="8"/>
      <c r="L1453" s="8"/>
      <c r="M1453" s="8"/>
      <c r="N1453" s="13"/>
      <c r="O1453" s="9"/>
      <c r="P1453" s="20"/>
      <c r="Q1453" s="20"/>
      <c r="R1453" s="20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</row>
    <row r="1454" spans="4:49" ht="15" thickBot="1" x14ac:dyDescent="0.35">
      <c r="D1454" s="2">
        <f t="shared" si="62"/>
        <v>1448</v>
      </c>
      <c r="E1454" s="6">
        <v>1.5926304984700845</v>
      </c>
      <c r="F1454" s="24"/>
      <c r="G1454" s="24"/>
      <c r="H1454" s="24"/>
      <c r="I1454" s="24"/>
      <c r="J1454" s="3"/>
      <c r="K1454" s="8"/>
      <c r="L1454" s="8"/>
      <c r="M1454" s="8"/>
      <c r="N1454" s="13"/>
      <c r="O1454" s="9"/>
      <c r="P1454" s="20"/>
      <c r="Q1454" s="20"/>
      <c r="R1454" s="20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</row>
    <row r="1455" spans="4:49" ht="15" thickBot="1" x14ac:dyDescent="0.35">
      <c r="D1455" s="2">
        <f t="shared" si="62"/>
        <v>1449</v>
      </c>
      <c r="E1455" s="6">
        <v>3.9738690739615632</v>
      </c>
      <c r="F1455" s="24"/>
      <c r="G1455" s="24"/>
      <c r="H1455" s="24"/>
      <c r="I1455" s="24"/>
      <c r="J1455" s="3"/>
      <c r="K1455" s="8"/>
      <c r="L1455" s="8"/>
      <c r="M1455" s="8"/>
      <c r="N1455" s="13"/>
      <c r="O1455" s="9"/>
      <c r="P1455" s="20"/>
      <c r="Q1455" s="20"/>
      <c r="R1455" s="20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</row>
    <row r="1456" spans="4:49" ht="15" thickBot="1" x14ac:dyDescent="0.35">
      <c r="D1456" s="2">
        <f t="shared" si="62"/>
        <v>1450</v>
      </c>
      <c r="E1456" s="6">
        <v>5.0335209991578207</v>
      </c>
      <c r="F1456" s="24"/>
      <c r="G1456" s="24"/>
      <c r="H1456" s="24"/>
      <c r="I1456" s="24"/>
      <c r="J1456" s="3"/>
      <c r="K1456" s="8"/>
      <c r="L1456" s="8"/>
      <c r="M1456" s="8"/>
      <c r="N1456" s="13"/>
      <c r="O1456" s="9"/>
      <c r="P1456" s="20"/>
      <c r="Q1456" s="20"/>
      <c r="R1456" s="20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</row>
    <row r="1457" spans="4:49" ht="15" thickBot="1" x14ac:dyDescent="0.35">
      <c r="D1457" s="2">
        <f t="shared" si="62"/>
        <v>1451</v>
      </c>
      <c r="E1457" s="6">
        <v>3.2415217604056559</v>
      </c>
      <c r="F1457" s="24"/>
      <c r="G1457" s="24"/>
      <c r="H1457" s="24"/>
      <c r="I1457" s="24"/>
      <c r="J1457" s="3"/>
      <c r="K1457" s="8"/>
      <c r="L1457" s="8"/>
      <c r="M1457" s="8"/>
      <c r="N1457" s="13"/>
      <c r="O1457" s="9"/>
      <c r="P1457" s="20"/>
      <c r="Q1457" s="20"/>
      <c r="R1457" s="20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</row>
    <row r="1458" spans="4:49" ht="15" thickBot="1" x14ac:dyDescent="0.35">
      <c r="D1458" s="2">
        <f t="shared" si="62"/>
        <v>1452</v>
      </c>
      <c r="E1458" s="6">
        <v>0.95116851497173227</v>
      </c>
      <c r="F1458" s="24"/>
      <c r="G1458" s="24"/>
      <c r="H1458" s="24"/>
      <c r="I1458" s="24"/>
      <c r="J1458" s="3"/>
      <c r="K1458" s="8"/>
      <c r="L1458" s="8"/>
      <c r="M1458" s="8"/>
      <c r="N1458" s="13"/>
      <c r="O1458" s="9"/>
      <c r="P1458" s="20"/>
      <c r="Q1458" s="20"/>
      <c r="R1458" s="20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</row>
    <row r="1459" spans="4:49" ht="15" thickBot="1" x14ac:dyDescent="0.35">
      <c r="D1459" s="2">
        <f t="shared" si="62"/>
        <v>1453</v>
      </c>
      <c r="E1459" s="6">
        <v>0.3283952416752432</v>
      </c>
      <c r="F1459" s="24"/>
      <c r="G1459" s="24"/>
      <c r="H1459" s="24"/>
      <c r="I1459" s="24"/>
      <c r="J1459" s="3"/>
      <c r="K1459" s="8"/>
      <c r="L1459" s="8"/>
      <c r="M1459" s="8"/>
      <c r="N1459" s="13"/>
      <c r="O1459" s="9"/>
      <c r="P1459" s="20"/>
      <c r="Q1459" s="20"/>
      <c r="R1459" s="20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</row>
    <row r="1460" spans="4:49" ht="15" thickBot="1" x14ac:dyDescent="0.35">
      <c r="D1460" s="2">
        <f t="shared" si="62"/>
        <v>1454</v>
      </c>
      <c r="E1460" s="6">
        <v>4.3101356451153379</v>
      </c>
      <c r="F1460" s="24"/>
      <c r="G1460" s="24"/>
      <c r="H1460" s="24"/>
      <c r="I1460" s="24"/>
      <c r="J1460" s="3"/>
      <c r="K1460" s="8"/>
      <c r="L1460" s="8"/>
      <c r="M1460" s="8"/>
      <c r="N1460" s="13"/>
      <c r="O1460" s="9"/>
      <c r="P1460" s="20"/>
      <c r="Q1460" s="20"/>
      <c r="R1460" s="20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</row>
    <row r="1461" spans="4:49" ht="15" thickBot="1" x14ac:dyDescent="0.35">
      <c r="D1461" s="2">
        <f t="shared" si="62"/>
        <v>1455</v>
      </c>
      <c r="E1461" s="6">
        <v>12.588224771212333</v>
      </c>
      <c r="F1461" s="24"/>
      <c r="G1461" s="24"/>
      <c r="H1461" s="24"/>
      <c r="I1461" s="24"/>
      <c r="J1461" s="3"/>
      <c r="K1461" s="8"/>
      <c r="L1461" s="8"/>
      <c r="M1461" s="8"/>
      <c r="N1461" s="13"/>
      <c r="O1461" s="9"/>
      <c r="P1461" s="20"/>
      <c r="Q1461" s="20"/>
      <c r="R1461" s="20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</row>
    <row r="1462" spans="4:49" ht="15" thickBot="1" x14ac:dyDescent="0.35">
      <c r="D1462" s="2">
        <f t="shared" si="62"/>
        <v>1456</v>
      </c>
      <c r="E1462" s="6">
        <v>9.8375270184284762</v>
      </c>
      <c r="F1462" s="24"/>
      <c r="G1462" s="24"/>
      <c r="H1462" s="24"/>
      <c r="I1462" s="24"/>
      <c r="J1462" s="3"/>
      <c r="K1462" s="8"/>
      <c r="L1462" s="8"/>
      <c r="M1462" s="8"/>
      <c r="N1462" s="13"/>
      <c r="O1462" s="9"/>
      <c r="P1462" s="20"/>
      <c r="Q1462" s="20"/>
      <c r="R1462" s="20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</row>
    <row r="1463" spans="4:49" ht="15" thickBot="1" x14ac:dyDescent="0.35">
      <c r="D1463" s="2">
        <f t="shared" si="62"/>
        <v>1457</v>
      </c>
      <c r="E1463" s="6">
        <v>11.402584666559406</v>
      </c>
      <c r="F1463" s="24"/>
      <c r="G1463" s="24"/>
      <c r="H1463" s="24"/>
      <c r="I1463" s="24"/>
      <c r="J1463" s="3"/>
      <c r="K1463" s="8"/>
      <c r="L1463" s="8"/>
      <c r="M1463" s="8"/>
      <c r="N1463" s="13"/>
      <c r="O1463" s="9"/>
      <c r="P1463" s="20"/>
      <c r="Q1463" s="20"/>
      <c r="R1463" s="20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</row>
    <row r="1464" spans="4:49" ht="15" thickBot="1" x14ac:dyDescent="0.35">
      <c r="D1464" s="2">
        <f t="shared" si="62"/>
        <v>1458</v>
      </c>
      <c r="E1464" s="6">
        <v>0.28360631506490452</v>
      </c>
      <c r="F1464" s="24"/>
      <c r="G1464" s="24"/>
      <c r="H1464" s="24"/>
      <c r="I1464" s="24"/>
      <c r="J1464" s="3"/>
      <c r="K1464" s="8"/>
      <c r="L1464" s="8"/>
      <c r="M1464" s="8"/>
      <c r="N1464" s="13"/>
      <c r="O1464" s="9"/>
      <c r="P1464" s="20"/>
      <c r="Q1464" s="20"/>
      <c r="R1464" s="20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</row>
    <row r="1465" spans="4:49" ht="15" thickBot="1" x14ac:dyDescent="0.35">
      <c r="D1465" s="2">
        <f t="shared" si="62"/>
        <v>1459</v>
      </c>
      <c r="E1465" s="6">
        <v>6.1124284315045214</v>
      </c>
      <c r="F1465" s="24"/>
      <c r="G1465" s="24"/>
      <c r="H1465" s="24"/>
      <c r="I1465" s="24"/>
      <c r="J1465" s="3"/>
      <c r="K1465" s="8"/>
      <c r="L1465" s="8"/>
      <c r="M1465" s="8"/>
      <c r="N1465" s="13"/>
      <c r="O1465" s="9"/>
      <c r="P1465" s="20"/>
      <c r="Q1465" s="20"/>
      <c r="R1465" s="20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</row>
    <row r="1466" spans="4:49" ht="15" thickBot="1" x14ac:dyDescent="0.35">
      <c r="D1466" s="2">
        <f t="shared" si="62"/>
        <v>1460</v>
      </c>
      <c r="E1466" s="6">
        <v>0.29931357035177286</v>
      </c>
      <c r="F1466" s="24"/>
      <c r="G1466" s="24"/>
      <c r="H1466" s="24"/>
      <c r="I1466" s="24"/>
      <c r="J1466" s="3"/>
      <c r="K1466" s="8"/>
      <c r="L1466" s="8"/>
      <c r="M1466" s="8"/>
      <c r="N1466" s="13"/>
      <c r="O1466" s="9"/>
      <c r="P1466" s="20"/>
      <c r="Q1466" s="20"/>
      <c r="R1466" s="20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</row>
    <row r="1467" spans="4:49" ht="15" thickBot="1" x14ac:dyDescent="0.35">
      <c r="D1467" s="2">
        <f t="shared" si="62"/>
        <v>1461</v>
      </c>
      <c r="E1467" s="6">
        <v>2.121250495386231</v>
      </c>
      <c r="F1467" s="24"/>
      <c r="G1467" s="24"/>
      <c r="H1467" s="24"/>
      <c r="I1467" s="24"/>
      <c r="J1467" s="3"/>
      <c r="K1467" s="8"/>
      <c r="L1467" s="8"/>
      <c r="M1467" s="8"/>
      <c r="N1467" s="13"/>
      <c r="O1467" s="9"/>
      <c r="P1467" s="20"/>
      <c r="Q1467" s="20"/>
      <c r="R1467" s="20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</row>
    <row r="1468" spans="4:49" ht="15" thickBot="1" x14ac:dyDescent="0.35">
      <c r="D1468" s="2">
        <f t="shared" si="62"/>
        <v>1462</v>
      </c>
      <c r="E1468" s="6">
        <v>5.8094507907326776</v>
      </c>
      <c r="F1468" s="24"/>
      <c r="G1468" s="24"/>
      <c r="H1468" s="24"/>
      <c r="I1468" s="24"/>
      <c r="J1468" s="3"/>
      <c r="K1468" s="8"/>
      <c r="L1468" s="8"/>
      <c r="M1468" s="8"/>
      <c r="N1468" s="13"/>
      <c r="O1468" s="9"/>
      <c r="P1468" s="20"/>
      <c r="Q1468" s="20"/>
      <c r="R1468" s="20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</row>
    <row r="1469" spans="4:49" ht="15" thickBot="1" x14ac:dyDescent="0.35">
      <c r="D1469" s="2">
        <f t="shared" si="62"/>
        <v>1463</v>
      </c>
      <c r="E1469" s="6">
        <v>4.6835561542699296</v>
      </c>
      <c r="F1469" s="24"/>
      <c r="G1469" s="24"/>
      <c r="H1469" s="24"/>
      <c r="I1469" s="24"/>
      <c r="J1469" s="3"/>
      <c r="K1469" s="8"/>
      <c r="L1469" s="8"/>
      <c r="M1469" s="8"/>
      <c r="N1469" s="13"/>
      <c r="O1469" s="9"/>
      <c r="P1469" s="20"/>
      <c r="Q1469" s="20"/>
      <c r="R1469" s="20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</row>
    <row r="1470" spans="4:49" ht="15" thickBot="1" x14ac:dyDescent="0.35">
      <c r="D1470" s="2">
        <f t="shared" si="62"/>
        <v>1464</v>
      </c>
      <c r="E1470" s="6">
        <v>4.2199969658677121</v>
      </c>
      <c r="F1470" s="24"/>
      <c r="G1470" s="24"/>
      <c r="H1470" s="24"/>
      <c r="I1470" s="24"/>
      <c r="J1470" s="3"/>
      <c r="K1470" s="8"/>
      <c r="L1470" s="8"/>
      <c r="M1470" s="8"/>
      <c r="N1470" s="13"/>
      <c r="O1470" s="9"/>
      <c r="P1470" s="20"/>
      <c r="Q1470" s="20"/>
      <c r="R1470" s="20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</row>
    <row r="1471" spans="4:49" ht="15" thickBot="1" x14ac:dyDescent="0.35">
      <c r="D1471" s="2">
        <f t="shared" si="62"/>
        <v>1465</v>
      </c>
      <c r="E1471" s="6">
        <v>3.0535549563507391</v>
      </c>
      <c r="F1471" s="24"/>
      <c r="G1471" s="24"/>
      <c r="H1471" s="24"/>
      <c r="I1471" s="24"/>
      <c r="J1471" s="3"/>
      <c r="K1471" s="8"/>
      <c r="L1471" s="8"/>
      <c r="M1471" s="8"/>
      <c r="N1471" s="13"/>
      <c r="O1471" s="9"/>
      <c r="P1471" s="20"/>
      <c r="Q1471" s="20"/>
      <c r="R1471" s="20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</row>
    <row r="1472" spans="4:49" ht="15" thickBot="1" x14ac:dyDescent="0.35">
      <c r="D1472" s="2">
        <f t="shared" si="62"/>
        <v>1466</v>
      </c>
      <c r="E1472" s="6">
        <v>24.533146617857344</v>
      </c>
      <c r="F1472" s="24"/>
      <c r="G1472" s="24"/>
      <c r="H1472" s="24"/>
      <c r="I1472" s="24"/>
      <c r="J1472" s="3"/>
      <c r="K1472" s="8"/>
      <c r="L1472" s="8"/>
      <c r="M1472" s="8"/>
      <c r="N1472" s="13"/>
      <c r="O1472" s="9"/>
      <c r="P1472" s="20"/>
      <c r="Q1472" s="20"/>
      <c r="R1472" s="20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</row>
    <row r="1473" spans="4:49" ht="15" thickBot="1" x14ac:dyDescent="0.35">
      <c r="D1473" s="2">
        <f t="shared" si="62"/>
        <v>1467</v>
      </c>
      <c r="E1473" s="6">
        <v>0.22832282469367104</v>
      </c>
      <c r="F1473" s="24"/>
      <c r="G1473" s="24"/>
      <c r="H1473" s="24"/>
      <c r="I1473" s="24"/>
      <c r="J1473" s="3"/>
      <c r="K1473" s="8"/>
      <c r="L1473" s="8"/>
      <c r="M1473" s="8"/>
      <c r="N1473" s="13"/>
      <c r="O1473" s="9"/>
      <c r="P1473" s="20"/>
      <c r="Q1473" s="20"/>
      <c r="R1473" s="20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</row>
    <row r="1474" spans="4:49" ht="15" thickBot="1" x14ac:dyDescent="0.35">
      <c r="D1474" s="2">
        <f t="shared" si="62"/>
        <v>1468</v>
      </c>
      <c r="E1474" s="6">
        <v>6.3810142827760696</v>
      </c>
      <c r="F1474" s="24"/>
      <c r="G1474" s="24"/>
      <c r="H1474" s="24"/>
      <c r="I1474" s="24"/>
      <c r="J1474" s="3"/>
      <c r="K1474" s="8"/>
      <c r="L1474" s="8"/>
      <c r="M1474" s="8"/>
      <c r="N1474" s="13"/>
      <c r="O1474" s="9"/>
      <c r="P1474" s="20"/>
      <c r="Q1474" s="20"/>
      <c r="R1474" s="20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</row>
    <row r="1475" spans="4:49" ht="15" thickBot="1" x14ac:dyDescent="0.35">
      <c r="D1475" s="2">
        <f t="shared" si="62"/>
        <v>1469</v>
      </c>
      <c r="E1475" s="6">
        <v>9.5335981900828966</v>
      </c>
      <c r="F1475" s="24"/>
      <c r="G1475" s="24"/>
      <c r="H1475" s="24"/>
      <c r="I1475" s="24"/>
      <c r="J1475" s="3"/>
      <c r="K1475" s="8"/>
      <c r="L1475" s="8"/>
      <c r="M1475" s="8"/>
      <c r="N1475" s="13"/>
      <c r="O1475" s="9"/>
      <c r="P1475" s="20"/>
      <c r="Q1475" s="20"/>
      <c r="R1475" s="20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</row>
    <row r="1476" spans="4:49" ht="15" thickBot="1" x14ac:dyDescent="0.35">
      <c r="D1476" s="2">
        <f t="shared" si="62"/>
        <v>1470</v>
      </c>
      <c r="E1476" s="6">
        <v>0.49657580865133849</v>
      </c>
      <c r="F1476" s="24"/>
      <c r="G1476" s="24"/>
      <c r="H1476" s="24"/>
      <c r="I1476" s="24"/>
      <c r="J1476" s="3"/>
      <c r="K1476" s="8"/>
      <c r="L1476" s="8"/>
      <c r="M1476" s="8"/>
      <c r="N1476" s="13"/>
      <c r="O1476" s="9"/>
      <c r="P1476" s="20"/>
      <c r="Q1476" s="20"/>
      <c r="R1476" s="20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</row>
    <row r="1477" spans="4:49" ht="15" thickBot="1" x14ac:dyDescent="0.35">
      <c r="D1477" s="2">
        <f t="shared" si="62"/>
        <v>1471</v>
      </c>
      <c r="E1477" s="6">
        <v>1.4251127120535103</v>
      </c>
      <c r="F1477" s="24"/>
      <c r="G1477" s="24"/>
      <c r="H1477" s="24"/>
      <c r="I1477" s="24"/>
      <c r="J1477" s="3"/>
      <c r="K1477" s="8"/>
      <c r="L1477" s="8"/>
      <c r="M1477" s="8"/>
      <c r="N1477" s="13"/>
      <c r="O1477" s="9"/>
      <c r="P1477" s="20"/>
      <c r="Q1477" s="20"/>
      <c r="R1477" s="20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</row>
    <row r="1478" spans="4:49" ht="15" thickBot="1" x14ac:dyDescent="0.35">
      <c r="D1478" s="2">
        <f t="shared" si="62"/>
        <v>1472</v>
      </c>
      <c r="E1478" s="6">
        <v>0.80985224493650365</v>
      </c>
      <c r="F1478" s="24"/>
      <c r="G1478" s="24"/>
      <c r="H1478" s="24"/>
      <c r="I1478" s="24"/>
      <c r="J1478" s="3"/>
      <c r="K1478" s="8"/>
      <c r="L1478" s="8"/>
      <c r="M1478" s="8"/>
      <c r="N1478" s="13"/>
      <c r="O1478" s="9"/>
      <c r="P1478" s="20"/>
      <c r="Q1478" s="20"/>
      <c r="R1478" s="20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</row>
    <row r="1479" spans="4:49" ht="15" thickBot="1" x14ac:dyDescent="0.35">
      <c r="D1479" s="2">
        <f t="shared" ref="D1479:D1542" si="63">ROW()-6</f>
        <v>1473</v>
      </c>
      <c r="E1479" s="6">
        <v>3.5298386923708396</v>
      </c>
      <c r="F1479" s="24"/>
      <c r="G1479" s="24"/>
      <c r="H1479" s="24"/>
      <c r="I1479" s="24"/>
      <c r="J1479" s="3"/>
      <c r="K1479" s="8"/>
      <c r="L1479" s="8"/>
      <c r="M1479" s="8"/>
      <c r="N1479" s="13"/>
      <c r="O1479" s="9"/>
      <c r="P1479" s="20"/>
      <c r="Q1479" s="20"/>
      <c r="R1479" s="20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</row>
    <row r="1480" spans="4:49" ht="15" thickBot="1" x14ac:dyDescent="0.35">
      <c r="D1480" s="2">
        <f t="shared" si="63"/>
        <v>1474</v>
      </c>
      <c r="E1480" s="6">
        <v>9.2375924740503983</v>
      </c>
      <c r="F1480" s="24"/>
      <c r="G1480" s="24"/>
      <c r="H1480" s="24"/>
      <c r="I1480" s="24"/>
      <c r="J1480" s="3"/>
      <c r="K1480" s="8"/>
      <c r="L1480" s="8"/>
      <c r="M1480" s="8"/>
      <c r="N1480" s="13"/>
      <c r="O1480" s="9"/>
      <c r="P1480" s="20"/>
      <c r="Q1480" s="20"/>
      <c r="R1480" s="20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</row>
    <row r="1481" spans="4:49" ht="15" thickBot="1" x14ac:dyDescent="0.35">
      <c r="D1481" s="2">
        <f t="shared" si="63"/>
        <v>1475</v>
      </c>
      <c r="E1481" s="6">
        <v>5.5583704353794001</v>
      </c>
      <c r="F1481" s="24"/>
      <c r="G1481" s="24"/>
      <c r="H1481" s="24"/>
      <c r="I1481" s="24"/>
      <c r="J1481" s="3"/>
      <c r="K1481" s="8"/>
      <c r="L1481" s="8"/>
      <c r="M1481" s="8"/>
      <c r="N1481" s="13"/>
      <c r="O1481" s="9"/>
      <c r="P1481" s="20"/>
      <c r="Q1481" s="20"/>
      <c r="R1481" s="20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</row>
    <row r="1482" spans="4:49" ht="15" thickBot="1" x14ac:dyDescent="0.35">
      <c r="D1482" s="2">
        <f t="shared" si="63"/>
        <v>1476</v>
      </c>
      <c r="E1482" s="6">
        <v>4.9585762411083945</v>
      </c>
      <c r="F1482" s="24"/>
      <c r="G1482" s="24"/>
      <c r="H1482" s="24"/>
      <c r="I1482" s="24"/>
      <c r="J1482" s="3"/>
      <c r="K1482" s="8"/>
      <c r="L1482" s="8"/>
      <c r="M1482" s="8"/>
      <c r="N1482" s="13"/>
      <c r="O1482" s="9"/>
      <c r="P1482" s="20"/>
      <c r="Q1482" s="20"/>
      <c r="R1482" s="20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</row>
    <row r="1483" spans="4:49" ht="15" thickBot="1" x14ac:dyDescent="0.35">
      <c r="D1483" s="2">
        <f t="shared" si="63"/>
        <v>1477</v>
      </c>
      <c r="E1483" s="6">
        <v>0.49043171435891875</v>
      </c>
      <c r="F1483" s="24"/>
      <c r="G1483" s="24"/>
      <c r="H1483" s="24"/>
      <c r="I1483" s="24"/>
      <c r="J1483" s="3"/>
      <c r="K1483" s="8"/>
      <c r="L1483" s="8"/>
      <c r="M1483" s="8"/>
      <c r="N1483" s="13"/>
      <c r="O1483" s="9"/>
      <c r="P1483" s="20"/>
      <c r="Q1483" s="20"/>
      <c r="R1483" s="20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</row>
    <row r="1484" spans="4:49" ht="15" thickBot="1" x14ac:dyDescent="0.35">
      <c r="D1484" s="2">
        <f t="shared" si="63"/>
        <v>1478</v>
      </c>
      <c r="E1484" s="6">
        <v>1.9016797249072503</v>
      </c>
      <c r="F1484" s="24"/>
      <c r="G1484" s="24"/>
      <c r="H1484" s="24"/>
      <c r="I1484" s="24"/>
      <c r="J1484" s="3"/>
      <c r="K1484" s="8"/>
      <c r="L1484" s="8"/>
      <c r="M1484" s="8"/>
      <c r="N1484" s="13"/>
      <c r="O1484" s="9"/>
      <c r="P1484" s="20"/>
      <c r="Q1484" s="20"/>
      <c r="R1484" s="20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</row>
    <row r="1485" spans="4:49" ht="15" thickBot="1" x14ac:dyDescent="0.35">
      <c r="D1485" s="2">
        <f t="shared" si="63"/>
        <v>1479</v>
      </c>
      <c r="E1485" s="6">
        <v>0.86318096849353665</v>
      </c>
      <c r="F1485" s="24"/>
      <c r="G1485" s="24"/>
      <c r="H1485" s="24"/>
      <c r="I1485" s="24"/>
      <c r="J1485" s="3"/>
      <c r="K1485" s="8"/>
      <c r="L1485" s="8"/>
      <c r="M1485" s="8"/>
      <c r="N1485" s="13"/>
      <c r="O1485" s="9"/>
      <c r="P1485" s="20"/>
      <c r="Q1485" s="20"/>
      <c r="R1485" s="20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</row>
    <row r="1486" spans="4:49" ht="15" thickBot="1" x14ac:dyDescent="0.35">
      <c r="D1486" s="2">
        <f t="shared" si="63"/>
        <v>1480</v>
      </c>
      <c r="E1486" s="6">
        <v>0.24342837812286339</v>
      </c>
      <c r="F1486" s="24"/>
      <c r="G1486" s="24"/>
      <c r="H1486" s="24"/>
      <c r="I1486" s="24"/>
      <c r="J1486" s="3"/>
      <c r="K1486" s="8"/>
      <c r="L1486" s="8"/>
      <c r="M1486" s="8"/>
      <c r="N1486" s="13"/>
      <c r="O1486" s="9"/>
      <c r="P1486" s="20"/>
      <c r="Q1486" s="20"/>
      <c r="R1486" s="20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</row>
    <row r="1487" spans="4:49" ht="15" thickBot="1" x14ac:dyDescent="0.35">
      <c r="D1487" s="2">
        <f t="shared" si="63"/>
        <v>1481</v>
      </c>
      <c r="E1487" s="6">
        <v>3.4879262966175486</v>
      </c>
      <c r="F1487" s="24"/>
      <c r="G1487" s="24"/>
      <c r="H1487" s="24"/>
      <c r="I1487" s="24"/>
      <c r="J1487" s="3"/>
      <c r="K1487" s="8"/>
      <c r="L1487" s="8"/>
      <c r="M1487" s="8"/>
      <c r="N1487" s="13"/>
      <c r="O1487" s="9"/>
      <c r="P1487" s="20"/>
      <c r="Q1487" s="20"/>
      <c r="R1487" s="20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</row>
    <row r="1488" spans="4:49" ht="15" thickBot="1" x14ac:dyDescent="0.35">
      <c r="D1488" s="2">
        <f t="shared" si="63"/>
        <v>1482</v>
      </c>
      <c r="E1488" s="6">
        <v>8.4241849743858719</v>
      </c>
      <c r="F1488" s="24"/>
      <c r="G1488" s="24"/>
      <c r="H1488" s="24"/>
      <c r="I1488" s="24"/>
      <c r="J1488" s="3"/>
      <c r="K1488" s="8"/>
      <c r="L1488" s="8"/>
      <c r="M1488" s="8"/>
      <c r="N1488" s="13"/>
      <c r="O1488" s="9"/>
      <c r="P1488" s="20"/>
      <c r="Q1488" s="20"/>
      <c r="R1488" s="20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</row>
    <row r="1489" spans="4:49" ht="15" thickBot="1" x14ac:dyDescent="0.35">
      <c r="D1489" s="2">
        <f t="shared" si="63"/>
        <v>1483</v>
      </c>
      <c r="E1489" s="6">
        <v>1.8668607433680187</v>
      </c>
      <c r="F1489" s="24"/>
      <c r="G1489" s="24"/>
      <c r="H1489" s="24"/>
      <c r="I1489" s="24"/>
      <c r="J1489" s="3"/>
      <c r="K1489" s="8"/>
      <c r="L1489" s="8"/>
      <c r="M1489" s="8"/>
      <c r="N1489" s="13"/>
      <c r="O1489" s="9"/>
      <c r="P1489" s="20"/>
      <c r="Q1489" s="20"/>
      <c r="R1489" s="20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</row>
    <row r="1490" spans="4:49" ht="15" thickBot="1" x14ac:dyDescent="0.35">
      <c r="D1490" s="2">
        <f t="shared" si="63"/>
        <v>1484</v>
      </c>
      <c r="E1490" s="6">
        <v>1.665253377541092</v>
      </c>
      <c r="F1490" s="24"/>
      <c r="G1490" s="24"/>
      <c r="H1490" s="24"/>
      <c r="I1490" s="24"/>
      <c r="J1490" s="3"/>
      <c r="K1490" s="8"/>
      <c r="L1490" s="8"/>
      <c r="M1490" s="8"/>
      <c r="N1490" s="13"/>
      <c r="O1490" s="9"/>
      <c r="P1490" s="20"/>
      <c r="Q1490" s="20"/>
      <c r="R1490" s="20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</row>
    <row r="1491" spans="4:49" ht="15" thickBot="1" x14ac:dyDescent="0.35">
      <c r="D1491" s="2">
        <f t="shared" si="63"/>
        <v>1485</v>
      </c>
      <c r="E1491" s="6">
        <v>7.8222178177704986</v>
      </c>
      <c r="F1491" s="24"/>
      <c r="G1491" s="24"/>
      <c r="H1491" s="24"/>
      <c r="I1491" s="24"/>
      <c r="J1491" s="3"/>
      <c r="K1491" s="8"/>
      <c r="L1491" s="8"/>
      <c r="M1491" s="8"/>
      <c r="N1491" s="13"/>
      <c r="O1491" s="9"/>
      <c r="P1491" s="20"/>
      <c r="Q1491" s="20"/>
      <c r="R1491" s="20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</row>
    <row r="1492" spans="4:49" ht="15" thickBot="1" x14ac:dyDescent="0.35">
      <c r="D1492" s="2">
        <f t="shared" si="63"/>
        <v>1486</v>
      </c>
      <c r="E1492" s="6">
        <v>0.86885871401084847</v>
      </c>
      <c r="F1492" s="24"/>
      <c r="G1492" s="24"/>
      <c r="H1492" s="24"/>
      <c r="I1492" s="24"/>
      <c r="J1492" s="3"/>
      <c r="K1492" s="8"/>
      <c r="L1492" s="8"/>
      <c r="M1492" s="8"/>
      <c r="N1492" s="13"/>
      <c r="O1492" s="9"/>
      <c r="P1492" s="20"/>
      <c r="Q1492" s="20"/>
      <c r="R1492" s="20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</row>
    <row r="1493" spans="4:49" ht="15" thickBot="1" x14ac:dyDescent="0.35">
      <c r="D1493" s="2">
        <f t="shared" si="63"/>
        <v>1487</v>
      </c>
      <c r="E1493" s="6">
        <v>10.597545303493764</v>
      </c>
      <c r="F1493" s="24"/>
      <c r="G1493" s="24"/>
      <c r="H1493" s="24"/>
      <c r="I1493" s="24"/>
      <c r="J1493" s="3"/>
      <c r="K1493" s="8"/>
      <c r="L1493" s="8"/>
      <c r="M1493" s="8"/>
      <c r="N1493" s="13"/>
      <c r="O1493" s="9"/>
      <c r="P1493" s="20"/>
      <c r="Q1493" s="20"/>
      <c r="R1493" s="20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</row>
    <row r="1494" spans="4:49" ht="15" thickBot="1" x14ac:dyDescent="0.35">
      <c r="D1494" s="2">
        <f t="shared" si="63"/>
        <v>1488</v>
      </c>
      <c r="E1494" s="6">
        <v>3.3105995081347119</v>
      </c>
      <c r="F1494" s="24"/>
      <c r="G1494" s="24"/>
      <c r="H1494" s="24"/>
      <c r="I1494" s="24"/>
      <c r="J1494" s="3"/>
      <c r="K1494" s="8"/>
      <c r="L1494" s="8"/>
      <c r="M1494" s="8"/>
      <c r="N1494" s="13"/>
      <c r="O1494" s="9"/>
      <c r="P1494" s="20"/>
      <c r="Q1494" s="20"/>
      <c r="R1494" s="20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</row>
    <row r="1495" spans="4:49" ht="15" thickBot="1" x14ac:dyDescent="0.35">
      <c r="D1495" s="2">
        <f t="shared" si="63"/>
        <v>1489</v>
      </c>
      <c r="E1495" s="6">
        <v>3.174789783493198</v>
      </c>
      <c r="F1495" s="24"/>
      <c r="G1495" s="24"/>
      <c r="H1495" s="24"/>
      <c r="I1495" s="24"/>
      <c r="J1495" s="3"/>
      <c r="K1495" s="8"/>
      <c r="L1495" s="8"/>
      <c r="M1495" s="8"/>
      <c r="N1495" s="13"/>
      <c r="O1495" s="9"/>
      <c r="P1495" s="20"/>
      <c r="Q1495" s="20"/>
      <c r="R1495" s="20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</row>
    <row r="1496" spans="4:49" ht="15" thickBot="1" x14ac:dyDescent="0.35">
      <c r="D1496" s="2">
        <f t="shared" si="63"/>
        <v>1490</v>
      </c>
      <c r="E1496" s="6">
        <v>7.0479726015179036</v>
      </c>
      <c r="F1496" s="24"/>
      <c r="G1496" s="24"/>
      <c r="H1496" s="24"/>
      <c r="I1496" s="24"/>
      <c r="J1496" s="3"/>
      <c r="K1496" s="8"/>
      <c r="L1496" s="8"/>
      <c r="M1496" s="8"/>
      <c r="N1496" s="13"/>
      <c r="O1496" s="9"/>
      <c r="P1496" s="20"/>
      <c r="Q1496" s="20"/>
      <c r="R1496" s="20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</row>
    <row r="1497" spans="4:49" ht="15" thickBot="1" x14ac:dyDescent="0.35">
      <c r="D1497" s="2">
        <f t="shared" si="63"/>
        <v>1491</v>
      </c>
      <c r="E1497" s="6">
        <v>3.0045760642708914</v>
      </c>
      <c r="F1497" s="24"/>
      <c r="G1497" s="24"/>
      <c r="H1497" s="24"/>
      <c r="I1497" s="24"/>
      <c r="J1497" s="3"/>
      <c r="K1497" s="8"/>
      <c r="L1497" s="8"/>
      <c r="M1497" s="8"/>
      <c r="N1497" s="13"/>
      <c r="O1497" s="9"/>
      <c r="P1497" s="20"/>
      <c r="Q1497" s="20"/>
      <c r="R1497" s="20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</row>
    <row r="1498" spans="4:49" ht="15" thickBot="1" x14ac:dyDescent="0.35">
      <c r="D1498" s="2">
        <f t="shared" si="63"/>
        <v>1492</v>
      </c>
      <c r="E1498" s="6">
        <v>7.9832929806883595</v>
      </c>
      <c r="F1498" s="24"/>
      <c r="G1498" s="24"/>
      <c r="H1498" s="24"/>
      <c r="I1498" s="24"/>
      <c r="J1498" s="3"/>
      <c r="K1498" s="8"/>
      <c r="L1498" s="8"/>
      <c r="M1498" s="8"/>
      <c r="N1498" s="13"/>
      <c r="O1498" s="9"/>
      <c r="P1498" s="20"/>
      <c r="Q1498" s="20"/>
      <c r="R1498" s="20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</row>
    <row r="1499" spans="4:49" ht="15" thickBot="1" x14ac:dyDescent="0.35">
      <c r="D1499" s="2">
        <f t="shared" si="63"/>
        <v>1493</v>
      </c>
      <c r="E1499" s="6">
        <v>0.63197368485146166</v>
      </c>
      <c r="F1499" s="24"/>
      <c r="G1499" s="24"/>
      <c r="H1499" s="24"/>
      <c r="I1499" s="24"/>
      <c r="J1499" s="3"/>
      <c r="K1499" s="8"/>
      <c r="L1499" s="8"/>
      <c r="M1499" s="8"/>
      <c r="N1499" s="13"/>
      <c r="O1499" s="9"/>
      <c r="P1499" s="20"/>
      <c r="Q1499" s="20"/>
      <c r="R1499" s="20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</row>
    <row r="1500" spans="4:49" ht="15" thickBot="1" x14ac:dyDescent="0.35">
      <c r="D1500" s="2">
        <f t="shared" si="63"/>
        <v>1494</v>
      </c>
      <c r="E1500" s="6">
        <v>3.4075598735025596</v>
      </c>
      <c r="F1500" s="24"/>
      <c r="G1500" s="24"/>
      <c r="H1500" s="24"/>
      <c r="I1500" s="24"/>
      <c r="J1500" s="3"/>
      <c r="K1500" s="8"/>
      <c r="L1500" s="8"/>
      <c r="M1500" s="8"/>
      <c r="N1500" s="13"/>
      <c r="O1500" s="9"/>
      <c r="P1500" s="20"/>
      <c r="Q1500" s="20"/>
      <c r="R1500" s="20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</row>
    <row r="1501" spans="4:49" ht="15" thickBot="1" x14ac:dyDescent="0.35">
      <c r="D1501" s="2">
        <f t="shared" si="63"/>
        <v>1495</v>
      </c>
      <c r="E1501" s="6">
        <v>1.1145690973684834</v>
      </c>
      <c r="F1501" s="24"/>
      <c r="G1501" s="24"/>
      <c r="H1501" s="24"/>
      <c r="I1501" s="24"/>
      <c r="J1501" s="3"/>
      <c r="K1501" s="8"/>
      <c r="L1501" s="8"/>
      <c r="M1501" s="8"/>
      <c r="N1501" s="13"/>
      <c r="O1501" s="9"/>
      <c r="P1501" s="20"/>
      <c r="Q1501" s="20"/>
      <c r="R1501" s="20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</row>
    <row r="1502" spans="4:49" ht="15" thickBot="1" x14ac:dyDescent="0.35">
      <c r="D1502" s="2">
        <f t="shared" si="63"/>
        <v>1496</v>
      </c>
      <c r="E1502" s="6">
        <v>6.145926690168154</v>
      </c>
      <c r="F1502" s="24"/>
      <c r="G1502" s="24"/>
      <c r="H1502" s="24"/>
      <c r="I1502" s="24"/>
      <c r="J1502" s="3"/>
      <c r="K1502" s="8"/>
      <c r="L1502" s="8"/>
      <c r="M1502" s="8"/>
      <c r="N1502" s="13"/>
      <c r="O1502" s="9"/>
      <c r="P1502" s="20"/>
      <c r="Q1502" s="20"/>
      <c r="R1502" s="20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</row>
    <row r="1503" spans="4:49" ht="15" thickBot="1" x14ac:dyDescent="0.35">
      <c r="D1503" s="2">
        <f t="shared" si="63"/>
        <v>1497</v>
      </c>
      <c r="E1503" s="6">
        <v>3.8076682587081563E-4</v>
      </c>
      <c r="F1503" s="24"/>
      <c r="G1503" s="24"/>
      <c r="H1503" s="24"/>
      <c r="I1503" s="24"/>
      <c r="J1503" s="3"/>
      <c r="K1503" s="8"/>
      <c r="L1503" s="8"/>
      <c r="M1503" s="8"/>
      <c r="N1503" s="13"/>
      <c r="O1503" s="9"/>
      <c r="P1503" s="20"/>
      <c r="Q1503" s="20"/>
      <c r="R1503" s="20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</row>
    <row r="1504" spans="4:49" ht="15" thickBot="1" x14ac:dyDescent="0.35">
      <c r="D1504" s="2">
        <f t="shared" si="63"/>
        <v>1498</v>
      </c>
      <c r="E1504" s="6">
        <v>1.9138785968986236</v>
      </c>
      <c r="F1504" s="24"/>
      <c r="G1504" s="24"/>
      <c r="H1504" s="24"/>
      <c r="I1504" s="24"/>
      <c r="J1504" s="3"/>
      <c r="K1504" s="8"/>
      <c r="L1504" s="8"/>
      <c r="M1504" s="8"/>
      <c r="N1504" s="13"/>
      <c r="O1504" s="9"/>
      <c r="P1504" s="20"/>
      <c r="Q1504" s="20"/>
      <c r="R1504" s="20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</row>
    <row r="1505" spans="4:49" ht="15" thickBot="1" x14ac:dyDescent="0.35">
      <c r="D1505" s="2">
        <f t="shared" si="63"/>
        <v>1499</v>
      </c>
      <c r="E1505" s="6">
        <v>3.2055096961666951</v>
      </c>
      <c r="F1505" s="24"/>
      <c r="G1505" s="24"/>
      <c r="H1505" s="24"/>
      <c r="I1505" s="24"/>
      <c r="J1505" s="3"/>
      <c r="K1505" s="8"/>
      <c r="L1505" s="8"/>
      <c r="M1505" s="8"/>
      <c r="N1505" s="13"/>
      <c r="O1505" s="9"/>
      <c r="P1505" s="20"/>
      <c r="Q1505" s="20"/>
      <c r="R1505" s="20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</row>
    <row r="1506" spans="4:49" ht="15" thickBot="1" x14ac:dyDescent="0.35">
      <c r="D1506" s="2">
        <f t="shared" si="63"/>
        <v>1500</v>
      </c>
      <c r="E1506" s="6">
        <v>1.7937768813869985</v>
      </c>
      <c r="F1506" s="24"/>
      <c r="G1506" s="24"/>
      <c r="H1506" s="24"/>
      <c r="I1506" s="24"/>
      <c r="J1506" s="3"/>
      <c r="K1506" s="8"/>
      <c r="L1506" s="8"/>
      <c r="M1506" s="8"/>
      <c r="N1506" s="13"/>
      <c r="O1506" s="9"/>
      <c r="P1506" s="20"/>
      <c r="Q1506" s="20"/>
      <c r="R1506" s="20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</row>
    <row r="1507" spans="4:49" ht="15" thickBot="1" x14ac:dyDescent="0.35">
      <c r="D1507" s="2">
        <f t="shared" si="63"/>
        <v>1501</v>
      </c>
      <c r="E1507" s="6">
        <v>2.4202701904472192</v>
      </c>
      <c r="F1507" s="24"/>
      <c r="G1507" s="24"/>
      <c r="H1507" s="24"/>
      <c r="I1507" s="24"/>
      <c r="J1507" s="3"/>
      <c r="K1507" s="8"/>
      <c r="L1507" s="8"/>
      <c r="M1507" s="8"/>
      <c r="N1507" s="13"/>
      <c r="O1507" s="9"/>
      <c r="P1507" s="20"/>
      <c r="Q1507" s="20"/>
      <c r="R1507" s="20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</row>
    <row r="1508" spans="4:49" ht="15" thickBot="1" x14ac:dyDescent="0.35">
      <c r="D1508" s="2">
        <f t="shared" si="63"/>
        <v>1502</v>
      </c>
      <c r="E1508" s="6">
        <v>3.9752706921090866</v>
      </c>
      <c r="F1508" s="24"/>
      <c r="G1508" s="24"/>
      <c r="H1508" s="24"/>
      <c r="I1508" s="24"/>
      <c r="J1508" s="3"/>
      <c r="K1508" s="8"/>
      <c r="L1508" s="8"/>
      <c r="M1508" s="8"/>
      <c r="N1508" s="13"/>
      <c r="O1508" s="9"/>
      <c r="P1508" s="20"/>
      <c r="Q1508" s="20"/>
      <c r="R1508" s="20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</row>
    <row r="1509" spans="4:49" ht="15" thickBot="1" x14ac:dyDescent="0.35">
      <c r="D1509" s="2">
        <f t="shared" si="63"/>
        <v>1503</v>
      </c>
      <c r="E1509" s="6">
        <v>0.69306303286872528</v>
      </c>
      <c r="F1509" s="24"/>
      <c r="G1509" s="24"/>
      <c r="H1509" s="24"/>
      <c r="I1509" s="24"/>
      <c r="J1509" s="3"/>
      <c r="K1509" s="8"/>
      <c r="L1509" s="8"/>
      <c r="M1509" s="8"/>
      <c r="N1509" s="13"/>
      <c r="O1509" s="9"/>
      <c r="P1509" s="20"/>
      <c r="Q1509" s="20"/>
      <c r="R1509" s="20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</row>
    <row r="1510" spans="4:49" ht="15" thickBot="1" x14ac:dyDescent="0.35">
      <c r="D1510" s="2">
        <f t="shared" si="63"/>
        <v>1504</v>
      </c>
      <c r="E1510" s="6">
        <v>13.862667162152578</v>
      </c>
      <c r="F1510" s="24"/>
      <c r="G1510" s="24"/>
      <c r="H1510" s="24"/>
      <c r="I1510" s="24"/>
      <c r="J1510" s="3"/>
      <c r="K1510" s="8"/>
      <c r="L1510" s="8"/>
      <c r="M1510" s="8"/>
      <c r="N1510" s="13"/>
      <c r="O1510" s="9"/>
      <c r="P1510" s="20"/>
      <c r="Q1510" s="20"/>
      <c r="R1510" s="20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</row>
    <row r="1511" spans="4:49" ht="15" thickBot="1" x14ac:dyDescent="0.35">
      <c r="D1511" s="2">
        <f t="shared" si="63"/>
        <v>1505</v>
      </c>
      <c r="E1511" s="6">
        <v>3.6562190077873451</v>
      </c>
      <c r="F1511" s="24"/>
      <c r="G1511" s="24"/>
      <c r="H1511" s="24"/>
      <c r="I1511" s="24"/>
      <c r="J1511" s="3"/>
      <c r="K1511" s="8"/>
      <c r="L1511" s="8"/>
      <c r="M1511" s="8"/>
      <c r="N1511" s="13"/>
      <c r="O1511" s="9"/>
      <c r="P1511" s="20"/>
      <c r="Q1511" s="20"/>
      <c r="R1511" s="20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</row>
    <row r="1512" spans="4:49" ht="15" thickBot="1" x14ac:dyDescent="0.35">
      <c r="D1512" s="2">
        <f t="shared" si="63"/>
        <v>1506</v>
      </c>
      <c r="E1512" s="6">
        <v>14.604883558754613</v>
      </c>
      <c r="F1512" s="24"/>
      <c r="G1512" s="24"/>
      <c r="H1512" s="24"/>
      <c r="I1512" s="24"/>
      <c r="J1512" s="3"/>
      <c r="K1512" s="8"/>
      <c r="L1512" s="8"/>
      <c r="M1512" s="8"/>
      <c r="N1512" s="13"/>
      <c r="O1512" s="9"/>
      <c r="P1512" s="20"/>
      <c r="Q1512" s="20"/>
      <c r="R1512" s="20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</row>
    <row r="1513" spans="4:49" ht="15" thickBot="1" x14ac:dyDescent="0.35">
      <c r="D1513" s="2">
        <f t="shared" si="63"/>
        <v>1507</v>
      </c>
      <c r="E1513" s="6">
        <v>2.3773822355193416E-2</v>
      </c>
      <c r="F1513" s="24"/>
      <c r="G1513" s="24"/>
      <c r="H1513" s="24"/>
      <c r="I1513" s="24"/>
      <c r="J1513" s="3"/>
      <c r="K1513" s="8"/>
      <c r="L1513" s="8"/>
      <c r="M1513" s="8"/>
      <c r="N1513" s="13"/>
      <c r="O1513" s="9"/>
      <c r="P1513" s="20"/>
      <c r="Q1513" s="20"/>
      <c r="R1513" s="20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</row>
    <row r="1514" spans="4:49" ht="15" thickBot="1" x14ac:dyDescent="0.35">
      <c r="D1514" s="2">
        <f t="shared" si="63"/>
        <v>1508</v>
      </c>
      <c r="E1514" s="6">
        <v>3.1056091434916504</v>
      </c>
      <c r="F1514" s="24"/>
      <c r="G1514" s="24"/>
      <c r="H1514" s="24"/>
      <c r="I1514" s="24"/>
      <c r="J1514" s="3"/>
      <c r="K1514" s="8"/>
      <c r="L1514" s="8"/>
      <c r="M1514" s="8"/>
      <c r="N1514" s="13"/>
      <c r="O1514" s="9"/>
      <c r="P1514" s="20"/>
      <c r="Q1514" s="20"/>
      <c r="R1514" s="20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</row>
    <row r="1515" spans="4:49" ht="15" thickBot="1" x14ac:dyDescent="0.35">
      <c r="D1515" s="2">
        <f t="shared" si="63"/>
        <v>1509</v>
      </c>
      <c r="E1515" s="6">
        <v>13.612746802026432</v>
      </c>
      <c r="F1515" s="24"/>
      <c r="G1515" s="24"/>
      <c r="H1515" s="24"/>
      <c r="I1515" s="24"/>
      <c r="J1515" s="3"/>
      <c r="K1515" s="8"/>
      <c r="L1515" s="8"/>
      <c r="M1515" s="8"/>
      <c r="N1515" s="13"/>
      <c r="O1515" s="9"/>
      <c r="P1515" s="20"/>
      <c r="Q1515" s="20"/>
      <c r="R1515" s="20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</row>
    <row r="1516" spans="4:49" ht="15" thickBot="1" x14ac:dyDescent="0.35">
      <c r="D1516" s="2">
        <f t="shared" si="63"/>
        <v>1510</v>
      </c>
      <c r="E1516" s="6">
        <v>0.5323932711838294</v>
      </c>
      <c r="F1516" s="24"/>
      <c r="G1516" s="24"/>
      <c r="H1516" s="24"/>
      <c r="I1516" s="24"/>
      <c r="J1516" s="3"/>
      <c r="K1516" s="8"/>
      <c r="L1516" s="8"/>
      <c r="M1516" s="8"/>
      <c r="N1516" s="13"/>
      <c r="O1516" s="9"/>
      <c r="P1516" s="20"/>
      <c r="Q1516" s="20"/>
      <c r="R1516" s="20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</row>
    <row r="1517" spans="4:49" ht="15" thickBot="1" x14ac:dyDescent="0.35">
      <c r="D1517" s="2">
        <f t="shared" si="63"/>
        <v>1511</v>
      </c>
      <c r="E1517" s="6">
        <v>8.1485151946731893</v>
      </c>
      <c r="F1517" s="24"/>
      <c r="G1517" s="24"/>
      <c r="H1517" s="24"/>
      <c r="I1517" s="24"/>
      <c r="J1517" s="3"/>
      <c r="K1517" s="8"/>
      <c r="L1517" s="8"/>
      <c r="M1517" s="8"/>
      <c r="N1517" s="13"/>
      <c r="O1517" s="9"/>
      <c r="P1517" s="20"/>
      <c r="Q1517" s="20"/>
      <c r="R1517" s="20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</row>
    <row r="1518" spans="4:49" ht="15" thickBot="1" x14ac:dyDescent="0.35">
      <c r="D1518" s="2">
        <f t="shared" si="63"/>
        <v>1512</v>
      </c>
      <c r="E1518" s="6">
        <v>4.362174738064998</v>
      </c>
      <c r="F1518" s="24"/>
      <c r="G1518" s="24"/>
      <c r="H1518" s="24"/>
      <c r="I1518" s="24"/>
      <c r="J1518" s="3"/>
      <c r="K1518" s="8"/>
      <c r="L1518" s="8"/>
      <c r="M1518" s="8"/>
      <c r="N1518" s="13"/>
      <c r="O1518" s="9"/>
      <c r="P1518" s="20"/>
      <c r="Q1518" s="20"/>
      <c r="R1518" s="20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</row>
    <row r="1519" spans="4:49" ht="15" thickBot="1" x14ac:dyDescent="0.35">
      <c r="D1519" s="2">
        <f t="shared" si="63"/>
        <v>1513</v>
      </c>
      <c r="E1519" s="6">
        <v>0.11225419047713854</v>
      </c>
      <c r="F1519" s="24"/>
      <c r="G1519" s="24"/>
      <c r="H1519" s="24"/>
      <c r="I1519" s="24"/>
      <c r="J1519" s="3"/>
      <c r="K1519" s="8"/>
      <c r="L1519" s="8"/>
      <c r="M1519" s="8"/>
      <c r="N1519" s="13"/>
      <c r="O1519" s="9"/>
      <c r="P1519" s="20"/>
      <c r="Q1519" s="20"/>
      <c r="R1519" s="20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</row>
    <row r="1520" spans="4:49" ht="15" thickBot="1" x14ac:dyDescent="0.35">
      <c r="D1520" s="2">
        <f t="shared" si="63"/>
        <v>1514</v>
      </c>
      <c r="E1520" s="6">
        <v>4.1853639343488611</v>
      </c>
      <c r="F1520" s="24"/>
      <c r="G1520" s="24"/>
      <c r="H1520" s="24"/>
      <c r="I1520" s="24"/>
      <c r="J1520" s="3"/>
      <c r="K1520" s="8"/>
      <c r="L1520" s="8"/>
      <c r="M1520" s="8"/>
      <c r="N1520" s="13"/>
      <c r="O1520" s="9"/>
      <c r="P1520" s="20"/>
      <c r="Q1520" s="20"/>
      <c r="R1520" s="20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</row>
    <row r="1521" spans="4:49" ht="15" thickBot="1" x14ac:dyDescent="0.35">
      <c r="D1521" s="2">
        <f t="shared" si="63"/>
        <v>1515</v>
      </c>
      <c r="E1521" s="6">
        <v>7.2147995478509426</v>
      </c>
      <c r="F1521" s="24"/>
      <c r="G1521" s="24"/>
      <c r="H1521" s="24"/>
      <c r="I1521" s="24"/>
      <c r="J1521" s="3"/>
      <c r="K1521" s="8"/>
      <c r="L1521" s="8"/>
      <c r="M1521" s="8"/>
      <c r="N1521" s="13"/>
      <c r="O1521" s="9"/>
      <c r="P1521" s="20"/>
      <c r="Q1521" s="20"/>
      <c r="R1521" s="20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</row>
    <row r="1522" spans="4:49" ht="15" thickBot="1" x14ac:dyDescent="0.35">
      <c r="D1522" s="2">
        <f t="shared" si="63"/>
        <v>1516</v>
      </c>
      <c r="E1522" s="6">
        <v>4.056657732833246</v>
      </c>
      <c r="F1522" s="24"/>
      <c r="G1522" s="24"/>
      <c r="H1522" s="24"/>
      <c r="I1522" s="24"/>
      <c r="J1522" s="3"/>
      <c r="K1522" s="8"/>
      <c r="L1522" s="8"/>
      <c r="M1522" s="8"/>
      <c r="N1522" s="13"/>
      <c r="O1522" s="9"/>
      <c r="P1522" s="20"/>
      <c r="Q1522" s="20"/>
      <c r="R1522" s="20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</row>
    <row r="1523" spans="4:49" ht="15" thickBot="1" x14ac:dyDescent="0.35">
      <c r="D1523" s="2">
        <f t="shared" si="63"/>
        <v>1517</v>
      </c>
      <c r="E1523" s="6">
        <v>2.0806477215488948</v>
      </c>
      <c r="F1523" s="24"/>
      <c r="G1523" s="24"/>
      <c r="H1523" s="24"/>
      <c r="I1523" s="24"/>
      <c r="J1523" s="3"/>
      <c r="K1523" s="8"/>
      <c r="L1523" s="8"/>
      <c r="M1523" s="8"/>
      <c r="N1523" s="13"/>
      <c r="O1523" s="9"/>
      <c r="P1523" s="20"/>
      <c r="Q1523" s="20"/>
      <c r="R1523" s="20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</row>
    <row r="1524" spans="4:49" ht="15" thickBot="1" x14ac:dyDescent="0.35">
      <c r="D1524" s="2">
        <f t="shared" si="63"/>
        <v>1518</v>
      </c>
      <c r="E1524" s="6">
        <v>5.4565270308207952</v>
      </c>
      <c r="F1524" s="24"/>
      <c r="G1524" s="24"/>
      <c r="H1524" s="24"/>
      <c r="I1524" s="24"/>
      <c r="J1524" s="3"/>
      <c r="K1524" s="8"/>
      <c r="L1524" s="8"/>
      <c r="M1524" s="8"/>
      <c r="N1524" s="13"/>
      <c r="O1524" s="9"/>
      <c r="P1524" s="20"/>
      <c r="Q1524" s="20"/>
      <c r="R1524" s="20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</row>
    <row r="1525" spans="4:49" ht="15" thickBot="1" x14ac:dyDescent="0.35">
      <c r="D1525" s="2">
        <f t="shared" si="63"/>
        <v>1519</v>
      </c>
      <c r="E1525" s="6">
        <v>6.875009315213954</v>
      </c>
      <c r="F1525" s="24"/>
      <c r="G1525" s="24"/>
      <c r="H1525" s="24"/>
      <c r="I1525" s="24"/>
      <c r="J1525" s="3"/>
      <c r="K1525" s="8"/>
      <c r="L1525" s="8"/>
      <c r="M1525" s="8"/>
      <c r="N1525" s="13"/>
      <c r="O1525" s="9"/>
      <c r="P1525" s="20"/>
      <c r="Q1525" s="20"/>
      <c r="R1525" s="20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</row>
    <row r="1526" spans="4:49" ht="15" thickBot="1" x14ac:dyDescent="0.35">
      <c r="D1526" s="2">
        <f t="shared" si="63"/>
        <v>1520</v>
      </c>
      <c r="E1526" s="6">
        <v>7.3669139997720494</v>
      </c>
      <c r="F1526" s="24"/>
      <c r="G1526" s="24"/>
      <c r="H1526" s="24"/>
      <c r="I1526" s="24"/>
      <c r="J1526" s="3"/>
      <c r="K1526" s="8"/>
      <c r="L1526" s="8"/>
      <c r="M1526" s="8"/>
      <c r="N1526" s="13"/>
      <c r="O1526" s="9"/>
      <c r="P1526" s="20"/>
      <c r="Q1526" s="20"/>
      <c r="R1526" s="20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</row>
    <row r="1527" spans="4:49" ht="15" thickBot="1" x14ac:dyDescent="0.35">
      <c r="D1527" s="2">
        <f t="shared" si="63"/>
        <v>1521</v>
      </c>
      <c r="E1527" s="6">
        <v>4.8376101163318665</v>
      </c>
      <c r="F1527" s="24"/>
      <c r="G1527" s="24"/>
      <c r="H1527" s="24"/>
      <c r="I1527" s="24"/>
      <c r="J1527" s="3"/>
      <c r="K1527" s="8"/>
      <c r="L1527" s="8"/>
      <c r="M1527" s="8"/>
      <c r="N1527" s="13"/>
      <c r="O1527" s="9"/>
      <c r="P1527" s="20"/>
      <c r="Q1527" s="20"/>
      <c r="R1527" s="20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</row>
    <row r="1528" spans="4:49" ht="15" thickBot="1" x14ac:dyDescent="0.35">
      <c r="D1528" s="2">
        <f t="shared" si="63"/>
        <v>1522</v>
      </c>
      <c r="E1528" s="6">
        <v>4.8831271296014434E-3</v>
      </c>
      <c r="F1528" s="24"/>
      <c r="G1528" s="24"/>
      <c r="H1528" s="24"/>
      <c r="I1528" s="24"/>
      <c r="J1528" s="3"/>
      <c r="K1528" s="8"/>
      <c r="L1528" s="8"/>
      <c r="M1528" s="8"/>
      <c r="N1528" s="13"/>
      <c r="O1528" s="9"/>
      <c r="P1528" s="20"/>
      <c r="Q1528" s="20"/>
      <c r="R1528" s="20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</row>
    <row r="1529" spans="4:49" ht="15" thickBot="1" x14ac:dyDescent="0.35">
      <c r="D1529" s="2">
        <f t="shared" si="63"/>
        <v>1523</v>
      </c>
      <c r="E1529" s="6">
        <v>8.0161272020466026</v>
      </c>
      <c r="F1529" s="24"/>
      <c r="G1529" s="24"/>
      <c r="H1529" s="24"/>
      <c r="I1529" s="24"/>
      <c r="J1529" s="3"/>
      <c r="K1529" s="8"/>
      <c r="L1529" s="8"/>
      <c r="M1529" s="8"/>
      <c r="N1529" s="13"/>
      <c r="O1529" s="9"/>
      <c r="P1529" s="20"/>
      <c r="Q1529" s="20"/>
      <c r="R1529" s="20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</row>
    <row r="1530" spans="4:49" ht="15" thickBot="1" x14ac:dyDescent="0.35">
      <c r="D1530" s="2">
        <f t="shared" si="63"/>
        <v>1524</v>
      </c>
      <c r="E1530" s="6">
        <v>13.006338059423427</v>
      </c>
      <c r="F1530" s="24"/>
      <c r="G1530" s="24"/>
      <c r="H1530" s="24"/>
      <c r="I1530" s="24"/>
      <c r="J1530" s="3"/>
      <c r="K1530" s="8"/>
      <c r="L1530" s="8"/>
      <c r="M1530" s="8"/>
      <c r="N1530" s="13"/>
      <c r="O1530" s="9"/>
      <c r="P1530" s="20"/>
      <c r="Q1530" s="20"/>
      <c r="R1530" s="20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</row>
    <row r="1531" spans="4:49" ht="15" thickBot="1" x14ac:dyDescent="0.35">
      <c r="D1531" s="2">
        <f t="shared" si="63"/>
        <v>1525</v>
      </c>
      <c r="E1531" s="6">
        <v>0.18893169079707886</v>
      </c>
      <c r="F1531" s="24"/>
      <c r="G1531" s="24"/>
      <c r="H1531" s="24"/>
      <c r="I1531" s="24"/>
      <c r="J1531" s="3"/>
      <c r="K1531" s="8"/>
      <c r="L1531" s="8"/>
      <c r="M1531" s="8"/>
      <c r="N1531" s="13"/>
      <c r="O1531" s="9"/>
      <c r="P1531" s="20"/>
      <c r="Q1531" s="20"/>
      <c r="R1531" s="20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</row>
    <row r="1532" spans="4:49" ht="15" thickBot="1" x14ac:dyDescent="0.35">
      <c r="D1532" s="2">
        <f t="shared" si="63"/>
        <v>1526</v>
      </c>
      <c r="E1532" s="6">
        <v>0.13345913635001633</v>
      </c>
      <c r="F1532" s="24"/>
      <c r="G1532" s="24"/>
      <c r="H1532" s="24"/>
      <c r="I1532" s="24"/>
      <c r="J1532" s="3"/>
      <c r="K1532" s="8"/>
      <c r="L1532" s="8"/>
      <c r="M1532" s="8"/>
      <c r="N1532" s="13"/>
      <c r="O1532" s="9"/>
      <c r="P1532" s="20"/>
      <c r="Q1532" s="20"/>
      <c r="R1532" s="20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</row>
    <row r="1533" spans="4:49" ht="15" thickBot="1" x14ac:dyDescent="0.35">
      <c r="D1533" s="2">
        <f t="shared" si="63"/>
        <v>1527</v>
      </c>
      <c r="E1533" s="6">
        <v>0.50888115370011788</v>
      </c>
      <c r="F1533" s="24"/>
      <c r="G1533" s="24"/>
      <c r="H1533" s="24"/>
      <c r="I1533" s="24"/>
      <c r="J1533" s="3"/>
      <c r="K1533" s="8"/>
      <c r="L1533" s="8"/>
      <c r="M1533" s="8"/>
      <c r="N1533" s="13"/>
      <c r="O1533" s="9"/>
      <c r="P1533" s="20"/>
      <c r="Q1533" s="20"/>
      <c r="R1533" s="20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</row>
    <row r="1534" spans="4:49" ht="15" thickBot="1" x14ac:dyDescent="0.35">
      <c r="D1534" s="2">
        <f t="shared" si="63"/>
        <v>1528</v>
      </c>
      <c r="E1534" s="6">
        <v>1.3758670759467975</v>
      </c>
      <c r="F1534" s="24"/>
      <c r="G1534" s="24"/>
      <c r="H1534" s="24"/>
      <c r="I1534" s="24"/>
      <c r="J1534" s="3"/>
      <c r="K1534" s="8"/>
      <c r="L1534" s="8"/>
      <c r="M1534" s="8"/>
      <c r="N1534" s="13"/>
      <c r="O1534" s="9"/>
      <c r="P1534" s="20"/>
      <c r="Q1534" s="20"/>
      <c r="R1534" s="20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</row>
    <row r="1535" spans="4:49" ht="15" thickBot="1" x14ac:dyDescent="0.35">
      <c r="D1535" s="2">
        <f t="shared" si="63"/>
        <v>1529</v>
      </c>
      <c r="E1535" s="6">
        <v>3.0697538466374819</v>
      </c>
      <c r="F1535" s="24"/>
      <c r="G1535" s="24"/>
      <c r="H1535" s="24"/>
      <c r="I1535" s="24"/>
      <c r="J1535" s="3"/>
      <c r="K1535" s="8"/>
      <c r="L1535" s="8"/>
      <c r="M1535" s="8"/>
      <c r="N1535" s="13"/>
      <c r="O1535" s="9"/>
      <c r="P1535" s="20"/>
      <c r="Q1535" s="20"/>
      <c r="R1535" s="20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</row>
    <row r="1536" spans="4:49" ht="15" thickBot="1" x14ac:dyDescent="0.35">
      <c r="D1536" s="2">
        <f t="shared" si="63"/>
        <v>1530</v>
      </c>
      <c r="E1536" s="6">
        <v>1.6022383582871063</v>
      </c>
      <c r="F1536" s="24"/>
      <c r="G1536" s="24"/>
      <c r="H1536" s="24"/>
      <c r="I1536" s="24"/>
      <c r="J1536" s="3"/>
      <c r="K1536" s="8"/>
      <c r="L1536" s="8"/>
      <c r="M1536" s="8"/>
      <c r="N1536" s="13"/>
      <c r="O1536" s="9"/>
      <c r="P1536" s="20"/>
      <c r="Q1536" s="20"/>
      <c r="R1536" s="20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</row>
    <row r="1537" spans="4:49" ht="15" thickBot="1" x14ac:dyDescent="0.35">
      <c r="D1537" s="2">
        <f t="shared" si="63"/>
        <v>1531</v>
      </c>
      <c r="E1537" s="6">
        <v>0.73753811020919091</v>
      </c>
      <c r="F1537" s="24"/>
      <c r="G1537" s="24"/>
      <c r="H1537" s="24"/>
      <c r="I1537" s="24"/>
      <c r="J1537" s="3"/>
      <c r="K1537" s="8"/>
      <c r="L1537" s="8"/>
      <c r="M1537" s="8"/>
      <c r="N1537" s="13"/>
      <c r="O1537" s="9"/>
      <c r="P1537" s="20"/>
      <c r="Q1537" s="20"/>
      <c r="R1537" s="20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</row>
    <row r="1538" spans="4:49" ht="15" thickBot="1" x14ac:dyDescent="0.35">
      <c r="D1538" s="2">
        <f t="shared" si="63"/>
        <v>1532</v>
      </c>
      <c r="E1538" s="6">
        <v>2.9543864077865987</v>
      </c>
      <c r="F1538" s="24"/>
      <c r="G1538" s="24"/>
      <c r="H1538" s="24"/>
      <c r="I1538" s="24"/>
      <c r="J1538" s="3"/>
      <c r="K1538" s="8"/>
      <c r="L1538" s="8"/>
      <c r="M1538" s="8"/>
      <c r="N1538" s="13"/>
      <c r="O1538" s="9"/>
      <c r="P1538" s="20"/>
      <c r="Q1538" s="20"/>
      <c r="R1538" s="20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</row>
    <row r="1539" spans="4:49" ht="15" thickBot="1" x14ac:dyDescent="0.35">
      <c r="D1539" s="2">
        <f t="shared" si="63"/>
        <v>1533</v>
      </c>
      <c r="E1539" s="6">
        <v>4.8402780995587147E-2</v>
      </c>
      <c r="F1539" s="24"/>
      <c r="G1539" s="24"/>
      <c r="H1539" s="24"/>
      <c r="I1539" s="24"/>
      <c r="J1539" s="3"/>
      <c r="K1539" s="8"/>
      <c r="L1539" s="8"/>
      <c r="M1539" s="8"/>
      <c r="N1539" s="13"/>
      <c r="O1539" s="9"/>
      <c r="P1539" s="20"/>
      <c r="Q1539" s="20"/>
      <c r="R1539" s="20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</row>
    <row r="1540" spans="4:49" ht="15" thickBot="1" x14ac:dyDescent="0.35">
      <c r="D1540" s="2">
        <f t="shared" si="63"/>
        <v>1534</v>
      </c>
      <c r="E1540" s="6">
        <v>4.201048490895765</v>
      </c>
      <c r="F1540" s="24"/>
      <c r="G1540" s="24"/>
      <c r="H1540" s="24"/>
      <c r="I1540" s="24"/>
      <c r="J1540" s="3"/>
      <c r="K1540" s="8"/>
      <c r="L1540" s="8"/>
      <c r="M1540" s="8"/>
      <c r="N1540" s="13"/>
      <c r="O1540" s="9"/>
      <c r="P1540" s="20"/>
      <c r="Q1540" s="20"/>
      <c r="R1540" s="20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</row>
    <row r="1541" spans="4:49" ht="15" thickBot="1" x14ac:dyDescent="0.35">
      <c r="D1541" s="2">
        <f t="shared" si="63"/>
        <v>1535</v>
      </c>
      <c r="E1541" s="6">
        <v>15.223059742085031</v>
      </c>
      <c r="F1541" s="24"/>
      <c r="G1541" s="24"/>
      <c r="H1541" s="24"/>
      <c r="I1541" s="24"/>
      <c r="J1541" s="3"/>
      <c r="K1541" s="8"/>
      <c r="L1541" s="8"/>
      <c r="M1541" s="8"/>
      <c r="N1541" s="13"/>
      <c r="O1541" s="9"/>
      <c r="P1541" s="20"/>
      <c r="Q1541" s="20"/>
      <c r="R1541" s="20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</row>
    <row r="1542" spans="4:49" ht="15" thickBot="1" x14ac:dyDescent="0.35">
      <c r="D1542" s="2">
        <f t="shared" si="63"/>
        <v>1536</v>
      </c>
      <c r="E1542" s="6">
        <v>3.0274819849545716E-2</v>
      </c>
      <c r="F1542" s="24"/>
      <c r="G1542" s="24"/>
      <c r="H1542" s="24"/>
      <c r="I1542" s="24"/>
      <c r="J1542" s="3"/>
      <c r="K1542" s="8"/>
      <c r="L1542" s="8"/>
      <c r="M1542" s="8"/>
      <c r="N1542" s="13"/>
      <c r="O1542" s="9"/>
      <c r="P1542" s="20"/>
      <c r="Q1542" s="20"/>
      <c r="R1542" s="20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</row>
    <row r="1543" spans="4:49" ht="15" thickBot="1" x14ac:dyDescent="0.35">
      <c r="D1543" s="2">
        <f t="shared" ref="D1543:D1606" si="64">ROW()-6</f>
        <v>1537</v>
      </c>
      <c r="E1543" s="6">
        <v>2.6770415806782499</v>
      </c>
      <c r="F1543" s="24"/>
      <c r="G1543" s="24"/>
      <c r="H1543" s="24"/>
      <c r="I1543" s="24"/>
      <c r="J1543" s="3"/>
      <c r="K1543" s="8"/>
      <c r="L1543" s="8"/>
      <c r="M1543" s="8"/>
      <c r="N1543" s="13"/>
      <c r="O1543" s="9"/>
      <c r="P1543" s="20"/>
      <c r="Q1543" s="20"/>
      <c r="R1543" s="20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</row>
    <row r="1544" spans="4:49" ht="15" thickBot="1" x14ac:dyDescent="0.35">
      <c r="D1544" s="2">
        <f t="shared" si="64"/>
        <v>1538</v>
      </c>
      <c r="E1544" s="6">
        <v>2.0078871730882173</v>
      </c>
      <c r="F1544" s="24"/>
      <c r="G1544" s="24"/>
      <c r="H1544" s="24"/>
      <c r="I1544" s="24"/>
      <c r="J1544" s="3"/>
      <c r="K1544" s="8"/>
      <c r="L1544" s="8"/>
      <c r="M1544" s="8"/>
      <c r="N1544" s="13"/>
      <c r="O1544" s="9"/>
      <c r="P1544" s="20"/>
      <c r="Q1544" s="20"/>
      <c r="R1544" s="20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</row>
    <row r="1545" spans="4:49" ht="15" thickBot="1" x14ac:dyDescent="0.35">
      <c r="D1545" s="2">
        <f t="shared" si="64"/>
        <v>1539</v>
      </c>
      <c r="E1545" s="6">
        <v>2.8336070725271361</v>
      </c>
      <c r="F1545" s="24"/>
      <c r="G1545" s="24"/>
      <c r="H1545" s="24"/>
      <c r="I1545" s="24"/>
      <c r="J1545" s="3"/>
      <c r="K1545" s="8"/>
      <c r="L1545" s="8"/>
      <c r="M1545" s="8"/>
      <c r="N1545" s="13"/>
      <c r="O1545" s="9"/>
      <c r="P1545" s="20"/>
      <c r="Q1545" s="20"/>
      <c r="R1545" s="20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</row>
    <row r="1546" spans="4:49" ht="15" thickBot="1" x14ac:dyDescent="0.35">
      <c r="D1546" s="2">
        <f t="shared" si="64"/>
        <v>1540</v>
      </c>
      <c r="E1546" s="6">
        <v>3.7189081682325495</v>
      </c>
      <c r="F1546" s="24"/>
      <c r="G1546" s="24"/>
      <c r="H1546" s="24"/>
      <c r="I1546" s="24"/>
      <c r="J1546" s="3"/>
      <c r="K1546" s="8"/>
      <c r="L1546" s="8"/>
      <c r="M1546" s="8"/>
      <c r="N1546" s="13"/>
      <c r="O1546" s="9"/>
      <c r="P1546" s="20"/>
      <c r="Q1546" s="20"/>
      <c r="R1546" s="20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</row>
    <row r="1547" spans="4:49" ht="15" thickBot="1" x14ac:dyDescent="0.35">
      <c r="D1547" s="2">
        <f t="shared" si="64"/>
        <v>1541</v>
      </c>
      <c r="E1547" s="6">
        <v>9.8096922789224053</v>
      </c>
      <c r="F1547" s="24"/>
      <c r="G1547" s="24"/>
      <c r="H1547" s="24"/>
      <c r="I1547" s="24"/>
      <c r="J1547" s="3"/>
      <c r="K1547" s="8"/>
      <c r="L1547" s="8"/>
      <c r="M1547" s="8"/>
      <c r="N1547" s="13"/>
      <c r="O1547" s="9"/>
      <c r="P1547" s="20"/>
      <c r="Q1547" s="20"/>
      <c r="R1547" s="20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</row>
    <row r="1548" spans="4:49" ht="15" thickBot="1" x14ac:dyDescent="0.35">
      <c r="D1548" s="2">
        <f t="shared" si="64"/>
        <v>1542</v>
      </c>
      <c r="E1548" s="6">
        <v>2.1419344903636564</v>
      </c>
      <c r="F1548" s="24"/>
      <c r="G1548" s="24"/>
      <c r="H1548" s="24"/>
      <c r="I1548" s="24"/>
      <c r="J1548" s="3"/>
      <c r="K1548" s="8"/>
      <c r="L1548" s="8"/>
      <c r="M1548" s="8"/>
      <c r="N1548" s="13"/>
      <c r="O1548" s="9"/>
      <c r="P1548" s="20"/>
      <c r="Q1548" s="20"/>
      <c r="R1548" s="20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</row>
    <row r="1549" spans="4:49" ht="15" thickBot="1" x14ac:dyDescent="0.35">
      <c r="D1549" s="2">
        <f t="shared" si="64"/>
        <v>1543</v>
      </c>
      <c r="E1549" s="6">
        <v>7.5234456302558428</v>
      </c>
      <c r="F1549" s="24"/>
      <c r="G1549" s="24"/>
      <c r="H1549" s="24"/>
      <c r="I1549" s="24"/>
      <c r="J1549" s="3"/>
      <c r="K1549" s="8"/>
      <c r="L1549" s="8"/>
      <c r="M1549" s="8"/>
      <c r="N1549" s="13"/>
      <c r="O1549" s="9"/>
      <c r="P1549" s="20"/>
      <c r="Q1549" s="20"/>
      <c r="R1549" s="20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</row>
    <row r="1550" spans="4:49" ht="15" thickBot="1" x14ac:dyDescent="0.35">
      <c r="D1550" s="2">
        <f t="shared" si="64"/>
        <v>1544</v>
      </c>
      <c r="E1550" s="6">
        <v>1.5722884195766098</v>
      </c>
      <c r="F1550" s="24"/>
      <c r="G1550" s="24"/>
      <c r="H1550" s="24"/>
      <c r="I1550" s="24"/>
      <c r="J1550" s="3"/>
      <c r="K1550" s="8"/>
      <c r="L1550" s="8"/>
      <c r="M1550" s="8"/>
      <c r="N1550" s="13"/>
      <c r="O1550" s="9"/>
      <c r="P1550" s="20"/>
      <c r="Q1550" s="20"/>
      <c r="R1550" s="20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</row>
    <row r="1551" spans="4:49" ht="15" thickBot="1" x14ac:dyDescent="0.35">
      <c r="D1551" s="2">
        <f t="shared" si="64"/>
        <v>1545</v>
      </c>
      <c r="E1551" s="6">
        <v>3.3546510826630556</v>
      </c>
      <c r="F1551" s="24"/>
      <c r="G1551" s="24"/>
      <c r="H1551" s="24"/>
      <c r="I1551" s="24"/>
      <c r="J1551" s="3"/>
      <c r="K1551" s="8"/>
      <c r="L1551" s="8"/>
      <c r="M1551" s="8"/>
      <c r="N1551" s="13"/>
      <c r="O1551" s="9"/>
      <c r="P1551" s="20"/>
      <c r="Q1551" s="20"/>
      <c r="R1551" s="20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</row>
    <row r="1552" spans="4:49" ht="15" thickBot="1" x14ac:dyDescent="0.35">
      <c r="D1552" s="2">
        <f t="shared" si="64"/>
        <v>1546</v>
      </c>
      <c r="E1552" s="6">
        <v>4.2614351448552197E-2</v>
      </c>
      <c r="F1552" s="24"/>
      <c r="G1552" s="24"/>
      <c r="H1552" s="24"/>
      <c r="I1552" s="24"/>
      <c r="J1552" s="3"/>
      <c r="K1552" s="8"/>
      <c r="L1552" s="8"/>
      <c r="M1552" s="8"/>
      <c r="N1552" s="13"/>
      <c r="O1552" s="9"/>
      <c r="P1552" s="20"/>
      <c r="Q1552" s="20"/>
      <c r="R1552" s="20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</row>
    <row r="1553" spans="4:49" ht="15" thickBot="1" x14ac:dyDescent="0.35">
      <c r="D1553" s="2">
        <f t="shared" si="64"/>
        <v>1547</v>
      </c>
      <c r="E1553" s="6">
        <v>2.9037753868389178</v>
      </c>
      <c r="F1553" s="24"/>
      <c r="G1553" s="24"/>
      <c r="H1553" s="24"/>
      <c r="I1553" s="24"/>
      <c r="J1553" s="3"/>
      <c r="K1553" s="8"/>
      <c r="L1553" s="8"/>
      <c r="M1553" s="8"/>
      <c r="N1553" s="13"/>
      <c r="O1553" s="9"/>
      <c r="P1553" s="20"/>
      <c r="Q1553" s="20"/>
      <c r="R1553" s="20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</row>
    <row r="1554" spans="4:49" ht="15" thickBot="1" x14ac:dyDescent="0.35">
      <c r="D1554" s="2">
        <f t="shared" si="64"/>
        <v>1548</v>
      </c>
      <c r="E1554" s="6">
        <v>3.3799245702414091</v>
      </c>
      <c r="F1554" s="24"/>
      <c r="G1554" s="24"/>
      <c r="H1554" s="24"/>
      <c r="I1554" s="24"/>
      <c r="J1554" s="3"/>
      <c r="K1554" s="8"/>
      <c r="L1554" s="8"/>
      <c r="M1554" s="8"/>
      <c r="N1554" s="13"/>
      <c r="O1554" s="9"/>
      <c r="P1554" s="20"/>
      <c r="Q1554" s="20"/>
      <c r="R1554" s="20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</row>
    <row r="1555" spans="4:49" ht="15" thickBot="1" x14ac:dyDescent="0.35">
      <c r="D1555" s="2">
        <f t="shared" si="64"/>
        <v>1549</v>
      </c>
      <c r="E1555" s="6">
        <v>1.3822391965462517</v>
      </c>
      <c r="F1555" s="24"/>
      <c r="G1555" s="24"/>
      <c r="H1555" s="24"/>
      <c r="I1555" s="24"/>
      <c r="J1555" s="3"/>
      <c r="K1555" s="8"/>
      <c r="L1555" s="8"/>
      <c r="M1555" s="8"/>
      <c r="N1555" s="13"/>
      <c r="O1555" s="9"/>
      <c r="P1555" s="20"/>
      <c r="Q1555" s="20"/>
      <c r="R1555" s="20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</row>
    <row r="1556" spans="4:49" ht="15" thickBot="1" x14ac:dyDescent="0.35">
      <c r="D1556" s="2">
        <f t="shared" si="64"/>
        <v>1550</v>
      </c>
      <c r="E1556" s="6">
        <v>1.1956450029300021</v>
      </c>
      <c r="F1556" s="24"/>
      <c r="G1556" s="24"/>
      <c r="H1556" s="24"/>
      <c r="I1556" s="24"/>
      <c r="J1556" s="3"/>
      <c r="K1556" s="8"/>
      <c r="L1556" s="8"/>
      <c r="M1556" s="8"/>
      <c r="N1556" s="13"/>
      <c r="O1556" s="9"/>
      <c r="P1556" s="20"/>
      <c r="Q1556" s="20"/>
      <c r="R1556" s="20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</row>
    <row r="1557" spans="4:49" ht="15" thickBot="1" x14ac:dyDescent="0.35">
      <c r="D1557" s="2">
        <f t="shared" si="64"/>
        <v>1551</v>
      </c>
      <c r="E1557" s="6">
        <v>0.98086620317641982</v>
      </c>
      <c r="F1557" s="24"/>
      <c r="G1557" s="24"/>
      <c r="H1557" s="24"/>
      <c r="I1557" s="24"/>
      <c r="J1557" s="3"/>
      <c r="K1557" s="8"/>
      <c r="L1557" s="8"/>
      <c r="M1557" s="8"/>
      <c r="N1557" s="13"/>
      <c r="O1557" s="9"/>
      <c r="P1557" s="20"/>
      <c r="Q1557" s="20"/>
      <c r="R1557" s="20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</row>
    <row r="1558" spans="4:49" ht="15" thickBot="1" x14ac:dyDescent="0.35">
      <c r="D1558" s="2">
        <f t="shared" si="64"/>
        <v>1552</v>
      </c>
      <c r="E1558" s="6">
        <v>2.8252973614310357</v>
      </c>
      <c r="F1558" s="24"/>
      <c r="G1558" s="24"/>
      <c r="H1558" s="24"/>
      <c r="I1558" s="24"/>
      <c r="J1558" s="3"/>
      <c r="K1558" s="8"/>
      <c r="L1558" s="8"/>
      <c r="M1558" s="8"/>
      <c r="N1558" s="13"/>
      <c r="O1558" s="9"/>
      <c r="P1558" s="20"/>
      <c r="Q1558" s="20"/>
      <c r="R1558" s="20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</row>
    <row r="1559" spans="4:49" ht="15" thickBot="1" x14ac:dyDescent="0.35">
      <c r="D1559" s="2">
        <f t="shared" si="64"/>
        <v>1553</v>
      </c>
      <c r="E1559" s="6">
        <v>6.9782539717438947</v>
      </c>
      <c r="F1559" s="24"/>
      <c r="G1559" s="24"/>
      <c r="H1559" s="24"/>
      <c r="I1559" s="24"/>
      <c r="J1559" s="3"/>
      <c r="K1559" s="8"/>
      <c r="L1559" s="8"/>
      <c r="M1559" s="8"/>
      <c r="N1559" s="13"/>
      <c r="O1559" s="9"/>
      <c r="P1559" s="20"/>
      <c r="Q1559" s="20"/>
      <c r="R1559" s="20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</row>
    <row r="1560" spans="4:49" ht="15" thickBot="1" x14ac:dyDescent="0.35">
      <c r="D1560" s="2">
        <f t="shared" si="64"/>
        <v>1554</v>
      </c>
      <c r="E1560" s="6">
        <v>22.891320713683303</v>
      </c>
      <c r="F1560" s="24"/>
      <c r="G1560" s="24"/>
      <c r="H1560" s="24"/>
      <c r="I1560" s="24"/>
      <c r="J1560" s="3"/>
      <c r="K1560" s="8"/>
      <c r="L1560" s="8"/>
      <c r="M1560" s="8"/>
      <c r="N1560" s="13"/>
      <c r="O1560" s="9"/>
      <c r="P1560" s="20"/>
      <c r="Q1560" s="20"/>
      <c r="R1560" s="20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</row>
    <row r="1561" spans="4:49" ht="15" thickBot="1" x14ac:dyDescent="0.35">
      <c r="D1561" s="2">
        <f t="shared" si="64"/>
        <v>1555</v>
      </c>
      <c r="E1561" s="6">
        <v>1.7327550010567561</v>
      </c>
      <c r="F1561" s="24"/>
      <c r="G1561" s="24"/>
      <c r="H1561" s="24"/>
      <c r="I1561" s="24"/>
      <c r="J1561" s="3"/>
      <c r="K1561" s="8"/>
      <c r="L1561" s="8"/>
      <c r="M1561" s="8"/>
      <c r="N1561" s="13"/>
      <c r="O1561" s="9"/>
      <c r="P1561" s="20"/>
      <c r="Q1561" s="20"/>
      <c r="R1561" s="20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</row>
    <row r="1562" spans="4:49" ht="15" thickBot="1" x14ac:dyDescent="0.35">
      <c r="D1562" s="2">
        <f t="shared" si="64"/>
        <v>1556</v>
      </c>
      <c r="E1562" s="6">
        <v>6.8591133291810733</v>
      </c>
      <c r="F1562" s="24"/>
      <c r="G1562" s="24"/>
      <c r="H1562" s="24"/>
      <c r="I1562" s="24"/>
      <c r="J1562" s="3"/>
      <c r="K1562" s="8"/>
      <c r="L1562" s="8"/>
      <c r="M1562" s="8"/>
      <c r="N1562" s="13"/>
      <c r="O1562" s="9"/>
      <c r="P1562" s="20"/>
      <c r="Q1562" s="20"/>
      <c r="R1562" s="20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</row>
    <row r="1563" spans="4:49" ht="15" thickBot="1" x14ac:dyDescent="0.35">
      <c r="D1563" s="2">
        <f t="shared" si="64"/>
        <v>1557</v>
      </c>
      <c r="E1563" s="6">
        <v>2.9299796494309778</v>
      </c>
      <c r="F1563" s="24"/>
      <c r="G1563" s="24"/>
      <c r="H1563" s="24"/>
      <c r="I1563" s="24"/>
      <c r="J1563" s="3"/>
      <c r="K1563" s="8"/>
      <c r="L1563" s="8"/>
      <c r="M1563" s="8"/>
      <c r="N1563" s="13"/>
      <c r="O1563" s="9"/>
      <c r="P1563" s="20"/>
      <c r="Q1563" s="20"/>
      <c r="R1563" s="20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</row>
    <row r="1564" spans="4:49" ht="15" thickBot="1" x14ac:dyDescent="0.35">
      <c r="D1564" s="2">
        <f t="shared" si="64"/>
        <v>1558</v>
      </c>
      <c r="E1564" s="6">
        <v>0.24841564225262106</v>
      </c>
      <c r="F1564" s="24"/>
      <c r="G1564" s="24"/>
      <c r="H1564" s="24"/>
      <c r="I1564" s="24"/>
      <c r="J1564" s="3"/>
      <c r="K1564" s="8"/>
      <c r="L1564" s="8"/>
      <c r="M1564" s="8"/>
      <c r="N1564" s="13"/>
      <c r="O1564" s="9"/>
      <c r="P1564" s="20"/>
      <c r="Q1564" s="20"/>
      <c r="R1564" s="20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</row>
    <row r="1565" spans="4:49" ht="15" thickBot="1" x14ac:dyDescent="0.35">
      <c r="D1565" s="2">
        <f t="shared" si="64"/>
        <v>1559</v>
      </c>
      <c r="E1565" s="6">
        <v>5.9724423235466082</v>
      </c>
      <c r="F1565" s="24"/>
      <c r="G1565" s="24"/>
      <c r="H1565" s="24"/>
      <c r="I1565" s="24"/>
      <c r="J1565" s="3"/>
      <c r="K1565" s="8"/>
      <c r="L1565" s="8"/>
      <c r="M1565" s="8"/>
      <c r="N1565" s="13"/>
      <c r="O1565" s="9"/>
      <c r="P1565" s="20"/>
      <c r="Q1565" s="20"/>
      <c r="R1565" s="20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</row>
    <row r="1566" spans="4:49" ht="15" thickBot="1" x14ac:dyDescent="0.35">
      <c r="D1566" s="2">
        <f t="shared" si="64"/>
        <v>1560</v>
      </c>
      <c r="E1566" s="6">
        <v>1.3288880844919875</v>
      </c>
      <c r="F1566" s="24"/>
      <c r="G1566" s="24"/>
      <c r="H1566" s="24"/>
      <c r="I1566" s="24"/>
      <c r="J1566" s="3"/>
      <c r="K1566" s="8"/>
      <c r="L1566" s="8"/>
      <c r="M1566" s="8"/>
      <c r="N1566" s="13"/>
      <c r="O1566" s="9"/>
      <c r="P1566" s="20"/>
      <c r="Q1566" s="20"/>
      <c r="R1566" s="20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</row>
    <row r="1567" spans="4:49" ht="15" thickBot="1" x14ac:dyDescent="0.35">
      <c r="D1567" s="2">
        <f t="shared" si="64"/>
        <v>1561</v>
      </c>
      <c r="E1567" s="6">
        <v>4.5182361287008765</v>
      </c>
      <c r="F1567" s="24"/>
      <c r="G1567" s="24"/>
      <c r="H1567" s="24"/>
      <c r="I1567" s="24"/>
      <c r="J1567" s="3"/>
      <c r="K1567" s="8"/>
      <c r="L1567" s="8"/>
      <c r="M1567" s="8"/>
      <c r="N1567" s="13"/>
      <c r="O1567" s="9"/>
      <c r="P1567" s="20"/>
      <c r="Q1567" s="20"/>
      <c r="R1567" s="20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</row>
    <row r="1568" spans="4:49" ht="15" thickBot="1" x14ac:dyDescent="0.35">
      <c r="D1568" s="2">
        <f t="shared" si="64"/>
        <v>1562</v>
      </c>
      <c r="E1568" s="6">
        <v>0.26336236599233137</v>
      </c>
      <c r="F1568" s="24"/>
      <c r="G1568" s="24"/>
      <c r="H1568" s="24"/>
      <c r="I1568" s="24"/>
      <c r="J1568" s="3"/>
      <c r="K1568" s="8"/>
      <c r="L1568" s="8"/>
      <c r="M1568" s="8"/>
      <c r="N1568" s="13"/>
      <c r="O1568" s="9"/>
      <c r="P1568" s="20"/>
      <c r="Q1568" s="20"/>
      <c r="R1568" s="20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</row>
    <row r="1569" spans="4:49" ht="15" thickBot="1" x14ac:dyDescent="0.35">
      <c r="D1569" s="2">
        <f t="shared" si="64"/>
        <v>1563</v>
      </c>
      <c r="E1569" s="6">
        <v>1.1363538589864526</v>
      </c>
      <c r="F1569" s="24"/>
      <c r="G1569" s="24"/>
      <c r="H1569" s="24"/>
      <c r="I1569" s="24"/>
      <c r="J1569" s="3"/>
      <c r="K1569" s="8"/>
      <c r="L1569" s="8"/>
      <c r="M1569" s="8"/>
      <c r="N1569" s="13"/>
      <c r="O1569" s="9"/>
      <c r="P1569" s="20"/>
      <c r="Q1569" s="20"/>
      <c r="R1569" s="20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</row>
    <row r="1570" spans="4:49" ht="15" thickBot="1" x14ac:dyDescent="0.35">
      <c r="D1570" s="2">
        <f t="shared" si="64"/>
        <v>1564</v>
      </c>
      <c r="E1570" s="6">
        <v>14.409038694865332</v>
      </c>
      <c r="F1570" s="24"/>
      <c r="G1570" s="24"/>
      <c r="H1570" s="24"/>
      <c r="I1570" s="24"/>
      <c r="J1570" s="3"/>
      <c r="K1570" s="8"/>
      <c r="L1570" s="8"/>
      <c r="M1570" s="8"/>
      <c r="N1570" s="13"/>
      <c r="O1570" s="9"/>
      <c r="P1570" s="20"/>
      <c r="Q1570" s="20"/>
      <c r="R1570" s="20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</row>
    <row r="1571" spans="4:49" ht="15" thickBot="1" x14ac:dyDescent="0.35">
      <c r="D1571" s="2">
        <f t="shared" si="64"/>
        <v>1565</v>
      </c>
      <c r="E1571" s="6">
        <v>5.9893811000881687</v>
      </c>
      <c r="F1571" s="24"/>
      <c r="G1571" s="24"/>
      <c r="H1571" s="24"/>
      <c r="I1571" s="24"/>
      <c r="J1571" s="3"/>
      <c r="K1571" s="8"/>
      <c r="L1571" s="8"/>
      <c r="M1571" s="8"/>
      <c r="N1571" s="13"/>
      <c r="O1571" s="9"/>
      <c r="P1571" s="20"/>
      <c r="Q1571" s="20"/>
      <c r="R1571" s="20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</row>
    <row r="1572" spans="4:49" ht="15" thickBot="1" x14ac:dyDescent="0.35">
      <c r="D1572" s="2">
        <f t="shared" si="64"/>
        <v>1566</v>
      </c>
      <c r="E1572" s="6">
        <v>4.8977461599072658</v>
      </c>
      <c r="F1572" s="24"/>
      <c r="G1572" s="24"/>
      <c r="H1572" s="24"/>
      <c r="I1572" s="24"/>
      <c r="J1572" s="3"/>
      <c r="K1572" s="8"/>
      <c r="L1572" s="8"/>
      <c r="M1572" s="8"/>
      <c r="N1572" s="13"/>
      <c r="O1572" s="9"/>
      <c r="P1572" s="20"/>
      <c r="Q1572" s="20"/>
      <c r="R1572" s="20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</row>
    <row r="1573" spans="4:49" ht="15" thickBot="1" x14ac:dyDescent="0.35">
      <c r="D1573" s="2">
        <f t="shared" si="64"/>
        <v>1567</v>
      </c>
      <c r="E1573" s="6">
        <v>8.0385715504214653E-2</v>
      </c>
      <c r="F1573" s="24"/>
      <c r="G1573" s="24"/>
      <c r="H1573" s="24"/>
      <c r="I1573" s="24"/>
      <c r="J1573" s="3"/>
      <c r="K1573" s="8"/>
      <c r="L1573" s="8"/>
      <c r="M1573" s="8"/>
      <c r="N1573" s="13"/>
      <c r="O1573" s="9"/>
      <c r="P1573" s="20"/>
      <c r="Q1573" s="20"/>
      <c r="R1573" s="20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</row>
    <row r="1574" spans="4:49" ht="15" thickBot="1" x14ac:dyDescent="0.35">
      <c r="D1574" s="2">
        <f t="shared" si="64"/>
        <v>1568</v>
      </c>
      <c r="E1574" s="6">
        <v>0.72083777054541887</v>
      </c>
      <c r="F1574" s="24"/>
      <c r="G1574" s="24"/>
      <c r="H1574" s="24"/>
      <c r="I1574" s="24"/>
      <c r="J1574" s="3"/>
      <c r="K1574" s="8"/>
      <c r="L1574" s="8"/>
      <c r="M1574" s="8"/>
      <c r="N1574" s="13"/>
      <c r="O1574" s="9"/>
      <c r="P1574" s="20"/>
      <c r="Q1574" s="20"/>
      <c r="R1574" s="20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</row>
    <row r="1575" spans="4:49" ht="15" thickBot="1" x14ac:dyDescent="0.35">
      <c r="D1575" s="2">
        <f t="shared" si="64"/>
        <v>1569</v>
      </c>
      <c r="E1575" s="6">
        <v>3.5234261609321438</v>
      </c>
      <c r="F1575" s="24"/>
      <c r="G1575" s="24"/>
      <c r="H1575" s="24"/>
      <c r="I1575" s="24"/>
      <c r="J1575" s="3"/>
      <c r="K1575" s="8"/>
      <c r="L1575" s="8"/>
      <c r="M1575" s="8"/>
      <c r="N1575" s="13"/>
      <c r="O1575" s="9"/>
      <c r="P1575" s="20"/>
      <c r="Q1575" s="20"/>
      <c r="R1575" s="20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</row>
    <row r="1576" spans="4:49" ht="15" thickBot="1" x14ac:dyDescent="0.35">
      <c r="D1576" s="2">
        <f t="shared" si="64"/>
        <v>1570</v>
      </c>
      <c r="E1576" s="6">
        <v>0.48327725767220869</v>
      </c>
      <c r="F1576" s="24"/>
      <c r="G1576" s="24"/>
      <c r="H1576" s="24"/>
      <c r="I1576" s="24"/>
      <c r="J1576" s="3"/>
      <c r="K1576" s="8"/>
      <c r="L1576" s="8"/>
      <c r="M1576" s="8"/>
      <c r="N1576" s="13"/>
      <c r="O1576" s="9"/>
      <c r="P1576" s="20"/>
      <c r="Q1576" s="20"/>
      <c r="R1576" s="20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</row>
    <row r="1577" spans="4:49" ht="15" thickBot="1" x14ac:dyDescent="0.35">
      <c r="D1577" s="2">
        <f t="shared" si="64"/>
        <v>1571</v>
      </c>
      <c r="E1577" s="6">
        <v>1.5949302598177781</v>
      </c>
      <c r="F1577" s="24"/>
      <c r="G1577" s="24"/>
      <c r="H1577" s="24"/>
      <c r="I1577" s="24"/>
      <c r="J1577" s="3"/>
      <c r="K1577" s="8"/>
      <c r="L1577" s="8"/>
      <c r="M1577" s="8"/>
      <c r="N1577" s="13"/>
      <c r="O1577" s="9"/>
      <c r="P1577" s="20"/>
      <c r="Q1577" s="20"/>
      <c r="R1577" s="20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</row>
    <row r="1578" spans="4:49" ht="15" thickBot="1" x14ac:dyDescent="0.35">
      <c r="D1578" s="2">
        <f t="shared" si="64"/>
        <v>1572</v>
      </c>
      <c r="E1578" s="6">
        <v>2.2495159025015354</v>
      </c>
      <c r="F1578" s="24"/>
      <c r="G1578" s="24"/>
      <c r="H1578" s="24"/>
      <c r="I1578" s="24"/>
      <c r="J1578" s="3"/>
      <c r="K1578" s="8"/>
      <c r="L1578" s="8"/>
      <c r="M1578" s="8"/>
      <c r="N1578" s="13"/>
      <c r="O1578" s="9"/>
      <c r="P1578" s="20"/>
      <c r="Q1578" s="20"/>
      <c r="R1578" s="20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</row>
    <row r="1579" spans="4:49" ht="15" thickBot="1" x14ac:dyDescent="0.35">
      <c r="D1579" s="2">
        <f t="shared" si="64"/>
        <v>1573</v>
      </c>
      <c r="E1579" s="6">
        <v>0.9490025140796321</v>
      </c>
      <c r="F1579" s="24"/>
      <c r="G1579" s="24"/>
      <c r="H1579" s="24"/>
      <c r="I1579" s="24"/>
      <c r="J1579" s="3"/>
      <c r="K1579" s="8"/>
      <c r="L1579" s="8"/>
      <c r="M1579" s="8"/>
      <c r="N1579" s="13"/>
      <c r="O1579" s="9"/>
      <c r="P1579" s="20"/>
      <c r="Q1579" s="20"/>
      <c r="R1579" s="20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</row>
    <row r="1580" spans="4:49" ht="15" thickBot="1" x14ac:dyDescent="0.35">
      <c r="D1580" s="2">
        <f t="shared" si="64"/>
        <v>1574</v>
      </c>
      <c r="E1580" s="6">
        <v>3.3982483226490889</v>
      </c>
      <c r="F1580" s="24"/>
      <c r="G1580" s="24"/>
      <c r="H1580" s="24"/>
      <c r="I1580" s="24"/>
      <c r="J1580" s="3"/>
      <c r="K1580" s="8"/>
      <c r="L1580" s="8"/>
      <c r="M1580" s="8"/>
      <c r="N1580" s="13"/>
      <c r="O1580" s="9"/>
      <c r="P1580" s="20"/>
      <c r="Q1580" s="20"/>
      <c r="R1580" s="20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</row>
    <row r="1581" spans="4:49" ht="15" thickBot="1" x14ac:dyDescent="0.35">
      <c r="D1581" s="2">
        <f t="shared" si="64"/>
        <v>1575</v>
      </c>
      <c r="E1581" s="6">
        <v>18.568800512621852</v>
      </c>
      <c r="F1581" s="24"/>
      <c r="G1581" s="24"/>
      <c r="H1581" s="24"/>
      <c r="I1581" s="24"/>
      <c r="J1581" s="3"/>
      <c r="K1581" s="8"/>
      <c r="L1581" s="8"/>
      <c r="M1581" s="8"/>
      <c r="N1581" s="13"/>
      <c r="O1581" s="9"/>
      <c r="P1581" s="20"/>
      <c r="Q1581" s="20"/>
      <c r="R1581" s="20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</row>
    <row r="1582" spans="4:49" ht="15" thickBot="1" x14ac:dyDescent="0.35">
      <c r="D1582" s="2">
        <f t="shared" si="64"/>
        <v>1576</v>
      </c>
      <c r="E1582" s="6">
        <v>4.0536229914622837</v>
      </c>
      <c r="F1582" s="24"/>
      <c r="G1582" s="24"/>
      <c r="H1582" s="24"/>
      <c r="I1582" s="24"/>
      <c r="J1582" s="3"/>
      <c r="K1582" s="8"/>
      <c r="L1582" s="8"/>
      <c r="M1582" s="8"/>
      <c r="N1582" s="13"/>
      <c r="O1582" s="9"/>
      <c r="P1582" s="20"/>
      <c r="Q1582" s="20"/>
      <c r="R1582" s="20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</row>
    <row r="1583" spans="4:49" ht="15" thickBot="1" x14ac:dyDescent="0.35">
      <c r="D1583" s="2">
        <f t="shared" si="64"/>
        <v>1577</v>
      </c>
      <c r="E1583" s="6">
        <v>8.0407712707726677</v>
      </c>
      <c r="F1583" s="24"/>
      <c r="G1583" s="24"/>
      <c r="H1583" s="24"/>
      <c r="I1583" s="24"/>
      <c r="J1583" s="3"/>
      <c r="K1583" s="8"/>
      <c r="L1583" s="8"/>
      <c r="M1583" s="8"/>
      <c r="N1583" s="13"/>
      <c r="O1583" s="9"/>
      <c r="P1583" s="20"/>
      <c r="Q1583" s="20"/>
      <c r="R1583" s="20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</row>
    <row r="1584" spans="4:49" ht="15" thickBot="1" x14ac:dyDescent="0.35">
      <c r="D1584" s="2">
        <f t="shared" si="64"/>
        <v>1578</v>
      </c>
      <c r="E1584" s="6">
        <v>2.8992799466285879</v>
      </c>
      <c r="F1584" s="24"/>
      <c r="G1584" s="24"/>
      <c r="H1584" s="24"/>
      <c r="I1584" s="24"/>
      <c r="J1584" s="3"/>
      <c r="K1584" s="8"/>
      <c r="L1584" s="8"/>
      <c r="M1584" s="8"/>
      <c r="N1584" s="13"/>
      <c r="O1584" s="9"/>
      <c r="P1584" s="20"/>
      <c r="Q1584" s="20"/>
      <c r="R1584" s="20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</row>
    <row r="1585" spans="4:49" ht="15" thickBot="1" x14ac:dyDescent="0.35">
      <c r="D1585" s="2">
        <f t="shared" si="64"/>
        <v>1579</v>
      </c>
      <c r="E1585" s="6">
        <v>0.76984599338922288</v>
      </c>
      <c r="F1585" s="24"/>
      <c r="G1585" s="24"/>
      <c r="H1585" s="24"/>
      <c r="I1585" s="24"/>
      <c r="J1585" s="3"/>
      <c r="K1585" s="8"/>
      <c r="L1585" s="8"/>
      <c r="M1585" s="8"/>
      <c r="N1585" s="13"/>
      <c r="O1585" s="9"/>
      <c r="P1585" s="20"/>
      <c r="Q1585" s="20"/>
      <c r="R1585" s="20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</row>
    <row r="1586" spans="4:49" ht="15" thickBot="1" x14ac:dyDescent="0.35">
      <c r="D1586" s="2">
        <f t="shared" si="64"/>
        <v>1580</v>
      </c>
      <c r="E1586" s="6">
        <v>2.25953636523057</v>
      </c>
      <c r="F1586" s="24"/>
      <c r="G1586" s="24"/>
      <c r="H1586" s="24"/>
      <c r="I1586" s="24"/>
      <c r="J1586" s="3"/>
      <c r="K1586" s="8"/>
      <c r="L1586" s="8"/>
      <c r="M1586" s="8"/>
      <c r="N1586" s="13"/>
      <c r="O1586" s="9"/>
      <c r="P1586" s="20"/>
      <c r="Q1586" s="20"/>
      <c r="R1586" s="20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</row>
    <row r="1587" spans="4:49" ht="15" thickBot="1" x14ac:dyDescent="0.35">
      <c r="D1587" s="2">
        <f t="shared" si="64"/>
        <v>1581</v>
      </c>
      <c r="E1587" s="6">
        <v>1.4576381165495802</v>
      </c>
      <c r="F1587" s="24"/>
      <c r="G1587" s="24"/>
      <c r="H1587" s="24"/>
      <c r="I1587" s="24"/>
      <c r="J1587" s="3"/>
      <c r="K1587" s="8"/>
      <c r="L1587" s="8"/>
      <c r="M1587" s="8"/>
      <c r="N1587" s="13"/>
      <c r="O1587" s="9"/>
      <c r="P1587" s="20"/>
      <c r="Q1587" s="20"/>
      <c r="R1587" s="20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</row>
    <row r="1588" spans="4:49" ht="15" thickBot="1" x14ac:dyDescent="0.35">
      <c r="D1588" s="2">
        <f t="shared" si="64"/>
        <v>1582</v>
      </c>
      <c r="E1588" s="6">
        <v>10.112114138569691</v>
      </c>
      <c r="F1588" s="24"/>
      <c r="G1588" s="24"/>
      <c r="H1588" s="24"/>
      <c r="I1588" s="24"/>
      <c r="J1588" s="3"/>
      <c r="K1588" s="8"/>
      <c r="L1588" s="8"/>
      <c r="M1588" s="8"/>
      <c r="N1588" s="13"/>
      <c r="O1588" s="9"/>
      <c r="P1588" s="20"/>
      <c r="Q1588" s="20"/>
      <c r="R1588" s="20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</row>
    <row r="1589" spans="4:49" ht="15" thickBot="1" x14ac:dyDescent="0.35">
      <c r="D1589" s="2">
        <f t="shared" si="64"/>
        <v>1583</v>
      </c>
      <c r="E1589" s="6">
        <v>1.84131914172872</v>
      </c>
      <c r="F1589" s="24"/>
      <c r="G1589" s="24"/>
      <c r="H1589" s="24"/>
      <c r="I1589" s="24"/>
      <c r="J1589" s="3"/>
      <c r="K1589" s="8"/>
      <c r="L1589" s="8"/>
      <c r="M1589" s="8"/>
      <c r="N1589" s="13"/>
      <c r="O1589" s="9"/>
      <c r="P1589" s="20"/>
      <c r="Q1589" s="20"/>
      <c r="R1589" s="20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</row>
    <row r="1590" spans="4:49" ht="15" thickBot="1" x14ac:dyDescent="0.35">
      <c r="D1590" s="2">
        <f t="shared" si="64"/>
        <v>1584</v>
      </c>
      <c r="E1590" s="6">
        <v>0.39624316938129267</v>
      </c>
      <c r="F1590" s="24"/>
      <c r="G1590" s="24"/>
      <c r="H1590" s="24"/>
      <c r="I1590" s="24"/>
      <c r="J1590" s="3"/>
      <c r="K1590" s="8"/>
      <c r="L1590" s="8"/>
      <c r="M1590" s="8"/>
      <c r="N1590" s="13"/>
      <c r="O1590" s="9"/>
      <c r="P1590" s="20"/>
      <c r="Q1590" s="20"/>
      <c r="R1590" s="20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</row>
    <row r="1591" spans="4:49" ht="15" thickBot="1" x14ac:dyDescent="0.35">
      <c r="D1591" s="2">
        <f t="shared" si="64"/>
        <v>1585</v>
      </c>
      <c r="E1591" s="6">
        <v>1.6883979900852639</v>
      </c>
      <c r="F1591" s="24"/>
      <c r="G1591" s="24"/>
      <c r="H1591" s="24"/>
      <c r="I1591" s="24"/>
      <c r="J1591" s="3"/>
      <c r="K1591" s="8"/>
      <c r="L1591" s="8"/>
      <c r="M1591" s="8"/>
      <c r="N1591" s="13"/>
      <c r="O1591" s="9"/>
      <c r="P1591" s="20"/>
      <c r="Q1591" s="20"/>
      <c r="R1591" s="20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</row>
    <row r="1592" spans="4:49" ht="15" thickBot="1" x14ac:dyDescent="0.35">
      <c r="D1592" s="2">
        <f t="shared" si="64"/>
        <v>1586</v>
      </c>
      <c r="E1592" s="6">
        <v>1.6619839448738705</v>
      </c>
      <c r="F1592" s="24"/>
      <c r="G1592" s="24"/>
      <c r="H1592" s="24"/>
      <c r="I1592" s="24"/>
      <c r="J1592" s="3"/>
      <c r="K1592" s="8"/>
      <c r="L1592" s="8"/>
      <c r="M1592" s="8"/>
      <c r="N1592" s="13"/>
      <c r="O1592" s="9"/>
      <c r="P1592" s="20"/>
      <c r="Q1592" s="20"/>
      <c r="R1592" s="20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</row>
    <row r="1593" spans="4:49" ht="15" thickBot="1" x14ac:dyDescent="0.35">
      <c r="D1593" s="2">
        <f t="shared" si="64"/>
        <v>1587</v>
      </c>
      <c r="E1593" s="6">
        <v>4.9474555873711203</v>
      </c>
      <c r="F1593" s="24"/>
      <c r="G1593" s="24"/>
      <c r="H1593" s="24"/>
      <c r="I1593" s="24"/>
      <c r="J1593" s="3"/>
      <c r="K1593" s="8"/>
      <c r="L1593" s="8"/>
      <c r="M1593" s="8"/>
      <c r="N1593" s="13"/>
      <c r="O1593" s="9"/>
      <c r="P1593" s="20"/>
      <c r="Q1593" s="20"/>
      <c r="R1593" s="20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</row>
    <row r="1594" spans="4:49" ht="15" thickBot="1" x14ac:dyDescent="0.35">
      <c r="D1594" s="2">
        <f t="shared" si="64"/>
        <v>1588</v>
      </c>
      <c r="E1594" s="6">
        <v>5.7052558102954158</v>
      </c>
      <c r="F1594" s="24"/>
      <c r="G1594" s="24"/>
      <c r="H1594" s="24"/>
      <c r="I1594" s="24"/>
      <c r="J1594" s="3"/>
      <c r="K1594" s="8"/>
      <c r="L1594" s="8"/>
      <c r="M1594" s="8"/>
      <c r="N1594" s="13"/>
      <c r="O1594" s="9"/>
      <c r="P1594" s="20"/>
      <c r="Q1594" s="20"/>
      <c r="R1594" s="20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</row>
    <row r="1595" spans="4:49" ht="15" thickBot="1" x14ac:dyDescent="0.35">
      <c r="D1595" s="2">
        <f t="shared" si="64"/>
        <v>1589</v>
      </c>
      <c r="E1595" s="6">
        <v>8.0636542649705429</v>
      </c>
      <c r="F1595" s="24"/>
      <c r="G1595" s="24"/>
      <c r="H1595" s="24"/>
      <c r="I1595" s="24"/>
      <c r="J1595" s="3"/>
      <c r="K1595" s="8"/>
      <c r="L1595" s="8"/>
      <c r="M1595" s="8"/>
      <c r="N1595" s="13"/>
      <c r="O1595" s="9"/>
      <c r="P1595" s="20"/>
      <c r="Q1595" s="20"/>
      <c r="R1595" s="20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</row>
    <row r="1596" spans="4:49" ht="15" thickBot="1" x14ac:dyDescent="0.35">
      <c r="D1596" s="2">
        <f t="shared" si="64"/>
        <v>1590</v>
      </c>
      <c r="E1596" s="6">
        <v>0.50805793500799068</v>
      </c>
      <c r="F1596" s="24"/>
      <c r="G1596" s="24"/>
      <c r="H1596" s="24"/>
      <c r="I1596" s="24"/>
      <c r="J1596" s="3"/>
      <c r="K1596" s="8"/>
      <c r="L1596" s="8"/>
      <c r="M1596" s="8"/>
      <c r="N1596" s="13"/>
      <c r="O1596" s="9"/>
      <c r="P1596" s="20"/>
      <c r="Q1596" s="20"/>
      <c r="R1596" s="20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</row>
    <row r="1597" spans="4:49" ht="15" thickBot="1" x14ac:dyDescent="0.35">
      <c r="D1597" s="2">
        <f t="shared" si="64"/>
        <v>1591</v>
      </c>
      <c r="E1597" s="6">
        <v>2.8917085467776178</v>
      </c>
      <c r="F1597" s="24"/>
      <c r="G1597" s="24"/>
      <c r="H1597" s="24"/>
      <c r="I1597" s="24"/>
      <c r="J1597" s="3"/>
      <c r="K1597" s="8"/>
      <c r="L1597" s="8"/>
      <c r="M1597" s="8"/>
      <c r="N1597" s="13"/>
      <c r="O1597" s="9"/>
      <c r="P1597" s="20"/>
      <c r="Q1597" s="20"/>
      <c r="R1597" s="20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</row>
    <row r="1598" spans="4:49" ht="15" thickBot="1" x14ac:dyDescent="0.35">
      <c r="D1598" s="2">
        <f t="shared" si="64"/>
        <v>1592</v>
      </c>
      <c r="E1598" s="6">
        <v>1.8662706672393798</v>
      </c>
      <c r="F1598" s="24"/>
      <c r="G1598" s="24"/>
      <c r="H1598" s="24"/>
      <c r="I1598" s="24"/>
      <c r="J1598" s="3"/>
      <c r="K1598" s="8"/>
      <c r="L1598" s="8"/>
      <c r="M1598" s="8"/>
      <c r="N1598" s="13"/>
      <c r="O1598" s="9"/>
      <c r="P1598" s="20"/>
      <c r="Q1598" s="20"/>
      <c r="R1598" s="20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</row>
    <row r="1599" spans="4:49" ht="15" thickBot="1" x14ac:dyDescent="0.35">
      <c r="D1599" s="2">
        <f t="shared" si="64"/>
        <v>1593</v>
      </c>
      <c r="E1599" s="6">
        <v>1.5369119084005931</v>
      </c>
      <c r="F1599" s="24"/>
      <c r="G1599" s="24"/>
      <c r="H1599" s="24"/>
      <c r="I1599" s="24"/>
      <c r="J1599" s="3"/>
      <c r="K1599" s="8"/>
      <c r="L1599" s="8"/>
      <c r="M1599" s="8"/>
      <c r="N1599" s="13"/>
      <c r="O1599" s="9"/>
      <c r="P1599" s="20"/>
      <c r="Q1599" s="20"/>
      <c r="R1599" s="20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</row>
    <row r="1600" spans="4:49" ht="15" thickBot="1" x14ac:dyDescent="0.35">
      <c r="D1600" s="2">
        <f t="shared" si="64"/>
        <v>1594</v>
      </c>
      <c r="E1600" s="6">
        <v>1.6907048056552185</v>
      </c>
      <c r="F1600" s="24"/>
      <c r="G1600" s="24"/>
      <c r="H1600" s="24"/>
      <c r="I1600" s="24"/>
      <c r="J1600" s="3"/>
      <c r="K1600" s="8"/>
      <c r="L1600" s="8"/>
      <c r="M1600" s="8"/>
      <c r="N1600" s="13"/>
      <c r="O1600" s="9"/>
      <c r="P1600" s="20"/>
      <c r="Q1600" s="20"/>
      <c r="R1600" s="20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</row>
    <row r="1601" spans="4:49" ht="15" thickBot="1" x14ac:dyDescent="0.35">
      <c r="D1601" s="2">
        <f t="shared" si="64"/>
        <v>1595</v>
      </c>
      <c r="E1601" s="6">
        <v>7.9689920485720718</v>
      </c>
      <c r="F1601" s="24"/>
      <c r="G1601" s="24"/>
      <c r="H1601" s="24"/>
      <c r="I1601" s="24"/>
      <c r="J1601" s="3"/>
      <c r="K1601" s="8"/>
      <c r="L1601" s="8"/>
      <c r="M1601" s="8"/>
      <c r="N1601" s="13"/>
      <c r="O1601" s="9"/>
      <c r="P1601" s="20"/>
      <c r="Q1601" s="20"/>
      <c r="R1601" s="20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</row>
    <row r="1602" spans="4:49" ht="15" thickBot="1" x14ac:dyDescent="0.35">
      <c r="D1602" s="2">
        <f t="shared" si="64"/>
        <v>1596</v>
      </c>
      <c r="E1602" s="6">
        <v>5.1801450750435123</v>
      </c>
      <c r="F1602" s="24"/>
      <c r="G1602" s="24"/>
      <c r="H1602" s="24"/>
      <c r="I1602" s="24"/>
      <c r="J1602" s="3"/>
      <c r="K1602" s="8"/>
      <c r="L1602" s="8"/>
      <c r="M1602" s="8"/>
      <c r="N1602" s="13"/>
      <c r="O1602" s="9"/>
      <c r="P1602" s="20"/>
      <c r="Q1602" s="20"/>
      <c r="R1602" s="20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</row>
    <row r="1603" spans="4:49" ht="15" thickBot="1" x14ac:dyDescent="0.35">
      <c r="D1603" s="2">
        <f t="shared" si="64"/>
        <v>1597</v>
      </c>
      <c r="E1603" s="6">
        <v>4.1004625434949593E-2</v>
      </c>
      <c r="F1603" s="24"/>
      <c r="G1603" s="24"/>
      <c r="H1603" s="24"/>
      <c r="I1603" s="24"/>
      <c r="J1603" s="3"/>
      <c r="K1603" s="8"/>
      <c r="L1603" s="8"/>
      <c r="M1603" s="8"/>
      <c r="N1603" s="13"/>
      <c r="O1603" s="9"/>
      <c r="P1603" s="20"/>
      <c r="Q1603" s="20"/>
      <c r="R1603" s="20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</row>
    <row r="1604" spans="4:49" ht="15" thickBot="1" x14ac:dyDescent="0.35">
      <c r="D1604" s="2">
        <f t="shared" si="64"/>
        <v>1598</v>
      </c>
      <c r="E1604" s="6">
        <v>8.7788437317475587</v>
      </c>
      <c r="F1604" s="24"/>
      <c r="G1604" s="24"/>
      <c r="H1604" s="24"/>
      <c r="I1604" s="24"/>
      <c r="J1604" s="3"/>
      <c r="K1604" s="8"/>
      <c r="L1604" s="8"/>
      <c r="M1604" s="8"/>
      <c r="N1604" s="13"/>
      <c r="O1604" s="9"/>
      <c r="P1604" s="20"/>
      <c r="Q1604" s="20"/>
      <c r="R1604" s="20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</row>
    <row r="1605" spans="4:49" ht="15" thickBot="1" x14ac:dyDescent="0.35">
      <c r="D1605" s="2">
        <f t="shared" si="64"/>
        <v>1599</v>
      </c>
      <c r="E1605" s="6">
        <v>5.6340706545200723</v>
      </c>
      <c r="F1605" s="24"/>
      <c r="G1605" s="24"/>
      <c r="H1605" s="24"/>
      <c r="I1605" s="24"/>
      <c r="J1605" s="3"/>
      <c r="K1605" s="8"/>
      <c r="L1605" s="8"/>
      <c r="M1605" s="8"/>
      <c r="N1605" s="13"/>
      <c r="O1605" s="9"/>
      <c r="P1605" s="20"/>
      <c r="Q1605" s="20"/>
      <c r="R1605" s="20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</row>
    <row r="1606" spans="4:49" ht="15" thickBot="1" x14ac:dyDescent="0.35">
      <c r="D1606" s="2">
        <f t="shared" si="64"/>
        <v>1600</v>
      </c>
      <c r="E1606" s="6">
        <v>9.8960964032795271</v>
      </c>
      <c r="F1606" s="24"/>
      <c r="G1606" s="24"/>
      <c r="H1606" s="24"/>
      <c r="I1606" s="24"/>
      <c r="J1606" s="3"/>
      <c r="K1606" s="8"/>
      <c r="L1606" s="8"/>
      <c r="M1606" s="8"/>
      <c r="N1606" s="13"/>
      <c r="O1606" s="9"/>
      <c r="P1606" s="20"/>
      <c r="Q1606" s="20"/>
      <c r="R1606" s="20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</row>
    <row r="1607" spans="4:49" ht="15" thickBot="1" x14ac:dyDescent="0.35">
      <c r="D1607" s="2">
        <f t="shared" ref="D1607:D1670" si="65">ROW()-6</f>
        <v>1601</v>
      </c>
      <c r="E1607" s="6">
        <v>10.640446810917844</v>
      </c>
      <c r="F1607" s="24"/>
      <c r="G1607" s="24"/>
      <c r="H1607" s="24"/>
      <c r="I1607" s="24"/>
      <c r="J1607" s="3"/>
      <c r="K1607" s="8"/>
      <c r="L1607" s="8"/>
      <c r="M1607" s="8"/>
      <c r="N1607" s="13"/>
      <c r="O1607" s="9"/>
      <c r="P1607" s="20"/>
      <c r="Q1607" s="20"/>
      <c r="R1607" s="20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</row>
    <row r="1608" spans="4:49" ht="15" thickBot="1" x14ac:dyDescent="0.35">
      <c r="D1608" s="2">
        <f t="shared" si="65"/>
        <v>1602</v>
      </c>
      <c r="E1608" s="6">
        <v>4.4734084619240173</v>
      </c>
      <c r="F1608" s="24"/>
      <c r="G1608" s="24"/>
      <c r="H1608" s="24"/>
      <c r="I1608" s="24"/>
      <c r="J1608" s="3"/>
      <c r="K1608" s="8"/>
      <c r="L1608" s="8"/>
      <c r="M1608" s="8"/>
      <c r="N1608" s="13"/>
      <c r="O1608" s="9"/>
      <c r="P1608" s="20"/>
      <c r="Q1608" s="20"/>
      <c r="R1608" s="20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</row>
    <row r="1609" spans="4:49" ht="15" thickBot="1" x14ac:dyDescent="0.35">
      <c r="D1609" s="2">
        <f t="shared" si="65"/>
        <v>1603</v>
      </c>
      <c r="E1609" s="6">
        <v>8.8718942279971369</v>
      </c>
      <c r="F1609" s="24"/>
      <c r="G1609" s="24"/>
      <c r="H1609" s="24"/>
      <c r="I1609" s="24"/>
      <c r="J1609" s="3"/>
      <c r="K1609" s="8"/>
      <c r="L1609" s="8"/>
      <c r="M1609" s="8"/>
      <c r="N1609" s="13"/>
      <c r="O1609" s="9"/>
      <c r="P1609" s="20"/>
      <c r="Q1609" s="20"/>
      <c r="R1609" s="20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</row>
    <row r="1610" spans="4:49" ht="15" thickBot="1" x14ac:dyDescent="0.35">
      <c r="D1610" s="2">
        <f t="shared" si="65"/>
        <v>1604</v>
      </c>
      <c r="E1610" s="6">
        <v>0.67670949514573564</v>
      </c>
      <c r="F1610" s="24"/>
      <c r="G1610" s="24"/>
      <c r="H1610" s="24"/>
      <c r="I1610" s="24"/>
      <c r="J1610" s="3"/>
      <c r="K1610" s="8"/>
      <c r="L1610" s="8"/>
      <c r="M1610" s="8"/>
      <c r="N1610" s="13"/>
      <c r="O1610" s="9"/>
      <c r="P1610" s="20"/>
      <c r="Q1610" s="20"/>
      <c r="R1610" s="20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</row>
    <row r="1611" spans="4:49" ht="15" thickBot="1" x14ac:dyDescent="0.35">
      <c r="D1611" s="2">
        <f t="shared" si="65"/>
        <v>1605</v>
      </c>
      <c r="E1611" s="6">
        <v>3.3806139407491247</v>
      </c>
      <c r="F1611" s="24"/>
      <c r="G1611" s="24"/>
      <c r="H1611" s="24"/>
      <c r="I1611" s="24"/>
      <c r="J1611" s="3"/>
      <c r="K1611" s="8"/>
      <c r="L1611" s="8"/>
      <c r="M1611" s="8"/>
      <c r="N1611" s="13"/>
      <c r="O1611" s="9"/>
      <c r="P1611" s="20"/>
      <c r="Q1611" s="20"/>
      <c r="R1611" s="20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</row>
    <row r="1612" spans="4:49" ht="15" thickBot="1" x14ac:dyDescent="0.35">
      <c r="D1612" s="2">
        <f t="shared" si="65"/>
        <v>1606</v>
      </c>
      <c r="E1612" s="6">
        <v>4.2951915429670029</v>
      </c>
      <c r="F1612" s="24"/>
      <c r="G1612" s="24"/>
      <c r="H1612" s="24"/>
      <c r="I1612" s="24"/>
      <c r="J1612" s="3"/>
      <c r="K1612" s="8"/>
      <c r="L1612" s="8"/>
      <c r="M1612" s="8"/>
      <c r="N1612" s="13"/>
      <c r="O1612" s="9"/>
      <c r="P1612" s="20"/>
      <c r="Q1612" s="20"/>
      <c r="R1612" s="20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</row>
    <row r="1613" spans="4:49" ht="15" thickBot="1" x14ac:dyDescent="0.35">
      <c r="D1613" s="2">
        <f t="shared" si="65"/>
        <v>1607</v>
      </c>
      <c r="E1613" s="6">
        <v>9.1572369988082603</v>
      </c>
      <c r="F1613" s="24"/>
      <c r="G1613" s="24"/>
      <c r="H1613" s="24"/>
      <c r="I1613" s="24"/>
      <c r="J1613" s="3"/>
      <c r="K1613" s="8"/>
      <c r="L1613" s="8"/>
      <c r="M1613" s="8"/>
      <c r="N1613" s="13"/>
      <c r="O1613" s="9"/>
      <c r="P1613" s="20"/>
      <c r="Q1613" s="20"/>
      <c r="R1613" s="20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</row>
    <row r="1614" spans="4:49" ht="15" thickBot="1" x14ac:dyDescent="0.35">
      <c r="D1614" s="2">
        <f t="shared" si="65"/>
        <v>1608</v>
      </c>
      <c r="E1614" s="6">
        <v>2.3039349029897105</v>
      </c>
      <c r="F1614" s="24"/>
      <c r="G1614" s="24"/>
      <c r="H1614" s="24"/>
      <c r="I1614" s="24"/>
      <c r="J1614" s="3"/>
      <c r="K1614" s="8"/>
      <c r="L1614" s="8"/>
      <c r="M1614" s="8"/>
      <c r="N1614" s="13"/>
      <c r="O1614" s="9"/>
      <c r="P1614" s="20"/>
      <c r="Q1614" s="20"/>
      <c r="R1614" s="20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</row>
    <row r="1615" spans="4:49" ht="15" thickBot="1" x14ac:dyDescent="0.35">
      <c r="D1615" s="2">
        <f t="shared" si="65"/>
        <v>1609</v>
      </c>
      <c r="E1615" s="6">
        <v>4.0589279712491013</v>
      </c>
      <c r="F1615" s="24"/>
      <c r="G1615" s="24"/>
      <c r="H1615" s="24"/>
      <c r="I1615" s="24"/>
      <c r="J1615" s="3"/>
      <c r="K1615" s="8"/>
      <c r="L1615" s="8"/>
      <c r="M1615" s="8"/>
      <c r="N1615" s="13"/>
      <c r="O1615" s="9"/>
      <c r="P1615" s="20"/>
      <c r="Q1615" s="20"/>
      <c r="R1615" s="20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</row>
    <row r="1616" spans="4:49" ht="15" thickBot="1" x14ac:dyDescent="0.35">
      <c r="D1616" s="2">
        <f t="shared" si="65"/>
        <v>1610</v>
      </c>
      <c r="E1616" s="6">
        <v>3.414222160998976</v>
      </c>
      <c r="F1616" s="24"/>
      <c r="G1616" s="24"/>
      <c r="H1616" s="24"/>
      <c r="I1616" s="24"/>
      <c r="J1616" s="3"/>
      <c r="K1616" s="8"/>
      <c r="L1616" s="8"/>
      <c r="M1616" s="8"/>
      <c r="N1616" s="13"/>
      <c r="O1616" s="9"/>
      <c r="P1616" s="20"/>
      <c r="Q1616" s="20"/>
      <c r="R1616" s="20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</row>
    <row r="1617" spans="4:49" ht="15" thickBot="1" x14ac:dyDescent="0.35">
      <c r="D1617" s="2">
        <f t="shared" si="65"/>
        <v>1611</v>
      </c>
      <c r="E1617" s="6">
        <v>2.9482194805412529</v>
      </c>
      <c r="F1617" s="24"/>
      <c r="G1617" s="24"/>
      <c r="H1617" s="24"/>
      <c r="I1617" s="24"/>
      <c r="J1617" s="3"/>
      <c r="K1617" s="8"/>
      <c r="L1617" s="8"/>
      <c r="M1617" s="8"/>
      <c r="N1617" s="13"/>
      <c r="O1617" s="9"/>
      <c r="P1617" s="20"/>
      <c r="Q1617" s="20"/>
      <c r="R1617" s="20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</row>
    <row r="1618" spans="4:49" ht="15" thickBot="1" x14ac:dyDescent="0.35">
      <c r="D1618" s="2">
        <f t="shared" si="65"/>
        <v>1612</v>
      </c>
      <c r="E1618" s="6">
        <v>3.3333844643549293</v>
      </c>
      <c r="F1618" s="24"/>
      <c r="G1618" s="24"/>
      <c r="H1618" s="24"/>
      <c r="I1618" s="24"/>
      <c r="J1618" s="3"/>
      <c r="K1618" s="8"/>
      <c r="L1618" s="8"/>
      <c r="M1618" s="8"/>
      <c r="N1618" s="13"/>
      <c r="O1618" s="9"/>
      <c r="P1618" s="20"/>
      <c r="Q1618" s="20"/>
      <c r="R1618" s="20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</row>
    <row r="1619" spans="4:49" ht="15" thickBot="1" x14ac:dyDescent="0.35">
      <c r="D1619" s="2">
        <f t="shared" si="65"/>
        <v>1613</v>
      </c>
      <c r="E1619" s="6">
        <v>4.1742065562240924</v>
      </c>
      <c r="F1619" s="24"/>
      <c r="G1619" s="24"/>
      <c r="H1619" s="24"/>
      <c r="I1619" s="24"/>
      <c r="J1619" s="3"/>
      <c r="K1619" s="8"/>
      <c r="L1619" s="8"/>
      <c r="M1619" s="8"/>
      <c r="N1619" s="13"/>
      <c r="O1619" s="9"/>
      <c r="P1619" s="20"/>
      <c r="Q1619" s="20"/>
      <c r="R1619" s="20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</row>
    <row r="1620" spans="4:49" ht="15" thickBot="1" x14ac:dyDescent="0.35">
      <c r="D1620" s="2">
        <f t="shared" si="65"/>
        <v>1614</v>
      </c>
      <c r="E1620" s="6">
        <v>7.2954320644334336</v>
      </c>
      <c r="F1620" s="24"/>
      <c r="G1620" s="24"/>
      <c r="H1620" s="24"/>
      <c r="I1620" s="24"/>
      <c r="J1620" s="3"/>
      <c r="K1620" s="8"/>
      <c r="L1620" s="8"/>
      <c r="M1620" s="8"/>
      <c r="N1620" s="13"/>
      <c r="O1620" s="9"/>
      <c r="P1620" s="20"/>
      <c r="Q1620" s="20"/>
      <c r="R1620" s="20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</row>
    <row r="1621" spans="4:49" ht="15" thickBot="1" x14ac:dyDescent="0.35">
      <c r="D1621" s="2">
        <f t="shared" si="65"/>
        <v>1615</v>
      </c>
      <c r="E1621" s="6">
        <v>1.0033870565594034</v>
      </c>
      <c r="F1621" s="24"/>
      <c r="G1621" s="24"/>
      <c r="H1621" s="24"/>
      <c r="I1621" s="24"/>
      <c r="J1621" s="3"/>
      <c r="K1621" s="8"/>
      <c r="L1621" s="8"/>
      <c r="M1621" s="8"/>
      <c r="N1621" s="13"/>
      <c r="O1621" s="9"/>
      <c r="P1621" s="20"/>
      <c r="Q1621" s="20"/>
      <c r="R1621" s="20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</row>
    <row r="1622" spans="4:49" ht="15" thickBot="1" x14ac:dyDescent="0.35">
      <c r="D1622" s="2">
        <f t="shared" si="65"/>
        <v>1616</v>
      </c>
      <c r="E1622" s="6">
        <v>1.017101219365649</v>
      </c>
      <c r="F1622" s="24"/>
      <c r="G1622" s="24"/>
      <c r="H1622" s="24"/>
      <c r="I1622" s="24"/>
      <c r="J1622" s="3"/>
      <c r="K1622" s="8"/>
      <c r="L1622" s="8"/>
      <c r="M1622" s="8"/>
      <c r="N1622" s="13"/>
      <c r="O1622" s="9"/>
      <c r="P1622" s="20"/>
      <c r="Q1622" s="20"/>
      <c r="R1622" s="20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</row>
    <row r="1623" spans="4:49" ht="15" thickBot="1" x14ac:dyDescent="0.35">
      <c r="D1623" s="2">
        <f t="shared" si="65"/>
        <v>1617</v>
      </c>
      <c r="E1623" s="6">
        <v>3.2781797146659786</v>
      </c>
      <c r="F1623" s="24"/>
      <c r="G1623" s="24"/>
      <c r="H1623" s="24"/>
      <c r="I1623" s="24"/>
      <c r="J1623" s="3"/>
      <c r="K1623" s="8"/>
      <c r="L1623" s="8"/>
      <c r="M1623" s="8"/>
      <c r="N1623" s="13"/>
      <c r="O1623" s="9"/>
      <c r="P1623" s="20"/>
      <c r="Q1623" s="20"/>
      <c r="R1623" s="20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</row>
    <row r="1624" spans="4:49" ht="15" thickBot="1" x14ac:dyDescent="0.35">
      <c r="D1624" s="2">
        <f t="shared" si="65"/>
        <v>1618</v>
      </c>
      <c r="E1624" s="6">
        <v>0.5437551989642333</v>
      </c>
      <c r="F1624" s="24"/>
      <c r="G1624" s="24"/>
      <c r="H1624" s="24"/>
      <c r="I1624" s="24"/>
      <c r="J1624" s="3"/>
      <c r="K1624" s="8"/>
      <c r="L1624" s="8"/>
      <c r="M1624" s="8"/>
      <c r="N1624" s="13"/>
      <c r="O1624" s="9"/>
      <c r="P1624" s="20"/>
      <c r="Q1624" s="20"/>
      <c r="R1624" s="20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</row>
    <row r="1625" spans="4:49" ht="15" thickBot="1" x14ac:dyDescent="0.35">
      <c r="D1625" s="2">
        <f t="shared" si="65"/>
        <v>1619</v>
      </c>
      <c r="E1625" s="6">
        <v>0.13088281113684247</v>
      </c>
      <c r="F1625" s="24"/>
      <c r="G1625" s="24"/>
      <c r="H1625" s="24"/>
      <c r="I1625" s="24"/>
      <c r="J1625" s="3"/>
      <c r="K1625" s="8"/>
      <c r="L1625" s="8"/>
      <c r="M1625" s="8"/>
      <c r="N1625" s="13"/>
      <c r="O1625" s="9"/>
      <c r="P1625" s="20"/>
      <c r="Q1625" s="20"/>
      <c r="R1625" s="20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</row>
    <row r="1626" spans="4:49" ht="15" thickBot="1" x14ac:dyDescent="0.35">
      <c r="D1626" s="2">
        <f t="shared" si="65"/>
        <v>1620</v>
      </c>
      <c r="E1626" s="6">
        <v>5.9766359294387801</v>
      </c>
      <c r="F1626" s="24"/>
      <c r="G1626" s="24"/>
      <c r="H1626" s="24"/>
      <c r="I1626" s="24"/>
      <c r="J1626" s="3"/>
      <c r="K1626" s="8"/>
      <c r="L1626" s="8"/>
      <c r="M1626" s="8"/>
      <c r="N1626" s="13"/>
      <c r="O1626" s="9"/>
      <c r="P1626" s="20"/>
      <c r="Q1626" s="20"/>
      <c r="R1626" s="20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</row>
    <row r="1627" spans="4:49" ht="15" thickBot="1" x14ac:dyDescent="0.35">
      <c r="D1627" s="2">
        <f t="shared" si="65"/>
        <v>1621</v>
      </c>
      <c r="E1627" s="6">
        <v>2.2849381045977641</v>
      </c>
      <c r="F1627" s="24"/>
      <c r="G1627" s="24"/>
      <c r="H1627" s="24"/>
      <c r="I1627" s="24"/>
      <c r="J1627" s="3"/>
      <c r="K1627" s="8"/>
      <c r="L1627" s="8"/>
      <c r="M1627" s="8"/>
      <c r="N1627" s="13"/>
      <c r="O1627" s="9"/>
      <c r="P1627" s="20"/>
      <c r="Q1627" s="20"/>
      <c r="R1627" s="20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</row>
    <row r="1628" spans="4:49" ht="15" thickBot="1" x14ac:dyDescent="0.35">
      <c r="D1628" s="2">
        <f t="shared" si="65"/>
        <v>1622</v>
      </c>
      <c r="E1628" s="6">
        <v>1.7917871175232201</v>
      </c>
      <c r="F1628" s="24"/>
      <c r="G1628" s="24"/>
      <c r="H1628" s="24"/>
      <c r="I1628" s="24"/>
      <c r="J1628" s="3"/>
      <c r="K1628" s="8"/>
      <c r="L1628" s="8"/>
      <c r="M1628" s="8"/>
      <c r="N1628" s="13"/>
      <c r="O1628" s="9"/>
      <c r="P1628" s="20"/>
      <c r="Q1628" s="20"/>
      <c r="R1628" s="20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</row>
    <row r="1629" spans="4:49" ht="15" thickBot="1" x14ac:dyDescent="0.35">
      <c r="D1629" s="2">
        <f t="shared" si="65"/>
        <v>1623</v>
      </c>
      <c r="E1629" s="6">
        <v>3.0668598357470538</v>
      </c>
      <c r="F1629" s="24"/>
      <c r="G1629" s="24"/>
      <c r="H1629" s="24"/>
      <c r="I1629" s="24"/>
      <c r="J1629" s="3"/>
      <c r="K1629" s="8"/>
      <c r="L1629" s="8"/>
      <c r="M1629" s="8"/>
      <c r="N1629" s="13"/>
      <c r="O1629" s="9"/>
      <c r="P1629" s="20"/>
      <c r="Q1629" s="20"/>
      <c r="R1629" s="20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</row>
    <row r="1630" spans="4:49" ht="15" thickBot="1" x14ac:dyDescent="0.35">
      <c r="D1630" s="2">
        <f t="shared" si="65"/>
        <v>1624</v>
      </c>
      <c r="E1630" s="6">
        <v>2.5589853024525642</v>
      </c>
      <c r="F1630" s="24"/>
      <c r="G1630" s="24"/>
      <c r="H1630" s="24"/>
      <c r="I1630" s="24"/>
      <c r="J1630" s="3"/>
      <c r="K1630" s="8"/>
      <c r="L1630" s="8"/>
      <c r="M1630" s="8"/>
      <c r="N1630" s="13"/>
      <c r="O1630" s="9"/>
      <c r="P1630" s="20"/>
      <c r="Q1630" s="20"/>
      <c r="R1630" s="20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</row>
    <row r="1631" spans="4:49" ht="15" thickBot="1" x14ac:dyDescent="0.35">
      <c r="D1631" s="2">
        <f t="shared" si="65"/>
        <v>1625</v>
      </c>
      <c r="E1631" s="6">
        <v>8.7057457210754823</v>
      </c>
      <c r="F1631" s="24"/>
      <c r="G1631" s="24"/>
      <c r="H1631" s="24"/>
      <c r="I1631" s="24"/>
      <c r="J1631" s="3"/>
      <c r="K1631" s="8"/>
      <c r="L1631" s="8"/>
      <c r="M1631" s="8"/>
      <c r="N1631" s="13"/>
      <c r="O1631" s="9"/>
      <c r="P1631" s="20"/>
      <c r="Q1631" s="20"/>
      <c r="R1631" s="20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</row>
    <row r="1632" spans="4:49" ht="15" thickBot="1" x14ac:dyDescent="0.35">
      <c r="D1632" s="2">
        <f t="shared" si="65"/>
        <v>1626</v>
      </c>
      <c r="E1632" s="6">
        <v>2.6073380613076513</v>
      </c>
      <c r="F1632" s="24"/>
      <c r="G1632" s="24"/>
      <c r="H1632" s="24"/>
      <c r="I1632" s="24"/>
      <c r="J1632" s="3"/>
      <c r="K1632" s="8"/>
      <c r="L1632" s="8"/>
      <c r="M1632" s="8"/>
      <c r="N1632" s="13"/>
      <c r="O1632" s="9"/>
      <c r="P1632" s="20"/>
      <c r="Q1632" s="20"/>
      <c r="R1632" s="20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</row>
    <row r="1633" spans="4:49" ht="15" thickBot="1" x14ac:dyDescent="0.35">
      <c r="D1633" s="2">
        <f t="shared" si="65"/>
        <v>1627</v>
      </c>
      <c r="E1633" s="6">
        <v>3.1517326215466666</v>
      </c>
      <c r="F1633" s="24"/>
      <c r="G1633" s="24"/>
      <c r="H1633" s="24"/>
      <c r="I1633" s="24"/>
      <c r="J1633" s="3"/>
      <c r="K1633" s="8"/>
      <c r="L1633" s="8"/>
      <c r="M1633" s="8"/>
      <c r="N1633" s="13"/>
      <c r="O1633" s="9"/>
      <c r="P1633" s="20"/>
      <c r="Q1633" s="20"/>
      <c r="R1633" s="20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</row>
    <row r="1634" spans="4:49" ht="15" thickBot="1" x14ac:dyDescent="0.35">
      <c r="D1634" s="2">
        <f t="shared" si="65"/>
        <v>1628</v>
      </c>
      <c r="E1634" s="6">
        <v>6.2034221814399686</v>
      </c>
      <c r="F1634" s="24"/>
      <c r="G1634" s="24"/>
      <c r="H1634" s="24"/>
      <c r="I1634" s="24"/>
      <c r="J1634" s="3"/>
      <c r="K1634" s="8"/>
      <c r="L1634" s="8"/>
      <c r="M1634" s="8"/>
      <c r="N1634" s="13"/>
      <c r="O1634" s="9"/>
      <c r="P1634" s="20"/>
      <c r="Q1634" s="20"/>
      <c r="R1634" s="20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</row>
    <row r="1635" spans="4:49" ht="15" thickBot="1" x14ac:dyDescent="0.35">
      <c r="D1635" s="2">
        <f t="shared" si="65"/>
        <v>1629</v>
      </c>
      <c r="E1635" s="6">
        <v>1.8687280614400692</v>
      </c>
      <c r="F1635" s="24"/>
      <c r="G1635" s="24"/>
      <c r="H1635" s="24"/>
      <c r="I1635" s="24"/>
      <c r="J1635" s="3"/>
      <c r="K1635" s="8"/>
      <c r="L1635" s="8"/>
      <c r="M1635" s="8"/>
      <c r="N1635" s="13"/>
      <c r="O1635" s="9"/>
      <c r="P1635" s="20"/>
      <c r="Q1635" s="20"/>
      <c r="R1635" s="20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</row>
    <row r="1636" spans="4:49" ht="15" thickBot="1" x14ac:dyDescent="0.35">
      <c r="D1636" s="2">
        <f t="shared" si="65"/>
        <v>1630</v>
      </c>
      <c r="E1636" s="6">
        <v>4.6214275969228327</v>
      </c>
      <c r="F1636" s="24"/>
      <c r="G1636" s="24"/>
      <c r="H1636" s="24"/>
      <c r="I1636" s="24"/>
      <c r="J1636" s="3"/>
      <c r="K1636" s="8"/>
      <c r="L1636" s="8"/>
      <c r="M1636" s="8"/>
      <c r="N1636" s="13"/>
      <c r="O1636" s="9"/>
      <c r="P1636" s="20"/>
      <c r="Q1636" s="20"/>
      <c r="R1636" s="20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</row>
    <row r="1637" spans="4:49" ht="15" thickBot="1" x14ac:dyDescent="0.35">
      <c r="D1637" s="2">
        <f t="shared" si="65"/>
        <v>1631</v>
      </c>
      <c r="E1637" s="6">
        <v>1.5238950343206665</v>
      </c>
      <c r="F1637" s="24"/>
      <c r="G1637" s="24"/>
      <c r="H1637" s="24"/>
      <c r="I1637" s="24"/>
      <c r="J1637" s="3"/>
      <c r="K1637" s="8"/>
      <c r="L1637" s="8"/>
      <c r="M1637" s="8"/>
      <c r="N1637" s="13"/>
      <c r="O1637" s="9"/>
      <c r="P1637" s="20"/>
      <c r="Q1637" s="20"/>
      <c r="R1637" s="20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</row>
    <row r="1638" spans="4:49" ht="15" thickBot="1" x14ac:dyDescent="0.35">
      <c r="D1638" s="2">
        <f t="shared" si="65"/>
        <v>1632</v>
      </c>
      <c r="E1638" s="6">
        <v>1.5306212236445607</v>
      </c>
      <c r="F1638" s="24"/>
      <c r="G1638" s="24"/>
      <c r="H1638" s="24"/>
      <c r="I1638" s="24"/>
      <c r="J1638" s="3"/>
      <c r="K1638" s="8"/>
      <c r="L1638" s="8"/>
      <c r="M1638" s="8"/>
      <c r="N1638" s="13"/>
      <c r="O1638" s="9"/>
      <c r="P1638" s="20"/>
      <c r="Q1638" s="20"/>
      <c r="R1638" s="20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</row>
    <row r="1639" spans="4:49" ht="15" thickBot="1" x14ac:dyDescent="0.35">
      <c r="D1639" s="2">
        <f t="shared" si="65"/>
        <v>1633</v>
      </c>
      <c r="E1639" s="6">
        <v>2.8068933415417114</v>
      </c>
      <c r="F1639" s="24"/>
      <c r="G1639" s="24"/>
      <c r="H1639" s="24"/>
      <c r="I1639" s="24"/>
      <c r="J1639" s="3"/>
      <c r="K1639" s="8"/>
      <c r="L1639" s="8"/>
      <c r="M1639" s="8"/>
      <c r="N1639" s="13"/>
      <c r="O1639" s="9"/>
      <c r="P1639" s="20"/>
      <c r="Q1639" s="20"/>
      <c r="R1639" s="20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</row>
    <row r="1640" spans="4:49" ht="15" thickBot="1" x14ac:dyDescent="0.35">
      <c r="D1640" s="2">
        <f t="shared" si="65"/>
        <v>1634</v>
      </c>
      <c r="E1640" s="6">
        <v>19.957004360032158</v>
      </c>
      <c r="F1640" s="24"/>
      <c r="G1640" s="24"/>
      <c r="H1640" s="24"/>
      <c r="I1640" s="24"/>
      <c r="J1640" s="3"/>
      <c r="K1640" s="8"/>
      <c r="L1640" s="8"/>
      <c r="M1640" s="8"/>
      <c r="N1640" s="13"/>
      <c r="O1640" s="9"/>
      <c r="P1640" s="20"/>
      <c r="Q1640" s="20"/>
      <c r="R1640" s="20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</row>
    <row r="1641" spans="4:49" ht="15" thickBot="1" x14ac:dyDescent="0.35">
      <c r="D1641" s="2">
        <f t="shared" si="65"/>
        <v>1635</v>
      </c>
      <c r="E1641" s="6">
        <v>7.0582807112887043</v>
      </c>
      <c r="F1641" s="24"/>
      <c r="G1641" s="24"/>
      <c r="H1641" s="24"/>
      <c r="I1641" s="24"/>
      <c r="J1641" s="3"/>
      <c r="K1641" s="8"/>
      <c r="L1641" s="8"/>
      <c r="M1641" s="8"/>
      <c r="N1641" s="13"/>
      <c r="O1641" s="9"/>
      <c r="P1641" s="20"/>
      <c r="Q1641" s="20"/>
      <c r="R1641" s="20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</row>
    <row r="1642" spans="4:49" ht="15" thickBot="1" x14ac:dyDescent="0.35">
      <c r="D1642" s="2">
        <f t="shared" si="65"/>
        <v>1636</v>
      </c>
      <c r="E1642" s="6">
        <v>4.4323611787150989</v>
      </c>
      <c r="F1642" s="24"/>
      <c r="G1642" s="24"/>
      <c r="H1642" s="24"/>
      <c r="I1642" s="24"/>
      <c r="J1642" s="3"/>
      <c r="K1642" s="8"/>
      <c r="L1642" s="8"/>
      <c r="M1642" s="8"/>
      <c r="N1642" s="13"/>
      <c r="O1642" s="9"/>
      <c r="P1642" s="20"/>
      <c r="Q1642" s="20"/>
      <c r="R1642" s="20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</row>
    <row r="1643" spans="4:49" ht="15" thickBot="1" x14ac:dyDescent="0.35">
      <c r="D1643" s="2">
        <f t="shared" si="65"/>
        <v>1637</v>
      </c>
      <c r="E1643" s="6">
        <v>2.2236693620990988</v>
      </c>
      <c r="F1643" s="24"/>
      <c r="G1643" s="24"/>
      <c r="H1643" s="24"/>
      <c r="I1643" s="24"/>
      <c r="J1643" s="3"/>
      <c r="K1643" s="8"/>
      <c r="L1643" s="8"/>
      <c r="M1643" s="8"/>
      <c r="N1643" s="13"/>
      <c r="O1643" s="9"/>
      <c r="P1643" s="20"/>
      <c r="Q1643" s="20"/>
      <c r="R1643" s="20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</row>
    <row r="1644" spans="4:49" ht="15" thickBot="1" x14ac:dyDescent="0.35">
      <c r="D1644" s="2">
        <f t="shared" si="65"/>
        <v>1638</v>
      </c>
      <c r="E1644" s="6">
        <v>0.82410355095039822</v>
      </c>
      <c r="F1644" s="24"/>
      <c r="G1644" s="24"/>
      <c r="H1644" s="24"/>
      <c r="I1644" s="24"/>
      <c r="J1644" s="3"/>
      <c r="K1644" s="8"/>
      <c r="L1644" s="8"/>
      <c r="M1644" s="8"/>
      <c r="N1644" s="13"/>
      <c r="O1644" s="9"/>
      <c r="P1644" s="20"/>
      <c r="Q1644" s="20"/>
      <c r="R1644" s="20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</row>
    <row r="1645" spans="4:49" ht="15" thickBot="1" x14ac:dyDescent="0.35">
      <c r="D1645" s="2">
        <f t="shared" si="65"/>
        <v>1639</v>
      </c>
      <c r="E1645" s="6">
        <v>0.83954039290368276</v>
      </c>
      <c r="F1645" s="24"/>
      <c r="G1645" s="24"/>
      <c r="H1645" s="24"/>
      <c r="I1645" s="24"/>
      <c r="J1645" s="3"/>
      <c r="K1645" s="8"/>
      <c r="L1645" s="8"/>
      <c r="M1645" s="8"/>
      <c r="N1645" s="13"/>
      <c r="O1645" s="9"/>
      <c r="P1645" s="20"/>
      <c r="Q1645" s="20"/>
      <c r="R1645" s="20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</row>
    <row r="1646" spans="4:49" ht="15" thickBot="1" x14ac:dyDescent="0.35">
      <c r="D1646" s="2">
        <f t="shared" si="65"/>
        <v>1640</v>
      </c>
      <c r="E1646" s="6">
        <v>2.4122817890849717</v>
      </c>
      <c r="F1646" s="24"/>
      <c r="G1646" s="24"/>
      <c r="H1646" s="24"/>
      <c r="I1646" s="24"/>
      <c r="J1646" s="3"/>
      <c r="K1646" s="8"/>
      <c r="L1646" s="8"/>
      <c r="M1646" s="8"/>
      <c r="N1646" s="13"/>
      <c r="O1646" s="9"/>
      <c r="P1646" s="20"/>
      <c r="Q1646" s="20"/>
      <c r="R1646" s="20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</row>
    <row r="1647" spans="4:49" ht="15" thickBot="1" x14ac:dyDescent="0.35">
      <c r="D1647" s="2">
        <f t="shared" si="65"/>
        <v>1641</v>
      </c>
      <c r="E1647" s="6">
        <v>6.4112439995940367</v>
      </c>
      <c r="F1647" s="24"/>
      <c r="G1647" s="24"/>
      <c r="H1647" s="24"/>
      <c r="I1647" s="24"/>
      <c r="J1647" s="3"/>
      <c r="K1647" s="8"/>
      <c r="L1647" s="8"/>
      <c r="M1647" s="8"/>
      <c r="N1647" s="13"/>
      <c r="O1647" s="9"/>
      <c r="P1647" s="20"/>
      <c r="Q1647" s="20"/>
      <c r="R1647" s="20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</row>
    <row r="1648" spans="4:49" ht="15" thickBot="1" x14ac:dyDescent="0.35">
      <c r="D1648" s="2">
        <f t="shared" si="65"/>
        <v>1642</v>
      </c>
      <c r="E1648" s="6">
        <v>1.896132364516643</v>
      </c>
      <c r="F1648" s="24"/>
      <c r="G1648" s="24"/>
      <c r="H1648" s="24"/>
      <c r="I1648" s="24"/>
      <c r="J1648" s="3"/>
      <c r="K1648" s="8"/>
      <c r="L1648" s="8"/>
      <c r="M1648" s="8"/>
      <c r="N1648" s="13"/>
      <c r="O1648" s="9"/>
      <c r="P1648" s="20"/>
      <c r="Q1648" s="20"/>
      <c r="R1648" s="20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</row>
    <row r="1649" spans="4:49" ht="15" thickBot="1" x14ac:dyDescent="0.35">
      <c r="D1649" s="2">
        <f t="shared" si="65"/>
        <v>1643</v>
      </c>
      <c r="E1649" s="6">
        <v>7.6869456688378701</v>
      </c>
      <c r="F1649" s="24"/>
      <c r="G1649" s="24"/>
      <c r="H1649" s="24"/>
      <c r="I1649" s="24"/>
      <c r="J1649" s="3"/>
      <c r="K1649" s="8"/>
      <c r="L1649" s="8"/>
      <c r="M1649" s="8"/>
      <c r="N1649" s="13"/>
      <c r="O1649" s="9"/>
      <c r="P1649" s="20"/>
      <c r="Q1649" s="20"/>
      <c r="R1649" s="20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</row>
    <row r="1650" spans="4:49" ht="15" thickBot="1" x14ac:dyDescent="0.35">
      <c r="D1650" s="2">
        <f t="shared" si="65"/>
        <v>1644</v>
      </c>
      <c r="E1650" s="6">
        <v>5.1758440102064363</v>
      </c>
      <c r="F1650" s="24"/>
      <c r="G1650" s="24"/>
      <c r="H1650" s="24"/>
      <c r="I1650" s="24"/>
      <c r="J1650" s="3"/>
      <c r="K1650" s="8"/>
      <c r="L1650" s="8"/>
      <c r="M1650" s="8"/>
      <c r="N1650" s="13"/>
      <c r="O1650" s="9"/>
      <c r="P1650" s="20"/>
      <c r="Q1650" s="20"/>
      <c r="R1650" s="20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</row>
    <row r="1651" spans="4:49" ht="15" thickBot="1" x14ac:dyDescent="0.35">
      <c r="D1651" s="2">
        <f t="shared" si="65"/>
        <v>1645</v>
      </c>
      <c r="E1651" s="6">
        <v>8.4674739154856713</v>
      </c>
      <c r="F1651" s="24"/>
      <c r="G1651" s="24"/>
      <c r="H1651" s="24"/>
      <c r="I1651" s="24"/>
      <c r="J1651" s="3"/>
      <c r="K1651" s="8"/>
      <c r="L1651" s="8"/>
      <c r="M1651" s="8"/>
      <c r="N1651" s="13"/>
      <c r="O1651" s="9"/>
      <c r="P1651" s="20"/>
      <c r="Q1651" s="20"/>
      <c r="R1651" s="20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</row>
    <row r="1652" spans="4:49" ht="15" thickBot="1" x14ac:dyDescent="0.35">
      <c r="D1652" s="2">
        <f t="shared" si="65"/>
        <v>1646</v>
      </c>
      <c r="E1652" s="6">
        <v>0.54470253399685953</v>
      </c>
      <c r="F1652" s="24"/>
      <c r="G1652" s="24"/>
      <c r="H1652" s="24"/>
      <c r="I1652" s="24"/>
      <c r="J1652" s="3"/>
      <c r="K1652" s="8"/>
      <c r="L1652" s="8"/>
      <c r="M1652" s="8"/>
      <c r="N1652" s="13"/>
      <c r="O1652" s="9"/>
      <c r="P1652" s="20"/>
      <c r="Q1652" s="20"/>
      <c r="R1652" s="20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</row>
    <row r="1653" spans="4:49" ht="15" thickBot="1" x14ac:dyDescent="0.35">
      <c r="D1653" s="2">
        <f t="shared" si="65"/>
        <v>1647</v>
      </c>
      <c r="E1653" s="6">
        <v>7.4568929794171641</v>
      </c>
      <c r="F1653" s="24"/>
      <c r="G1653" s="24"/>
      <c r="H1653" s="24"/>
      <c r="I1653" s="24"/>
      <c r="J1653" s="3"/>
      <c r="K1653" s="8"/>
      <c r="L1653" s="8"/>
      <c r="M1653" s="8"/>
      <c r="N1653" s="13"/>
      <c r="O1653" s="9"/>
      <c r="P1653" s="20"/>
      <c r="Q1653" s="20"/>
      <c r="R1653" s="20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</row>
    <row r="1654" spans="4:49" ht="15" thickBot="1" x14ac:dyDescent="0.35">
      <c r="D1654" s="2">
        <f t="shared" si="65"/>
        <v>1648</v>
      </c>
      <c r="E1654" s="6">
        <v>0.68251215701881063</v>
      </c>
      <c r="F1654" s="24"/>
      <c r="G1654" s="24"/>
      <c r="H1654" s="24"/>
      <c r="I1654" s="24"/>
      <c r="J1654" s="3"/>
      <c r="K1654" s="8"/>
      <c r="L1654" s="8"/>
      <c r="M1654" s="8"/>
      <c r="N1654" s="13"/>
      <c r="O1654" s="9"/>
      <c r="P1654" s="20"/>
      <c r="Q1654" s="20"/>
      <c r="R1654" s="20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</row>
    <row r="1655" spans="4:49" ht="15" thickBot="1" x14ac:dyDescent="0.35">
      <c r="D1655" s="2">
        <f t="shared" si="65"/>
        <v>1649</v>
      </c>
      <c r="E1655" s="6">
        <v>0.97814307801382827</v>
      </c>
      <c r="F1655" s="24"/>
      <c r="G1655" s="24"/>
      <c r="H1655" s="24"/>
      <c r="I1655" s="24"/>
      <c r="J1655" s="3"/>
      <c r="K1655" s="8"/>
      <c r="L1655" s="8"/>
      <c r="M1655" s="8"/>
      <c r="N1655" s="13"/>
      <c r="O1655" s="9"/>
      <c r="P1655" s="20"/>
      <c r="Q1655" s="20"/>
      <c r="R1655" s="20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</row>
    <row r="1656" spans="4:49" ht="15" thickBot="1" x14ac:dyDescent="0.35">
      <c r="D1656" s="2">
        <f t="shared" si="65"/>
        <v>1650</v>
      </c>
      <c r="E1656" s="6">
        <v>0.21627084818559658</v>
      </c>
      <c r="F1656" s="24"/>
      <c r="G1656" s="24"/>
      <c r="H1656" s="24"/>
      <c r="I1656" s="24"/>
      <c r="J1656" s="3"/>
      <c r="K1656" s="8"/>
      <c r="L1656" s="8"/>
      <c r="M1656" s="8"/>
      <c r="N1656" s="13"/>
      <c r="O1656" s="9"/>
      <c r="P1656" s="20"/>
      <c r="Q1656" s="20"/>
      <c r="R1656" s="20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</row>
    <row r="1657" spans="4:49" ht="15" thickBot="1" x14ac:dyDescent="0.35">
      <c r="D1657" s="2">
        <f t="shared" si="65"/>
        <v>1651</v>
      </c>
      <c r="E1657" s="6">
        <v>3.0356792218178805</v>
      </c>
      <c r="F1657" s="24"/>
      <c r="G1657" s="24"/>
      <c r="H1657" s="24"/>
      <c r="I1657" s="24"/>
      <c r="J1657" s="3"/>
      <c r="K1657" s="8"/>
      <c r="L1657" s="8"/>
      <c r="M1657" s="8"/>
      <c r="N1657" s="13"/>
      <c r="O1657" s="9"/>
      <c r="P1657" s="20"/>
      <c r="Q1657" s="20"/>
      <c r="R1657" s="20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</row>
    <row r="1658" spans="4:49" ht="15" thickBot="1" x14ac:dyDescent="0.35">
      <c r="D1658" s="2">
        <f t="shared" si="65"/>
        <v>1652</v>
      </c>
      <c r="E1658" s="6">
        <v>4.0741848607620232</v>
      </c>
      <c r="F1658" s="24"/>
      <c r="G1658" s="24"/>
      <c r="H1658" s="24"/>
      <c r="I1658" s="24"/>
      <c r="J1658" s="3"/>
      <c r="K1658" s="8"/>
      <c r="L1658" s="8"/>
      <c r="M1658" s="8"/>
      <c r="N1658" s="13"/>
      <c r="O1658" s="9"/>
      <c r="P1658" s="20"/>
      <c r="Q1658" s="20"/>
      <c r="R1658" s="20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</row>
    <row r="1659" spans="4:49" ht="15" thickBot="1" x14ac:dyDescent="0.35">
      <c r="D1659" s="2">
        <f t="shared" si="65"/>
        <v>1653</v>
      </c>
      <c r="E1659" s="6">
        <v>0.54567673673809425</v>
      </c>
      <c r="F1659" s="24"/>
      <c r="G1659" s="24"/>
      <c r="H1659" s="24"/>
      <c r="I1659" s="24"/>
      <c r="J1659" s="3"/>
      <c r="K1659" s="8"/>
      <c r="L1659" s="8"/>
      <c r="M1659" s="8"/>
      <c r="N1659" s="13"/>
      <c r="O1659" s="9"/>
      <c r="P1659" s="20"/>
      <c r="Q1659" s="20"/>
      <c r="R1659" s="20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</row>
    <row r="1660" spans="4:49" ht="15" thickBot="1" x14ac:dyDescent="0.35">
      <c r="D1660" s="2">
        <f t="shared" si="65"/>
        <v>1654</v>
      </c>
      <c r="E1660" s="6">
        <v>4.8144773554206539</v>
      </c>
      <c r="F1660" s="24"/>
      <c r="G1660" s="24"/>
      <c r="H1660" s="24"/>
      <c r="I1660" s="24"/>
      <c r="J1660" s="3"/>
      <c r="K1660" s="8"/>
      <c r="L1660" s="8"/>
      <c r="M1660" s="8"/>
      <c r="N1660" s="13"/>
      <c r="O1660" s="9"/>
      <c r="P1660" s="20"/>
      <c r="Q1660" s="20"/>
      <c r="R1660" s="20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</row>
    <row r="1661" spans="4:49" ht="15" thickBot="1" x14ac:dyDescent="0.35">
      <c r="D1661" s="2">
        <f t="shared" si="65"/>
        <v>1655</v>
      </c>
      <c r="E1661" s="6">
        <v>2.1763985692920205</v>
      </c>
      <c r="F1661" s="24"/>
      <c r="G1661" s="24"/>
      <c r="H1661" s="24"/>
      <c r="I1661" s="24"/>
      <c r="J1661" s="3"/>
      <c r="K1661" s="8"/>
      <c r="L1661" s="8"/>
      <c r="M1661" s="8"/>
      <c r="N1661" s="13"/>
      <c r="O1661" s="9"/>
      <c r="P1661" s="20"/>
      <c r="Q1661" s="20"/>
      <c r="R1661" s="20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</row>
    <row r="1662" spans="4:49" ht="15" thickBot="1" x14ac:dyDescent="0.35">
      <c r="D1662" s="2">
        <f t="shared" si="65"/>
        <v>1656</v>
      </c>
      <c r="E1662" s="6">
        <v>9.3063281390570367</v>
      </c>
      <c r="F1662" s="24"/>
      <c r="G1662" s="24"/>
      <c r="H1662" s="24"/>
      <c r="I1662" s="24"/>
      <c r="J1662" s="3"/>
      <c r="K1662" s="8"/>
      <c r="L1662" s="8"/>
      <c r="M1662" s="8"/>
      <c r="N1662" s="13"/>
      <c r="O1662" s="9"/>
      <c r="P1662" s="20"/>
      <c r="Q1662" s="20"/>
      <c r="R1662" s="20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</row>
    <row r="1663" spans="4:49" ht="15" thickBot="1" x14ac:dyDescent="0.35">
      <c r="D1663" s="2">
        <f t="shared" si="65"/>
        <v>1657</v>
      </c>
      <c r="E1663" s="6">
        <v>1.8125881902488206</v>
      </c>
      <c r="F1663" s="24"/>
      <c r="G1663" s="24"/>
      <c r="H1663" s="24"/>
      <c r="I1663" s="24"/>
      <c r="J1663" s="3"/>
      <c r="K1663" s="8"/>
      <c r="L1663" s="8"/>
      <c r="M1663" s="8"/>
      <c r="N1663" s="13"/>
      <c r="O1663" s="9"/>
      <c r="P1663" s="20"/>
      <c r="Q1663" s="20"/>
      <c r="R1663" s="20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</row>
    <row r="1664" spans="4:49" ht="15" thickBot="1" x14ac:dyDescent="0.35">
      <c r="D1664" s="2">
        <f t="shared" si="65"/>
        <v>1658</v>
      </c>
      <c r="E1664" s="6">
        <v>2.2428182575309084</v>
      </c>
      <c r="F1664" s="24"/>
      <c r="G1664" s="24"/>
      <c r="H1664" s="24"/>
      <c r="I1664" s="24"/>
      <c r="J1664" s="3"/>
      <c r="K1664" s="8"/>
      <c r="L1664" s="8"/>
      <c r="M1664" s="8"/>
      <c r="N1664" s="13"/>
      <c r="O1664" s="9"/>
      <c r="P1664" s="20"/>
      <c r="Q1664" s="20"/>
      <c r="R1664" s="20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</row>
    <row r="1665" spans="4:49" ht="15" thickBot="1" x14ac:dyDescent="0.35">
      <c r="D1665" s="2">
        <f t="shared" si="65"/>
        <v>1659</v>
      </c>
      <c r="E1665" s="6">
        <v>8.4406171349470807</v>
      </c>
      <c r="F1665" s="24"/>
      <c r="G1665" s="24"/>
      <c r="H1665" s="24"/>
      <c r="I1665" s="24"/>
      <c r="J1665" s="3"/>
      <c r="K1665" s="8"/>
      <c r="L1665" s="8"/>
      <c r="M1665" s="8"/>
      <c r="N1665" s="13"/>
      <c r="O1665" s="9"/>
      <c r="P1665" s="20"/>
      <c r="Q1665" s="20"/>
      <c r="R1665" s="20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</row>
    <row r="1666" spans="4:49" ht="15" thickBot="1" x14ac:dyDescent="0.35">
      <c r="D1666" s="2">
        <f t="shared" si="65"/>
        <v>1660</v>
      </c>
      <c r="E1666" s="6">
        <v>6.8773892646055286</v>
      </c>
      <c r="F1666" s="24"/>
      <c r="G1666" s="24"/>
      <c r="H1666" s="24"/>
      <c r="I1666" s="24"/>
      <c r="J1666" s="3"/>
      <c r="K1666" s="8"/>
      <c r="L1666" s="8"/>
      <c r="M1666" s="8"/>
      <c r="N1666" s="13"/>
      <c r="O1666" s="9"/>
      <c r="P1666" s="20"/>
      <c r="Q1666" s="20"/>
      <c r="R1666" s="20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</row>
    <row r="1667" spans="4:49" ht="15" thickBot="1" x14ac:dyDescent="0.35">
      <c r="D1667" s="2">
        <f t="shared" si="65"/>
        <v>1661</v>
      </c>
      <c r="E1667" s="6">
        <v>8.6778564207904889</v>
      </c>
      <c r="F1667" s="24"/>
      <c r="G1667" s="24"/>
      <c r="H1667" s="24"/>
      <c r="I1667" s="24"/>
      <c r="J1667" s="3"/>
      <c r="K1667" s="8"/>
      <c r="L1667" s="8"/>
      <c r="M1667" s="8"/>
      <c r="N1667" s="13"/>
      <c r="O1667" s="9"/>
      <c r="P1667" s="20"/>
      <c r="Q1667" s="20"/>
      <c r="R1667" s="20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</row>
    <row r="1668" spans="4:49" ht="15" thickBot="1" x14ac:dyDescent="0.35">
      <c r="D1668" s="2">
        <f t="shared" si="65"/>
        <v>1662</v>
      </c>
      <c r="E1668" s="6">
        <v>10.978725362180164</v>
      </c>
      <c r="F1668" s="24"/>
      <c r="G1668" s="24"/>
      <c r="H1668" s="24"/>
      <c r="I1668" s="24"/>
      <c r="J1668" s="3"/>
      <c r="K1668" s="8"/>
      <c r="L1668" s="8"/>
      <c r="M1668" s="8"/>
      <c r="N1668" s="13"/>
      <c r="O1668" s="9"/>
      <c r="P1668" s="20"/>
      <c r="Q1668" s="20"/>
      <c r="R1668" s="20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</row>
    <row r="1669" spans="4:49" ht="15" thickBot="1" x14ac:dyDescent="0.35">
      <c r="D1669" s="2">
        <f t="shared" si="65"/>
        <v>1663</v>
      </c>
      <c r="E1669" s="6">
        <v>8.3423210000098198</v>
      </c>
      <c r="F1669" s="24"/>
      <c r="G1669" s="24"/>
      <c r="H1669" s="24"/>
      <c r="I1669" s="24"/>
      <c r="J1669" s="3"/>
      <c r="K1669" s="8"/>
      <c r="L1669" s="8"/>
      <c r="M1669" s="8"/>
      <c r="N1669" s="13"/>
      <c r="O1669" s="9"/>
      <c r="P1669" s="20"/>
      <c r="Q1669" s="20"/>
      <c r="R1669" s="20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</row>
    <row r="1670" spans="4:49" ht="15" thickBot="1" x14ac:dyDescent="0.35">
      <c r="D1670" s="2">
        <f t="shared" si="65"/>
        <v>1664</v>
      </c>
      <c r="E1670" s="6">
        <v>2.1354262883744077</v>
      </c>
      <c r="F1670" s="24"/>
      <c r="G1670" s="24"/>
      <c r="H1670" s="24"/>
      <c r="I1670" s="24"/>
      <c r="J1670" s="3"/>
      <c r="K1670" s="8"/>
      <c r="L1670" s="8"/>
      <c r="M1670" s="8"/>
      <c r="N1670" s="13"/>
      <c r="O1670" s="9"/>
      <c r="P1670" s="20"/>
      <c r="Q1670" s="20"/>
      <c r="R1670" s="20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</row>
    <row r="1671" spans="4:49" ht="15" thickBot="1" x14ac:dyDescent="0.35">
      <c r="D1671" s="2">
        <f t="shared" ref="D1671:D1734" si="66">ROW()-6</f>
        <v>1665</v>
      </c>
      <c r="E1671" s="6">
        <v>1.6518317792447411E-2</v>
      </c>
      <c r="F1671" s="24"/>
      <c r="G1671" s="24"/>
      <c r="H1671" s="24"/>
      <c r="I1671" s="24"/>
      <c r="J1671" s="3"/>
      <c r="K1671" s="8"/>
      <c r="L1671" s="8"/>
      <c r="M1671" s="8"/>
      <c r="N1671" s="13"/>
      <c r="O1671" s="9"/>
      <c r="P1671" s="20"/>
      <c r="Q1671" s="20"/>
      <c r="R1671" s="20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</row>
    <row r="1672" spans="4:49" ht="15" thickBot="1" x14ac:dyDescent="0.35">
      <c r="D1672" s="2">
        <f t="shared" si="66"/>
        <v>1666</v>
      </c>
      <c r="E1672" s="6">
        <v>15.323752136413013</v>
      </c>
      <c r="F1672" s="24"/>
      <c r="G1672" s="24"/>
      <c r="H1672" s="24"/>
      <c r="I1672" s="24"/>
      <c r="J1672" s="3"/>
      <c r="K1672" s="8"/>
      <c r="L1672" s="8"/>
      <c r="M1672" s="8"/>
      <c r="N1672" s="13"/>
      <c r="O1672" s="9"/>
      <c r="P1672" s="20"/>
      <c r="Q1672" s="20"/>
      <c r="R1672" s="20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</row>
    <row r="1673" spans="4:49" ht="15" thickBot="1" x14ac:dyDescent="0.35">
      <c r="D1673" s="2">
        <f t="shared" si="66"/>
        <v>1667</v>
      </c>
      <c r="E1673" s="6">
        <v>6.7521614368033713</v>
      </c>
      <c r="F1673" s="24"/>
      <c r="G1673" s="24"/>
      <c r="H1673" s="24"/>
      <c r="I1673" s="24"/>
      <c r="J1673" s="3"/>
      <c r="K1673" s="8"/>
      <c r="L1673" s="8"/>
      <c r="M1673" s="8"/>
      <c r="N1673" s="13"/>
      <c r="O1673" s="9"/>
      <c r="P1673" s="20"/>
      <c r="Q1673" s="20"/>
      <c r="R1673" s="20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</row>
    <row r="1674" spans="4:49" ht="15" thickBot="1" x14ac:dyDescent="0.35">
      <c r="D1674" s="2">
        <f t="shared" si="66"/>
        <v>1668</v>
      </c>
      <c r="E1674" s="6">
        <v>2.4384562453631049</v>
      </c>
      <c r="F1674" s="24"/>
      <c r="G1674" s="24"/>
      <c r="H1674" s="24"/>
      <c r="I1674" s="24"/>
      <c r="J1674" s="3"/>
      <c r="K1674" s="8"/>
      <c r="L1674" s="8"/>
      <c r="M1674" s="8"/>
      <c r="N1674" s="13"/>
      <c r="O1674" s="9"/>
      <c r="P1674" s="20"/>
      <c r="Q1674" s="20"/>
      <c r="R1674" s="20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</row>
    <row r="1675" spans="4:49" ht="15" thickBot="1" x14ac:dyDescent="0.35">
      <c r="D1675" s="2">
        <f t="shared" si="66"/>
        <v>1669</v>
      </c>
      <c r="E1675" s="6">
        <v>11.939627483116872</v>
      </c>
      <c r="F1675" s="24"/>
      <c r="G1675" s="24"/>
      <c r="H1675" s="24"/>
      <c r="I1675" s="24"/>
      <c r="J1675" s="3"/>
      <c r="K1675" s="8"/>
      <c r="L1675" s="8"/>
      <c r="M1675" s="8"/>
      <c r="N1675" s="13"/>
      <c r="O1675" s="9"/>
      <c r="P1675" s="20"/>
      <c r="Q1675" s="20"/>
      <c r="R1675" s="20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</row>
    <row r="1676" spans="4:49" ht="15" thickBot="1" x14ac:dyDescent="0.35">
      <c r="D1676" s="2">
        <f t="shared" si="66"/>
        <v>1670</v>
      </c>
      <c r="E1676" s="6">
        <v>3.4488543732025314</v>
      </c>
      <c r="F1676" s="24"/>
      <c r="G1676" s="24"/>
      <c r="H1676" s="24"/>
      <c r="I1676" s="24"/>
      <c r="J1676" s="3"/>
      <c r="K1676" s="8"/>
      <c r="L1676" s="8"/>
      <c r="M1676" s="8"/>
      <c r="N1676" s="13"/>
      <c r="O1676" s="9"/>
      <c r="P1676" s="20"/>
      <c r="Q1676" s="20"/>
      <c r="R1676" s="20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</row>
    <row r="1677" spans="4:49" ht="15" thickBot="1" x14ac:dyDescent="0.35">
      <c r="D1677" s="2">
        <f t="shared" si="66"/>
        <v>1671</v>
      </c>
      <c r="E1677" s="6">
        <v>5.6039052503112918</v>
      </c>
      <c r="F1677" s="24"/>
      <c r="G1677" s="24"/>
      <c r="H1677" s="24"/>
      <c r="I1677" s="24"/>
      <c r="J1677" s="3"/>
      <c r="K1677" s="8"/>
      <c r="L1677" s="8"/>
      <c r="M1677" s="8"/>
      <c r="N1677" s="13"/>
      <c r="O1677" s="9"/>
      <c r="P1677" s="20"/>
      <c r="Q1677" s="20"/>
      <c r="R1677" s="20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</row>
    <row r="1678" spans="4:49" ht="15" thickBot="1" x14ac:dyDescent="0.35">
      <c r="D1678" s="2">
        <f t="shared" si="66"/>
        <v>1672</v>
      </c>
      <c r="E1678" s="6">
        <v>3.991727731222694</v>
      </c>
      <c r="F1678" s="24"/>
      <c r="G1678" s="24"/>
      <c r="H1678" s="24"/>
      <c r="I1678" s="24"/>
      <c r="J1678" s="3"/>
      <c r="K1678" s="8"/>
      <c r="L1678" s="8"/>
      <c r="M1678" s="8"/>
      <c r="N1678" s="13"/>
      <c r="O1678" s="9"/>
      <c r="P1678" s="20"/>
      <c r="Q1678" s="20"/>
      <c r="R1678" s="20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</row>
    <row r="1679" spans="4:49" ht="15" thickBot="1" x14ac:dyDescent="0.35">
      <c r="D1679" s="2">
        <f t="shared" si="66"/>
        <v>1673</v>
      </c>
      <c r="E1679" s="6">
        <v>2.0543133109692939</v>
      </c>
      <c r="F1679" s="24"/>
      <c r="G1679" s="24"/>
      <c r="H1679" s="24"/>
      <c r="I1679" s="24"/>
      <c r="J1679" s="3"/>
      <c r="K1679" s="8"/>
      <c r="L1679" s="8"/>
      <c r="M1679" s="8"/>
      <c r="N1679" s="13"/>
      <c r="O1679" s="9"/>
      <c r="P1679" s="20"/>
      <c r="Q1679" s="20"/>
      <c r="R1679" s="20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</row>
    <row r="1680" spans="4:49" ht="15" thickBot="1" x14ac:dyDescent="0.35">
      <c r="D1680" s="2">
        <f t="shared" si="66"/>
        <v>1674</v>
      </c>
      <c r="E1680" s="6">
        <v>20.0971883913328</v>
      </c>
      <c r="F1680" s="24"/>
      <c r="G1680" s="24"/>
      <c r="H1680" s="24"/>
      <c r="I1680" s="24"/>
      <c r="J1680" s="3"/>
      <c r="K1680" s="8"/>
      <c r="L1680" s="8"/>
      <c r="M1680" s="8"/>
      <c r="N1680" s="13"/>
      <c r="O1680" s="9"/>
      <c r="P1680" s="20"/>
      <c r="Q1680" s="20"/>
      <c r="R1680" s="20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</row>
    <row r="1681" spans="4:49" ht="15" thickBot="1" x14ac:dyDescent="0.35">
      <c r="D1681" s="2">
        <f t="shared" si="66"/>
        <v>1675</v>
      </c>
      <c r="E1681" s="6">
        <v>4.4966376263180399</v>
      </c>
      <c r="F1681" s="24"/>
      <c r="G1681" s="24"/>
      <c r="H1681" s="24"/>
      <c r="I1681" s="24"/>
      <c r="J1681" s="3"/>
      <c r="K1681" s="8"/>
      <c r="L1681" s="8"/>
      <c r="M1681" s="8"/>
      <c r="N1681" s="13"/>
      <c r="O1681" s="9"/>
      <c r="P1681" s="20"/>
      <c r="Q1681" s="20"/>
      <c r="R1681" s="20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</row>
    <row r="1682" spans="4:49" ht="15" thickBot="1" x14ac:dyDescent="0.35">
      <c r="D1682" s="2">
        <f t="shared" si="66"/>
        <v>1676</v>
      </c>
      <c r="E1682" s="6">
        <v>2.2368711051440315</v>
      </c>
      <c r="F1682" s="24"/>
      <c r="G1682" s="24"/>
      <c r="H1682" s="24"/>
      <c r="I1682" s="24"/>
      <c r="J1682" s="3"/>
      <c r="K1682" s="8"/>
      <c r="L1682" s="8"/>
      <c r="M1682" s="8"/>
      <c r="N1682" s="13"/>
      <c r="O1682" s="9"/>
      <c r="P1682" s="20"/>
      <c r="Q1682" s="20"/>
      <c r="R1682" s="20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</row>
    <row r="1683" spans="4:49" ht="15" thickBot="1" x14ac:dyDescent="0.35">
      <c r="D1683" s="2">
        <f t="shared" si="66"/>
        <v>1677</v>
      </c>
      <c r="E1683" s="6">
        <v>1.3928030044628359</v>
      </c>
      <c r="F1683" s="24"/>
      <c r="G1683" s="24"/>
      <c r="H1683" s="24"/>
      <c r="I1683" s="24"/>
      <c r="J1683" s="3"/>
      <c r="K1683" s="8"/>
      <c r="L1683" s="8"/>
      <c r="M1683" s="8"/>
      <c r="N1683" s="13"/>
      <c r="O1683" s="9"/>
      <c r="P1683" s="20"/>
      <c r="Q1683" s="20"/>
      <c r="R1683" s="20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</row>
    <row r="1684" spans="4:49" ht="15" thickBot="1" x14ac:dyDescent="0.35">
      <c r="D1684" s="2">
        <f t="shared" si="66"/>
        <v>1678</v>
      </c>
      <c r="E1684" s="6">
        <v>2.1031791247507847</v>
      </c>
      <c r="F1684" s="24"/>
      <c r="G1684" s="24"/>
      <c r="H1684" s="24"/>
      <c r="I1684" s="24"/>
      <c r="J1684" s="3"/>
      <c r="K1684" s="8"/>
      <c r="L1684" s="8"/>
      <c r="M1684" s="8"/>
      <c r="N1684" s="13"/>
      <c r="O1684" s="9"/>
      <c r="P1684" s="20"/>
      <c r="Q1684" s="20"/>
      <c r="R1684" s="20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</row>
    <row r="1685" spans="4:49" ht="15" thickBot="1" x14ac:dyDescent="0.35">
      <c r="D1685" s="2">
        <f t="shared" si="66"/>
        <v>1679</v>
      </c>
      <c r="E1685" s="6">
        <v>0.89772157040790512</v>
      </c>
      <c r="F1685" s="24"/>
      <c r="G1685" s="24"/>
      <c r="H1685" s="24"/>
      <c r="I1685" s="24"/>
      <c r="J1685" s="3"/>
      <c r="K1685" s="8"/>
      <c r="L1685" s="8"/>
      <c r="M1685" s="8"/>
      <c r="N1685" s="13"/>
      <c r="O1685" s="9"/>
      <c r="P1685" s="20"/>
      <c r="Q1685" s="20"/>
      <c r="R1685" s="20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</row>
    <row r="1686" spans="4:49" ht="15" thickBot="1" x14ac:dyDescent="0.35">
      <c r="D1686" s="2">
        <f t="shared" si="66"/>
        <v>1680</v>
      </c>
      <c r="E1686" s="6">
        <v>1.1913025709853462</v>
      </c>
      <c r="F1686" s="24"/>
      <c r="G1686" s="24"/>
      <c r="H1686" s="24"/>
      <c r="I1686" s="24"/>
      <c r="J1686" s="3"/>
      <c r="K1686" s="8"/>
      <c r="L1686" s="8"/>
      <c r="M1686" s="8"/>
      <c r="N1686" s="13"/>
      <c r="O1686" s="9"/>
      <c r="P1686" s="20"/>
      <c r="Q1686" s="20"/>
      <c r="R1686" s="20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</row>
    <row r="1687" spans="4:49" ht="15" thickBot="1" x14ac:dyDescent="0.35">
      <c r="D1687" s="2">
        <f t="shared" si="66"/>
        <v>1681</v>
      </c>
      <c r="E1687" s="6">
        <v>1.0995715465422637</v>
      </c>
      <c r="F1687" s="24"/>
      <c r="G1687" s="24"/>
      <c r="H1687" s="24"/>
      <c r="I1687" s="24"/>
      <c r="J1687" s="3"/>
      <c r="K1687" s="8"/>
      <c r="L1687" s="8"/>
      <c r="M1687" s="8"/>
      <c r="N1687" s="13"/>
      <c r="O1687" s="9"/>
      <c r="P1687" s="20"/>
      <c r="Q1687" s="20"/>
      <c r="R1687" s="20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</row>
    <row r="1688" spans="4:49" ht="15" thickBot="1" x14ac:dyDescent="0.35">
      <c r="D1688" s="2">
        <f t="shared" si="66"/>
        <v>1682</v>
      </c>
      <c r="E1688" s="6">
        <v>7.4252505164195988</v>
      </c>
      <c r="F1688" s="24"/>
      <c r="G1688" s="24"/>
      <c r="H1688" s="24"/>
      <c r="I1688" s="24"/>
      <c r="J1688" s="3"/>
      <c r="K1688" s="8"/>
      <c r="L1688" s="8"/>
      <c r="M1688" s="8"/>
      <c r="N1688" s="13"/>
      <c r="O1688" s="9"/>
      <c r="P1688" s="20"/>
      <c r="Q1688" s="20"/>
      <c r="R1688" s="20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</row>
    <row r="1689" spans="4:49" ht="15" thickBot="1" x14ac:dyDescent="0.35">
      <c r="D1689" s="2">
        <f t="shared" si="66"/>
        <v>1683</v>
      </c>
      <c r="E1689" s="6">
        <v>4.8149799807241056</v>
      </c>
      <c r="F1689" s="24"/>
      <c r="G1689" s="24"/>
      <c r="H1689" s="24"/>
      <c r="I1689" s="24"/>
      <c r="J1689" s="3"/>
      <c r="K1689" s="8"/>
      <c r="L1689" s="8"/>
      <c r="M1689" s="8"/>
      <c r="N1689" s="13"/>
      <c r="O1689" s="9"/>
      <c r="P1689" s="20"/>
      <c r="Q1689" s="20"/>
      <c r="R1689" s="20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</row>
    <row r="1690" spans="4:49" ht="15" thickBot="1" x14ac:dyDescent="0.35">
      <c r="D1690" s="2">
        <f t="shared" si="66"/>
        <v>1684</v>
      </c>
      <c r="E1690" s="6">
        <v>1.559632257701981</v>
      </c>
      <c r="F1690" s="24"/>
      <c r="G1690" s="24"/>
      <c r="H1690" s="24"/>
      <c r="I1690" s="24"/>
      <c r="J1690" s="3"/>
      <c r="K1690" s="8"/>
      <c r="L1690" s="8"/>
      <c r="M1690" s="8"/>
      <c r="N1690" s="13"/>
      <c r="O1690" s="9"/>
      <c r="P1690" s="20"/>
      <c r="Q1690" s="20"/>
      <c r="R1690" s="20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</row>
    <row r="1691" spans="4:49" ht="15" thickBot="1" x14ac:dyDescent="0.35">
      <c r="D1691" s="2">
        <f t="shared" si="66"/>
        <v>1685</v>
      </c>
      <c r="E1691" s="6">
        <v>11.909755919562883</v>
      </c>
      <c r="F1691" s="24"/>
      <c r="G1691" s="24"/>
      <c r="H1691" s="24"/>
      <c r="I1691" s="24"/>
      <c r="J1691" s="3"/>
      <c r="K1691" s="8"/>
      <c r="L1691" s="8"/>
      <c r="M1691" s="8"/>
      <c r="N1691" s="13"/>
      <c r="O1691" s="9"/>
      <c r="P1691" s="20"/>
      <c r="Q1691" s="20"/>
      <c r="R1691" s="20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</row>
    <row r="1692" spans="4:49" ht="15" thickBot="1" x14ac:dyDescent="0.35">
      <c r="D1692" s="2">
        <f t="shared" si="66"/>
        <v>1686</v>
      </c>
      <c r="E1692" s="6">
        <v>5.6364896358231968</v>
      </c>
      <c r="F1692" s="24"/>
      <c r="G1692" s="24"/>
      <c r="H1692" s="24"/>
      <c r="I1692" s="24"/>
      <c r="J1692" s="3"/>
      <c r="K1692" s="8"/>
      <c r="L1692" s="8"/>
      <c r="M1692" s="8"/>
      <c r="N1692" s="13"/>
      <c r="O1692" s="9"/>
      <c r="P1692" s="20"/>
      <c r="Q1692" s="20"/>
      <c r="R1692" s="20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</row>
    <row r="1693" spans="4:49" ht="15" thickBot="1" x14ac:dyDescent="0.35">
      <c r="D1693" s="2">
        <f t="shared" si="66"/>
        <v>1687</v>
      </c>
      <c r="E1693" s="6">
        <v>2.7546047910194531</v>
      </c>
      <c r="F1693" s="24"/>
      <c r="G1693" s="24"/>
      <c r="H1693" s="24"/>
      <c r="I1693" s="24"/>
      <c r="J1693" s="3"/>
      <c r="K1693" s="8"/>
      <c r="L1693" s="8"/>
      <c r="M1693" s="8"/>
      <c r="N1693" s="13"/>
      <c r="O1693" s="9"/>
      <c r="P1693" s="20"/>
      <c r="Q1693" s="20"/>
      <c r="R1693" s="20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</row>
    <row r="1694" spans="4:49" ht="15" thickBot="1" x14ac:dyDescent="0.35">
      <c r="D1694" s="2">
        <f t="shared" si="66"/>
        <v>1688</v>
      </c>
      <c r="E1694" s="6">
        <v>1.131491440008296</v>
      </c>
      <c r="F1694" s="24"/>
      <c r="G1694" s="24"/>
      <c r="H1694" s="24"/>
      <c r="I1694" s="24"/>
      <c r="J1694" s="3"/>
      <c r="K1694" s="8"/>
      <c r="L1694" s="8"/>
      <c r="M1694" s="8"/>
      <c r="N1694" s="13"/>
      <c r="O1694" s="9"/>
      <c r="P1694" s="20"/>
      <c r="Q1694" s="20"/>
      <c r="R1694" s="20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</row>
    <row r="1695" spans="4:49" ht="15" thickBot="1" x14ac:dyDescent="0.35">
      <c r="D1695" s="2">
        <f t="shared" si="66"/>
        <v>1689</v>
      </c>
      <c r="E1695" s="6">
        <v>7.505271887123409</v>
      </c>
      <c r="F1695" s="24"/>
      <c r="G1695" s="24"/>
      <c r="H1695" s="24"/>
      <c r="I1695" s="24"/>
      <c r="J1695" s="3"/>
      <c r="K1695" s="8"/>
      <c r="L1695" s="8"/>
      <c r="M1695" s="8"/>
      <c r="N1695" s="13"/>
      <c r="O1695" s="9"/>
      <c r="P1695" s="20"/>
      <c r="Q1695" s="20"/>
      <c r="R1695" s="20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</row>
    <row r="1696" spans="4:49" ht="15" thickBot="1" x14ac:dyDescent="0.35">
      <c r="D1696" s="2">
        <f t="shared" si="66"/>
        <v>1690</v>
      </c>
      <c r="E1696" s="6">
        <v>12.732227991733406</v>
      </c>
      <c r="F1696" s="24"/>
      <c r="G1696" s="24"/>
      <c r="H1696" s="24"/>
      <c r="I1696" s="24"/>
      <c r="J1696" s="3"/>
      <c r="K1696" s="8"/>
      <c r="L1696" s="8"/>
      <c r="M1696" s="8"/>
      <c r="N1696" s="13"/>
      <c r="O1696" s="9"/>
      <c r="P1696" s="20"/>
      <c r="Q1696" s="20"/>
      <c r="R1696" s="20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</row>
    <row r="1697" spans="4:49" ht="15" thickBot="1" x14ac:dyDescent="0.35">
      <c r="D1697" s="2">
        <f t="shared" si="66"/>
        <v>1691</v>
      </c>
      <c r="E1697" s="6">
        <v>2.8754785575363146</v>
      </c>
      <c r="F1697" s="24"/>
      <c r="G1697" s="24"/>
      <c r="H1697" s="24"/>
      <c r="I1697" s="24"/>
      <c r="J1697" s="3"/>
      <c r="K1697" s="8"/>
      <c r="L1697" s="8"/>
      <c r="M1697" s="8"/>
      <c r="N1697" s="13"/>
      <c r="O1697" s="9"/>
      <c r="P1697" s="20"/>
      <c r="Q1697" s="20"/>
      <c r="R1697" s="20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</row>
    <row r="1698" spans="4:49" ht="15" thickBot="1" x14ac:dyDescent="0.35">
      <c r="D1698" s="2">
        <f t="shared" si="66"/>
        <v>1692</v>
      </c>
      <c r="E1698" s="6">
        <v>3.1152783595682751</v>
      </c>
      <c r="F1698" s="24"/>
      <c r="G1698" s="24"/>
      <c r="H1698" s="24"/>
      <c r="I1698" s="24"/>
      <c r="J1698" s="3"/>
      <c r="K1698" s="8"/>
      <c r="L1698" s="8"/>
      <c r="M1698" s="8"/>
      <c r="N1698" s="13"/>
      <c r="O1698" s="9"/>
      <c r="P1698" s="20"/>
      <c r="Q1698" s="20"/>
      <c r="R1698" s="20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</row>
    <row r="1699" spans="4:49" ht="15" thickBot="1" x14ac:dyDescent="0.35">
      <c r="D1699" s="2">
        <f t="shared" si="66"/>
        <v>1693</v>
      </c>
      <c r="E1699" s="6">
        <v>17.723726607616214</v>
      </c>
      <c r="F1699" s="24"/>
      <c r="G1699" s="24"/>
      <c r="H1699" s="24"/>
      <c r="I1699" s="24"/>
      <c r="J1699" s="3"/>
      <c r="K1699" s="8"/>
      <c r="L1699" s="8"/>
      <c r="M1699" s="8"/>
      <c r="N1699" s="13"/>
      <c r="O1699" s="9"/>
      <c r="P1699" s="20"/>
      <c r="Q1699" s="20"/>
      <c r="R1699" s="20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</row>
    <row r="1700" spans="4:49" ht="15" thickBot="1" x14ac:dyDescent="0.35">
      <c r="D1700" s="2">
        <f t="shared" si="66"/>
        <v>1694</v>
      </c>
      <c r="E1700" s="6">
        <v>3.272305049333299</v>
      </c>
      <c r="F1700" s="24"/>
      <c r="G1700" s="24"/>
      <c r="H1700" s="24"/>
      <c r="I1700" s="24"/>
      <c r="J1700" s="3"/>
      <c r="K1700" s="8"/>
      <c r="L1700" s="8"/>
      <c r="M1700" s="8"/>
      <c r="N1700" s="13"/>
      <c r="O1700" s="9"/>
      <c r="P1700" s="20"/>
      <c r="Q1700" s="20"/>
      <c r="R1700" s="20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</row>
    <row r="1701" spans="4:49" ht="15" thickBot="1" x14ac:dyDescent="0.35">
      <c r="D1701" s="2">
        <f t="shared" si="66"/>
        <v>1695</v>
      </c>
      <c r="E1701" s="6">
        <v>1.0317679362608363</v>
      </c>
      <c r="F1701" s="24"/>
      <c r="G1701" s="24"/>
      <c r="H1701" s="24"/>
      <c r="I1701" s="24"/>
      <c r="J1701" s="3"/>
      <c r="K1701" s="8"/>
      <c r="L1701" s="8"/>
      <c r="M1701" s="8"/>
      <c r="N1701" s="13"/>
      <c r="O1701" s="9"/>
      <c r="P1701" s="20"/>
      <c r="Q1701" s="20"/>
      <c r="R1701" s="20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</row>
    <row r="1702" spans="4:49" ht="15" thickBot="1" x14ac:dyDescent="0.35">
      <c r="D1702" s="2">
        <f t="shared" si="66"/>
        <v>1696</v>
      </c>
      <c r="E1702" s="6">
        <v>9.0503532472340193</v>
      </c>
      <c r="F1702" s="24"/>
      <c r="G1702" s="24"/>
      <c r="H1702" s="24"/>
      <c r="I1702" s="24"/>
      <c r="J1702" s="3"/>
      <c r="K1702" s="8"/>
      <c r="L1702" s="8"/>
      <c r="M1702" s="8"/>
      <c r="N1702" s="13"/>
      <c r="O1702" s="9"/>
      <c r="P1702" s="20"/>
      <c r="Q1702" s="20"/>
      <c r="R1702" s="20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</row>
    <row r="1703" spans="4:49" ht="15" thickBot="1" x14ac:dyDescent="0.35">
      <c r="D1703" s="2">
        <f t="shared" si="66"/>
        <v>1697</v>
      </c>
      <c r="E1703" s="6">
        <v>3.4267363953722363</v>
      </c>
      <c r="F1703" s="24"/>
      <c r="G1703" s="24"/>
      <c r="H1703" s="24"/>
      <c r="I1703" s="24"/>
      <c r="J1703" s="3"/>
      <c r="K1703" s="8"/>
      <c r="L1703" s="8"/>
      <c r="M1703" s="8"/>
      <c r="N1703" s="13"/>
      <c r="O1703" s="9"/>
      <c r="P1703" s="20"/>
      <c r="Q1703" s="20"/>
      <c r="R1703" s="20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</row>
    <row r="1704" spans="4:49" ht="15" thickBot="1" x14ac:dyDescent="0.35">
      <c r="D1704" s="2">
        <f t="shared" si="66"/>
        <v>1698</v>
      </c>
      <c r="E1704" s="6">
        <v>1.9288592843625036</v>
      </c>
      <c r="F1704" s="24"/>
      <c r="G1704" s="24"/>
      <c r="H1704" s="24"/>
      <c r="I1704" s="24"/>
      <c r="J1704" s="3"/>
      <c r="K1704" s="8"/>
      <c r="L1704" s="8"/>
      <c r="M1704" s="8"/>
      <c r="N1704" s="13"/>
      <c r="O1704" s="9"/>
      <c r="P1704" s="20"/>
      <c r="Q1704" s="20"/>
      <c r="R1704" s="20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</row>
    <row r="1705" spans="4:49" ht="15" thickBot="1" x14ac:dyDescent="0.35">
      <c r="D1705" s="2">
        <f t="shared" si="66"/>
        <v>1699</v>
      </c>
      <c r="E1705" s="6">
        <v>1.366290170586415</v>
      </c>
      <c r="F1705" s="24"/>
      <c r="G1705" s="24"/>
      <c r="H1705" s="24"/>
      <c r="I1705" s="24"/>
      <c r="J1705" s="3"/>
      <c r="K1705" s="8"/>
      <c r="L1705" s="8"/>
      <c r="M1705" s="8"/>
      <c r="N1705" s="13"/>
      <c r="O1705" s="9"/>
      <c r="P1705" s="20"/>
      <c r="Q1705" s="20"/>
      <c r="R1705" s="20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</row>
    <row r="1706" spans="4:49" ht="15" thickBot="1" x14ac:dyDescent="0.35">
      <c r="D1706" s="2">
        <f t="shared" si="66"/>
        <v>1700</v>
      </c>
      <c r="E1706" s="6">
        <v>1.2987064182321317</v>
      </c>
      <c r="F1706" s="24"/>
      <c r="G1706" s="24"/>
      <c r="H1706" s="24"/>
      <c r="I1706" s="24"/>
      <c r="J1706" s="3"/>
      <c r="K1706" s="8"/>
      <c r="L1706" s="8"/>
      <c r="M1706" s="8"/>
      <c r="N1706" s="13"/>
      <c r="O1706" s="9"/>
      <c r="P1706" s="20"/>
      <c r="Q1706" s="20"/>
      <c r="R1706" s="20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</row>
    <row r="1707" spans="4:49" ht="15" thickBot="1" x14ac:dyDescent="0.35">
      <c r="D1707" s="2">
        <f t="shared" si="66"/>
        <v>1701</v>
      </c>
      <c r="E1707" s="6">
        <v>4.6241116001680327</v>
      </c>
      <c r="F1707" s="24"/>
      <c r="G1707" s="24"/>
      <c r="H1707" s="24"/>
      <c r="I1707" s="24"/>
      <c r="J1707" s="3"/>
      <c r="K1707" s="8"/>
      <c r="L1707" s="8"/>
      <c r="M1707" s="8"/>
      <c r="N1707" s="13"/>
      <c r="O1707" s="9"/>
      <c r="P1707" s="20"/>
      <c r="Q1707" s="20"/>
      <c r="R1707" s="20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</row>
    <row r="1708" spans="4:49" ht="15" thickBot="1" x14ac:dyDescent="0.35">
      <c r="D1708" s="2">
        <f t="shared" si="66"/>
        <v>1702</v>
      </c>
      <c r="E1708" s="6">
        <v>3.924734346625204</v>
      </c>
      <c r="F1708" s="24"/>
      <c r="G1708" s="24"/>
      <c r="H1708" s="24"/>
      <c r="I1708" s="24"/>
      <c r="J1708" s="3"/>
      <c r="K1708" s="8"/>
      <c r="L1708" s="8"/>
      <c r="M1708" s="8"/>
      <c r="N1708" s="13"/>
      <c r="O1708" s="9"/>
      <c r="P1708" s="20"/>
      <c r="Q1708" s="20"/>
      <c r="R1708" s="20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</row>
    <row r="1709" spans="4:49" ht="15" thickBot="1" x14ac:dyDescent="0.35">
      <c r="D1709" s="2">
        <f t="shared" si="66"/>
        <v>1703</v>
      </c>
      <c r="E1709" s="6">
        <v>2.7945093949414508</v>
      </c>
      <c r="F1709" s="24"/>
      <c r="G1709" s="24"/>
      <c r="H1709" s="24"/>
      <c r="I1709" s="24"/>
      <c r="J1709" s="3"/>
      <c r="K1709" s="8"/>
      <c r="L1709" s="8"/>
      <c r="M1709" s="8"/>
      <c r="N1709" s="13"/>
      <c r="O1709" s="9"/>
      <c r="P1709" s="20"/>
      <c r="Q1709" s="20"/>
      <c r="R1709" s="20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</row>
    <row r="1710" spans="4:49" ht="15" thickBot="1" x14ac:dyDescent="0.35">
      <c r="D1710" s="2">
        <f t="shared" si="66"/>
        <v>1704</v>
      </c>
      <c r="E1710" s="6">
        <v>4.1761702895553245</v>
      </c>
      <c r="F1710" s="24"/>
      <c r="G1710" s="24"/>
      <c r="H1710" s="24"/>
      <c r="I1710" s="24"/>
      <c r="J1710" s="3"/>
      <c r="K1710" s="8"/>
      <c r="L1710" s="8"/>
      <c r="M1710" s="8"/>
      <c r="N1710" s="13"/>
      <c r="O1710" s="9"/>
      <c r="P1710" s="20"/>
      <c r="Q1710" s="20"/>
      <c r="R1710" s="20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</row>
    <row r="1711" spans="4:49" ht="15" thickBot="1" x14ac:dyDescent="0.35">
      <c r="D1711" s="2">
        <f t="shared" si="66"/>
        <v>1705</v>
      </c>
      <c r="E1711" s="6">
        <v>11.88688674829176</v>
      </c>
      <c r="F1711" s="24"/>
      <c r="G1711" s="24"/>
      <c r="H1711" s="24"/>
      <c r="I1711" s="24"/>
      <c r="J1711" s="3"/>
      <c r="K1711" s="8"/>
      <c r="L1711" s="8"/>
      <c r="M1711" s="8"/>
      <c r="N1711" s="13"/>
      <c r="O1711" s="9"/>
      <c r="P1711" s="20"/>
      <c r="Q1711" s="20"/>
      <c r="R1711" s="20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</row>
    <row r="1712" spans="4:49" ht="15" thickBot="1" x14ac:dyDescent="0.35">
      <c r="D1712" s="2">
        <f t="shared" si="66"/>
        <v>1706</v>
      </c>
      <c r="E1712" s="6">
        <v>0.42349668333694024</v>
      </c>
      <c r="F1712" s="24"/>
      <c r="G1712" s="24"/>
      <c r="H1712" s="24"/>
      <c r="I1712" s="24"/>
      <c r="J1712" s="3"/>
      <c r="K1712" s="8"/>
      <c r="L1712" s="8"/>
      <c r="M1712" s="8"/>
      <c r="N1712" s="13"/>
      <c r="O1712" s="9"/>
      <c r="P1712" s="20"/>
      <c r="Q1712" s="20"/>
      <c r="R1712" s="20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</row>
    <row r="1713" spans="4:49" ht="15" thickBot="1" x14ac:dyDescent="0.35">
      <c r="D1713" s="2">
        <f t="shared" si="66"/>
        <v>1707</v>
      </c>
      <c r="E1713" s="6">
        <v>4.1347561098306276</v>
      </c>
      <c r="F1713" s="24"/>
      <c r="G1713" s="24"/>
      <c r="H1713" s="24"/>
      <c r="I1713" s="24"/>
      <c r="J1713" s="3"/>
      <c r="K1713" s="8"/>
      <c r="L1713" s="8"/>
      <c r="M1713" s="8"/>
      <c r="N1713" s="13"/>
      <c r="O1713" s="9"/>
      <c r="P1713" s="20"/>
      <c r="Q1713" s="20"/>
      <c r="R1713" s="20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</row>
    <row r="1714" spans="4:49" ht="15" thickBot="1" x14ac:dyDescent="0.35">
      <c r="D1714" s="2">
        <f t="shared" si="66"/>
        <v>1708</v>
      </c>
      <c r="E1714" s="6">
        <v>3.0814513932165948</v>
      </c>
      <c r="F1714" s="24"/>
      <c r="G1714" s="24"/>
      <c r="H1714" s="24"/>
      <c r="I1714" s="24"/>
      <c r="J1714" s="3"/>
      <c r="K1714" s="8"/>
      <c r="L1714" s="8"/>
      <c r="M1714" s="8"/>
      <c r="N1714" s="13"/>
      <c r="O1714" s="9"/>
      <c r="P1714" s="20"/>
      <c r="Q1714" s="20"/>
      <c r="R1714" s="20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</row>
    <row r="1715" spans="4:49" ht="15" thickBot="1" x14ac:dyDescent="0.35">
      <c r="D1715" s="2">
        <f t="shared" si="66"/>
        <v>1709</v>
      </c>
      <c r="E1715" s="6">
        <v>1.8346469321374965</v>
      </c>
      <c r="F1715" s="24"/>
      <c r="G1715" s="24"/>
      <c r="H1715" s="24"/>
      <c r="I1715" s="24"/>
      <c r="J1715" s="3"/>
      <c r="K1715" s="8"/>
      <c r="L1715" s="8"/>
      <c r="M1715" s="8"/>
      <c r="N1715" s="13"/>
      <c r="O1715" s="9"/>
      <c r="P1715" s="20"/>
      <c r="Q1715" s="20"/>
      <c r="R1715" s="20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</row>
    <row r="1716" spans="4:49" ht="15" thickBot="1" x14ac:dyDescent="0.35">
      <c r="D1716" s="2">
        <f t="shared" si="66"/>
        <v>1710</v>
      </c>
      <c r="E1716" s="6">
        <v>1.7125420353575935</v>
      </c>
      <c r="F1716" s="24"/>
      <c r="G1716" s="24"/>
      <c r="H1716" s="24"/>
      <c r="I1716" s="24"/>
      <c r="J1716" s="3"/>
      <c r="K1716" s="8"/>
      <c r="L1716" s="8"/>
      <c r="M1716" s="8"/>
      <c r="N1716" s="13"/>
      <c r="O1716" s="9"/>
      <c r="P1716" s="20"/>
      <c r="Q1716" s="20"/>
      <c r="R1716" s="20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</row>
    <row r="1717" spans="4:49" ht="15" thickBot="1" x14ac:dyDescent="0.35">
      <c r="D1717" s="2">
        <f t="shared" si="66"/>
        <v>1711</v>
      </c>
      <c r="E1717" s="6">
        <v>3.07854146620847</v>
      </c>
      <c r="F1717" s="24"/>
      <c r="G1717" s="24"/>
      <c r="H1717" s="24"/>
      <c r="I1717" s="24"/>
      <c r="J1717" s="3"/>
      <c r="K1717" s="8"/>
      <c r="L1717" s="8"/>
      <c r="M1717" s="8"/>
      <c r="N1717" s="13"/>
      <c r="O1717" s="9"/>
      <c r="P1717" s="20"/>
      <c r="Q1717" s="20"/>
      <c r="R1717" s="20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</row>
    <row r="1718" spans="4:49" ht="15" thickBot="1" x14ac:dyDescent="0.35">
      <c r="D1718" s="2">
        <f t="shared" si="66"/>
        <v>1712</v>
      </c>
      <c r="E1718" s="6">
        <v>8.7052726898621415</v>
      </c>
      <c r="F1718" s="24"/>
      <c r="G1718" s="24"/>
      <c r="H1718" s="24"/>
      <c r="I1718" s="24"/>
      <c r="J1718" s="3"/>
      <c r="K1718" s="8"/>
      <c r="L1718" s="8"/>
      <c r="M1718" s="8"/>
      <c r="N1718" s="13"/>
      <c r="O1718" s="9"/>
      <c r="P1718" s="20"/>
      <c r="Q1718" s="20"/>
      <c r="R1718" s="20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</row>
    <row r="1719" spans="4:49" ht="15" thickBot="1" x14ac:dyDescent="0.35">
      <c r="D1719" s="2">
        <f t="shared" si="66"/>
        <v>1713</v>
      </c>
      <c r="E1719" s="6">
        <v>1.0359170133088962</v>
      </c>
      <c r="F1719" s="24"/>
      <c r="G1719" s="24"/>
      <c r="H1719" s="24"/>
      <c r="I1719" s="24"/>
      <c r="J1719" s="3"/>
      <c r="K1719" s="8"/>
      <c r="L1719" s="8"/>
      <c r="M1719" s="8"/>
      <c r="N1719" s="13"/>
      <c r="O1719" s="9"/>
      <c r="P1719" s="20"/>
      <c r="Q1719" s="20"/>
      <c r="R1719" s="20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</row>
    <row r="1720" spans="4:49" ht="15" thickBot="1" x14ac:dyDescent="0.35">
      <c r="D1720" s="2">
        <f t="shared" si="66"/>
        <v>1714</v>
      </c>
      <c r="E1720" s="6">
        <v>0.41119547798471939</v>
      </c>
      <c r="F1720" s="24"/>
      <c r="G1720" s="24"/>
      <c r="H1720" s="24"/>
      <c r="I1720" s="24"/>
      <c r="J1720" s="3"/>
      <c r="K1720" s="8"/>
      <c r="L1720" s="8"/>
      <c r="M1720" s="8"/>
      <c r="N1720" s="13"/>
      <c r="O1720" s="9"/>
      <c r="P1720" s="20"/>
      <c r="Q1720" s="20"/>
      <c r="R1720" s="20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</row>
    <row r="1721" spans="4:49" ht="15" thickBot="1" x14ac:dyDescent="0.35">
      <c r="D1721" s="2">
        <f t="shared" si="66"/>
        <v>1715</v>
      </c>
      <c r="E1721" s="6">
        <v>0.83425659641481387</v>
      </c>
      <c r="F1721" s="24"/>
      <c r="G1721" s="24"/>
      <c r="H1721" s="24"/>
      <c r="I1721" s="24"/>
      <c r="J1721" s="3"/>
      <c r="K1721" s="8"/>
      <c r="L1721" s="8"/>
      <c r="M1721" s="8"/>
      <c r="N1721" s="13"/>
      <c r="O1721" s="9"/>
      <c r="P1721" s="20"/>
      <c r="Q1721" s="20"/>
      <c r="R1721" s="20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</row>
    <row r="1722" spans="4:49" ht="15" thickBot="1" x14ac:dyDescent="0.35">
      <c r="D1722" s="2">
        <f t="shared" si="66"/>
        <v>1716</v>
      </c>
      <c r="E1722" s="6">
        <v>5.0690925121790897</v>
      </c>
      <c r="F1722" s="24"/>
      <c r="G1722" s="24"/>
      <c r="H1722" s="24"/>
      <c r="I1722" s="24"/>
      <c r="J1722" s="3"/>
      <c r="K1722" s="8"/>
      <c r="L1722" s="8"/>
      <c r="M1722" s="8"/>
      <c r="N1722" s="13"/>
      <c r="O1722" s="9"/>
      <c r="P1722" s="20"/>
      <c r="Q1722" s="20"/>
      <c r="R1722" s="20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</row>
    <row r="1723" spans="4:49" ht="15" thickBot="1" x14ac:dyDescent="0.35">
      <c r="D1723" s="2">
        <f t="shared" si="66"/>
        <v>1717</v>
      </c>
      <c r="E1723" s="6">
        <v>10.547327724081818</v>
      </c>
      <c r="F1723" s="24"/>
      <c r="G1723" s="24"/>
      <c r="H1723" s="24"/>
      <c r="I1723" s="24"/>
      <c r="J1723" s="3"/>
      <c r="K1723" s="8"/>
      <c r="L1723" s="8"/>
      <c r="M1723" s="8"/>
      <c r="N1723" s="13"/>
      <c r="O1723" s="9"/>
      <c r="P1723" s="20"/>
      <c r="Q1723" s="20"/>
      <c r="R1723" s="20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</row>
    <row r="1724" spans="4:49" ht="15" thickBot="1" x14ac:dyDescent="0.35">
      <c r="D1724" s="2">
        <f t="shared" si="66"/>
        <v>1718</v>
      </c>
      <c r="E1724" s="6">
        <v>1.5857685724548611</v>
      </c>
      <c r="F1724" s="24"/>
      <c r="G1724" s="24"/>
      <c r="H1724" s="24"/>
      <c r="I1724" s="24"/>
      <c r="J1724" s="3"/>
      <c r="K1724" s="8"/>
      <c r="L1724" s="8"/>
      <c r="M1724" s="8"/>
      <c r="N1724" s="13"/>
      <c r="O1724" s="9"/>
      <c r="P1724" s="20"/>
      <c r="Q1724" s="20"/>
      <c r="R1724" s="20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</row>
    <row r="1725" spans="4:49" ht="15" thickBot="1" x14ac:dyDescent="0.35">
      <c r="D1725" s="2">
        <f t="shared" si="66"/>
        <v>1719</v>
      </c>
      <c r="E1725" s="6">
        <v>6.18267043333252</v>
      </c>
      <c r="F1725" s="24"/>
      <c r="G1725" s="24"/>
      <c r="H1725" s="24"/>
      <c r="I1725" s="24"/>
      <c r="J1725" s="3"/>
      <c r="K1725" s="8"/>
      <c r="L1725" s="8"/>
      <c r="M1725" s="8"/>
      <c r="N1725" s="13"/>
      <c r="O1725" s="9"/>
      <c r="P1725" s="20"/>
      <c r="Q1725" s="20"/>
      <c r="R1725" s="20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</row>
    <row r="1726" spans="4:49" ht="15" thickBot="1" x14ac:dyDescent="0.35">
      <c r="D1726" s="2">
        <f t="shared" si="66"/>
        <v>1720</v>
      </c>
      <c r="E1726" s="6">
        <v>1.4869148888414023</v>
      </c>
      <c r="F1726" s="24"/>
      <c r="G1726" s="24"/>
      <c r="H1726" s="24"/>
      <c r="I1726" s="24"/>
      <c r="J1726" s="3"/>
      <c r="K1726" s="8"/>
      <c r="L1726" s="8"/>
      <c r="M1726" s="8"/>
      <c r="N1726" s="13"/>
      <c r="O1726" s="9"/>
      <c r="P1726" s="20"/>
      <c r="Q1726" s="20"/>
      <c r="R1726" s="20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</row>
    <row r="1727" spans="4:49" ht="15" thickBot="1" x14ac:dyDescent="0.35">
      <c r="D1727" s="2">
        <f t="shared" si="66"/>
        <v>1721</v>
      </c>
      <c r="E1727" s="6">
        <v>3.7005244780806308</v>
      </c>
      <c r="F1727" s="24"/>
      <c r="G1727" s="24"/>
      <c r="H1727" s="24"/>
      <c r="I1727" s="24"/>
      <c r="J1727" s="3"/>
      <c r="K1727" s="8"/>
      <c r="L1727" s="8"/>
      <c r="M1727" s="8"/>
      <c r="N1727" s="13"/>
      <c r="O1727" s="9"/>
      <c r="P1727" s="20"/>
      <c r="Q1727" s="20"/>
      <c r="R1727" s="20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</row>
    <row r="1728" spans="4:49" ht="15" thickBot="1" x14ac:dyDescent="0.35">
      <c r="D1728" s="2">
        <f t="shared" si="66"/>
        <v>1722</v>
      </c>
      <c r="E1728" s="6">
        <v>5.3132185867823388E-2</v>
      </c>
      <c r="F1728" s="24"/>
      <c r="G1728" s="24"/>
      <c r="H1728" s="24"/>
      <c r="I1728" s="24"/>
      <c r="J1728" s="3"/>
      <c r="K1728" s="8"/>
      <c r="L1728" s="8"/>
      <c r="M1728" s="8"/>
      <c r="N1728" s="13"/>
      <c r="O1728" s="9"/>
      <c r="P1728" s="20"/>
      <c r="Q1728" s="20"/>
      <c r="R1728" s="20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</row>
    <row r="1729" spans="4:49" ht="15" thickBot="1" x14ac:dyDescent="0.35">
      <c r="D1729" s="2">
        <f t="shared" si="66"/>
        <v>1723</v>
      </c>
      <c r="E1729" s="6">
        <v>5.2026822148028824</v>
      </c>
      <c r="F1729" s="24"/>
      <c r="G1729" s="24"/>
      <c r="H1729" s="24"/>
      <c r="I1729" s="24"/>
      <c r="J1729" s="3"/>
      <c r="K1729" s="8"/>
      <c r="L1729" s="8"/>
      <c r="M1729" s="8"/>
      <c r="N1729" s="13"/>
      <c r="O1729" s="9"/>
      <c r="P1729" s="20"/>
      <c r="Q1729" s="20"/>
      <c r="R1729" s="20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</row>
    <row r="1730" spans="4:49" ht="15" thickBot="1" x14ac:dyDescent="0.35">
      <c r="D1730" s="2">
        <f t="shared" si="66"/>
        <v>1724</v>
      </c>
      <c r="E1730" s="6">
        <v>7.0512483438192479</v>
      </c>
      <c r="F1730" s="24"/>
      <c r="G1730" s="24"/>
      <c r="H1730" s="24"/>
      <c r="I1730" s="24"/>
      <c r="J1730" s="3"/>
      <c r="K1730" s="8"/>
      <c r="L1730" s="8"/>
      <c r="M1730" s="8"/>
      <c r="N1730" s="13"/>
      <c r="O1730" s="9"/>
      <c r="P1730" s="20"/>
      <c r="Q1730" s="20"/>
      <c r="R1730" s="20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</row>
    <row r="1731" spans="4:49" ht="15" thickBot="1" x14ac:dyDescent="0.35">
      <c r="D1731" s="2">
        <f t="shared" si="66"/>
        <v>1725</v>
      </c>
      <c r="E1731" s="6">
        <v>2.7073453122471371</v>
      </c>
      <c r="F1731" s="24"/>
      <c r="G1731" s="24"/>
      <c r="H1731" s="24"/>
      <c r="I1731" s="24"/>
      <c r="J1731" s="3"/>
      <c r="K1731" s="8"/>
      <c r="L1731" s="8"/>
      <c r="M1731" s="8"/>
      <c r="N1731" s="13"/>
      <c r="O1731" s="9"/>
      <c r="P1731" s="20"/>
      <c r="Q1731" s="20"/>
      <c r="R1731" s="20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</row>
    <row r="1732" spans="4:49" ht="15" thickBot="1" x14ac:dyDescent="0.35">
      <c r="D1732" s="2">
        <f t="shared" si="66"/>
        <v>1726</v>
      </c>
      <c r="E1732" s="6">
        <v>3.7447656990169271</v>
      </c>
      <c r="F1732" s="24"/>
      <c r="G1732" s="24"/>
      <c r="H1732" s="24"/>
      <c r="I1732" s="24"/>
      <c r="J1732" s="3"/>
      <c r="K1732" s="8"/>
      <c r="L1732" s="8"/>
      <c r="M1732" s="8"/>
      <c r="N1732" s="13"/>
      <c r="O1732" s="9"/>
      <c r="P1732" s="20"/>
      <c r="Q1732" s="20"/>
      <c r="R1732" s="20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</row>
    <row r="1733" spans="4:49" ht="15" thickBot="1" x14ac:dyDescent="0.35">
      <c r="D1733" s="2">
        <f t="shared" si="66"/>
        <v>1727</v>
      </c>
      <c r="E1733" s="6">
        <v>2.1312583654518917</v>
      </c>
      <c r="F1733" s="24"/>
      <c r="G1733" s="24"/>
      <c r="H1733" s="24"/>
      <c r="I1733" s="24"/>
      <c r="J1733" s="3"/>
      <c r="K1733" s="8"/>
      <c r="L1733" s="8"/>
      <c r="M1733" s="8"/>
      <c r="N1733" s="13"/>
      <c r="O1733" s="9"/>
      <c r="P1733" s="20"/>
      <c r="Q1733" s="20"/>
      <c r="R1733" s="20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</row>
    <row r="1734" spans="4:49" ht="15" thickBot="1" x14ac:dyDescent="0.35">
      <c r="D1734" s="2">
        <f t="shared" si="66"/>
        <v>1728</v>
      </c>
      <c r="E1734" s="6">
        <v>3.856990805581062</v>
      </c>
      <c r="F1734" s="24"/>
      <c r="G1734" s="24"/>
      <c r="H1734" s="24"/>
      <c r="I1734" s="24"/>
      <c r="J1734" s="3"/>
      <c r="K1734" s="8"/>
      <c r="L1734" s="8"/>
      <c r="M1734" s="8"/>
      <c r="N1734" s="13"/>
      <c r="O1734" s="9"/>
      <c r="P1734" s="20"/>
      <c r="Q1734" s="20"/>
      <c r="R1734" s="20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</row>
    <row r="1735" spans="4:49" ht="15" thickBot="1" x14ac:dyDescent="0.35">
      <c r="D1735" s="2">
        <f t="shared" ref="D1735:D1798" si="67">ROW()-6</f>
        <v>1729</v>
      </c>
      <c r="E1735" s="6">
        <v>4.1725532948986297</v>
      </c>
      <c r="F1735" s="24"/>
      <c r="G1735" s="24"/>
      <c r="H1735" s="24"/>
      <c r="I1735" s="24"/>
      <c r="J1735" s="3"/>
      <c r="K1735" s="8"/>
      <c r="L1735" s="8"/>
      <c r="M1735" s="8"/>
      <c r="N1735" s="13"/>
      <c r="O1735" s="9"/>
      <c r="P1735" s="20"/>
      <c r="Q1735" s="20"/>
      <c r="R1735" s="20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</row>
    <row r="1736" spans="4:49" ht="15" thickBot="1" x14ac:dyDescent="0.35">
      <c r="D1736" s="2">
        <f t="shared" si="67"/>
        <v>1730</v>
      </c>
      <c r="E1736" s="6">
        <v>0.40241995523873825</v>
      </c>
      <c r="F1736" s="24"/>
      <c r="G1736" s="24"/>
      <c r="H1736" s="24"/>
      <c r="I1736" s="24"/>
      <c r="J1736" s="3"/>
      <c r="K1736" s="8"/>
      <c r="L1736" s="8"/>
      <c r="M1736" s="8"/>
      <c r="N1736" s="13"/>
      <c r="O1736" s="9"/>
      <c r="P1736" s="20"/>
      <c r="Q1736" s="20"/>
      <c r="R1736" s="20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</row>
    <row r="1737" spans="4:49" ht="15" thickBot="1" x14ac:dyDescent="0.35">
      <c r="D1737" s="2">
        <f t="shared" si="67"/>
        <v>1731</v>
      </c>
      <c r="E1737" s="6">
        <v>3.9664218762627561</v>
      </c>
      <c r="F1737" s="24"/>
      <c r="G1737" s="24"/>
      <c r="H1737" s="24"/>
      <c r="I1737" s="24"/>
      <c r="J1737" s="3"/>
      <c r="K1737" s="8"/>
      <c r="L1737" s="8"/>
      <c r="M1737" s="8"/>
      <c r="N1737" s="13"/>
      <c r="O1737" s="9"/>
      <c r="P1737" s="20"/>
      <c r="Q1737" s="20"/>
      <c r="R1737" s="20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</row>
    <row r="1738" spans="4:49" ht="15" thickBot="1" x14ac:dyDescent="0.35">
      <c r="D1738" s="2">
        <f t="shared" si="67"/>
        <v>1732</v>
      </c>
      <c r="E1738" s="6">
        <v>14.728613370019435</v>
      </c>
      <c r="F1738" s="24"/>
      <c r="G1738" s="24"/>
      <c r="H1738" s="24"/>
      <c r="I1738" s="24"/>
      <c r="J1738" s="3"/>
      <c r="K1738" s="8"/>
      <c r="L1738" s="8"/>
      <c r="M1738" s="8"/>
      <c r="N1738" s="13"/>
      <c r="O1738" s="9"/>
      <c r="P1738" s="20"/>
      <c r="Q1738" s="20"/>
      <c r="R1738" s="20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</row>
    <row r="1739" spans="4:49" ht="15" thickBot="1" x14ac:dyDescent="0.35">
      <c r="D1739" s="2">
        <f t="shared" si="67"/>
        <v>1733</v>
      </c>
      <c r="E1739" s="6">
        <v>0.86779065056678584</v>
      </c>
      <c r="F1739" s="24"/>
      <c r="G1739" s="24"/>
      <c r="H1739" s="24"/>
      <c r="I1739" s="24"/>
      <c r="J1739" s="3"/>
      <c r="K1739" s="8"/>
      <c r="L1739" s="8"/>
      <c r="M1739" s="8"/>
      <c r="N1739" s="13"/>
      <c r="O1739" s="9"/>
      <c r="P1739" s="20"/>
      <c r="Q1739" s="20"/>
      <c r="R1739" s="20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</row>
    <row r="1740" spans="4:49" ht="15" thickBot="1" x14ac:dyDescent="0.35">
      <c r="D1740" s="2">
        <f t="shared" si="67"/>
        <v>1734</v>
      </c>
      <c r="E1740" s="6">
        <v>2.3265815788344777</v>
      </c>
      <c r="F1740" s="24"/>
      <c r="G1740" s="24"/>
      <c r="H1740" s="24"/>
      <c r="I1740" s="24"/>
      <c r="J1740" s="3"/>
      <c r="K1740" s="8"/>
      <c r="L1740" s="8"/>
      <c r="M1740" s="8"/>
      <c r="N1740" s="13"/>
      <c r="O1740" s="9"/>
      <c r="P1740" s="20"/>
      <c r="Q1740" s="20"/>
      <c r="R1740" s="20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</row>
    <row r="1741" spans="4:49" ht="15" thickBot="1" x14ac:dyDescent="0.35">
      <c r="D1741" s="2">
        <f t="shared" si="67"/>
        <v>1735</v>
      </c>
      <c r="E1741" s="6">
        <v>1.6543483659728246</v>
      </c>
      <c r="F1741" s="24"/>
      <c r="G1741" s="24"/>
      <c r="H1741" s="24"/>
      <c r="I1741" s="24"/>
      <c r="J1741" s="3"/>
      <c r="K1741" s="8"/>
      <c r="L1741" s="8"/>
      <c r="M1741" s="8"/>
      <c r="N1741" s="13"/>
      <c r="O1741" s="9"/>
      <c r="P1741" s="20"/>
      <c r="Q1741" s="20"/>
      <c r="R1741" s="20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</row>
    <row r="1742" spans="4:49" ht="15" thickBot="1" x14ac:dyDescent="0.35">
      <c r="D1742" s="2">
        <f t="shared" si="67"/>
        <v>1736</v>
      </c>
      <c r="E1742" s="6">
        <v>20.299095024012317</v>
      </c>
      <c r="F1742" s="24"/>
      <c r="G1742" s="24"/>
      <c r="H1742" s="24"/>
      <c r="I1742" s="24"/>
      <c r="J1742" s="3"/>
      <c r="K1742" s="8"/>
      <c r="L1742" s="8"/>
      <c r="M1742" s="8"/>
      <c r="N1742" s="13"/>
      <c r="O1742" s="9"/>
      <c r="P1742" s="20"/>
      <c r="Q1742" s="20"/>
      <c r="R1742" s="20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</row>
    <row r="1743" spans="4:49" ht="15" thickBot="1" x14ac:dyDescent="0.35">
      <c r="D1743" s="2">
        <f t="shared" si="67"/>
        <v>1737</v>
      </c>
      <c r="E1743" s="6">
        <v>8.1436814368050676</v>
      </c>
      <c r="F1743" s="24"/>
      <c r="G1743" s="24"/>
      <c r="H1743" s="24"/>
      <c r="I1743" s="24"/>
      <c r="J1743" s="3"/>
      <c r="K1743" s="8"/>
      <c r="L1743" s="8"/>
      <c r="M1743" s="8"/>
      <c r="N1743" s="13"/>
      <c r="O1743" s="9"/>
      <c r="P1743" s="20"/>
      <c r="Q1743" s="20"/>
      <c r="R1743" s="20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</row>
    <row r="1744" spans="4:49" ht="15" thickBot="1" x14ac:dyDescent="0.35">
      <c r="D1744" s="2">
        <f t="shared" si="67"/>
        <v>1738</v>
      </c>
      <c r="E1744" s="6">
        <v>15.510674185004033</v>
      </c>
      <c r="F1744" s="24"/>
      <c r="G1744" s="24"/>
      <c r="H1744" s="24"/>
      <c r="I1744" s="24"/>
      <c r="J1744" s="3"/>
      <c r="K1744" s="8"/>
      <c r="L1744" s="8"/>
      <c r="M1744" s="8"/>
      <c r="N1744" s="13"/>
      <c r="O1744" s="9"/>
      <c r="P1744" s="20"/>
      <c r="Q1744" s="20"/>
      <c r="R1744" s="20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</row>
    <row r="1745" spans="4:49" ht="15" thickBot="1" x14ac:dyDescent="0.35">
      <c r="D1745" s="2">
        <f t="shared" si="67"/>
        <v>1739</v>
      </c>
      <c r="E1745" s="6">
        <v>7.4721424158699197</v>
      </c>
      <c r="F1745" s="24"/>
      <c r="G1745" s="24"/>
      <c r="H1745" s="24"/>
      <c r="I1745" s="24"/>
      <c r="J1745" s="3"/>
      <c r="K1745" s="8"/>
      <c r="L1745" s="8"/>
      <c r="M1745" s="8"/>
      <c r="N1745" s="13"/>
      <c r="O1745" s="9"/>
      <c r="P1745" s="20"/>
      <c r="Q1745" s="20"/>
      <c r="R1745" s="20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</row>
    <row r="1746" spans="4:49" ht="15" thickBot="1" x14ac:dyDescent="0.35">
      <c r="D1746" s="2">
        <f t="shared" si="67"/>
        <v>1740</v>
      </c>
      <c r="E1746" s="6">
        <v>10.782745976441774</v>
      </c>
      <c r="F1746" s="24"/>
      <c r="G1746" s="24"/>
      <c r="H1746" s="24"/>
      <c r="I1746" s="24"/>
      <c r="J1746" s="3"/>
      <c r="K1746" s="8"/>
      <c r="L1746" s="8"/>
      <c r="M1746" s="8"/>
      <c r="N1746" s="13"/>
      <c r="O1746" s="9"/>
      <c r="P1746" s="20"/>
      <c r="Q1746" s="20"/>
      <c r="R1746" s="20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</row>
    <row r="1747" spans="4:49" ht="15" thickBot="1" x14ac:dyDescent="0.35">
      <c r="D1747" s="2">
        <f t="shared" si="67"/>
        <v>1741</v>
      </c>
      <c r="E1747" s="6">
        <v>11.176770133332196</v>
      </c>
      <c r="F1747" s="24"/>
      <c r="G1747" s="24"/>
      <c r="H1747" s="24"/>
      <c r="I1747" s="24"/>
      <c r="J1747" s="3"/>
      <c r="K1747" s="8"/>
      <c r="L1747" s="8"/>
      <c r="M1747" s="8"/>
      <c r="N1747" s="13"/>
      <c r="O1747" s="9"/>
      <c r="P1747" s="20"/>
      <c r="Q1747" s="20"/>
      <c r="R1747" s="20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</row>
    <row r="1748" spans="4:49" ht="15" thickBot="1" x14ac:dyDescent="0.35">
      <c r="D1748" s="2">
        <f t="shared" si="67"/>
        <v>1742</v>
      </c>
      <c r="E1748" s="6">
        <v>0.62515937982160497</v>
      </c>
      <c r="F1748" s="24"/>
      <c r="G1748" s="24"/>
      <c r="H1748" s="24"/>
      <c r="I1748" s="24"/>
      <c r="J1748" s="3"/>
      <c r="K1748" s="8"/>
      <c r="L1748" s="8"/>
      <c r="M1748" s="8"/>
      <c r="N1748" s="13"/>
      <c r="O1748" s="9"/>
      <c r="P1748" s="20"/>
      <c r="Q1748" s="20"/>
      <c r="R1748" s="20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</row>
    <row r="1749" spans="4:49" ht="15" thickBot="1" x14ac:dyDescent="0.35">
      <c r="D1749" s="2">
        <f t="shared" si="67"/>
        <v>1743</v>
      </c>
      <c r="E1749" s="6">
        <v>2.3499034553886635</v>
      </c>
      <c r="F1749" s="24"/>
      <c r="G1749" s="24"/>
      <c r="H1749" s="24"/>
      <c r="I1749" s="24"/>
      <c r="J1749" s="3"/>
      <c r="K1749" s="8"/>
      <c r="L1749" s="8"/>
      <c r="M1749" s="8"/>
      <c r="N1749" s="13"/>
      <c r="O1749" s="9"/>
      <c r="P1749" s="20"/>
      <c r="Q1749" s="20"/>
      <c r="R1749" s="20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</row>
    <row r="1750" spans="4:49" ht="15" thickBot="1" x14ac:dyDescent="0.35">
      <c r="D1750" s="2">
        <f t="shared" si="67"/>
        <v>1744</v>
      </c>
      <c r="E1750" s="6">
        <v>2.7192118055124079</v>
      </c>
      <c r="F1750" s="24"/>
      <c r="G1750" s="24"/>
      <c r="H1750" s="24"/>
      <c r="I1750" s="24"/>
      <c r="J1750" s="3"/>
      <c r="K1750" s="8"/>
      <c r="L1750" s="8"/>
      <c r="M1750" s="8"/>
      <c r="N1750" s="13"/>
      <c r="O1750" s="9"/>
      <c r="P1750" s="20"/>
      <c r="Q1750" s="20"/>
      <c r="R1750" s="20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</row>
    <row r="1751" spans="4:49" ht="15" thickBot="1" x14ac:dyDescent="0.35">
      <c r="D1751" s="2">
        <f t="shared" si="67"/>
        <v>1745</v>
      </c>
      <c r="E1751" s="6">
        <v>13.012947107950602</v>
      </c>
      <c r="F1751" s="24"/>
      <c r="G1751" s="24"/>
      <c r="H1751" s="24"/>
      <c r="I1751" s="24"/>
      <c r="J1751" s="3"/>
      <c r="K1751" s="8"/>
      <c r="L1751" s="8"/>
      <c r="M1751" s="8"/>
      <c r="N1751" s="13"/>
      <c r="O1751" s="9"/>
      <c r="P1751" s="20"/>
      <c r="Q1751" s="20"/>
      <c r="R1751" s="20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</row>
    <row r="1752" spans="4:49" ht="15" thickBot="1" x14ac:dyDescent="0.35">
      <c r="D1752" s="2">
        <f t="shared" si="67"/>
        <v>1746</v>
      </c>
      <c r="E1752" s="6">
        <v>2.5137159960142461</v>
      </c>
      <c r="F1752" s="24"/>
      <c r="G1752" s="24"/>
      <c r="H1752" s="24"/>
      <c r="I1752" s="24"/>
      <c r="J1752" s="3"/>
      <c r="K1752" s="8"/>
      <c r="L1752" s="8"/>
      <c r="M1752" s="8"/>
      <c r="N1752" s="13"/>
      <c r="O1752" s="9"/>
      <c r="P1752" s="20"/>
      <c r="Q1752" s="20"/>
      <c r="R1752" s="20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</row>
    <row r="1753" spans="4:49" ht="15" thickBot="1" x14ac:dyDescent="0.35">
      <c r="D1753" s="2">
        <f t="shared" si="67"/>
        <v>1747</v>
      </c>
      <c r="E1753" s="6">
        <v>3.2882722824181467</v>
      </c>
      <c r="F1753" s="24"/>
      <c r="G1753" s="24"/>
      <c r="H1753" s="24"/>
      <c r="I1753" s="24"/>
      <c r="J1753" s="3"/>
      <c r="K1753" s="8"/>
      <c r="L1753" s="8"/>
      <c r="M1753" s="8"/>
      <c r="N1753" s="13"/>
      <c r="O1753" s="9"/>
      <c r="P1753" s="20"/>
      <c r="Q1753" s="20"/>
      <c r="R1753" s="20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</row>
    <row r="1754" spans="4:49" ht="15" thickBot="1" x14ac:dyDescent="0.35">
      <c r="D1754" s="2">
        <f t="shared" si="67"/>
        <v>1748</v>
      </c>
      <c r="E1754" s="6">
        <v>2.4131771550434471</v>
      </c>
      <c r="F1754" s="24"/>
      <c r="G1754" s="24"/>
      <c r="H1754" s="24"/>
      <c r="I1754" s="24"/>
      <c r="J1754" s="3"/>
      <c r="K1754" s="8"/>
      <c r="L1754" s="8"/>
      <c r="M1754" s="8"/>
      <c r="N1754" s="13"/>
      <c r="O1754" s="9"/>
      <c r="P1754" s="20"/>
      <c r="Q1754" s="20"/>
      <c r="R1754" s="20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</row>
    <row r="1755" spans="4:49" ht="15" thickBot="1" x14ac:dyDescent="0.35">
      <c r="D1755" s="2">
        <f t="shared" si="67"/>
        <v>1749</v>
      </c>
      <c r="E1755" s="6">
        <v>0.48759394728385169</v>
      </c>
      <c r="F1755" s="24"/>
      <c r="G1755" s="24"/>
      <c r="H1755" s="24"/>
      <c r="I1755" s="24"/>
      <c r="J1755" s="3"/>
      <c r="K1755" s="8"/>
      <c r="L1755" s="8"/>
      <c r="M1755" s="8"/>
      <c r="N1755" s="13"/>
      <c r="O1755" s="9"/>
      <c r="P1755" s="20"/>
      <c r="Q1755" s="20"/>
      <c r="R1755" s="20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</row>
    <row r="1756" spans="4:49" ht="15" thickBot="1" x14ac:dyDescent="0.35">
      <c r="D1756" s="2">
        <f t="shared" si="67"/>
        <v>1750</v>
      </c>
      <c r="E1756" s="6">
        <v>0.24192087439529247</v>
      </c>
      <c r="F1756" s="24"/>
      <c r="G1756" s="24"/>
      <c r="H1756" s="24"/>
      <c r="I1756" s="24"/>
      <c r="J1756" s="3"/>
      <c r="K1756" s="8"/>
      <c r="L1756" s="8"/>
      <c r="M1756" s="8"/>
      <c r="N1756" s="13"/>
      <c r="O1756" s="9"/>
      <c r="P1756" s="20"/>
      <c r="Q1756" s="20"/>
      <c r="R1756" s="20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</row>
    <row r="1757" spans="4:49" ht="15" thickBot="1" x14ac:dyDescent="0.35">
      <c r="D1757" s="2">
        <f t="shared" si="67"/>
        <v>1751</v>
      </c>
      <c r="E1757" s="6">
        <v>0.85340199902833758</v>
      </c>
      <c r="F1757" s="24"/>
      <c r="G1757" s="24"/>
      <c r="H1757" s="24"/>
      <c r="I1757" s="24"/>
      <c r="J1757" s="3"/>
      <c r="K1757" s="8"/>
      <c r="L1757" s="8"/>
      <c r="M1757" s="8"/>
      <c r="N1757" s="13"/>
      <c r="O1757" s="9"/>
      <c r="P1757" s="20"/>
      <c r="Q1757" s="20"/>
      <c r="R1757" s="20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</row>
    <row r="1758" spans="4:49" ht="15" thickBot="1" x14ac:dyDescent="0.35">
      <c r="D1758" s="2">
        <f t="shared" si="67"/>
        <v>1752</v>
      </c>
      <c r="E1758" s="6">
        <v>3.8329163024553941</v>
      </c>
      <c r="F1758" s="24"/>
      <c r="G1758" s="24"/>
      <c r="H1758" s="24"/>
      <c r="I1758" s="24"/>
      <c r="J1758" s="3"/>
      <c r="K1758" s="8"/>
      <c r="L1758" s="8"/>
      <c r="M1758" s="8"/>
      <c r="N1758" s="13"/>
      <c r="O1758" s="9"/>
      <c r="P1758" s="20"/>
      <c r="Q1758" s="20"/>
      <c r="R1758" s="20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</row>
    <row r="1759" spans="4:49" ht="15" thickBot="1" x14ac:dyDescent="0.35">
      <c r="D1759" s="2">
        <f t="shared" si="67"/>
        <v>1753</v>
      </c>
      <c r="E1759" s="6">
        <v>2.305634059921855</v>
      </c>
      <c r="F1759" s="24"/>
      <c r="G1759" s="24"/>
      <c r="H1759" s="24"/>
      <c r="I1759" s="24"/>
      <c r="J1759" s="3"/>
      <c r="K1759" s="8"/>
      <c r="L1759" s="8"/>
      <c r="M1759" s="8"/>
      <c r="N1759" s="13"/>
      <c r="O1759" s="9"/>
      <c r="P1759" s="20"/>
      <c r="Q1759" s="20"/>
      <c r="R1759" s="20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</row>
    <row r="1760" spans="4:49" ht="15" thickBot="1" x14ac:dyDescent="0.35">
      <c r="D1760" s="2">
        <f t="shared" si="67"/>
        <v>1754</v>
      </c>
      <c r="E1760" s="6">
        <v>0.39594377064344793</v>
      </c>
      <c r="F1760" s="24"/>
      <c r="G1760" s="24"/>
      <c r="H1760" s="24"/>
      <c r="I1760" s="24"/>
      <c r="J1760" s="3"/>
      <c r="K1760" s="8"/>
      <c r="L1760" s="8"/>
      <c r="M1760" s="8"/>
      <c r="N1760" s="13"/>
      <c r="O1760" s="9"/>
      <c r="P1760" s="20"/>
      <c r="Q1760" s="20"/>
      <c r="R1760" s="20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</row>
    <row r="1761" spans="4:49" ht="15" thickBot="1" x14ac:dyDescent="0.35">
      <c r="D1761" s="2">
        <f t="shared" si="67"/>
        <v>1755</v>
      </c>
      <c r="E1761" s="6">
        <v>0.38314293349483236</v>
      </c>
      <c r="F1761" s="24"/>
      <c r="G1761" s="24"/>
      <c r="H1761" s="24"/>
      <c r="I1761" s="24"/>
      <c r="J1761" s="3"/>
      <c r="K1761" s="8"/>
      <c r="L1761" s="8"/>
      <c r="M1761" s="8"/>
      <c r="N1761" s="13"/>
      <c r="O1761" s="9"/>
      <c r="P1761" s="20"/>
      <c r="Q1761" s="20"/>
      <c r="R1761" s="20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</row>
    <row r="1762" spans="4:49" ht="15" thickBot="1" x14ac:dyDescent="0.35">
      <c r="D1762" s="2">
        <f t="shared" si="67"/>
        <v>1756</v>
      </c>
      <c r="E1762" s="6">
        <v>3.4387315693210749</v>
      </c>
      <c r="F1762" s="24"/>
      <c r="G1762" s="24"/>
      <c r="H1762" s="24"/>
      <c r="I1762" s="24"/>
      <c r="J1762" s="3"/>
      <c r="K1762" s="8"/>
      <c r="L1762" s="8"/>
      <c r="M1762" s="8"/>
      <c r="N1762" s="13"/>
      <c r="O1762" s="9"/>
      <c r="P1762" s="20"/>
      <c r="Q1762" s="20"/>
      <c r="R1762" s="20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</row>
    <row r="1763" spans="4:49" ht="15" thickBot="1" x14ac:dyDescent="0.35">
      <c r="D1763" s="2">
        <f t="shared" si="67"/>
        <v>1757</v>
      </c>
      <c r="E1763" s="6">
        <v>5.2719512349452264</v>
      </c>
      <c r="F1763" s="24"/>
      <c r="G1763" s="24"/>
      <c r="H1763" s="24"/>
      <c r="I1763" s="24"/>
      <c r="J1763" s="3"/>
      <c r="K1763" s="8"/>
      <c r="L1763" s="8"/>
      <c r="M1763" s="8"/>
      <c r="N1763" s="13"/>
      <c r="O1763" s="9"/>
      <c r="P1763" s="20"/>
      <c r="Q1763" s="20"/>
      <c r="R1763" s="20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</row>
    <row r="1764" spans="4:49" ht="15" thickBot="1" x14ac:dyDescent="0.35">
      <c r="D1764" s="2">
        <f t="shared" si="67"/>
        <v>1758</v>
      </c>
      <c r="E1764" s="6">
        <v>1.9894382812662841</v>
      </c>
      <c r="F1764" s="24"/>
      <c r="G1764" s="24"/>
      <c r="H1764" s="24"/>
      <c r="I1764" s="24"/>
      <c r="J1764" s="3"/>
      <c r="K1764" s="8"/>
      <c r="L1764" s="8"/>
      <c r="M1764" s="8"/>
      <c r="N1764" s="13"/>
      <c r="O1764" s="9"/>
      <c r="P1764" s="20"/>
      <c r="Q1764" s="20"/>
      <c r="R1764" s="20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</row>
    <row r="1765" spans="4:49" ht="15" thickBot="1" x14ac:dyDescent="0.35">
      <c r="D1765" s="2">
        <f t="shared" si="67"/>
        <v>1759</v>
      </c>
      <c r="E1765" s="6">
        <v>11.470645265214269</v>
      </c>
      <c r="F1765" s="24"/>
      <c r="G1765" s="24"/>
      <c r="H1765" s="24"/>
      <c r="I1765" s="24"/>
      <c r="J1765" s="3"/>
      <c r="K1765" s="8"/>
      <c r="L1765" s="8"/>
      <c r="M1765" s="8"/>
      <c r="N1765" s="13"/>
      <c r="O1765" s="9"/>
      <c r="P1765" s="20"/>
      <c r="Q1765" s="20"/>
      <c r="R1765" s="20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</row>
    <row r="1766" spans="4:49" ht="15" thickBot="1" x14ac:dyDescent="0.35">
      <c r="D1766" s="2">
        <f t="shared" si="67"/>
        <v>1760</v>
      </c>
      <c r="E1766" s="6">
        <v>0.28644276640891297</v>
      </c>
      <c r="F1766" s="24"/>
      <c r="G1766" s="24"/>
      <c r="H1766" s="24"/>
      <c r="I1766" s="24"/>
      <c r="J1766" s="3"/>
      <c r="K1766" s="8"/>
      <c r="L1766" s="8"/>
      <c r="M1766" s="8"/>
      <c r="N1766" s="13"/>
      <c r="O1766" s="9"/>
      <c r="P1766" s="20"/>
      <c r="Q1766" s="20"/>
      <c r="R1766" s="20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</row>
    <row r="1767" spans="4:49" ht="15" thickBot="1" x14ac:dyDescent="0.35">
      <c r="D1767" s="2">
        <f t="shared" si="67"/>
        <v>1761</v>
      </c>
      <c r="E1767" s="6">
        <v>3.3545860387535331</v>
      </c>
      <c r="F1767" s="24"/>
      <c r="G1767" s="24"/>
      <c r="H1767" s="24"/>
      <c r="I1767" s="24"/>
      <c r="J1767" s="3"/>
      <c r="K1767" s="8"/>
      <c r="L1767" s="8"/>
      <c r="M1767" s="8"/>
      <c r="N1767" s="13"/>
      <c r="O1767" s="9"/>
      <c r="P1767" s="20"/>
      <c r="Q1767" s="20"/>
      <c r="R1767" s="20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</row>
    <row r="1768" spans="4:49" ht="15" thickBot="1" x14ac:dyDescent="0.35">
      <c r="D1768" s="2">
        <f t="shared" si="67"/>
        <v>1762</v>
      </c>
      <c r="E1768" s="6">
        <v>0.46422071581414848</v>
      </c>
      <c r="F1768" s="24"/>
      <c r="G1768" s="24"/>
      <c r="H1768" s="24"/>
      <c r="I1768" s="24"/>
      <c r="J1768" s="3"/>
      <c r="K1768" s="8"/>
      <c r="L1768" s="8"/>
      <c r="M1768" s="8"/>
      <c r="N1768" s="13"/>
      <c r="O1768" s="9"/>
      <c r="P1768" s="20"/>
      <c r="Q1768" s="20"/>
      <c r="R1768" s="20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</row>
    <row r="1769" spans="4:49" ht="15" thickBot="1" x14ac:dyDescent="0.35">
      <c r="D1769" s="2">
        <f t="shared" si="67"/>
        <v>1763</v>
      </c>
      <c r="E1769" s="6">
        <v>4.3051881084802126</v>
      </c>
      <c r="F1769" s="24"/>
      <c r="G1769" s="24"/>
      <c r="H1769" s="24"/>
      <c r="I1769" s="24"/>
      <c r="J1769" s="3"/>
      <c r="K1769" s="8"/>
      <c r="L1769" s="8"/>
      <c r="M1769" s="8"/>
      <c r="N1769" s="13"/>
      <c r="O1769" s="9"/>
      <c r="P1769" s="20"/>
      <c r="Q1769" s="20"/>
      <c r="R1769" s="20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</row>
    <row r="1770" spans="4:49" ht="15" thickBot="1" x14ac:dyDescent="0.35">
      <c r="D1770" s="2">
        <f t="shared" si="67"/>
        <v>1764</v>
      </c>
      <c r="E1770" s="6">
        <v>0.90642292087743359</v>
      </c>
      <c r="F1770" s="24"/>
      <c r="G1770" s="24"/>
      <c r="H1770" s="24"/>
      <c r="I1770" s="24"/>
      <c r="J1770" s="3"/>
      <c r="K1770" s="8"/>
      <c r="L1770" s="8"/>
      <c r="M1770" s="8"/>
      <c r="N1770" s="13"/>
      <c r="O1770" s="9"/>
      <c r="P1770" s="20"/>
      <c r="Q1770" s="20"/>
      <c r="R1770" s="20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</row>
    <row r="1771" spans="4:49" ht="15" thickBot="1" x14ac:dyDescent="0.35">
      <c r="D1771" s="2">
        <f t="shared" si="67"/>
        <v>1765</v>
      </c>
      <c r="E1771" s="6">
        <v>2.9843036165016228</v>
      </c>
      <c r="F1771" s="24"/>
      <c r="G1771" s="24"/>
      <c r="H1771" s="24"/>
      <c r="I1771" s="24"/>
      <c r="J1771" s="3"/>
      <c r="K1771" s="8"/>
      <c r="L1771" s="8"/>
      <c r="M1771" s="8"/>
      <c r="N1771" s="13"/>
      <c r="O1771" s="9"/>
      <c r="P1771" s="20"/>
      <c r="Q1771" s="20"/>
      <c r="R1771" s="20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</row>
    <row r="1772" spans="4:49" ht="15" thickBot="1" x14ac:dyDescent="0.35">
      <c r="D1772" s="2">
        <f t="shared" si="67"/>
        <v>1766</v>
      </c>
      <c r="E1772" s="6">
        <v>3.4983927855901382</v>
      </c>
      <c r="F1772" s="24"/>
      <c r="G1772" s="24"/>
      <c r="H1772" s="24"/>
      <c r="I1772" s="24"/>
      <c r="J1772" s="3"/>
      <c r="K1772" s="8"/>
      <c r="L1772" s="8"/>
      <c r="M1772" s="8"/>
      <c r="N1772" s="13"/>
      <c r="O1772" s="9"/>
      <c r="P1772" s="20"/>
      <c r="Q1772" s="20"/>
      <c r="R1772" s="20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</row>
    <row r="1773" spans="4:49" ht="15" thickBot="1" x14ac:dyDescent="0.35">
      <c r="D1773" s="2">
        <f t="shared" si="67"/>
        <v>1767</v>
      </c>
      <c r="E1773" s="6">
        <v>7.7678903501034773</v>
      </c>
      <c r="F1773" s="24"/>
      <c r="G1773" s="24"/>
      <c r="H1773" s="24"/>
      <c r="I1773" s="24"/>
      <c r="J1773" s="3"/>
      <c r="K1773" s="8"/>
      <c r="L1773" s="8"/>
      <c r="M1773" s="8"/>
      <c r="N1773" s="13"/>
      <c r="O1773" s="9"/>
      <c r="P1773" s="20"/>
      <c r="Q1773" s="20"/>
      <c r="R1773" s="20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</row>
    <row r="1774" spans="4:49" ht="15" thickBot="1" x14ac:dyDescent="0.35">
      <c r="D1774" s="2">
        <f t="shared" si="67"/>
        <v>1768</v>
      </c>
      <c r="E1774" s="6">
        <v>1.8185416490165021</v>
      </c>
      <c r="F1774" s="24"/>
      <c r="G1774" s="24"/>
      <c r="H1774" s="24"/>
      <c r="I1774" s="24"/>
      <c r="J1774" s="3"/>
      <c r="K1774" s="8"/>
      <c r="L1774" s="8"/>
      <c r="M1774" s="8"/>
      <c r="N1774" s="13"/>
      <c r="O1774" s="9"/>
      <c r="P1774" s="20"/>
      <c r="Q1774" s="20"/>
      <c r="R1774" s="20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</row>
    <row r="1775" spans="4:49" ht="15" thickBot="1" x14ac:dyDescent="0.35">
      <c r="D1775" s="2">
        <f t="shared" si="67"/>
        <v>1769</v>
      </c>
      <c r="E1775" s="6">
        <v>2.2903783245480933</v>
      </c>
      <c r="F1775" s="24"/>
      <c r="G1775" s="24"/>
      <c r="H1775" s="24"/>
      <c r="I1775" s="24"/>
      <c r="J1775" s="3"/>
      <c r="K1775" s="8"/>
      <c r="L1775" s="8"/>
      <c r="M1775" s="8"/>
      <c r="N1775" s="13"/>
      <c r="O1775" s="9"/>
      <c r="P1775" s="20"/>
      <c r="Q1775" s="20"/>
      <c r="R1775" s="20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</row>
    <row r="1776" spans="4:49" ht="15" thickBot="1" x14ac:dyDescent="0.35">
      <c r="D1776" s="2">
        <f t="shared" si="67"/>
        <v>1770</v>
      </c>
      <c r="E1776" s="6">
        <v>19.533190876386278</v>
      </c>
      <c r="F1776" s="24"/>
      <c r="G1776" s="24"/>
      <c r="H1776" s="24"/>
      <c r="I1776" s="24"/>
      <c r="J1776" s="3"/>
      <c r="K1776" s="8"/>
      <c r="L1776" s="8"/>
      <c r="M1776" s="8"/>
      <c r="N1776" s="13"/>
      <c r="O1776" s="9"/>
      <c r="P1776" s="20"/>
      <c r="Q1776" s="20"/>
      <c r="R1776" s="20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</row>
    <row r="1777" spans="4:49" ht="15" thickBot="1" x14ac:dyDescent="0.35">
      <c r="D1777" s="2">
        <f t="shared" si="67"/>
        <v>1771</v>
      </c>
      <c r="E1777" s="6">
        <v>9.3398538062409422</v>
      </c>
      <c r="F1777" s="24"/>
      <c r="G1777" s="24"/>
      <c r="H1777" s="24"/>
      <c r="I1777" s="24"/>
      <c r="J1777" s="3"/>
      <c r="K1777" s="8"/>
      <c r="L1777" s="8"/>
      <c r="M1777" s="8"/>
      <c r="N1777" s="13"/>
      <c r="O1777" s="9"/>
      <c r="P1777" s="20"/>
      <c r="Q1777" s="20"/>
      <c r="R1777" s="20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</row>
    <row r="1778" spans="4:49" ht="15" thickBot="1" x14ac:dyDescent="0.35">
      <c r="D1778" s="2">
        <f t="shared" si="67"/>
        <v>1772</v>
      </c>
      <c r="E1778" s="6">
        <v>2.7144078105285514</v>
      </c>
      <c r="F1778" s="24"/>
      <c r="G1778" s="24"/>
      <c r="H1778" s="24"/>
      <c r="I1778" s="24"/>
      <c r="J1778" s="3"/>
      <c r="K1778" s="8"/>
      <c r="L1778" s="8"/>
      <c r="M1778" s="8"/>
      <c r="N1778" s="13"/>
      <c r="O1778" s="9"/>
      <c r="P1778" s="20"/>
      <c r="Q1778" s="20"/>
      <c r="R1778" s="20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</row>
    <row r="1779" spans="4:49" ht="15" thickBot="1" x14ac:dyDescent="0.35">
      <c r="D1779" s="2">
        <f t="shared" si="67"/>
        <v>1773</v>
      </c>
      <c r="E1779" s="6">
        <v>1.1958221709774766</v>
      </c>
      <c r="F1779" s="24"/>
      <c r="G1779" s="24"/>
      <c r="H1779" s="24"/>
      <c r="I1779" s="24"/>
      <c r="J1779" s="3"/>
      <c r="K1779" s="8"/>
      <c r="L1779" s="8"/>
      <c r="M1779" s="8"/>
      <c r="N1779" s="13"/>
      <c r="O1779" s="9"/>
      <c r="P1779" s="20"/>
      <c r="Q1779" s="20"/>
      <c r="R1779" s="20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</row>
    <row r="1780" spans="4:49" ht="15" thickBot="1" x14ac:dyDescent="0.35">
      <c r="D1780" s="2">
        <f t="shared" si="67"/>
        <v>1774</v>
      </c>
      <c r="E1780" s="6">
        <v>0.29229767118783601</v>
      </c>
      <c r="F1780" s="24"/>
      <c r="G1780" s="24"/>
      <c r="H1780" s="24"/>
      <c r="I1780" s="24"/>
      <c r="J1780" s="3"/>
      <c r="K1780" s="8"/>
      <c r="L1780" s="8"/>
      <c r="M1780" s="8"/>
      <c r="N1780" s="13"/>
      <c r="O1780" s="9"/>
      <c r="P1780" s="20"/>
      <c r="Q1780" s="20"/>
      <c r="R1780" s="20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</row>
    <row r="1781" spans="4:49" ht="15" thickBot="1" x14ac:dyDescent="0.35">
      <c r="D1781" s="2">
        <f t="shared" si="67"/>
        <v>1775</v>
      </c>
      <c r="E1781" s="6">
        <v>0.25260198759705649</v>
      </c>
      <c r="F1781" s="24"/>
      <c r="G1781" s="24"/>
      <c r="H1781" s="24"/>
      <c r="I1781" s="24"/>
      <c r="J1781" s="3"/>
      <c r="K1781" s="8"/>
      <c r="L1781" s="8"/>
      <c r="M1781" s="8"/>
      <c r="N1781" s="13"/>
      <c r="O1781" s="9"/>
      <c r="P1781" s="20"/>
      <c r="Q1781" s="20"/>
      <c r="R1781" s="20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</row>
    <row r="1782" spans="4:49" ht="15" thickBot="1" x14ac:dyDescent="0.35">
      <c r="D1782" s="2">
        <f t="shared" si="67"/>
        <v>1776</v>
      </c>
      <c r="E1782" s="6">
        <v>4.0617529746615775</v>
      </c>
      <c r="F1782" s="24"/>
      <c r="G1782" s="24"/>
      <c r="H1782" s="24"/>
      <c r="I1782" s="24"/>
      <c r="J1782" s="3"/>
      <c r="K1782" s="8"/>
      <c r="L1782" s="8"/>
      <c r="M1782" s="8"/>
      <c r="N1782" s="13"/>
      <c r="O1782" s="9"/>
      <c r="P1782" s="20"/>
      <c r="Q1782" s="20"/>
      <c r="R1782" s="20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</row>
    <row r="1783" spans="4:49" ht="15" thickBot="1" x14ac:dyDescent="0.35">
      <c r="D1783" s="2">
        <f t="shared" si="67"/>
        <v>1777</v>
      </c>
      <c r="E1783" s="6">
        <v>1.0798044164727605</v>
      </c>
      <c r="F1783" s="24"/>
      <c r="G1783" s="24"/>
      <c r="H1783" s="24"/>
      <c r="I1783" s="24"/>
      <c r="J1783" s="3"/>
      <c r="K1783" s="8"/>
      <c r="L1783" s="8"/>
      <c r="M1783" s="8"/>
      <c r="N1783" s="13"/>
      <c r="O1783" s="9"/>
      <c r="P1783" s="20"/>
      <c r="Q1783" s="20"/>
      <c r="R1783" s="20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</row>
    <row r="1784" spans="4:49" ht="15" thickBot="1" x14ac:dyDescent="0.35">
      <c r="D1784" s="2">
        <f t="shared" si="67"/>
        <v>1778</v>
      </c>
      <c r="E1784" s="6">
        <v>2.8238875231068299</v>
      </c>
      <c r="F1784" s="24"/>
      <c r="G1784" s="24"/>
      <c r="H1784" s="24"/>
      <c r="I1784" s="24"/>
      <c r="J1784" s="3"/>
      <c r="K1784" s="8"/>
      <c r="L1784" s="8"/>
      <c r="M1784" s="8"/>
      <c r="N1784" s="13"/>
      <c r="O1784" s="9"/>
      <c r="P1784" s="20"/>
      <c r="Q1784" s="20"/>
      <c r="R1784" s="20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</row>
    <row r="1785" spans="4:49" ht="15" thickBot="1" x14ac:dyDescent="0.35">
      <c r="D1785" s="2">
        <f t="shared" si="67"/>
        <v>1779</v>
      </c>
      <c r="E1785" s="6">
        <v>3.4470568920357731</v>
      </c>
      <c r="F1785" s="24"/>
      <c r="G1785" s="24"/>
      <c r="H1785" s="24"/>
      <c r="I1785" s="24"/>
      <c r="J1785" s="3"/>
      <c r="K1785" s="8"/>
      <c r="L1785" s="8"/>
      <c r="M1785" s="8"/>
      <c r="N1785" s="13"/>
      <c r="O1785" s="9"/>
      <c r="P1785" s="20"/>
      <c r="Q1785" s="20"/>
      <c r="R1785" s="20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</row>
    <row r="1786" spans="4:49" ht="15" thickBot="1" x14ac:dyDescent="0.35">
      <c r="D1786" s="2">
        <f t="shared" si="67"/>
        <v>1780</v>
      </c>
      <c r="E1786" s="6">
        <v>2.1376392870880228</v>
      </c>
      <c r="F1786" s="24"/>
      <c r="G1786" s="24"/>
      <c r="H1786" s="24"/>
      <c r="I1786" s="24"/>
      <c r="J1786" s="3"/>
      <c r="K1786" s="8"/>
      <c r="L1786" s="8"/>
      <c r="M1786" s="8"/>
      <c r="N1786" s="13"/>
      <c r="O1786" s="9"/>
      <c r="P1786" s="20"/>
      <c r="Q1786" s="20"/>
      <c r="R1786" s="20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</row>
    <row r="1787" spans="4:49" ht="15" thickBot="1" x14ac:dyDescent="0.35">
      <c r="D1787" s="2">
        <f t="shared" si="67"/>
        <v>1781</v>
      </c>
      <c r="E1787" s="6">
        <v>11.353090255274015</v>
      </c>
      <c r="F1787" s="24"/>
      <c r="G1787" s="24"/>
      <c r="H1787" s="24"/>
      <c r="I1787" s="24"/>
      <c r="J1787" s="3"/>
      <c r="K1787" s="8"/>
      <c r="L1787" s="8"/>
      <c r="M1787" s="8"/>
      <c r="N1787" s="13"/>
      <c r="O1787" s="9"/>
      <c r="P1787" s="20"/>
      <c r="Q1787" s="20"/>
      <c r="R1787" s="20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</row>
    <row r="1788" spans="4:49" ht="15" thickBot="1" x14ac:dyDescent="0.35">
      <c r="D1788" s="2">
        <f t="shared" si="67"/>
        <v>1782</v>
      </c>
      <c r="E1788" s="6">
        <v>11.299582713156854</v>
      </c>
      <c r="F1788" s="24"/>
      <c r="G1788" s="24"/>
      <c r="H1788" s="24"/>
      <c r="I1788" s="24"/>
      <c r="J1788" s="3"/>
      <c r="K1788" s="8"/>
      <c r="L1788" s="8"/>
      <c r="M1788" s="8"/>
      <c r="N1788" s="13"/>
      <c r="O1788" s="9"/>
      <c r="P1788" s="20"/>
      <c r="Q1788" s="20"/>
      <c r="R1788" s="20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</row>
    <row r="1789" spans="4:49" ht="15" thickBot="1" x14ac:dyDescent="0.35">
      <c r="D1789" s="2">
        <f t="shared" si="67"/>
        <v>1783</v>
      </c>
      <c r="E1789" s="6">
        <v>8.3172534143292065</v>
      </c>
      <c r="F1789" s="24"/>
      <c r="G1789" s="24"/>
      <c r="H1789" s="24"/>
      <c r="I1789" s="24"/>
      <c r="J1789" s="3"/>
      <c r="K1789" s="8"/>
      <c r="L1789" s="8"/>
      <c r="M1789" s="8"/>
      <c r="N1789" s="13"/>
      <c r="O1789" s="9"/>
      <c r="P1789" s="20"/>
      <c r="Q1789" s="20"/>
      <c r="R1789" s="20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</row>
    <row r="1790" spans="4:49" ht="15" thickBot="1" x14ac:dyDescent="0.35">
      <c r="D1790" s="2">
        <f t="shared" si="67"/>
        <v>1784</v>
      </c>
      <c r="E1790" s="6">
        <v>0.19736709627234347</v>
      </c>
      <c r="F1790" s="24"/>
      <c r="G1790" s="24"/>
      <c r="H1790" s="24"/>
      <c r="I1790" s="24"/>
      <c r="J1790" s="3"/>
      <c r="K1790" s="8"/>
      <c r="L1790" s="8"/>
      <c r="M1790" s="8"/>
      <c r="N1790" s="13"/>
      <c r="O1790" s="9"/>
      <c r="P1790" s="20"/>
      <c r="Q1790" s="20"/>
      <c r="R1790" s="20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</row>
    <row r="1791" spans="4:49" ht="15" thickBot="1" x14ac:dyDescent="0.35">
      <c r="D1791" s="2">
        <f t="shared" si="67"/>
        <v>1785</v>
      </c>
      <c r="E1791" s="6">
        <v>10.234260671727577</v>
      </c>
      <c r="F1791" s="24"/>
      <c r="G1791" s="24"/>
      <c r="H1791" s="24"/>
      <c r="I1791" s="24"/>
      <c r="J1791" s="3"/>
      <c r="K1791" s="8"/>
      <c r="L1791" s="8"/>
      <c r="M1791" s="8"/>
      <c r="N1791" s="13"/>
      <c r="O1791" s="9"/>
      <c r="P1791" s="20"/>
      <c r="Q1791" s="20"/>
      <c r="R1791" s="20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</row>
    <row r="1792" spans="4:49" ht="15" thickBot="1" x14ac:dyDescent="0.35">
      <c r="D1792" s="2">
        <f t="shared" si="67"/>
        <v>1786</v>
      </c>
      <c r="E1792" s="6">
        <v>0.28454704557884541</v>
      </c>
      <c r="F1792" s="24"/>
      <c r="G1792" s="24"/>
      <c r="H1792" s="24"/>
      <c r="I1792" s="24"/>
      <c r="J1792" s="3"/>
      <c r="K1792" s="8"/>
      <c r="L1792" s="8"/>
      <c r="M1792" s="8"/>
      <c r="N1792" s="13"/>
      <c r="O1792" s="9"/>
      <c r="P1792" s="20"/>
      <c r="Q1792" s="20"/>
      <c r="R1792" s="20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</row>
    <row r="1793" spans="4:49" ht="15" thickBot="1" x14ac:dyDescent="0.35">
      <c r="D1793" s="2">
        <f t="shared" si="67"/>
        <v>1787</v>
      </c>
      <c r="E1793" s="6">
        <v>0.3475798768486833</v>
      </c>
      <c r="F1793" s="24"/>
      <c r="G1793" s="24"/>
      <c r="H1793" s="24"/>
      <c r="I1793" s="24"/>
      <c r="J1793" s="3"/>
      <c r="K1793" s="8"/>
      <c r="L1793" s="8"/>
      <c r="M1793" s="8"/>
      <c r="N1793" s="13"/>
      <c r="O1793" s="9"/>
      <c r="P1793" s="20"/>
      <c r="Q1793" s="20"/>
      <c r="R1793" s="20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</row>
    <row r="1794" spans="4:49" ht="15" thickBot="1" x14ac:dyDescent="0.35">
      <c r="D1794" s="2">
        <f t="shared" si="67"/>
        <v>1788</v>
      </c>
      <c r="E1794" s="6">
        <v>7.7125233099607629</v>
      </c>
      <c r="F1794" s="24"/>
      <c r="G1794" s="24"/>
      <c r="H1794" s="24"/>
      <c r="I1794" s="24"/>
      <c r="J1794" s="3"/>
      <c r="K1794" s="8"/>
      <c r="L1794" s="8"/>
      <c r="M1794" s="8"/>
      <c r="N1794" s="13"/>
      <c r="O1794" s="9"/>
      <c r="P1794" s="20"/>
      <c r="Q1794" s="20"/>
      <c r="R1794" s="20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</row>
    <row r="1795" spans="4:49" ht="15" thickBot="1" x14ac:dyDescent="0.35">
      <c r="D1795" s="2">
        <f t="shared" si="67"/>
        <v>1789</v>
      </c>
      <c r="E1795" s="6">
        <v>8.228148121936858</v>
      </c>
      <c r="F1795" s="24"/>
      <c r="G1795" s="24"/>
      <c r="H1795" s="24"/>
      <c r="I1795" s="24"/>
      <c r="J1795" s="3"/>
      <c r="K1795" s="8"/>
      <c r="L1795" s="8"/>
      <c r="M1795" s="8"/>
      <c r="N1795" s="13"/>
      <c r="O1795" s="9"/>
      <c r="P1795" s="20"/>
      <c r="Q1795" s="20"/>
      <c r="R1795" s="20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</row>
    <row r="1796" spans="4:49" ht="15" thickBot="1" x14ac:dyDescent="0.35">
      <c r="D1796" s="2">
        <f t="shared" si="67"/>
        <v>1790</v>
      </c>
      <c r="E1796" s="6">
        <v>4.0725911502890844</v>
      </c>
      <c r="F1796" s="24"/>
      <c r="G1796" s="24"/>
      <c r="H1796" s="24"/>
      <c r="I1796" s="24"/>
      <c r="J1796" s="3"/>
      <c r="K1796" s="8"/>
      <c r="L1796" s="8"/>
      <c r="M1796" s="8"/>
      <c r="N1796" s="13"/>
      <c r="O1796" s="9"/>
      <c r="P1796" s="20"/>
      <c r="Q1796" s="20"/>
      <c r="R1796" s="20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</row>
    <row r="1797" spans="4:49" ht="15" thickBot="1" x14ac:dyDescent="0.35">
      <c r="D1797" s="2">
        <f t="shared" si="67"/>
        <v>1791</v>
      </c>
      <c r="E1797" s="6">
        <v>5.4062788683903928</v>
      </c>
      <c r="F1797" s="24"/>
      <c r="G1797" s="24"/>
      <c r="H1797" s="24"/>
      <c r="I1797" s="24"/>
      <c r="J1797" s="3"/>
      <c r="K1797" s="8"/>
      <c r="L1797" s="8"/>
      <c r="M1797" s="8"/>
      <c r="N1797" s="13"/>
      <c r="O1797" s="9"/>
      <c r="P1797" s="20"/>
      <c r="Q1797" s="20"/>
      <c r="R1797" s="20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</row>
    <row r="1798" spans="4:49" ht="15" thickBot="1" x14ac:dyDescent="0.35">
      <c r="D1798" s="2">
        <f t="shared" si="67"/>
        <v>1792</v>
      </c>
      <c r="E1798" s="6">
        <v>1.1509743708190872</v>
      </c>
      <c r="F1798" s="24"/>
      <c r="G1798" s="24"/>
      <c r="H1798" s="24"/>
      <c r="I1798" s="24"/>
      <c r="J1798" s="3"/>
      <c r="K1798" s="8"/>
      <c r="L1798" s="8"/>
      <c r="M1798" s="8"/>
      <c r="N1798" s="13"/>
      <c r="O1798" s="9"/>
      <c r="P1798" s="20"/>
      <c r="Q1798" s="20"/>
      <c r="R1798" s="20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</row>
    <row r="1799" spans="4:49" ht="15" thickBot="1" x14ac:dyDescent="0.35">
      <c r="D1799" s="2">
        <f t="shared" ref="D1799:D1862" si="68">ROW()-6</f>
        <v>1793</v>
      </c>
      <c r="E1799" s="6">
        <v>1.9779450721319431</v>
      </c>
      <c r="F1799" s="24"/>
      <c r="G1799" s="24"/>
      <c r="H1799" s="24"/>
      <c r="I1799" s="24"/>
      <c r="J1799" s="3"/>
      <c r="K1799" s="8"/>
      <c r="L1799" s="8"/>
      <c r="M1799" s="8"/>
      <c r="N1799" s="13"/>
      <c r="O1799" s="9"/>
      <c r="P1799" s="20"/>
      <c r="Q1799" s="20"/>
      <c r="R1799" s="20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</row>
    <row r="1800" spans="4:49" ht="15" thickBot="1" x14ac:dyDescent="0.35">
      <c r="D1800" s="2">
        <f t="shared" si="68"/>
        <v>1794</v>
      </c>
      <c r="E1800" s="6">
        <v>0.52559272643716748</v>
      </c>
      <c r="F1800" s="24"/>
      <c r="G1800" s="24"/>
      <c r="H1800" s="24"/>
      <c r="I1800" s="24"/>
      <c r="J1800" s="3"/>
      <c r="K1800" s="8"/>
      <c r="L1800" s="8"/>
      <c r="M1800" s="8"/>
      <c r="N1800" s="13"/>
      <c r="O1800" s="9"/>
      <c r="P1800" s="20"/>
      <c r="Q1800" s="20"/>
      <c r="R1800" s="20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</row>
    <row r="1801" spans="4:49" ht="15" thickBot="1" x14ac:dyDescent="0.35">
      <c r="D1801" s="2">
        <f t="shared" si="68"/>
        <v>1795</v>
      </c>
      <c r="E1801" s="6">
        <v>15.012906259269485</v>
      </c>
      <c r="F1801" s="24"/>
      <c r="G1801" s="24"/>
      <c r="H1801" s="24"/>
      <c r="I1801" s="24"/>
      <c r="J1801" s="3"/>
      <c r="K1801" s="8"/>
      <c r="L1801" s="8"/>
      <c r="M1801" s="8"/>
      <c r="N1801" s="13"/>
      <c r="O1801" s="9"/>
      <c r="P1801" s="20"/>
      <c r="Q1801" s="20"/>
      <c r="R1801" s="20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</row>
    <row r="1802" spans="4:49" ht="15" thickBot="1" x14ac:dyDescent="0.35">
      <c r="D1802" s="2">
        <f t="shared" si="68"/>
        <v>1796</v>
      </c>
      <c r="E1802" s="6">
        <v>9.4887198464428728</v>
      </c>
      <c r="F1802" s="24"/>
      <c r="G1802" s="24"/>
      <c r="H1802" s="24"/>
      <c r="I1802" s="24"/>
      <c r="J1802" s="3"/>
      <c r="K1802" s="8"/>
      <c r="L1802" s="8"/>
      <c r="M1802" s="8"/>
      <c r="N1802" s="13"/>
      <c r="O1802" s="9"/>
      <c r="P1802" s="20"/>
      <c r="Q1802" s="20"/>
      <c r="R1802" s="20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</row>
    <row r="1803" spans="4:49" ht="15" thickBot="1" x14ac:dyDescent="0.35">
      <c r="D1803" s="2">
        <f t="shared" si="68"/>
        <v>1797</v>
      </c>
      <c r="E1803" s="6">
        <v>7.5126831034110957</v>
      </c>
      <c r="F1803" s="24"/>
      <c r="G1803" s="24"/>
      <c r="H1803" s="24"/>
      <c r="I1803" s="24"/>
      <c r="J1803" s="3"/>
      <c r="K1803" s="8"/>
      <c r="L1803" s="8"/>
      <c r="M1803" s="8"/>
      <c r="N1803" s="13"/>
      <c r="O1803" s="9"/>
      <c r="P1803" s="20"/>
      <c r="Q1803" s="20"/>
      <c r="R1803" s="20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</row>
    <row r="1804" spans="4:49" ht="15" thickBot="1" x14ac:dyDescent="0.35">
      <c r="D1804" s="2">
        <f t="shared" si="68"/>
        <v>1798</v>
      </c>
      <c r="E1804" s="6">
        <v>9.5462286195409867</v>
      </c>
      <c r="F1804" s="24"/>
      <c r="G1804" s="24"/>
      <c r="H1804" s="24"/>
      <c r="I1804" s="24"/>
      <c r="J1804" s="3"/>
      <c r="K1804" s="8"/>
      <c r="L1804" s="8"/>
      <c r="M1804" s="8"/>
      <c r="N1804" s="13"/>
      <c r="O1804" s="9"/>
      <c r="P1804" s="20"/>
      <c r="Q1804" s="20"/>
      <c r="R1804" s="20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</row>
    <row r="1805" spans="4:49" ht="15" thickBot="1" x14ac:dyDescent="0.35">
      <c r="D1805" s="2">
        <f t="shared" si="68"/>
        <v>1799</v>
      </c>
      <c r="E1805" s="6">
        <v>10.349915320829393</v>
      </c>
      <c r="F1805" s="24"/>
      <c r="G1805" s="24"/>
      <c r="H1805" s="24"/>
      <c r="I1805" s="24"/>
      <c r="J1805" s="3"/>
      <c r="K1805" s="8"/>
      <c r="L1805" s="8"/>
      <c r="M1805" s="8"/>
      <c r="N1805" s="13"/>
      <c r="O1805" s="9"/>
      <c r="P1805" s="20"/>
      <c r="Q1805" s="20"/>
      <c r="R1805" s="20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</row>
    <row r="1806" spans="4:49" ht="15" thickBot="1" x14ac:dyDescent="0.35">
      <c r="D1806" s="2">
        <f t="shared" si="68"/>
        <v>1800</v>
      </c>
      <c r="E1806" s="6">
        <v>11.380791689693025</v>
      </c>
      <c r="F1806" s="24"/>
      <c r="G1806" s="24"/>
      <c r="H1806" s="24"/>
      <c r="I1806" s="24"/>
      <c r="J1806" s="3"/>
      <c r="K1806" s="8"/>
      <c r="L1806" s="8"/>
      <c r="M1806" s="8"/>
      <c r="N1806" s="13"/>
      <c r="O1806" s="9"/>
      <c r="P1806" s="20"/>
      <c r="Q1806" s="20"/>
      <c r="R1806" s="20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</row>
    <row r="1807" spans="4:49" ht="15" thickBot="1" x14ac:dyDescent="0.35">
      <c r="D1807" s="2">
        <f t="shared" si="68"/>
        <v>1801</v>
      </c>
      <c r="E1807" s="6">
        <v>13.529655339892665</v>
      </c>
      <c r="F1807" s="24"/>
      <c r="G1807" s="24"/>
      <c r="H1807" s="24"/>
      <c r="I1807" s="24"/>
      <c r="J1807" s="3"/>
      <c r="K1807" s="8"/>
      <c r="L1807" s="8"/>
      <c r="M1807" s="8"/>
      <c r="N1807" s="13"/>
      <c r="O1807" s="9"/>
      <c r="P1807" s="20"/>
      <c r="Q1807" s="20"/>
      <c r="R1807" s="20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</row>
    <row r="1808" spans="4:49" ht="15" thickBot="1" x14ac:dyDescent="0.35">
      <c r="D1808" s="2">
        <f t="shared" si="68"/>
        <v>1802</v>
      </c>
      <c r="E1808" s="6">
        <v>7.0115181694506807</v>
      </c>
      <c r="F1808" s="24"/>
      <c r="G1808" s="24"/>
      <c r="H1808" s="24"/>
      <c r="I1808" s="24"/>
      <c r="J1808" s="3"/>
      <c r="K1808" s="8"/>
      <c r="L1808" s="8"/>
      <c r="M1808" s="8"/>
      <c r="N1808" s="13"/>
      <c r="O1808" s="9"/>
      <c r="P1808" s="20"/>
      <c r="Q1808" s="20"/>
      <c r="R1808" s="20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</row>
    <row r="1809" spans="4:49" ht="15" thickBot="1" x14ac:dyDescent="0.35">
      <c r="D1809" s="2">
        <f t="shared" si="68"/>
        <v>1803</v>
      </c>
      <c r="E1809" s="6">
        <v>14.987196094757492</v>
      </c>
      <c r="F1809" s="24"/>
      <c r="G1809" s="24"/>
      <c r="H1809" s="24"/>
      <c r="I1809" s="24"/>
      <c r="J1809" s="3"/>
      <c r="K1809" s="8"/>
      <c r="L1809" s="8"/>
      <c r="M1809" s="8"/>
      <c r="N1809" s="13"/>
      <c r="O1809" s="9"/>
      <c r="P1809" s="20"/>
      <c r="Q1809" s="20"/>
      <c r="R1809" s="20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</row>
    <row r="1810" spans="4:49" ht="15" thickBot="1" x14ac:dyDescent="0.35">
      <c r="D1810" s="2">
        <f t="shared" si="68"/>
        <v>1804</v>
      </c>
      <c r="E1810" s="6">
        <v>4.9415346358369341</v>
      </c>
      <c r="F1810" s="24"/>
      <c r="G1810" s="24"/>
      <c r="H1810" s="24"/>
      <c r="I1810" s="24"/>
      <c r="J1810" s="3"/>
      <c r="K1810" s="8"/>
      <c r="L1810" s="8"/>
      <c r="M1810" s="8"/>
      <c r="N1810" s="13"/>
      <c r="O1810" s="9"/>
      <c r="P1810" s="20"/>
      <c r="Q1810" s="20"/>
      <c r="R1810" s="20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</row>
    <row r="1811" spans="4:49" ht="15" thickBot="1" x14ac:dyDescent="0.35">
      <c r="D1811" s="2">
        <f t="shared" si="68"/>
        <v>1805</v>
      </c>
      <c r="E1811" s="6">
        <v>3.4572717106638651</v>
      </c>
      <c r="F1811" s="24"/>
      <c r="G1811" s="24"/>
      <c r="H1811" s="24"/>
      <c r="I1811" s="24"/>
      <c r="J1811" s="3"/>
      <c r="K1811" s="8"/>
      <c r="L1811" s="8"/>
      <c r="M1811" s="8"/>
      <c r="N1811" s="13"/>
      <c r="O1811" s="9"/>
      <c r="P1811" s="20"/>
      <c r="Q1811" s="20"/>
      <c r="R1811" s="20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</row>
    <row r="1812" spans="4:49" ht="15" thickBot="1" x14ac:dyDescent="0.35">
      <c r="D1812" s="2">
        <f t="shared" si="68"/>
        <v>1806</v>
      </c>
      <c r="E1812" s="6">
        <v>1.1774930136759809</v>
      </c>
      <c r="F1812" s="24"/>
      <c r="G1812" s="24"/>
      <c r="H1812" s="24"/>
      <c r="I1812" s="24"/>
      <c r="J1812" s="3"/>
      <c r="K1812" s="8"/>
      <c r="L1812" s="8"/>
      <c r="M1812" s="8"/>
      <c r="N1812" s="13"/>
      <c r="O1812" s="9"/>
      <c r="P1812" s="20"/>
      <c r="Q1812" s="20"/>
      <c r="R1812" s="20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</row>
    <row r="1813" spans="4:49" ht="15" thickBot="1" x14ac:dyDescent="0.35">
      <c r="D1813" s="2">
        <f t="shared" si="68"/>
        <v>1807</v>
      </c>
      <c r="E1813" s="6">
        <v>1.1670977986211335</v>
      </c>
      <c r="F1813" s="24"/>
      <c r="G1813" s="24"/>
      <c r="H1813" s="24"/>
      <c r="I1813" s="24"/>
      <c r="J1813" s="3"/>
      <c r="K1813" s="8"/>
      <c r="L1813" s="8"/>
      <c r="M1813" s="8"/>
      <c r="N1813" s="13"/>
      <c r="O1813" s="9"/>
      <c r="P1813" s="20"/>
      <c r="Q1813" s="20"/>
      <c r="R1813" s="20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</row>
    <row r="1814" spans="4:49" ht="15" thickBot="1" x14ac:dyDescent="0.35">
      <c r="D1814" s="2">
        <f t="shared" si="68"/>
        <v>1808</v>
      </c>
      <c r="E1814" s="6">
        <v>4.9845005288681614</v>
      </c>
      <c r="F1814" s="24"/>
      <c r="G1814" s="24"/>
      <c r="H1814" s="24"/>
      <c r="I1814" s="24"/>
      <c r="J1814" s="3"/>
      <c r="K1814" s="8"/>
      <c r="L1814" s="8"/>
      <c r="M1814" s="8"/>
      <c r="N1814" s="13"/>
      <c r="O1814" s="9"/>
      <c r="P1814" s="20"/>
      <c r="Q1814" s="20"/>
      <c r="R1814" s="20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</row>
    <row r="1815" spans="4:49" ht="15" thickBot="1" x14ac:dyDescent="0.35">
      <c r="D1815" s="2">
        <f t="shared" si="68"/>
        <v>1809</v>
      </c>
      <c r="E1815" s="6">
        <v>5.8478065006803357</v>
      </c>
      <c r="F1815" s="24"/>
      <c r="G1815" s="24"/>
      <c r="H1815" s="24"/>
      <c r="I1815" s="24"/>
      <c r="J1815" s="3"/>
      <c r="K1815" s="8"/>
      <c r="L1815" s="8"/>
      <c r="M1815" s="8"/>
      <c r="N1815" s="13"/>
      <c r="O1815" s="9"/>
      <c r="P1815" s="20"/>
      <c r="Q1815" s="20"/>
      <c r="R1815" s="20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</row>
    <row r="1816" spans="4:49" ht="15" thickBot="1" x14ac:dyDescent="0.35">
      <c r="D1816" s="2">
        <f t="shared" si="68"/>
        <v>1810</v>
      </c>
      <c r="E1816" s="6">
        <v>1.3384713411441425</v>
      </c>
      <c r="F1816" s="24"/>
      <c r="G1816" s="24"/>
      <c r="H1816" s="24"/>
      <c r="I1816" s="24"/>
      <c r="J1816" s="3"/>
      <c r="K1816" s="8"/>
      <c r="L1816" s="8"/>
      <c r="M1816" s="8"/>
      <c r="N1816" s="13"/>
      <c r="O1816" s="9"/>
      <c r="P1816" s="20"/>
      <c r="Q1816" s="20"/>
      <c r="R1816" s="20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</row>
    <row r="1817" spans="4:49" ht="15" thickBot="1" x14ac:dyDescent="0.35">
      <c r="D1817" s="2">
        <f t="shared" si="68"/>
        <v>1811</v>
      </c>
      <c r="E1817" s="6">
        <v>0.63521224260472053</v>
      </c>
      <c r="F1817" s="24"/>
      <c r="G1817" s="24"/>
      <c r="H1817" s="24"/>
      <c r="I1817" s="24"/>
      <c r="J1817" s="3"/>
      <c r="K1817" s="8"/>
      <c r="L1817" s="8"/>
      <c r="M1817" s="8"/>
      <c r="N1817" s="13"/>
      <c r="O1817" s="9"/>
      <c r="P1817" s="20"/>
      <c r="Q1817" s="20"/>
      <c r="R1817" s="20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</row>
    <row r="1818" spans="4:49" ht="15" thickBot="1" x14ac:dyDescent="0.35">
      <c r="D1818" s="2">
        <f t="shared" si="68"/>
        <v>1812</v>
      </c>
      <c r="E1818" s="6">
        <v>8.4737610810501067</v>
      </c>
      <c r="F1818" s="24"/>
      <c r="G1818" s="24"/>
      <c r="H1818" s="24"/>
      <c r="I1818" s="24"/>
      <c r="J1818" s="3"/>
      <c r="K1818" s="8"/>
      <c r="L1818" s="8"/>
      <c r="M1818" s="8"/>
      <c r="N1818" s="13"/>
      <c r="O1818" s="9"/>
      <c r="P1818" s="20"/>
      <c r="Q1818" s="20"/>
      <c r="R1818" s="20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</row>
    <row r="1819" spans="4:49" ht="15" thickBot="1" x14ac:dyDescent="0.35">
      <c r="D1819" s="2">
        <f t="shared" si="68"/>
        <v>1813</v>
      </c>
      <c r="E1819" s="6">
        <v>0.61646755469877379</v>
      </c>
      <c r="F1819" s="24"/>
      <c r="G1819" s="24"/>
      <c r="H1819" s="24"/>
      <c r="I1819" s="24"/>
      <c r="J1819" s="3"/>
      <c r="K1819" s="8"/>
      <c r="L1819" s="8"/>
      <c r="M1819" s="8"/>
      <c r="N1819" s="13"/>
      <c r="O1819" s="9"/>
      <c r="P1819" s="20"/>
      <c r="Q1819" s="20"/>
      <c r="R1819" s="20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</row>
    <row r="1820" spans="4:49" ht="15" thickBot="1" x14ac:dyDescent="0.35">
      <c r="D1820" s="2">
        <f t="shared" si="68"/>
        <v>1814</v>
      </c>
      <c r="E1820" s="6">
        <v>2.2525235040650258</v>
      </c>
      <c r="F1820" s="24"/>
      <c r="G1820" s="24"/>
      <c r="H1820" s="24"/>
      <c r="I1820" s="24"/>
      <c r="J1820" s="3"/>
      <c r="K1820" s="8"/>
      <c r="L1820" s="8"/>
      <c r="M1820" s="8"/>
      <c r="N1820" s="13"/>
      <c r="O1820" s="9"/>
      <c r="P1820" s="20"/>
      <c r="Q1820" s="20"/>
      <c r="R1820" s="20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</row>
    <row r="1821" spans="4:49" ht="15" thickBot="1" x14ac:dyDescent="0.35">
      <c r="D1821" s="2">
        <f t="shared" si="68"/>
        <v>1815</v>
      </c>
      <c r="E1821" s="6">
        <v>3.8293689914721472</v>
      </c>
      <c r="F1821" s="24"/>
      <c r="G1821" s="24"/>
      <c r="H1821" s="24"/>
      <c r="I1821" s="24"/>
      <c r="J1821" s="3"/>
      <c r="K1821" s="8"/>
      <c r="L1821" s="8"/>
      <c r="M1821" s="8"/>
      <c r="N1821" s="13"/>
      <c r="O1821" s="9"/>
      <c r="P1821" s="20"/>
      <c r="Q1821" s="20"/>
      <c r="R1821" s="20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</row>
    <row r="1822" spans="4:49" ht="15" thickBot="1" x14ac:dyDescent="0.35">
      <c r="D1822" s="2">
        <f t="shared" si="68"/>
        <v>1816</v>
      </c>
      <c r="E1822" s="6">
        <v>4.5035361347346896</v>
      </c>
      <c r="F1822" s="24"/>
      <c r="G1822" s="24"/>
      <c r="H1822" s="24"/>
      <c r="I1822" s="24"/>
      <c r="J1822" s="3"/>
      <c r="K1822" s="8"/>
      <c r="L1822" s="8"/>
      <c r="M1822" s="8"/>
      <c r="N1822" s="13"/>
      <c r="O1822" s="9"/>
      <c r="P1822" s="20"/>
      <c r="Q1822" s="20"/>
      <c r="R1822" s="20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</row>
    <row r="1823" spans="4:49" ht="15" thickBot="1" x14ac:dyDescent="0.35">
      <c r="D1823" s="2">
        <f t="shared" si="68"/>
        <v>1817</v>
      </c>
      <c r="E1823" s="6">
        <v>2.7038405420251639</v>
      </c>
      <c r="F1823" s="24"/>
      <c r="G1823" s="24"/>
      <c r="H1823" s="24"/>
      <c r="I1823" s="24"/>
      <c r="J1823" s="3"/>
      <c r="K1823" s="8"/>
      <c r="L1823" s="8"/>
      <c r="M1823" s="8"/>
      <c r="N1823" s="13"/>
      <c r="O1823" s="9"/>
      <c r="P1823" s="20"/>
      <c r="Q1823" s="20"/>
      <c r="R1823" s="20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</row>
    <row r="1824" spans="4:49" ht="15" thickBot="1" x14ac:dyDescent="0.35">
      <c r="D1824" s="2">
        <f t="shared" si="68"/>
        <v>1818</v>
      </c>
      <c r="E1824" s="6">
        <v>1.1662288690416454</v>
      </c>
      <c r="F1824" s="24"/>
      <c r="G1824" s="24"/>
      <c r="H1824" s="24"/>
      <c r="I1824" s="24"/>
      <c r="J1824" s="3"/>
      <c r="K1824" s="8"/>
      <c r="L1824" s="8"/>
      <c r="M1824" s="8"/>
      <c r="N1824" s="13"/>
      <c r="O1824" s="9"/>
      <c r="P1824" s="20"/>
      <c r="Q1824" s="20"/>
      <c r="R1824" s="20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</row>
    <row r="1825" spans="4:49" ht="15" thickBot="1" x14ac:dyDescent="0.35">
      <c r="D1825" s="2">
        <f t="shared" si="68"/>
        <v>1819</v>
      </c>
      <c r="E1825" s="6">
        <v>1.3529065599104064</v>
      </c>
      <c r="F1825" s="24"/>
      <c r="G1825" s="24"/>
      <c r="H1825" s="24"/>
      <c r="I1825" s="24"/>
      <c r="J1825" s="3"/>
      <c r="K1825" s="8"/>
      <c r="L1825" s="8"/>
      <c r="M1825" s="8"/>
      <c r="N1825" s="13"/>
      <c r="O1825" s="9"/>
      <c r="P1825" s="20"/>
      <c r="Q1825" s="20"/>
      <c r="R1825" s="20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</row>
    <row r="1826" spans="4:49" ht="15" thickBot="1" x14ac:dyDescent="0.35">
      <c r="D1826" s="2">
        <f t="shared" si="68"/>
        <v>1820</v>
      </c>
      <c r="E1826" s="6">
        <v>0.27293868067771421</v>
      </c>
      <c r="F1826" s="24"/>
      <c r="G1826" s="24"/>
      <c r="H1826" s="24"/>
      <c r="I1826" s="24"/>
      <c r="J1826" s="3"/>
      <c r="K1826" s="8"/>
      <c r="L1826" s="8"/>
      <c r="M1826" s="8"/>
      <c r="N1826" s="13"/>
      <c r="O1826" s="9"/>
      <c r="P1826" s="20"/>
      <c r="Q1826" s="20"/>
      <c r="R1826" s="20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</row>
    <row r="1827" spans="4:49" ht="15" thickBot="1" x14ac:dyDescent="0.35">
      <c r="D1827" s="2">
        <f t="shared" si="68"/>
        <v>1821</v>
      </c>
      <c r="E1827" s="6">
        <v>10.86436766815412</v>
      </c>
      <c r="F1827" s="24"/>
      <c r="G1827" s="24"/>
      <c r="H1827" s="24"/>
      <c r="I1827" s="24"/>
      <c r="J1827" s="3"/>
      <c r="K1827" s="8"/>
      <c r="L1827" s="8"/>
      <c r="M1827" s="8"/>
      <c r="N1827" s="13"/>
      <c r="O1827" s="9"/>
      <c r="P1827" s="20"/>
      <c r="Q1827" s="20"/>
      <c r="R1827" s="20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</row>
    <row r="1828" spans="4:49" ht="15" thickBot="1" x14ac:dyDescent="0.35">
      <c r="D1828" s="2">
        <f t="shared" si="68"/>
        <v>1822</v>
      </c>
      <c r="E1828" s="6">
        <v>3.3053630908877611</v>
      </c>
      <c r="F1828" s="24"/>
      <c r="G1828" s="24"/>
      <c r="H1828" s="24"/>
      <c r="I1828" s="24"/>
      <c r="J1828" s="3"/>
      <c r="K1828" s="8"/>
      <c r="L1828" s="8"/>
      <c r="M1828" s="8"/>
      <c r="N1828" s="13"/>
      <c r="O1828" s="9"/>
      <c r="P1828" s="20"/>
      <c r="Q1828" s="20"/>
      <c r="R1828" s="20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</row>
    <row r="1829" spans="4:49" ht="15" thickBot="1" x14ac:dyDescent="0.35">
      <c r="D1829" s="2">
        <f t="shared" si="68"/>
        <v>1823</v>
      </c>
      <c r="E1829" s="6">
        <v>2.263397957880477</v>
      </c>
      <c r="F1829" s="24"/>
      <c r="G1829" s="24"/>
      <c r="H1829" s="24"/>
      <c r="I1829" s="24"/>
      <c r="J1829" s="3"/>
      <c r="K1829" s="8"/>
      <c r="L1829" s="8"/>
      <c r="M1829" s="8"/>
      <c r="N1829" s="13"/>
      <c r="O1829" s="9"/>
      <c r="P1829" s="20"/>
      <c r="Q1829" s="20"/>
      <c r="R1829" s="20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</row>
    <row r="1830" spans="4:49" ht="15" thickBot="1" x14ac:dyDescent="0.35">
      <c r="D1830" s="2">
        <f t="shared" si="68"/>
        <v>1824</v>
      </c>
      <c r="E1830" s="6">
        <v>3.9056146265691787</v>
      </c>
      <c r="F1830" s="24"/>
      <c r="G1830" s="24"/>
      <c r="H1830" s="24"/>
      <c r="I1830" s="24"/>
      <c r="J1830" s="3"/>
      <c r="K1830" s="8"/>
      <c r="L1830" s="8"/>
      <c r="M1830" s="8"/>
      <c r="N1830" s="13"/>
      <c r="O1830" s="9"/>
      <c r="P1830" s="20"/>
      <c r="Q1830" s="20"/>
      <c r="R1830" s="20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</row>
    <row r="1831" spans="4:49" ht="15" thickBot="1" x14ac:dyDescent="0.35">
      <c r="D1831" s="2">
        <f t="shared" si="68"/>
        <v>1825</v>
      </c>
      <c r="E1831" s="6">
        <v>13.554560650738466</v>
      </c>
      <c r="F1831" s="24"/>
      <c r="G1831" s="24"/>
      <c r="H1831" s="24"/>
      <c r="I1831" s="24"/>
      <c r="J1831" s="3"/>
      <c r="K1831" s="8"/>
      <c r="L1831" s="8"/>
      <c r="M1831" s="8"/>
      <c r="N1831" s="13"/>
      <c r="O1831" s="9"/>
      <c r="P1831" s="20"/>
      <c r="Q1831" s="20"/>
      <c r="R1831" s="20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</row>
    <row r="1832" spans="4:49" ht="15" thickBot="1" x14ac:dyDescent="0.35">
      <c r="D1832" s="2">
        <f t="shared" si="68"/>
        <v>1826</v>
      </c>
      <c r="E1832" s="6">
        <v>1.5472330437872932</v>
      </c>
      <c r="F1832" s="24"/>
      <c r="G1832" s="24"/>
      <c r="H1832" s="24"/>
      <c r="I1832" s="24"/>
      <c r="J1832" s="3"/>
      <c r="K1832" s="8"/>
      <c r="L1832" s="8"/>
      <c r="M1832" s="8"/>
      <c r="N1832" s="13"/>
      <c r="O1832" s="9"/>
      <c r="P1832" s="20"/>
      <c r="Q1832" s="20"/>
      <c r="R1832" s="20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</row>
    <row r="1833" spans="4:49" ht="15" thickBot="1" x14ac:dyDescent="0.35">
      <c r="D1833" s="2">
        <f t="shared" si="68"/>
        <v>1827</v>
      </c>
      <c r="E1833" s="6">
        <v>2.3193409760749808</v>
      </c>
      <c r="F1833" s="24"/>
      <c r="G1833" s="24"/>
      <c r="H1833" s="24"/>
      <c r="I1833" s="24"/>
      <c r="J1833" s="3"/>
      <c r="K1833" s="8"/>
      <c r="L1833" s="8"/>
      <c r="M1833" s="8"/>
      <c r="N1833" s="13"/>
      <c r="O1833" s="9"/>
      <c r="P1833" s="20"/>
      <c r="Q1833" s="20"/>
      <c r="R1833" s="20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</row>
    <row r="1834" spans="4:49" ht="15" thickBot="1" x14ac:dyDescent="0.35">
      <c r="D1834" s="2">
        <f t="shared" si="68"/>
        <v>1828</v>
      </c>
      <c r="E1834" s="6">
        <v>13.777065814641981</v>
      </c>
      <c r="F1834" s="24"/>
      <c r="G1834" s="24"/>
      <c r="H1834" s="24"/>
      <c r="I1834" s="24"/>
      <c r="J1834" s="3"/>
      <c r="K1834" s="8"/>
      <c r="L1834" s="8"/>
      <c r="M1834" s="8"/>
      <c r="N1834" s="13"/>
      <c r="O1834" s="9"/>
      <c r="P1834" s="20"/>
      <c r="Q1834" s="20"/>
      <c r="R1834" s="20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</row>
    <row r="1835" spans="4:49" ht="15" thickBot="1" x14ac:dyDescent="0.35">
      <c r="D1835" s="2">
        <f t="shared" si="68"/>
        <v>1829</v>
      </c>
      <c r="E1835" s="6">
        <v>0.57663606042623783</v>
      </c>
      <c r="F1835" s="24"/>
      <c r="G1835" s="24"/>
      <c r="H1835" s="24"/>
      <c r="I1835" s="24"/>
      <c r="J1835" s="3"/>
      <c r="K1835" s="8"/>
      <c r="L1835" s="8"/>
      <c r="M1835" s="8"/>
      <c r="N1835" s="13"/>
      <c r="O1835" s="9"/>
      <c r="P1835" s="20"/>
      <c r="Q1835" s="20"/>
      <c r="R1835" s="20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</row>
    <row r="1836" spans="4:49" ht="15" thickBot="1" x14ac:dyDescent="0.35">
      <c r="D1836" s="2">
        <f t="shared" si="68"/>
        <v>1830</v>
      </c>
      <c r="E1836" s="6">
        <v>5.9617287938734354</v>
      </c>
      <c r="F1836" s="24"/>
      <c r="G1836" s="24"/>
      <c r="H1836" s="24"/>
      <c r="I1836" s="24"/>
      <c r="J1836" s="3"/>
      <c r="K1836" s="8"/>
      <c r="L1836" s="8"/>
      <c r="M1836" s="8"/>
      <c r="N1836" s="13"/>
      <c r="O1836" s="9"/>
      <c r="P1836" s="20"/>
      <c r="Q1836" s="20"/>
      <c r="R1836" s="20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</row>
    <row r="1837" spans="4:49" ht="15" thickBot="1" x14ac:dyDescent="0.35">
      <c r="D1837" s="2">
        <f t="shared" si="68"/>
        <v>1831</v>
      </c>
      <c r="E1837" s="6">
        <v>1.8707489334219209</v>
      </c>
      <c r="F1837" s="24"/>
      <c r="G1837" s="24"/>
      <c r="H1837" s="24"/>
      <c r="I1837" s="24"/>
      <c r="J1837" s="3"/>
      <c r="K1837" s="8"/>
      <c r="L1837" s="8"/>
      <c r="M1837" s="8"/>
      <c r="N1837" s="13"/>
      <c r="O1837" s="9"/>
      <c r="P1837" s="20"/>
      <c r="Q1837" s="20"/>
      <c r="R1837" s="20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</row>
    <row r="1838" spans="4:49" ht="15" thickBot="1" x14ac:dyDescent="0.35">
      <c r="D1838" s="2">
        <f t="shared" si="68"/>
        <v>1832</v>
      </c>
      <c r="E1838" s="6">
        <v>5.4874348394673165</v>
      </c>
      <c r="F1838" s="24"/>
      <c r="G1838" s="24"/>
      <c r="H1838" s="24"/>
      <c r="I1838" s="24"/>
      <c r="J1838" s="3"/>
      <c r="K1838" s="8"/>
      <c r="L1838" s="8"/>
      <c r="M1838" s="8"/>
      <c r="N1838" s="13"/>
      <c r="O1838" s="9"/>
      <c r="P1838" s="20"/>
      <c r="Q1838" s="20"/>
      <c r="R1838" s="20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</row>
    <row r="1839" spans="4:49" ht="15" thickBot="1" x14ac:dyDescent="0.35">
      <c r="D1839" s="2">
        <f t="shared" si="68"/>
        <v>1833</v>
      </c>
      <c r="E1839" s="6">
        <v>8.9608239224446997</v>
      </c>
      <c r="F1839" s="24"/>
      <c r="G1839" s="24"/>
      <c r="H1839" s="24"/>
      <c r="I1839" s="24"/>
      <c r="J1839" s="3"/>
      <c r="K1839" s="8"/>
      <c r="L1839" s="8"/>
      <c r="M1839" s="8"/>
      <c r="N1839" s="13"/>
      <c r="O1839" s="9"/>
      <c r="P1839" s="20"/>
      <c r="Q1839" s="20"/>
      <c r="R1839" s="20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</row>
    <row r="1840" spans="4:49" ht="15" thickBot="1" x14ac:dyDescent="0.35">
      <c r="D1840" s="2">
        <f t="shared" si="68"/>
        <v>1834</v>
      </c>
      <c r="E1840" s="6">
        <v>5.0695957071177444</v>
      </c>
      <c r="F1840" s="24"/>
      <c r="G1840" s="24"/>
      <c r="H1840" s="24"/>
      <c r="I1840" s="24"/>
      <c r="J1840" s="3"/>
      <c r="K1840" s="8"/>
      <c r="L1840" s="8"/>
      <c r="M1840" s="8"/>
      <c r="N1840" s="13"/>
      <c r="O1840" s="9"/>
      <c r="P1840" s="20"/>
      <c r="Q1840" s="20"/>
      <c r="R1840" s="20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</row>
    <row r="1841" spans="4:49" ht="15" thickBot="1" x14ac:dyDescent="0.35">
      <c r="D1841" s="2">
        <f t="shared" si="68"/>
        <v>1835</v>
      </c>
      <c r="E1841" s="6">
        <v>3.574280195869346</v>
      </c>
      <c r="F1841" s="24"/>
      <c r="G1841" s="24"/>
      <c r="H1841" s="24"/>
      <c r="I1841" s="24"/>
      <c r="J1841" s="3"/>
      <c r="K1841" s="8"/>
      <c r="L1841" s="8"/>
      <c r="M1841" s="8"/>
      <c r="N1841" s="13"/>
      <c r="O1841" s="9"/>
      <c r="P1841" s="20"/>
      <c r="Q1841" s="20"/>
      <c r="R1841" s="20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</row>
    <row r="1842" spans="4:49" ht="15" thickBot="1" x14ac:dyDescent="0.35">
      <c r="D1842" s="2">
        <f t="shared" si="68"/>
        <v>1836</v>
      </c>
      <c r="E1842" s="6">
        <v>15.814844137208038</v>
      </c>
      <c r="F1842" s="24"/>
      <c r="G1842" s="24"/>
      <c r="H1842" s="24"/>
      <c r="I1842" s="24"/>
      <c r="J1842" s="3"/>
      <c r="K1842" s="8"/>
      <c r="L1842" s="8"/>
      <c r="M1842" s="8"/>
      <c r="N1842" s="13"/>
      <c r="O1842" s="9"/>
      <c r="P1842" s="20"/>
      <c r="Q1842" s="20"/>
      <c r="R1842" s="20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</row>
    <row r="1843" spans="4:49" ht="15" thickBot="1" x14ac:dyDescent="0.35">
      <c r="D1843" s="2">
        <f t="shared" si="68"/>
        <v>1837</v>
      </c>
      <c r="E1843" s="6">
        <v>2.7898051796241257</v>
      </c>
      <c r="F1843" s="24"/>
      <c r="G1843" s="24"/>
      <c r="H1843" s="24"/>
      <c r="I1843" s="24"/>
      <c r="J1843" s="3"/>
      <c r="K1843" s="8"/>
      <c r="L1843" s="8"/>
      <c r="M1843" s="8"/>
      <c r="N1843" s="13"/>
      <c r="O1843" s="9"/>
      <c r="P1843" s="20"/>
      <c r="Q1843" s="20"/>
      <c r="R1843" s="20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</row>
    <row r="1844" spans="4:49" ht="15" thickBot="1" x14ac:dyDescent="0.35">
      <c r="D1844" s="2">
        <f t="shared" si="68"/>
        <v>1838</v>
      </c>
      <c r="E1844" s="6">
        <v>4.5321205633527502</v>
      </c>
      <c r="F1844" s="24"/>
      <c r="G1844" s="24"/>
      <c r="H1844" s="24"/>
      <c r="I1844" s="24"/>
      <c r="J1844" s="3"/>
      <c r="K1844" s="8"/>
      <c r="L1844" s="8"/>
      <c r="M1844" s="8"/>
      <c r="N1844" s="13"/>
      <c r="O1844" s="9"/>
      <c r="P1844" s="20"/>
      <c r="Q1844" s="20"/>
      <c r="R1844" s="20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</row>
    <row r="1845" spans="4:49" ht="15" thickBot="1" x14ac:dyDescent="0.35">
      <c r="D1845" s="2">
        <f t="shared" si="68"/>
        <v>1839</v>
      </c>
      <c r="E1845" s="6">
        <v>0.86073219388392974</v>
      </c>
      <c r="F1845" s="24"/>
      <c r="G1845" s="24"/>
      <c r="H1845" s="24"/>
      <c r="I1845" s="24"/>
      <c r="J1845" s="3"/>
      <c r="K1845" s="8"/>
      <c r="L1845" s="8"/>
      <c r="M1845" s="8"/>
      <c r="N1845" s="13"/>
      <c r="O1845" s="9"/>
      <c r="P1845" s="20"/>
      <c r="Q1845" s="20"/>
      <c r="R1845" s="20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</row>
    <row r="1846" spans="4:49" ht="15" thickBot="1" x14ac:dyDescent="0.35">
      <c r="D1846" s="2">
        <f t="shared" si="68"/>
        <v>1840</v>
      </c>
      <c r="E1846" s="6">
        <v>0.93557626943488426</v>
      </c>
      <c r="F1846" s="24"/>
      <c r="G1846" s="24"/>
      <c r="H1846" s="24"/>
      <c r="I1846" s="24"/>
      <c r="J1846" s="3"/>
      <c r="K1846" s="8"/>
      <c r="L1846" s="8"/>
      <c r="M1846" s="8"/>
      <c r="N1846" s="13"/>
      <c r="O1846" s="9"/>
      <c r="P1846" s="20"/>
      <c r="Q1846" s="20"/>
      <c r="R1846" s="20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</row>
    <row r="1847" spans="4:49" ht="15" thickBot="1" x14ac:dyDescent="0.35">
      <c r="D1847" s="2">
        <f t="shared" si="68"/>
        <v>1841</v>
      </c>
      <c r="E1847" s="6">
        <v>11.79133838631415</v>
      </c>
      <c r="F1847" s="24"/>
      <c r="G1847" s="24"/>
      <c r="H1847" s="24"/>
      <c r="I1847" s="24"/>
      <c r="J1847" s="3"/>
      <c r="K1847" s="8"/>
      <c r="L1847" s="8"/>
      <c r="M1847" s="8"/>
      <c r="N1847" s="13"/>
      <c r="O1847" s="9"/>
      <c r="P1847" s="20"/>
      <c r="Q1847" s="20"/>
      <c r="R1847" s="20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</row>
    <row r="1848" spans="4:49" ht="15" thickBot="1" x14ac:dyDescent="0.35">
      <c r="D1848" s="2">
        <f t="shared" si="68"/>
        <v>1842</v>
      </c>
      <c r="E1848" s="6">
        <v>2.1798943564951196</v>
      </c>
      <c r="F1848" s="24"/>
      <c r="G1848" s="24"/>
      <c r="H1848" s="24"/>
      <c r="I1848" s="24"/>
      <c r="J1848" s="3"/>
      <c r="K1848" s="8"/>
      <c r="L1848" s="8"/>
      <c r="M1848" s="8"/>
      <c r="N1848" s="13"/>
      <c r="O1848" s="9"/>
      <c r="P1848" s="20"/>
      <c r="Q1848" s="20"/>
      <c r="R1848" s="20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</row>
    <row r="1849" spans="4:49" ht="15" thickBot="1" x14ac:dyDescent="0.35">
      <c r="D1849" s="2">
        <f t="shared" si="68"/>
        <v>1843</v>
      </c>
      <c r="E1849" s="6">
        <v>1.1027448445450774</v>
      </c>
      <c r="F1849" s="24"/>
      <c r="G1849" s="24"/>
      <c r="H1849" s="24"/>
      <c r="I1849" s="24"/>
      <c r="J1849" s="3"/>
      <c r="K1849" s="8"/>
      <c r="L1849" s="8"/>
      <c r="M1849" s="8"/>
      <c r="N1849" s="13"/>
      <c r="O1849" s="9"/>
      <c r="P1849" s="20"/>
      <c r="Q1849" s="20"/>
      <c r="R1849" s="20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</row>
    <row r="1850" spans="4:49" ht="15" thickBot="1" x14ac:dyDescent="0.35">
      <c r="D1850" s="2">
        <f t="shared" si="68"/>
        <v>1844</v>
      </c>
      <c r="E1850" s="6">
        <v>7.7939735112775201</v>
      </c>
      <c r="F1850" s="24"/>
      <c r="G1850" s="24"/>
      <c r="H1850" s="24"/>
      <c r="I1850" s="24"/>
      <c r="J1850" s="3"/>
      <c r="K1850" s="8"/>
      <c r="L1850" s="8"/>
      <c r="M1850" s="8"/>
      <c r="N1850" s="13"/>
      <c r="O1850" s="9"/>
      <c r="P1850" s="20"/>
      <c r="Q1850" s="20"/>
      <c r="R1850" s="20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</row>
    <row r="1851" spans="4:49" ht="15" thickBot="1" x14ac:dyDescent="0.35">
      <c r="D1851" s="2">
        <f t="shared" si="68"/>
        <v>1845</v>
      </c>
      <c r="E1851" s="6">
        <v>0.11650124265487651</v>
      </c>
      <c r="F1851" s="24"/>
      <c r="G1851" s="24"/>
      <c r="H1851" s="24"/>
      <c r="I1851" s="24"/>
      <c r="J1851" s="3"/>
      <c r="K1851" s="8"/>
      <c r="L1851" s="8"/>
      <c r="M1851" s="8"/>
      <c r="N1851" s="13"/>
      <c r="O1851" s="9"/>
      <c r="P1851" s="20"/>
      <c r="Q1851" s="20"/>
      <c r="R1851" s="20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</row>
    <row r="1852" spans="4:49" ht="15" thickBot="1" x14ac:dyDescent="0.35">
      <c r="D1852" s="2">
        <f t="shared" si="68"/>
        <v>1846</v>
      </c>
      <c r="E1852" s="6">
        <v>2.8061807802556333</v>
      </c>
      <c r="F1852" s="24"/>
      <c r="G1852" s="24"/>
      <c r="H1852" s="24"/>
      <c r="I1852" s="24"/>
      <c r="J1852" s="3"/>
      <c r="K1852" s="8"/>
      <c r="L1852" s="8"/>
      <c r="M1852" s="8"/>
      <c r="N1852" s="13"/>
      <c r="O1852" s="9"/>
      <c r="P1852" s="20"/>
      <c r="Q1852" s="20"/>
      <c r="R1852" s="20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</row>
    <row r="1853" spans="4:49" ht="15" thickBot="1" x14ac:dyDescent="0.35">
      <c r="D1853" s="2">
        <f t="shared" si="68"/>
        <v>1847</v>
      </c>
      <c r="E1853" s="6">
        <v>0.6347014515758187</v>
      </c>
      <c r="F1853" s="24"/>
      <c r="G1853" s="24"/>
      <c r="H1853" s="24"/>
      <c r="I1853" s="24"/>
      <c r="J1853" s="3"/>
      <c r="K1853" s="8"/>
      <c r="L1853" s="8"/>
      <c r="M1853" s="8"/>
      <c r="N1853" s="13"/>
      <c r="O1853" s="9"/>
      <c r="P1853" s="20"/>
      <c r="Q1853" s="20"/>
      <c r="R1853" s="20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</row>
    <row r="1854" spans="4:49" ht="15" thickBot="1" x14ac:dyDescent="0.35">
      <c r="D1854" s="2">
        <f t="shared" si="68"/>
        <v>1848</v>
      </c>
      <c r="E1854" s="6">
        <v>2.2129866559225149</v>
      </c>
      <c r="F1854" s="24"/>
      <c r="G1854" s="24"/>
      <c r="H1854" s="24"/>
      <c r="I1854" s="24"/>
      <c r="J1854" s="3"/>
      <c r="K1854" s="8"/>
      <c r="L1854" s="8"/>
      <c r="M1854" s="8"/>
      <c r="N1854" s="13"/>
      <c r="O1854" s="9"/>
      <c r="P1854" s="20"/>
      <c r="Q1854" s="20"/>
      <c r="R1854" s="20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</row>
    <row r="1855" spans="4:49" ht="15" thickBot="1" x14ac:dyDescent="0.35">
      <c r="D1855" s="2">
        <f t="shared" si="68"/>
        <v>1849</v>
      </c>
      <c r="E1855" s="6">
        <v>4.986842590003234</v>
      </c>
      <c r="F1855" s="24"/>
      <c r="G1855" s="24"/>
      <c r="H1855" s="24"/>
      <c r="I1855" s="24"/>
      <c r="J1855" s="3"/>
      <c r="K1855" s="8"/>
      <c r="L1855" s="8"/>
      <c r="M1855" s="8"/>
      <c r="N1855" s="13"/>
      <c r="O1855" s="9"/>
      <c r="P1855" s="20"/>
      <c r="Q1855" s="20"/>
      <c r="R1855" s="20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</row>
    <row r="1856" spans="4:49" ht="15" thickBot="1" x14ac:dyDescent="0.35">
      <c r="D1856" s="2">
        <f t="shared" si="68"/>
        <v>1850</v>
      </c>
      <c r="E1856" s="6">
        <v>0.21370733967877031</v>
      </c>
      <c r="F1856" s="24"/>
      <c r="G1856" s="24"/>
      <c r="H1856" s="24"/>
      <c r="I1856" s="24"/>
      <c r="J1856" s="3"/>
      <c r="K1856" s="8"/>
      <c r="L1856" s="8"/>
      <c r="M1856" s="8"/>
      <c r="N1856" s="13"/>
      <c r="O1856" s="9"/>
      <c r="P1856" s="20"/>
      <c r="Q1856" s="20"/>
      <c r="R1856" s="20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</row>
    <row r="1857" spans="4:49" ht="15" thickBot="1" x14ac:dyDescent="0.35">
      <c r="D1857" s="2">
        <f t="shared" si="68"/>
        <v>1851</v>
      </c>
      <c r="E1857" s="6">
        <v>0.56831148373074303</v>
      </c>
      <c r="F1857" s="24"/>
      <c r="G1857" s="24"/>
      <c r="H1857" s="24"/>
      <c r="I1857" s="24"/>
      <c r="J1857" s="3"/>
      <c r="K1857" s="8"/>
      <c r="L1857" s="8"/>
      <c r="M1857" s="8"/>
      <c r="N1857" s="13"/>
      <c r="O1857" s="9"/>
      <c r="P1857" s="20"/>
      <c r="Q1857" s="20"/>
      <c r="R1857" s="20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</row>
    <row r="1858" spans="4:49" ht="15" thickBot="1" x14ac:dyDescent="0.35">
      <c r="D1858" s="2">
        <f t="shared" si="68"/>
        <v>1852</v>
      </c>
      <c r="E1858" s="6">
        <v>2.4178705929261035</v>
      </c>
      <c r="F1858" s="24"/>
      <c r="G1858" s="24"/>
      <c r="H1858" s="24"/>
      <c r="I1858" s="24"/>
      <c r="J1858" s="3"/>
      <c r="K1858" s="8"/>
      <c r="L1858" s="8"/>
      <c r="M1858" s="8"/>
      <c r="N1858" s="13"/>
      <c r="O1858" s="9"/>
      <c r="P1858" s="20"/>
      <c r="Q1858" s="20"/>
      <c r="R1858" s="20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</row>
    <row r="1859" spans="4:49" ht="15" thickBot="1" x14ac:dyDescent="0.35">
      <c r="D1859" s="2">
        <f t="shared" si="68"/>
        <v>1853</v>
      </c>
      <c r="E1859" s="6">
        <v>8.6689730992578919</v>
      </c>
      <c r="F1859" s="24"/>
      <c r="G1859" s="24"/>
      <c r="H1859" s="24"/>
      <c r="I1859" s="24"/>
      <c r="J1859" s="3"/>
      <c r="K1859" s="8"/>
      <c r="L1859" s="8"/>
      <c r="M1859" s="8"/>
      <c r="N1859" s="13"/>
      <c r="O1859" s="9"/>
      <c r="P1859" s="20"/>
      <c r="Q1859" s="20"/>
      <c r="R1859" s="20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</row>
    <row r="1860" spans="4:49" ht="15" thickBot="1" x14ac:dyDescent="0.35">
      <c r="D1860" s="2">
        <f t="shared" si="68"/>
        <v>1854</v>
      </c>
      <c r="E1860" s="6">
        <v>3.8007955013162742</v>
      </c>
      <c r="F1860" s="24"/>
      <c r="G1860" s="24"/>
      <c r="H1860" s="24"/>
      <c r="I1860" s="24"/>
      <c r="J1860" s="3"/>
      <c r="K1860" s="8"/>
      <c r="L1860" s="8"/>
      <c r="M1860" s="8"/>
      <c r="N1860" s="13"/>
      <c r="O1860" s="9"/>
      <c r="P1860" s="20"/>
      <c r="Q1860" s="20"/>
      <c r="R1860" s="20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</row>
    <row r="1861" spans="4:49" ht="15" thickBot="1" x14ac:dyDescent="0.35">
      <c r="D1861" s="2">
        <f t="shared" si="68"/>
        <v>1855</v>
      </c>
      <c r="E1861" s="6">
        <v>4.7452845543077036</v>
      </c>
      <c r="F1861" s="24"/>
      <c r="G1861" s="24"/>
      <c r="H1861" s="24"/>
      <c r="I1861" s="24"/>
      <c r="J1861" s="3"/>
      <c r="K1861" s="8"/>
      <c r="L1861" s="8"/>
      <c r="M1861" s="8"/>
      <c r="N1861" s="13"/>
      <c r="O1861" s="9"/>
      <c r="P1861" s="20"/>
      <c r="Q1861" s="20"/>
      <c r="R1861" s="20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</row>
    <row r="1862" spans="4:49" ht="15" thickBot="1" x14ac:dyDescent="0.35">
      <c r="D1862" s="2">
        <f t="shared" si="68"/>
        <v>1856</v>
      </c>
      <c r="E1862" s="6">
        <v>5.6097349179321396</v>
      </c>
      <c r="F1862" s="24"/>
      <c r="G1862" s="24"/>
      <c r="H1862" s="24"/>
      <c r="I1862" s="24"/>
      <c r="J1862" s="3"/>
      <c r="K1862" s="8"/>
      <c r="L1862" s="8"/>
      <c r="M1862" s="8"/>
      <c r="N1862" s="13"/>
      <c r="O1862" s="9"/>
      <c r="P1862" s="20"/>
      <c r="Q1862" s="20"/>
      <c r="R1862" s="20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</row>
    <row r="1863" spans="4:49" ht="15" thickBot="1" x14ac:dyDescent="0.35">
      <c r="D1863" s="2">
        <f t="shared" ref="D1863:D1926" si="69">ROW()-6</f>
        <v>1857</v>
      </c>
      <c r="E1863" s="6">
        <v>2.6386747917218503</v>
      </c>
      <c r="F1863" s="24"/>
      <c r="G1863" s="24"/>
      <c r="H1863" s="24"/>
      <c r="I1863" s="24"/>
      <c r="J1863" s="3"/>
      <c r="K1863" s="8"/>
      <c r="L1863" s="8"/>
      <c r="M1863" s="8"/>
      <c r="N1863" s="13"/>
      <c r="O1863" s="9"/>
      <c r="P1863" s="20"/>
      <c r="Q1863" s="20"/>
      <c r="R1863" s="20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</row>
    <row r="1864" spans="4:49" ht="15" thickBot="1" x14ac:dyDescent="0.35">
      <c r="D1864" s="2">
        <f t="shared" si="69"/>
        <v>1858</v>
      </c>
      <c r="E1864" s="6">
        <v>0.52325560019488282</v>
      </c>
      <c r="F1864" s="24"/>
      <c r="G1864" s="24"/>
      <c r="H1864" s="24"/>
      <c r="I1864" s="24"/>
      <c r="J1864" s="3"/>
      <c r="K1864" s="8"/>
      <c r="L1864" s="8"/>
      <c r="M1864" s="8"/>
      <c r="N1864" s="13"/>
      <c r="O1864" s="9"/>
      <c r="P1864" s="20"/>
      <c r="Q1864" s="20"/>
      <c r="R1864" s="20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</row>
    <row r="1865" spans="4:49" ht="15" thickBot="1" x14ac:dyDescent="0.35">
      <c r="D1865" s="2">
        <f t="shared" si="69"/>
        <v>1859</v>
      </c>
      <c r="E1865" s="6">
        <v>7.1837194396795248</v>
      </c>
      <c r="F1865" s="24"/>
      <c r="G1865" s="24"/>
      <c r="H1865" s="24"/>
      <c r="I1865" s="24"/>
      <c r="J1865" s="3"/>
      <c r="K1865" s="8"/>
      <c r="L1865" s="8"/>
      <c r="M1865" s="8"/>
      <c r="N1865" s="13"/>
      <c r="O1865" s="9"/>
      <c r="P1865" s="20"/>
      <c r="Q1865" s="20"/>
      <c r="R1865" s="20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</row>
    <row r="1866" spans="4:49" ht="15" thickBot="1" x14ac:dyDescent="0.35">
      <c r="D1866" s="2">
        <f t="shared" si="69"/>
        <v>1860</v>
      </c>
      <c r="E1866" s="6">
        <v>2.6544248220693332</v>
      </c>
      <c r="F1866" s="24"/>
      <c r="G1866" s="24"/>
      <c r="H1866" s="24"/>
      <c r="I1866" s="24"/>
      <c r="J1866" s="3"/>
      <c r="K1866" s="8"/>
      <c r="L1866" s="8"/>
      <c r="M1866" s="8"/>
      <c r="N1866" s="13"/>
      <c r="O1866" s="9"/>
      <c r="P1866" s="20"/>
      <c r="Q1866" s="20"/>
      <c r="R1866" s="20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</row>
    <row r="1867" spans="4:49" ht="15" thickBot="1" x14ac:dyDescent="0.35">
      <c r="D1867" s="2">
        <f t="shared" si="69"/>
        <v>1861</v>
      </c>
      <c r="E1867" s="6">
        <v>0.18925128613467473</v>
      </c>
      <c r="F1867" s="24"/>
      <c r="G1867" s="24"/>
      <c r="H1867" s="24"/>
      <c r="I1867" s="24"/>
      <c r="J1867" s="3"/>
      <c r="K1867" s="8"/>
      <c r="L1867" s="8"/>
      <c r="M1867" s="8"/>
      <c r="N1867" s="13"/>
      <c r="O1867" s="9"/>
      <c r="P1867" s="20"/>
      <c r="Q1867" s="20"/>
      <c r="R1867" s="20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</row>
    <row r="1868" spans="4:49" ht="15" thickBot="1" x14ac:dyDescent="0.35">
      <c r="D1868" s="2">
        <f t="shared" si="69"/>
        <v>1862</v>
      </c>
      <c r="E1868" s="6">
        <v>4.5900248218401254</v>
      </c>
      <c r="F1868" s="24"/>
      <c r="G1868" s="24"/>
      <c r="H1868" s="24"/>
      <c r="I1868" s="24"/>
      <c r="J1868" s="3"/>
      <c r="K1868" s="8"/>
      <c r="L1868" s="8"/>
      <c r="M1868" s="8"/>
      <c r="N1868" s="13"/>
      <c r="O1868" s="9"/>
      <c r="P1868" s="20"/>
      <c r="Q1868" s="20"/>
      <c r="R1868" s="20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</row>
    <row r="1869" spans="4:49" ht="15" thickBot="1" x14ac:dyDescent="0.35">
      <c r="D1869" s="2">
        <f t="shared" si="69"/>
        <v>1863</v>
      </c>
      <c r="E1869" s="6">
        <v>6.3291688242961435</v>
      </c>
      <c r="F1869" s="24"/>
      <c r="G1869" s="24"/>
      <c r="H1869" s="24"/>
      <c r="I1869" s="24"/>
      <c r="J1869" s="3"/>
      <c r="K1869" s="8"/>
      <c r="L1869" s="8"/>
      <c r="M1869" s="8"/>
      <c r="N1869" s="13"/>
      <c r="O1869" s="9"/>
      <c r="P1869" s="20"/>
      <c r="Q1869" s="20"/>
      <c r="R1869" s="20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</row>
    <row r="1870" spans="4:49" ht="15" thickBot="1" x14ac:dyDescent="0.35">
      <c r="D1870" s="2">
        <f t="shared" si="69"/>
        <v>1864</v>
      </c>
      <c r="E1870" s="6">
        <v>0.76655591407068235</v>
      </c>
      <c r="F1870" s="24"/>
      <c r="G1870" s="24"/>
      <c r="H1870" s="24"/>
      <c r="I1870" s="24"/>
      <c r="J1870" s="3"/>
      <c r="K1870" s="8"/>
      <c r="L1870" s="8"/>
      <c r="M1870" s="8"/>
      <c r="N1870" s="13"/>
      <c r="O1870" s="9"/>
      <c r="P1870" s="20"/>
      <c r="Q1870" s="20"/>
      <c r="R1870" s="20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</row>
    <row r="1871" spans="4:49" ht="15" thickBot="1" x14ac:dyDescent="0.35">
      <c r="D1871" s="2">
        <f t="shared" si="69"/>
        <v>1865</v>
      </c>
      <c r="E1871" s="6">
        <v>6.1339758568689522</v>
      </c>
      <c r="F1871" s="24"/>
      <c r="G1871" s="24"/>
      <c r="H1871" s="24"/>
      <c r="I1871" s="24"/>
      <c r="J1871" s="3"/>
      <c r="K1871" s="8"/>
      <c r="L1871" s="8"/>
      <c r="M1871" s="8"/>
      <c r="N1871" s="13"/>
      <c r="O1871" s="9"/>
      <c r="P1871" s="20"/>
      <c r="Q1871" s="20"/>
      <c r="R1871" s="20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</row>
    <row r="1872" spans="4:49" ht="15" thickBot="1" x14ac:dyDescent="0.35">
      <c r="D1872" s="2">
        <f t="shared" si="69"/>
        <v>1866</v>
      </c>
      <c r="E1872" s="6">
        <v>1.2491857245442748</v>
      </c>
      <c r="F1872" s="24"/>
      <c r="G1872" s="24"/>
      <c r="H1872" s="24"/>
      <c r="I1872" s="24"/>
      <c r="J1872" s="3"/>
      <c r="K1872" s="8"/>
      <c r="L1872" s="8"/>
      <c r="M1872" s="8"/>
      <c r="N1872" s="13"/>
      <c r="O1872" s="9"/>
      <c r="P1872" s="20"/>
      <c r="Q1872" s="20"/>
      <c r="R1872" s="20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</row>
    <row r="1873" spans="4:49" ht="15" thickBot="1" x14ac:dyDescent="0.35">
      <c r="D1873" s="2">
        <f t="shared" si="69"/>
        <v>1867</v>
      </c>
      <c r="E1873" s="6">
        <v>8.7395965180306359</v>
      </c>
      <c r="F1873" s="24"/>
      <c r="G1873" s="24"/>
      <c r="H1873" s="24"/>
      <c r="I1873" s="24"/>
      <c r="J1873" s="3"/>
      <c r="K1873" s="8"/>
      <c r="L1873" s="8"/>
      <c r="M1873" s="8"/>
      <c r="N1873" s="13"/>
      <c r="O1873" s="9"/>
      <c r="P1873" s="20"/>
      <c r="Q1873" s="20"/>
      <c r="R1873" s="20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</row>
    <row r="1874" spans="4:49" ht="15" thickBot="1" x14ac:dyDescent="0.35">
      <c r="D1874" s="2">
        <f t="shared" si="69"/>
        <v>1868</v>
      </c>
      <c r="E1874" s="6">
        <v>3.0366865471047602</v>
      </c>
      <c r="F1874" s="24"/>
      <c r="G1874" s="24"/>
      <c r="H1874" s="24"/>
      <c r="I1874" s="24"/>
      <c r="J1874" s="3"/>
      <c r="K1874" s="8"/>
      <c r="L1874" s="8"/>
      <c r="M1874" s="8"/>
      <c r="N1874" s="13"/>
      <c r="O1874" s="9"/>
      <c r="P1874" s="20"/>
      <c r="Q1874" s="20"/>
      <c r="R1874" s="20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</row>
    <row r="1875" spans="4:49" ht="15" thickBot="1" x14ac:dyDescent="0.35">
      <c r="D1875" s="2">
        <f t="shared" si="69"/>
        <v>1869</v>
      </c>
      <c r="E1875" s="6">
        <v>2.6444669918000057</v>
      </c>
      <c r="F1875" s="24"/>
      <c r="G1875" s="24"/>
      <c r="H1875" s="24"/>
      <c r="I1875" s="24"/>
      <c r="J1875" s="3"/>
      <c r="K1875" s="8"/>
      <c r="L1875" s="8"/>
      <c r="M1875" s="8"/>
      <c r="N1875" s="13"/>
      <c r="O1875" s="9"/>
      <c r="P1875" s="20"/>
      <c r="Q1875" s="20"/>
      <c r="R1875" s="20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</row>
    <row r="1876" spans="4:49" ht="15" thickBot="1" x14ac:dyDescent="0.35">
      <c r="D1876" s="2">
        <f t="shared" si="69"/>
        <v>1870</v>
      </c>
      <c r="E1876" s="6">
        <v>8.5041968608960001</v>
      </c>
      <c r="F1876" s="24"/>
      <c r="G1876" s="24"/>
      <c r="H1876" s="24"/>
      <c r="I1876" s="24"/>
      <c r="J1876" s="3"/>
      <c r="K1876" s="8"/>
      <c r="L1876" s="8"/>
      <c r="M1876" s="8"/>
      <c r="N1876" s="13"/>
      <c r="O1876" s="9"/>
      <c r="P1876" s="20"/>
      <c r="Q1876" s="20"/>
      <c r="R1876" s="20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</row>
    <row r="1877" spans="4:49" ht="15" thickBot="1" x14ac:dyDescent="0.35">
      <c r="D1877" s="2">
        <f t="shared" si="69"/>
        <v>1871</v>
      </c>
      <c r="E1877" s="6">
        <v>0.51028041293862836</v>
      </c>
      <c r="F1877" s="24"/>
      <c r="G1877" s="24"/>
      <c r="H1877" s="24"/>
      <c r="I1877" s="24"/>
      <c r="J1877" s="3"/>
      <c r="K1877" s="8"/>
      <c r="L1877" s="8"/>
      <c r="M1877" s="8"/>
      <c r="N1877" s="13"/>
      <c r="O1877" s="9"/>
      <c r="P1877" s="20"/>
      <c r="Q1877" s="20"/>
      <c r="R1877" s="20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</row>
    <row r="1878" spans="4:49" ht="15" thickBot="1" x14ac:dyDescent="0.35">
      <c r="D1878" s="2">
        <f t="shared" si="69"/>
        <v>1872</v>
      </c>
      <c r="E1878" s="6">
        <v>7.004391952688044</v>
      </c>
      <c r="F1878" s="24"/>
      <c r="G1878" s="24"/>
      <c r="H1878" s="24"/>
      <c r="I1878" s="24"/>
      <c r="J1878" s="3"/>
      <c r="K1878" s="8"/>
      <c r="L1878" s="8"/>
      <c r="M1878" s="8"/>
      <c r="N1878" s="13"/>
      <c r="O1878" s="9"/>
      <c r="P1878" s="20"/>
      <c r="Q1878" s="20"/>
      <c r="R1878" s="20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</row>
    <row r="1879" spans="4:49" ht="15" thickBot="1" x14ac:dyDescent="0.35">
      <c r="D1879" s="2">
        <f t="shared" si="69"/>
        <v>1873</v>
      </c>
      <c r="E1879" s="6">
        <v>0.79510756925573578</v>
      </c>
      <c r="F1879" s="24"/>
      <c r="G1879" s="24"/>
      <c r="H1879" s="24"/>
      <c r="I1879" s="24"/>
      <c r="J1879" s="3"/>
      <c r="K1879" s="8"/>
      <c r="L1879" s="8"/>
      <c r="M1879" s="8"/>
      <c r="N1879" s="13"/>
      <c r="O1879" s="9"/>
      <c r="P1879" s="20"/>
      <c r="Q1879" s="20"/>
      <c r="R1879" s="20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</row>
    <row r="1880" spans="4:49" ht="15" thickBot="1" x14ac:dyDescent="0.35">
      <c r="D1880" s="2">
        <f t="shared" si="69"/>
        <v>1874</v>
      </c>
      <c r="E1880" s="6">
        <v>3.5781921796747858</v>
      </c>
      <c r="F1880" s="24"/>
      <c r="G1880" s="24"/>
      <c r="H1880" s="24"/>
      <c r="I1880" s="24"/>
      <c r="J1880" s="3"/>
      <c r="K1880" s="8"/>
      <c r="L1880" s="8"/>
      <c r="M1880" s="8"/>
      <c r="N1880" s="13"/>
      <c r="O1880" s="9"/>
      <c r="P1880" s="20"/>
      <c r="Q1880" s="20"/>
      <c r="R1880" s="20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</row>
    <row r="1881" spans="4:49" ht="15" thickBot="1" x14ac:dyDescent="0.35">
      <c r="D1881" s="2">
        <f t="shared" si="69"/>
        <v>1875</v>
      </c>
      <c r="E1881" s="6">
        <v>1.4474643031875318</v>
      </c>
      <c r="F1881" s="24"/>
      <c r="G1881" s="24"/>
      <c r="H1881" s="24"/>
      <c r="I1881" s="24"/>
      <c r="J1881" s="3"/>
      <c r="K1881" s="8"/>
      <c r="L1881" s="8"/>
      <c r="M1881" s="8"/>
      <c r="N1881" s="13"/>
      <c r="O1881" s="9"/>
      <c r="P1881" s="20"/>
      <c r="Q1881" s="20"/>
      <c r="R1881" s="20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</row>
    <row r="1882" spans="4:49" ht="15" thickBot="1" x14ac:dyDescent="0.35">
      <c r="D1882" s="2">
        <f t="shared" si="69"/>
        <v>1876</v>
      </c>
      <c r="E1882" s="6">
        <v>1.7154400262782057</v>
      </c>
      <c r="F1882" s="24"/>
      <c r="G1882" s="24"/>
      <c r="H1882" s="24"/>
      <c r="I1882" s="24"/>
      <c r="J1882" s="3"/>
      <c r="K1882" s="8"/>
      <c r="L1882" s="8"/>
      <c r="M1882" s="8"/>
      <c r="N1882" s="13"/>
      <c r="O1882" s="9"/>
      <c r="P1882" s="20"/>
      <c r="Q1882" s="20"/>
      <c r="R1882" s="20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</row>
    <row r="1883" spans="4:49" ht="15" thickBot="1" x14ac:dyDescent="0.35">
      <c r="D1883" s="2">
        <f t="shared" si="69"/>
        <v>1877</v>
      </c>
      <c r="E1883" s="6">
        <v>1.0843848229162421</v>
      </c>
      <c r="F1883" s="24"/>
      <c r="G1883" s="24"/>
      <c r="H1883" s="24"/>
      <c r="I1883" s="24"/>
      <c r="J1883" s="3"/>
      <c r="K1883" s="8"/>
      <c r="L1883" s="8"/>
      <c r="M1883" s="8"/>
      <c r="N1883" s="13"/>
      <c r="O1883" s="9"/>
      <c r="P1883" s="20"/>
      <c r="Q1883" s="20"/>
      <c r="R1883" s="20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</row>
    <row r="1884" spans="4:49" ht="15" thickBot="1" x14ac:dyDescent="0.35">
      <c r="D1884" s="2">
        <f t="shared" si="69"/>
        <v>1878</v>
      </c>
      <c r="E1884" s="6">
        <v>0.21009475822174481</v>
      </c>
      <c r="F1884" s="24"/>
      <c r="G1884" s="24"/>
      <c r="H1884" s="24"/>
      <c r="I1884" s="24"/>
      <c r="J1884" s="3"/>
      <c r="K1884" s="8"/>
      <c r="L1884" s="8"/>
      <c r="M1884" s="8"/>
      <c r="N1884" s="13"/>
      <c r="O1884" s="9"/>
      <c r="P1884" s="20"/>
      <c r="Q1884" s="20"/>
      <c r="R1884" s="20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</row>
    <row r="1885" spans="4:49" ht="15" thickBot="1" x14ac:dyDescent="0.35">
      <c r="D1885" s="2">
        <f t="shared" si="69"/>
        <v>1879</v>
      </c>
      <c r="E1885" s="6">
        <v>2.1008775192968576</v>
      </c>
      <c r="F1885" s="24"/>
      <c r="G1885" s="24"/>
      <c r="H1885" s="24"/>
      <c r="I1885" s="24"/>
      <c r="J1885" s="3"/>
      <c r="K1885" s="8"/>
      <c r="L1885" s="8"/>
      <c r="M1885" s="8"/>
      <c r="N1885" s="13"/>
      <c r="O1885" s="9"/>
      <c r="P1885" s="20"/>
      <c r="Q1885" s="20"/>
      <c r="R1885" s="20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</row>
    <row r="1886" spans="4:49" ht="15" thickBot="1" x14ac:dyDescent="0.35">
      <c r="D1886" s="2">
        <f t="shared" si="69"/>
        <v>1880</v>
      </c>
      <c r="E1886" s="6">
        <v>0.83065628234539479</v>
      </c>
      <c r="F1886" s="24"/>
      <c r="G1886" s="24"/>
      <c r="H1886" s="24"/>
      <c r="I1886" s="24"/>
      <c r="J1886" s="3"/>
      <c r="K1886" s="8"/>
      <c r="L1886" s="8"/>
      <c r="M1886" s="8"/>
      <c r="N1886" s="13"/>
      <c r="O1886" s="9"/>
      <c r="P1886" s="20"/>
      <c r="Q1886" s="20"/>
      <c r="R1886" s="20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</row>
    <row r="1887" spans="4:49" ht="15" thickBot="1" x14ac:dyDescent="0.35">
      <c r="D1887" s="2">
        <f t="shared" si="69"/>
        <v>1881</v>
      </c>
      <c r="E1887" s="6">
        <v>1.2800472156266944</v>
      </c>
      <c r="F1887" s="24"/>
      <c r="G1887" s="24"/>
      <c r="H1887" s="24"/>
      <c r="I1887" s="24"/>
      <c r="J1887" s="3"/>
      <c r="K1887" s="8"/>
      <c r="L1887" s="8"/>
      <c r="M1887" s="8"/>
      <c r="N1887" s="13"/>
      <c r="O1887" s="9"/>
      <c r="P1887" s="20"/>
      <c r="Q1887" s="20"/>
      <c r="R1887" s="20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</row>
    <row r="1888" spans="4:49" ht="15" thickBot="1" x14ac:dyDescent="0.35">
      <c r="D1888" s="2">
        <f t="shared" si="69"/>
        <v>1882</v>
      </c>
      <c r="E1888" s="6">
        <v>7.2322038857043776</v>
      </c>
      <c r="F1888" s="24"/>
      <c r="G1888" s="24"/>
      <c r="H1888" s="24"/>
      <c r="I1888" s="24"/>
      <c r="J1888" s="3"/>
      <c r="K1888" s="8"/>
      <c r="L1888" s="8"/>
      <c r="M1888" s="8"/>
      <c r="N1888" s="13"/>
      <c r="O1888" s="9"/>
      <c r="P1888" s="20"/>
      <c r="Q1888" s="20"/>
      <c r="R1888" s="20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</row>
    <row r="1889" spans="4:49" ht="15" thickBot="1" x14ac:dyDescent="0.35">
      <c r="D1889" s="2">
        <f t="shared" si="69"/>
        <v>1883</v>
      </c>
      <c r="E1889" s="6">
        <v>7.4247148228699587</v>
      </c>
      <c r="F1889" s="24"/>
      <c r="G1889" s="24"/>
      <c r="H1889" s="24"/>
      <c r="I1889" s="24"/>
      <c r="J1889" s="3"/>
      <c r="K1889" s="8"/>
      <c r="L1889" s="8"/>
      <c r="M1889" s="8"/>
      <c r="N1889" s="13"/>
      <c r="O1889" s="9"/>
      <c r="P1889" s="20"/>
      <c r="Q1889" s="20"/>
      <c r="R1889" s="20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</row>
    <row r="1890" spans="4:49" ht="15" thickBot="1" x14ac:dyDescent="0.35">
      <c r="D1890" s="2">
        <f t="shared" si="69"/>
        <v>1884</v>
      </c>
      <c r="E1890" s="6">
        <v>6.4518736163047503</v>
      </c>
      <c r="F1890" s="24"/>
      <c r="G1890" s="24"/>
      <c r="H1890" s="24"/>
      <c r="I1890" s="24"/>
      <c r="J1890" s="3"/>
      <c r="K1890" s="8"/>
      <c r="L1890" s="8"/>
      <c r="M1890" s="8"/>
      <c r="N1890" s="13"/>
      <c r="O1890" s="9"/>
      <c r="P1890" s="20"/>
      <c r="Q1890" s="20"/>
      <c r="R1890" s="20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</row>
    <row r="1891" spans="4:49" ht="15" thickBot="1" x14ac:dyDescent="0.35">
      <c r="D1891" s="2">
        <f t="shared" si="69"/>
        <v>1885</v>
      </c>
      <c r="E1891" s="6">
        <v>2.0995668060116039</v>
      </c>
      <c r="F1891" s="24"/>
      <c r="G1891" s="24"/>
      <c r="H1891" s="24"/>
      <c r="I1891" s="24"/>
      <c r="J1891" s="3"/>
      <c r="K1891" s="8"/>
      <c r="L1891" s="8"/>
      <c r="M1891" s="8"/>
      <c r="N1891" s="13"/>
      <c r="O1891" s="9"/>
      <c r="P1891" s="20"/>
      <c r="Q1891" s="20"/>
      <c r="R1891" s="20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</row>
    <row r="1892" spans="4:49" ht="15" thickBot="1" x14ac:dyDescent="0.35">
      <c r="D1892" s="2">
        <f t="shared" si="69"/>
        <v>1886</v>
      </c>
      <c r="E1892" s="6">
        <v>3.0821860366197975</v>
      </c>
      <c r="F1892" s="24"/>
      <c r="G1892" s="24"/>
      <c r="H1892" s="24"/>
      <c r="I1892" s="24"/>
      <c r="J1892" s="3"/>
      <c r="K1892" s="8"/>
      <c r="L1892" s="8"/>
      <c r="M1892" s="8"/>
      <c r="N1892" s="13"/>
      <c r="O1892" s="9"/>
      <c r="P1892" s="20"/>
      <c r="Q1892" s="20"/>
      <c r="R1892" s="20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</row>
    <row r="1893" spans="4:49" ht="15" thickBot="1" x14ac:dyDescent="0.35">
      <c r="D1893" s="2">
        <f t="shared" si="69"/>
        <v>1887</v>
      </c>
      <c r="E1893" s="6">
        <v>11.765351152291448</v>
      </c>
      <c r="F1893" s="24"/>
      <c r="G1893" s="24"/>
      <c r="H1893" s="24"/>
      <c r="I1893" s="24"/>
      <c r="J1893" s="3"/>
      <c r="K1893" s="8"/>
      <c r="L1893" s="8"/>
      <c r="M1893" s="8"/>
      <c r="N1893" s="13"/>
      <c r="O1893" s="9"/>
      <c r="P1893" s="20"/>
      <c r="Q1893" s="20"/>
      <c r="R1893" s="20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</row>
    <row r="1894" spans="4:49" ht="15" thickBot="1" x14ac:dyDescent="0.35">
      <c r="D1894" s="2">
        <f t="shared" si="69"/>
        <v>1888</v>
      </c>
      <c r="E1894" s="6">
        <v>11.05637356899684</v>
      </c>
      <c r="F1894" s="24"/>
      <c r="G1894" s="24"/>
      <c r="H1894" s="24"/>
      <c r="I1894" s="24"/>
      <c r="J1894" s="3"/>
      <c r="K1894" s="8"/>
      <c r="L1894" s="8"/>
      <c r="M1894" s="8"/>
      <c r="N1894" s="13"/>
      <c r="O1894" s="9"/>
      <c r="P1894" s="20"/>
      <c r="Q1894" s="20"/>
      <c r="R1894" s="20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</row>
    <row r="1895" spans="4:49" ht="15" thickBot="1" x14ac:dyDescent="0.35">
      <c r="D1895" s="2">
        <f t="shared" si="69"/>
        <v>1889</v>
      </c>
      <c r="E1895" s="6">
        <v>1.6257065332821548</v>
      </c>
      <c r="F1895" s="24"/>
      <c r="G1895" s="24"/>
      <c r="H1895" s="24"/>
      <c r="I1895" s="24"/>
      <c r="J1895" s="3"/>
      <c r="K1895" s="8"/>
      <c r="L1895" s="8"/>
      <c r="M1895" s="8"/>
      <c r="N1895" s="13"/>
      <c r="O1895" s="9"/>
      <c r="P1895" s="20"/>
      <c r="Q1895" s="20"/>
      <c r="R1895" s="20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</row>
    <row r="1896" spans="4:49" ht="15" thickBot="1" x14ac:dyDescent="0.35">
      <c r="D1896" s="2">
        <f t="shared" si="69"/>
        <v>1890</v>
      </c>
      <c r="E1896" s="6">
        <v>4.7172680631129359E-2</v>
      </c>
      <c r="F1896" s="24"/>
      <c r="G1896" s="24"/>
      <c r="H1896" s="24"/>
      <c r="I1896" s="24"/>
      <c r="J1896" s="3"/>
      <c r="K1896" s="8"/>
      <c r="L1896" s="8"/>
      <c r="M1896" s="8"/>
      <c r="N1896" s="13"/>
      <c r="O1896" s="9"/>
      <c r="P1896" s="20"/>
      <c r="Q1896" s="20"/>
      <c r="R1896" s="20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</row>
    <row r="1897" spans="4:49" ht="15" thickBot="1" x14ac:dyDescent="0.35">
      <c r="D1897" s="2">
        <f t="shared" si="69"/>
        <v>1891</v>
      </c>
      <c r="E1897" s="6">
        <v>5.1431648445464626</v>
      </c>
      <c r="F1897" s="24"/>
      <c r="G1897" s="24"/>
      <c r="H1897" s="24"/>
      <c r="I1897" s="24"/>
      <c r="J1897" s="3"/>
      <c r="K1897" s="8"/>
      <c r="L1897" s="8"/>
      <c r="M1897" s="8"/>
      <c r="N1897" s="13"/>
      <c r="O1897" s="9"/>
      <c r="P1897" s="20"/>
      <c r="Q1897" s="20"/>
      <c r="R1897" s="20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</row>
    <row r="1898" spans="4:49" ht="15" thickBot="1" x14ac:dyDescent="0.35">
      <c r="D1898" s="2">
        <f t="shared" si="69"/>
        <v>1892</v>
      </c>
      <c r="E1898" s="6">
        <v>0.77985612352084266</v>
      </c>
      <c r="F1898" s="24"/>
      <c r="G1898" s="24"/>
      <c r="H1898" s="24"/>
      <c r="I1898" s="24"/>
      <c r="J1898" s="3"/>
      <c r="K1898" s="8"/>
      <c r="L1898" s="8"/>
      <c r="M1898" s="8"/>
      <c r="N1898" s="13"/>
      <c r="O1898" s="9"/>
      <c r="P1898" s="20"/>
      <c r="Q1898" s="20"/>
      <c r="R1898" s="20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</row>
    <row r="1899" spans="4:49" ht="15" thickBot="1" x14ac:dyDescent="0.35">
      <c r="D1899" s="2">
        <f t="shared" si="69"/>
        <v>1893</v>
      </c>
      <c r="E1899" s="6">
        <v>0.16393246291714156</v>
      </c>
      <c r="F1899" s="24"/>
      <c r="G1899" s="24"/>
      <c r="H1899" s="24"/>
      <c r="I1899" s="24"/>
      <c r="J1899" s="3"/>
      <c r="K1899" s="8"/>
      <c r="L1899" s="8"/>
      <c r="M1899" s="8"/>
      <c r="N1899" s="13"/>
      <c r="O1899" s="9"/>
      <c r="P1899" s="20"/>
      <c r="Q1899" s="20"/>
      <c r="R1899" s="20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</row>
    <row r="1900" spans="4:49" ht="15" thickBot="1" x14ac:dyDescent="0.35">
      <c r="D1900" s="2">
        <f t="shared" si="69"/>
        <v>1894</v>
      </c>
      <c r="E1900" s="6">
        <v>0.58395446960201602</v>
      </c>
      <c r="F1900" s="24"/>
      <c r="G1900" s="24"/>
      <c r="H1900" s="24"/>
      <c r="I1900" s="24"/>
      <c r="J1900" s="3"/>
      <c r="K1900" s="8"/>
      <c r="L1900" s="8"/>
      <c r="M1900" s="8"/>
      <c r="N1900" s="13"/>
      <c r="O1900" s="9"/>
      <c r="P1900" s="20"/>
      <c r="Q1900" s="20"/>
      <c r="R1900" s="20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</row>
    <row r="1901" spans="4:49" ht="15" thickBot="1" x14ac:dyDescent="0.35">
      <c r="D1901" s="2">
        <f t="shared" si="69"/>
        <v>1895</v>
      </c>
      <c r="E1901" s="6">
        <v>1.513636603579352</v>
      </c>
      <c r="F1901" s="24"/>
      <c r="G1901" s="24"/>
      <c r="H1901" s="24"/>
      <c r="I1901" s="24"/>
      <c r="J1901" s="3"/>
      <c r="K1901" s="8"/>
      <c r="L1901" s="8"/>
      <c r="M1901" s="8"/>
      <c r="N1901" s="13"/>
      <c r="O1901" s="9"/>
      <c r="P1901" s="20"/>
      <c r="Q1901" s="20"/>
      <c r="R1901" s="20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</row>
    <row r="1902" spans="4:49" ht="15" thickBot="1" x14ac:dyDescent="0.35">
      <c r="D1902" s="2">
        <f t="shared" si="69"/>
        <v>1896</v>
      </c>
      <c r="E1902" s="6">
        <v>6.2293652537833317</v>
      </c>
      <c r="F1902" s="24"/>
      <c r="G1902" s="24"/>
      <c r="H1902" s="24"/>
      <c r="I1902" s="24"/>
      <c r="J1902" s="3"/>
      <c r="K1902" s="8"/>
      <c r="L1902" s="8"/>
      <c r="M1902" s="8"/>
      <c r="N1902" s="13"/>
      <c r="O1902" s="9"/>
      <c r="P1902" s="20"/>
      <c r="Q1902" s="20"/>
      <c r="R1902" s="20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</row>
    <row r="1903" spans="4:49" ht="15" thickBot="1" x14ac:dyDescent="0.35">
      <c r="D1903" s="2">
        <f t="shared" si="69"/>
        <v>1897</v>
      </c>
      <c r="E1903" s="6">
        <v>12.735646450789464</v>
      </c>
      <c r="F1903" s="24"/>
      <c r="G1903" s="24"/>
      <c r="H1903" s="24"/>
      <c r="I1903" s="24"/>
      <c r="J1903" s="3"/>
      <c r="K1903" s="8"/>
      <c r="L1903" s="8"/>
      <c r="M1903" s="8"/>
      <c r="N1903" s="13"/>
      <c r="O1903" s="9"/>
      <c r="P1903" s="20"/>
      <c r="Q1903" s="20"/>
      <c r="R1903" s="20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</row>
    <row r="1904" spans="4:49" ht="15" thickBot="1" x14ac:dyDescent="0.35">
      <c r="D1904" s="2">
        <f t="shared" si="69"/>
        <v>1898</v>
      </c>
      <c r="E1904" s="6">
        <v>0.46381909148909994</v>
      </c>
      <c r="F1904" s="24"/>
      <c r="G1904" s="24"/>
      <c r="H1904" s="24"/>
      <c r="I1904" s="24"/>
      <c r="J1904" s="3"/>
      <c r="K1904" s="8"/>
      <c r="L1904" s="8"/>
      <c r="M1904" s="8"/>
      <c r="N1904" s="13"/>
      <c r="O1904" s="9"/>
      <c r="P1904" s="20"/>
      <c r="Q1904" s="20"/>
      <c r="R1904" s="20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</row>
    <row r="1905" spans="4:49" ht="15" thickBot="1" x14ac:dyDescent="0.35">
      <c r="D1905" s="2">
        <f t="shared" si="69"/>
        <v>1899</v>
      </c>
      <c r="E1905" s="6">
        <v>8.5973139256411866</v>
      </c>
      <c r="F1905" s="24"/>
      <c r="G1905" s="24"/>
      <c r="H1905" s="24"/>
      <c r="I1905" s="24"/>
      <c r="J1905" s="3"/>
      <c r="K1905" s="8"/>
      <c r="L1905" s="8"/>
      <c r="M1905" s="8"/>
      <c r="N1905" s="13"/>
      <c r="O1905" s="9"/>
      <c r="P1905" s="20"/>
      <c r="Q1905" s="20"/>
      <c r="R1905" s="20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</row>
    <row r="1906" spans="4:49" ht="15" thickBot="1" x14ac:dyDescent="0.35">
      <c r="D1906" s="2">
        <f t="shared" si="69"/>
        <v>1900</v>
      </c>
      <c r="E1906" s="6">
        <v>0.39368033029294958</v>
      </c>
      <c r="F1906" s="24"/>
      <c r="G1906" s="24"/>
      <c r="H1906" s="24"/>
      <c r="I1906" s="24"/>
      <c r="J1906" s="3"/>
      <c r="K1906" s="8"/>
      <c r="L1906" s="8"/>
      <c r="M1906" s="8"/>
      <c r="N1906" s="13"/>
      <c r="O1906" s="9"/>
      <c r="P1906" s="20"/>
      <c r="Q1906" s="20"/>
      <c r="R1906" s="20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</row>
    <row r="1907" spans="4:49" ht="15" thickBot="1" x14ac:dyDescent="0.35">
      <c r="D1907" s="2">
        <f t="shared" si="69"/>
        <v>1901</v>
      </c>
      <c r="E1907" s="6">
        <v>0.95324203873619873</v>
      </c>
      <c r="F1907" s="24"/>
      <c r="G1907" s="24"/>
      <c r="H1907" s="24"/>
      <c r="I1907" s="24"/>
      <c r="J1907" s="3"/>
      <c r="K1907" s="8"/>
      <c r="L1907" s="8"/>
      <c r="M1907" s="8"/>
      <c r="N1907" s="13"/>
      <c r="O1907" s="9"/>
      <c r="P1907" s="20"/>
      <c r="Q1907" s="20"/>
      <c r="R1907" s="20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</row>
    <row r="1908" spans="4:49" ht="15" thickBot="1" x14ac:dyDescent="0.35">
      <c r="D1908" s="2">
        <f t="shared" si="69"/>
        <v>1902</v>
      </c>
      <c r="E1908" s="6">
        <v>3.0246857229224275</v>
      </c>
      <c r="F1908" s="24"/>
      <c r="G1908" s="24"/>
      <c r="H1908" s="24"/>
      <c r="I1908" s="24"/>
      <c r="J1908" s="3"/>
      <c r="K1908" s="8"/>
      <c r="L1908" s="8"/>
      <c r="M1908" s="8"/>
      <c r="N1908" s="13"/>
      <c r="O1908" s="9"/>
      <c r="P1908" s="20"/>
      <c r="Q1908" s="20"/>
      <c r="R1908" s="20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</row>
    <row r="1909" spans="4:49" ht="15" thickBot="1" x14ac:dyDescent="0.35">
      <c r="D1909" s="2">
        <f t="shared" si="69"/>
        <v>1903</v>
      </c>
      <c r="E1909" s="6">
        <v>1.7942186367475159</v>
      </c>
      <c r="F1909" s="24"/>
      <c r="G1909" s="24"/>
      <c r="H1909" s="24"/>
      <c r="I1909" s="24"/>
      <c r="J1909" s="3"/>
      <c r="K1909" s="8"/>
      <c r="L1909" s="8"/>
      <c r="M1909" s="8"/>
      <c r="N1909" s="13"/>
      <c r="O1909" s="9"/>
      <c r="P1909" s="20"/>
      <c r="Q1909" s="20"/>
      <c r="R1909" s="20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</row>
    <row r="1910" spans="4:49" ht="15" thickBot="1" x14ac:dyDescent="0.35">
      <c r="D1910" s="2">
        <f t="shared" si="69"/>
        <v>1904</v>
      </c>
      <c r="E1910" s="6">
        <v>0.38031361897490068</v>
      </c>
      <c r="F1910" s="24"/>
      <c r="G1910" s="24"/>
      <c r="H1910" s="24"/>
      <c r="I1910" s="24"/>
      <c r="J1910" s="3"/>
      <c r="K1910" s="8"/>
      <c r="L1910" s="8"/>
      <c r="M1910" s="8"/>
      <c r="N1910" s="13"/>
      <c r="O1910" s="9"/>
      <c r="P1910" s="20"/>
      <c r="Q1910" s="20"/>
      <c r="R1910" s="20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</row>
    <row r="1911" spans="4:49" ht="15" thickBot="1" x14ac:dyDescent="0.35">
      <c r="D1911" s="2">
        <f t="shared" si="69"/>
        <v>1905</v>
      </c>
      <c r="E1911" s="6">
        <v>2.7156596323658819</v>
      </c>
      <c r="F1911" s="24"/>
      <c r="G1911" s="24"/>
      <c r="H1911" s="24"/>
      <c r="I1911" s="24"/>
      <c r="J1911" s="3"/>
      <c r="K1911" s="8"/>
      <c r="L1911" s="8"/>
      <c r="M1911" s="8"/>
      <c r="N1911" s="13"/>
      <c r="O1911" s="9"/>
      <c r="P1911" s="20"/>
      <c r="Q1911" s="20"/>
      <c r="R1911" s="20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</row>
    <row r="1912" spans="4:49" ht="15" thickBot="1" x14ac:dyDescent="0.35">
      <c r="D1912" s="2">
        <f t="shared" si="69"/>
        <v>1906</v>
      </c>
      <c r="E1912" s="6">
        <v>3.3127300144671654</v>
      </c>
      <c r="F1912" s="24"/>
      <c r="G1912" s="24"/>
      <c r="H1912" s="24"/>
      <c r="I1912" s="24"/>
      <c r="J1912" s="3"/>
      <c r="K1912" s="8"/>
      <c r="L1912" s="8"/>
      <c r="M1912" s="8"/>
      <c r="N1912" s="13"/>
      <c r="O1912" s="9"/>
      <c r="P1912" s="20"/>
      <c r="Q1912" s="20"/>
      <c r="R1912" s="20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</row>
    <row r="1913" spans="4:49" ht="15" thickBot="1" x14ac:dyDescent="0.35">
      <c r="D1913" s="2">
        <f t="shared" si="69"/>
        <v>1907</v>
      </c>
      <c r="E1913" s="6">
        <v>5.6787934705986025</v>
      </c>
      <c r="F1913" s="24"/>
      <c r="G1913" s="24"/>
      <c r="H1913" s="24"/>
      <c r="I1913" s="24"/>
      <c r="J1913" s="3"/>
      <c r="K1913" s="8"/>
      <c r="L1913" s="8"/>
      <c r="M1913" s="8"/>
      <c r="N1913" s="13"/>
      <c r="O1913" s="9"/>
      <c r="P1913" s="20"/>
      <c r="Q1913" s="20"/>
      <c r="R1913" s="20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</row>
    <row r="1914" spans="4:49" ht="15" thickBot="1" x14ac:dyDescent="0.35">
      <c r="D1914" s="2">
        <f t="shared" si="69"/>
        <v>1908</v>
      </c>
      <c r="E1914" s="6">
        <v>1.4479005447029021</v>
      </c>
      <c r="F1914" s="24"/>
      <c r="G1914" s="24"/>
      <c r="H1914" s="24"/>
      <c r="I1914" s="24"/>
      <c r="J1914" s="3"/>
      <c r="K1914" s="8"/>
      <c r="L1914" s="8"/>
      <c r="M1914" s="8"/>
      <c r="N1914" s="13"/>
      <c r="O1914" s="9"/>
      <c r="P1914" s="20"/>
      <c r="Q1914" s="20"/>
      <c r="R1914" s="20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</row>
    <row r="1915" spans="4:49" ht="15" thickBot="1" x14ac:dyDescent="0.35">
      <c r="D1915" s="2">
        <f t="shared" si="69"/>
        <v>1909</v>
      </c>
      <c r="E1915" s="6">
        <v>4.7587177462688868E-2</v>
      </c>
      <c r="F1915" s="24"/>
      <c r="G1915" s="24"/>
      <c r="H1915" s="24"/>
      <c r="I1915" s="24"/>
      <c r="J1915" s="3"/>
      <c r="K1915" s="8"/>
      <c r="L1915" s="8"/>
      <c r="M1915" s="8"/>
      <c r="N1915" s="13"/>
      <c r="O1915" s="9"/>
      <c r="P1915" s="20"/>
      <c r="Q1915" s="20"/>
      <c r="R1915" s="20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</row>
    <row r="1916" spans="4:49" ht="15" thickBot="1" x14ac:dyDescent="0.35">
      <c r="D1916" s="2">
        <f t="shared" si="69"/>
        <v>1910</v>
      </c>
      <c r="E1916" s="6">
        <v>0.55764828905555985</v>
      </c>
      <c r="F1916" s="24"/>
      <c r="G1916" s="24"/>
      <c r="H1916" s="24"/>
      <c r="I1916" s="24"/>
      <c r="J1916" s="3"/>
      <c r="K1916" s="8"/>
      <c r="L1916" s="8"/>
      <c r="M1916" s="8"/>
      <c r="N1916" s="13"/>
      <c r="O1916" s="9"/>
      <c r="P1916" s="20"/>
      <c r="Q1916" s="20"/>
      <c r="R1916" s="20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</row>
    <row r="1917" spans="4:49" ht="15" thickBot="1" x14ac:dyDescent="0.35">
      <c r="D1917" s="2">
        <f t="shared" si="69"/>
        <v>1911</v>
      </c>
      <c r="E1917" s="6">
        <v>4.3686059998683771</v>
      </c>
      <c r="F1917" s="24"/>
      <c r="G1917" s="24"/>
      <c r="H1917" s="24"/>
      <c r="I1917" s="24"/>
      <c r="J1917" s="3"/>
      <c r="K1917" s="8"/>
      <c r="L1917" s="8"/>
      <c r="M1917" s="8"/>
      <c r="N1917" s="13"/>
      <c r="O1917" s="9"/>
      <c r="P1917" s="20"/>
      <c r="Q1917" s="20"/>
      <c r="R1917" s="20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</row>
    <row r="1918" spans="4:49" ht="15" thickBot="1" x14ac:dyDescent="0.35">
      <c r="D1918" s="2">
        <f t="shared" si="69"/>
        <v>1912</v>
      </c>
      <c r="E1918" s="6">
        <v>0.21294920788611443</v>
      </c>
      <c r="F1918" s="24"/>
      <c r="G1918" s="24"/>
      <c r="H1918" s="24"/>
      <c r="I1918" s="24"/>
      <c r="J1918" s="3"/>
      <c r="K1918" s="8"/>
      <c r="L1918" s="8"/>
      <c r="M1918" s="8"/>
      <c r="N1918" s="13"/>
      <c r="O1918" s="9"/>
      <c r="P1918" s="20"/>
      <c r="Q1918" s="20"/>
      <c r="R1918" s="20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</row>
    <row r="1919" spans="4:49" ht="15" thickBot="1" x14ac:dyDescent="0.35">
      <c r="D1919" s="2">
        <f t="shared" si="69"/>
        <v>1913</v>
      </c>
      <c r="E1919" s="6">
        <v>7.2212449931730109</v>
      </c>
      <c r="F1919" s="24"/>
      <c r="G1919" s="24"/>
      <c r="H1919" s="24"/>
      <c r="I1919" s="24"/>
      <c r="J1919" s="3"/>
      <c r="K1919" s="8"/>
      <c r="L1919" s="8"/>
      <c r="M1919" s="8"/>
      <c r="N1919" s="13"/>
      <c r="O1919" s="9"/>
      <c r="P1919" s="20"/>
      <c r="Q1919" s="20"/>
      <c r="R1919" s="20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</row>
    <row r="1920" spans="4:49" ht="15" thickBot="1" x14ac:dyDescent="0.35">
      <c r="D1920" s="2">
        <f t="shared" si="69"/>
        <v>1914</v>
      </c>
      <c r="E1920" s="6">
        <v>4.9385012303694706</v>
      </c>
      <c r="F1920" s="24"/>
      <c r="G1920" s="24"/>
      <c r="H1920" s="24"/>
      <c r="I1920" s="24"/>
      <c r="J1920" s="3"/>
      <c r="K1920" s="8"/>
      <c r="L1920" s="8"/>
      <c r="M1920" s="8"/>
      <c r="N1920" s="13"/>
      <c r="O1920" s="9"/>
      <c r="P1920" s="20"/>
      <c r="Q1920" s="20"/>
      <c r="R1920" s="20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</row>
    <row r="1921" spans="4:49" ht="15" thickBot="1" x14ac:dyDescent="0.35">
      <c r="D1921" s="2">
        <f t="shared" si="69"/>
        <v>1915</v>
      </c>
      <c r="E1921" s="6">
        <v>1.6922865163195606</v>
      </c>
      <c r="F1921" s="24"/>
      <c r="G1921" s="24"/>
      <c r="H1921" s="24"/>
      <c r="I1921" s="24"/>
      <c r="J1921" s="3"/>
      <c r="K1921" s="8"/>
      <c r="L1921" s="8"/>
      <c r="M1921" s="8"/>
      <c r="N1921" s="13"/>
      <c r="O1921" s="9"/>
      <c r="P1921" s="20"/>
      <c r="Q1921" s="20"/>
      <c r="R1921" s="20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</row>
    <row r="1922" spans="4:49" ht="15" thickBot="1" x14ac:dyDescent="0.35">
      <c r="D1922" s="2">
        <f t="shared" si="69"/>
        <v>1916</v>
      </c>
      <c r="E1922" s="6">
        <v>1.3511648820257203</v>
      </c>
      <c r="F1922" s="24"/>
      <c r="G1922" s="24"/>
      <c r="H1922" s="24"/>
      <c r="I1922" s="24"/>
      <c r="J1922" s="3"/>
      <c r="K1922" s="8"/>
      <c r="L1922" s="8"/>
      <c r="M1922" s="8"/>
      <c r="N1922" s="13"/>
      <c r="O1922" s="9"/>
      <c r="P1922" s="20"/>
      <c r="Q1922" s="20"/>
      <c r="R1922" s="20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</row>
    <row r="1923" spans="4:49" ht="15" thickBot="1" x14ac:dyDescent="0.35">
      <c r="D1923" s="2">
        <f t="shared" si="69"/>
        <v>1917</v>
      </c>
      <c r="E1923" s="6">
        <v>5.3136384266640775</v>
      </c>
      <c r="F1923" s="24"/>
      <c r="G1923" s="24"/>
      <c r="H1923" s="24"/>
      <c r="I1923" s="24"/>
      <c r="J1923" s="3"/>
      <c r="K1923" s="8"/>
      <c r="L1923" s="8"/>
      <c r="M1923" s="8"/>
      <c r="N1923" s="13"/>
      <c r="O1923" s="9"/>
      <c r="P1923" s="20"/>
      <c r="Q1923" s="20"/>
      <c r="R1923" s="20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</row>
    <row r="1924" spans="4:49" ht="15" thickBot="1" x14ac:dyDescent="0.35">
      <c r="D1924" s="2">
        <f t="shared" si="69"/>
        <v>1918</v>
      </c>
      <c r="E1924" s="6">
        <v>5.0974293203558521E-2</v>
      </c>
      <c r="F1924" s="24"/>
      <c r="G1924" s="24"/>
      <c r="H1924" s="24"/>
      <c r="I1924" s="24"/>
      <c r="J1924" s="3"/>
      <c r="K1924" s="8"/>
      <c r="L1924" s="8"/>
      <c r="M1924" s="8"/>
      <c r="N1924" s="13"/>
      <c r="O1924" s="9"/>
      <c r="P1924" s="20"/>
      <c r="Q1924" s="20"/>
      <c r="R1924" s="20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</row>
    <row r="1925" spans="4:49" ht="15" thickBot="1" x14ac:dyDescent="0.35">
      <c r="D1925" s="2">
        <f t="shared" si="69"/>
        <v>1919</v>
      </c>
      <c r="E1925" s="6">
        <v>2.3803591503515431</v>
      </c>
      <c r="F1925" s="24"/>
      <c r="G1925" s="24"/>
      <c r="H1925" s="24"/>
      <c r="I1925" s="24"/>
      <c r="J1925" s="3"/>
      <c r="K1925" s="8"/>
      <c r="L1925" s="8"/>
      <c r="M1925" s="8"/>
      <c r="N1925" s="13"/>
      <c r="O1925" s="9"/>
      <c r="P1925" s="20"/>
      <c r="Q1925" s="20"/>
      <c r="R1925" s="20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</row>
    <row r="1926" spans="4:49" ht="15" thickBot="1" x14ac:dyDescent="0.35">
      <c r="D1926" s="2">
        <f t="shared" si="69"/>
        <v>1920</v>
      </c>
      <c r="E1926" s="6">
        <v>1.2550677167086324</v>
      </c>
      <c r="F1926" s="24"/>
      <c r="G1926" s="24"/>
      <c r="H1926" s="24"/>
      <c r="I1926" s="24"/>
      <c r="J1926" s="3"/>
      <c r="K1926" s="8"/>
      <c r="L1926" s="8"/>
      <c r="M1926" s="8"/>
      <c r="N1926" s="13"/>
      <c r="O1926" s="9"/>
      <c r="P1926" s="20"/>
      <c r="Q1926" s="20"/>
      <c r="R1926" s="20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</row>
    <row r="1927" spans="4:49" ht="15" thickBot="1" x14ac:dyDescent="0.35">
      <c r="D1927" s="2">
        <f t="shared" ref="D1927:D1990" si="70">ROW()-6</f>
        <v>1921</v>
      </c>
      <c r="E1927" s="6">
        <v>0.6038526996986423</v>
      </c>
      <c r="F1927" s="24"/>
      <c r="G1927" s="24"/>
      <c r="H1927" s="24"/>
      <c r="I1927" s="24"/>
      <c r="J1927" s="3"/>
      <c r="K1927" s="8"/>
      <c r="L1927" s="8"/>
      <c r="M1927" s="8"/>
      <c r="N1927" s="13"/>
      <c r="O1927" s="9"/>
      <c r="P1927" s="20"/>
      <c r="Q1927" s="20"/>
      <c r="R1927" s="20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</row>
    <row r="1928" spans="4:49" ht="15" thickBot="1" x14ac:dyDescent="0.35">
      <c r="D1928" s="2">
        <f t="shared" si="70"/>
        <v>1922</v>
      </c>
      <c r="E1928" s="6">
        <v>6.0350342696405113</v>
      </c>
      <c r="F1928" s="24"/>
      <c r="G1928" s="24"/>
      <c r="H1928" s="24"/>
      <c r="I1928" s="24"/>
      <c r="J1928" s="3"/>
      <c r="K1928" s="8"/>
      <c r="L1928" s="8"/>
      <c r="M1928" s="8"/>
      <c r="N1928" s="13"/>
      <c r="O1928" s="9"/>
      <c r="P1928" s="20"/>
      <c r="Q1928" s="20"/>
      <c r="R1928" s="20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</row>
    <row r="1929" spans="4:49" ht="15" thickBot="1" x14ac:dyDescent="0.35">
      <c r="D1929" s="2">
        <f t="shared" si="70"/>
        <v>1923</v>
      </c>
      <c r="E1929" s="6">
        <v>15.727312671346349</v>
      </c>
      <c r="F1929" s="24"/>
      <c r="G1929" s="24"/>
      <c r="H1929" s="24"/>
      <c r="I1929" s="24"/>
      <c r="J1929" s="3"/>
      <c r="K1929" s="8"/>
      <c r="L1929" s="8"/>
      <c r="M1929" s="8"/>
      <c r="N1929" s="13"/>
      <c r="O1929" s="9"/>
      <c r="P1929" s="20"/>
      <c r="Q1929" s="20"/>
      <c r="R1929" s="20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</row>
    <row r="1930" spans="4:49" ht="15" thickBot="1" x14ac:dyDescent="0.35">
      <c r="D1930" s="2">
        <f t="shared" si="70"/>
        <v>1924</v>
      </c>
      <c r="E1930" s="6">
        <v>5.1203044720247783</v>
      </c>
      <c r="F1930" s="24"/>
      <c r="G1930" s="24"/>
      <c r="H1930" s="24"/>
      <c r="I1930" s="24"/>
      <c r="J1930" s="3"/>
      <c r="K1930" s="8"/>
      <c r="L1930" s="8"/>
      <c r="M1930" s="8"/>
      <c r="N1930" s="13"/>
      <c r="O1930" s="9"/>
      <c r="P1930" s="20"/>
      <c r="Q1930" s="20"/>
      <c r="R1930" s="20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</row>
    <row r="1931" spans="4:49" ht="15" thickBot="1" x14ac:dyDescent="0.35">
      <c r="D1931" s="2">
        <f t="shared" si="70"/>
        <v>1925</v>
      </c>
      <c r="E1931" s="6">
        <v>1.2441063643681491</v>
      </c>
      <c r="F1931" s="24"/>
      <c r="G1931" s="24"/>
      <c r="H1931" s="24"/>
      <c r="I1931" s="24"/>
      <c r="J1931" s="3"/>
      <c r="K1931" s="8"/>
      <c r="L1931" s="8"/>
      <c r="M1931" s="8"/>
      <c r="N1931" s="13"/>
      <c r="O1931" s="9"/>
      <c r="P1931" s="20"/>
      <c r="Q1931" s="20"/>
      <c r="R1931" s="20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</row>
    <row r="1932" spans="4:49" ht="15" thickBot="1" x14ac:dyDescent="0.35">
      <c r="D1932" s="2">
        <f t="shared" si="70"/>
        <v>1926</v>
      </c>
      <c r="E1932" s="6">
        <v>5.0341671302813973</v>
      </c>
      <c r="F1932" s="24"/>
      <c r="G1932" s="24"/>
      <c r="H1932" s="24"/>
      <c r="I1932" s="24"/>
      <c r="J1932" s="3"/>
      <c r="K1932" s="8"/>
      <c r="L1932" s="8"/>
      <c r="M1932" s="8"/>
      <c r="N1932" s="13"/>
      <c r="O1932" s="9"/>
      <c r="P1932" s="20"/>
      <c r="Q1932" s="20"/>
      <c r="R1932" s="20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</row>
    <row r="1933" spans="4:49" ht="15" thickBot="1" x14ac:dyDescent="0.35">
      <c r="D1933" s="2">
        <f t="shared" si="70"/>
        <v>1927</v>
      </c>
      <c r="E1933" s="6">
        <v>2.8564156583212905</v>
      </c>
      <c r="F1933" s="24"/>
      <c r="G1933" s="24"/>
      <c r="H1933" s="24"/>
      <c r="I1933" s="24"/>
      <c r="J1933" s="3"/>
      <c r="K1933" s="8"/>
      <c r="L1933" s="8"/>
      <c r="M1933" s="8"/>
      <c r="N1933" s="13"/>
      <c r="O1933" s="9"/>
      <c r="P1933" s="20"/>
      <c r="Q1933" s="20"/>
      <c r="R1933" s="20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</row>
    <row r="1934" spans="4:49" ht="15" thickBot="1" x14ac:dyDescent="0.35">
      <c r="D1934" s="2">
        <f t="shared" si="70"/>
        <v>1928</v>
      </c>
      <c r="E1934" s="6">
        <v>16.565421056539474</v>
      </c>
      <c r="F1934" s="24"/>
      <c r="G1934" s="24"/>
      <c r="H1934" s="24"/>
      <c r="I1934" s="24"/>
      <c r="J1934" s="3"/>
      <c r="K1934" s="8"/>
      <c r="L1934" s="8"/>
      <c r="M1934" s="8"/>
      <c r="N1934" s="13"/>
      <c r="O1934" s="9"/>
      <c r="P1934" s="20"/>
      <c r="Q1934" s="20"/>
      <c r="R1934" s="20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</row>
    <row r="1935" spans="4:49" ht="15" thickBot="1" x14ac:dyDescent="0.35">
      <c r="D1935" s="2">
        <f t="shared" si="70"/>
        <v>1929</v>
      </c>
      <c r="E1935" s="6">
        <v>4.0040696411960726</v>
      </c>
      <c r="F1935" s="24"/>
      <c r="G1935" s="24"/>
      <c r="H1935" s="24"/>
      <c r="I1935" s="24"/>
      <c r="J1935" s="3"/>
      <c r="K1935" s="8"/>
      <c r="L1935" s="8"/>
      <c r="M1935" s="8"/>
      <c r="N1935" s="13"/>
      <c r="O1935" s="9"/>
      <c r="P1935" s="20"/>
      <c r="Q1935" s="20"/>
      <c r="R1935" s="20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</row>
    <row r="1936" spans="4:49" ht="15" thickBot="1" x14ac:dyDescent="0.35">
      <c r="D1936" s="2">
        <f t="shared" si="70"/>
        <v>1930</v>
      </c>
      <c r="E1936" s="6">
        <v>5.0113255562857502</v>
      </c>
      <c r="F1936" s="24"/>
      <c r="G1936" s="24"/>
      <c r="H1936" s="24"/>
      <c r="I1936" s="24"/>
      <c r="J1936" s="3"/>
      <c r="K1936" s="8"/>
      <c r="L1936" s="8"/>
      <c r="M1936" s="8"/>
      <c r="N1936" s="13"/>
      <c r="O1936" s="9"/>
      <c r="P1936" s="20"/>
      <c r="Q1936" s="20"/>
      <c r="R1936" s="20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</row>
    <row r="1937" spans="4:49" ht="15" thickBot="1" x14ac:dyDescent="0.35">
      <c r="D1937" s="2">
        <f t="shared" si="70"/>
        <v>1931</v>
      </c>
      <c r="E1937" s="6">
        <v>4.0295428798292789</v>
      </c>
      <c r="F1937" s="24"/>
      <c r="G1937" s="24"/>
      <c r="H1937" s="24"/>
      <c r="I1937" s="24"/>
      <c r="J1937" s="3"/>
      <c r="K1937" s="8"/>
      <c r="L1937" s="8"/>
      <c r="M1937" s="8"/>
      <c r="N1937" s="13"/>
      <c r="O1937" s="9"/>
      <c r="P1937" s="20"/>
      <c r="Q1937" s="20"/>
      <c r="R1937" s="20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</row>
    <row r="1938" spans="4:49" ht="15" thickBot="1" x14ac:dyDescent="0.35">
      <c r="D1938" s="2">
        <f t="shared" si="70"/>
        <v>1932</v>
      </c>
      <c r="E1938" s="6">
        <v>13.295379665464928</v>
      </c>
      <c r="F1938" s="24"/>
      <c r="G1938" s="24"/>
      <c r="H1938" s="24"/>
      <c r="I1938" s="24"/>
      <c r="J1938" s="3"/>
      <c r="K1938" s="8"/>
      <c r="L1938" s="8"/>
      <c r="M1938" s="8"/>
      <c r="N1938" s="13"/>
      <c r="O1938" s="9"/>
      <c r="P1938" s="20"/>
      <c r="Q1938" s="20"/>
      <c r="R1938" s="20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</row>
    <row r="1939" spans="4:49" ht="15" thickBot="1" x14ac:dyDescent="0.35">
      <c r="D1939" s="2">
        <f t="shared" si="70"/>
        <v>1933</v>
      </c>
      <c r="E1939" s="6">
        <v>1.2507314941816665</v>
      </c>
      <c r="F1939" s="24"/>
      <c r="G1939" s="24"/>
      <c r="H1939" s="24"/>
      <c r="I1939" s="24"/>
      <c r="J1939" s="3"/>
      <c r="K1939" s="8"/>
      <c r="L1939" s="8"/>
      <c r="M1939" s="8"/>
      <c r="N1939" s="13"/>
      <c r="O1939" s="9"/>
      <c r="P1939" s="20"/>
      <c r="Q1939" s="20"/>
      <c r="R1939" s="20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</row>
    <row r="1940" spans="4:49" ht="15" thickBot="1" x14ac:dyDescent="0.35">
      <c r="D1940" s="2">
        <f t="shared" si="70"/>
        <v>1934</v>
      </c>
      <c r="E1940" s="6">
        <v>2.2687310538362619</v>
      </c>
      <c r="F1940" s="24"/>
      <c r="G1940" s="24"/>
      <c r="H1940" s="24"/>
      <c r="I1940" s="24"/>
      <c r="J1940" s="3"/>
      <c r="K1940" s="8"/>
      <c r="L1940" s="8"/>
      <c r="M1940" s="8"/>
      <c r="N1940" s="13"/>
      <c r="O1940" s="9"/>
      <c r="P1940" s="20"/>
      <c r="Q1940" s="20"/>
      <c r="R1940" s="20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</row>
    <row r="1941" spans="4:49" ht="15" thickBot="1" x14ac:dyDescent="0.35">
      <c r="D1941" s="2">
        <f t="shared" si="70"/>
        <v>1935</v>
      </c>
      <c r="E1941" s="6">
        <v>8.4719289687227217</v>
      </c>
      <c r="F1941" s="24"/>
      <c r="G1941" s="24"/>
      <c r="H1941" s="24"/>
      <c r="I1941" s="24"/>
      <c r="J1941" s="3"/>
      <c r="K1941" s="8"/>
      <c r="L1941" s="8"/>
      <c r="M1941" s="8"/>
      <c r="N1941" s="13"/>
      <c r="O1941" s="9"/>
      <c r="P1941" s="20"/>
      <c r="Q1941" s="20"/>
      <c r="R1941" s="20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</row>
    <row r="1942" spans="4:49" ht="15" thickBot="1" x14ac:dyDescent="0.35">
      <c r="D1942" s="2">
        <f t="shared" si="70"/>
        <v>1936</v>
      </c>
      <c r="E1942" s="6">
        <v>18.001027388796935</v>
      </c>
      <c r="F1942" s="24"/>
      <c r="G1942" s="24"/>
      <c r="H1942" s="24"/>
      <c r="I1942" s="24"/>
      <c r="J1942" s="3"/>
      <c r="K1942" s="8"/>
      <c r="L1942" s="8"/>
      <c r="M1942" s="8"/>
      <c r="N1942" s="13"/>
      <c r="O1942" s="9"/>
      <c r="P1942" s="20"/>
      <c r="Q1942" s="20"/>
      <c r="R1942" s="20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</row>
    <row r="1943" spans="4:49" ht="15" thickBot="1" x14ac:dyDescent="0.35">
      <c r="D1943" s="2">
        <f t="shared" si="70"/>
        <v>1937</v>
      </c>
      <c r="E1943" s="6">
        <v>5.1358258693188796</v>
      </c>
      <c r="F1943" s="24"/>
      <c r="G1943" s="24"/>
      <c r="H1943" s="24"/>
      <c r="I1943" s="24"/>
      <c r="J1943" s="3"/>
      <c r="K1943" s="8"/>
      <c r="L1943" s="8"/>
      <c r="M1943" s="8"/>
      <c r="N1943" s="13"/>
      <c r="O1943" s="9"/>
      <c r="P1943" s="20"/>
      <c r="Q1943" s="20"/>
      <c r="R1943" s="20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</row>
    <row r="1944" spans="4:49" ht="15" thickBot="1" x14ac:dyDescent="0.35">
      <c r="D1944" s="2">
        <f t="shared" si="70"/>
        <v>1938</v>
      </c>
      <c r="E1944" s="6">
        <v>5.2742530470775701</v>
      </c>
      <c r="F1944" s="24"/>
      <c r="G1944" s="24"/>
      <c r="H1944" s="24"/>
      <c r="I1944" s="24"/>
      <c r="J1944" s="3"/>
      <c r="K1944" s="8"/>
      <c r="L1944" s="8"/>
      <c r="M1944" s="8"/>
      <c r="N1944" s="13"/>
      <c r="O1944" s="9"/>
      <c r="P1944" s="20"/>
      <c r="Q1944" s="20"/>
      <c r="R1944" s="20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</row>
    <row r="1945" spans="4:49" ht="15" thickBot="1" x14ac:dyDescent="0.35">
      <c r="D1945" s="2">
        <f t="shared" si="70"/>
        <v>1939</v>
      </c>
      <c r="E1945" s="6">
        <v>2.178652727616528</v>
      </c>
      <c r="F1945" s="24"/>
      <c r="G1945" s="24"/>
      <c r="H1945" s="24"/>
      <c r="I1945" s="24"/>
      <c r="J1945" s="3"/>
      <c r="K1945" s="8"/>
      <c r="L1945" s="8"/>
      <c r="M1945" s="8"/>
      <c r="N1945" s="13"/>
      <c r="O1945" s="9"/>
      <c r="P1945" s="20"/>
      <c r="Q1945" s="20"/>
      <c r="R1945" s="20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</row>
    <row r="1946" spans="4:49" ht="15" thickBot="1" x14ac:dyDescent="0.35">
      <c r="D1946" s="2">
        <f t="shared" si="70"/>
        <v>1940</v>
      </c>
      <c r="E1946" s="6">
        <v>14.845973975166359</v>
      </c>
      <c r="F1946" s="24"/>
      <c r="G1946" s="24"/>
      <c r="H1946" s="24"/>
      <c r="I1946" s="24"/>
      <c r="J1946" s="3"/>
      <c r="K1946" s="8"/>
      <c r="L1946" s="8"/>
      <c r="M1946" s="8"/>
      <c r="N1946" s="13"/>
      <c r="O1946" s="9"/>
      <c r="P1946" s="20"/>
      <c r="Q1946" s="20"/>
      <c r="R1946" s="20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</row>
    <row r="1947" spans="4:49" ht="15" thickBot="1" x14ac:dyDescent="0.35">
      <c r="D1947" s="2">
        <f t="shared" si="70"/>
        <v>1941</v>
      </c>
      <c r="E1947" s="6">
        <v>0.55632349959147298</v>
      </c>
      <c r="F1947" s="24"/>
      <c r="G1947" s="24"/>
      <c r="H1947" s="24"/>
      <c r="I1947" s="24"/>
      <c r="J1947" s="3"/>
      <c r="K1947" s="8"/>
      <c r="L1947" s="8"/>
      <c r="M1947" s="8"/>
      <c r="N1947" s="13"/>
      <c r="O1947" s="9"/>
      <c r="P1947" s="20"/>
      <c r="Q1947" s="20"/>
      <c r="R1947" s="20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</row>
    <row r="1948" spans="4:49" ht="15" thickBot="1" x14ac:dyDescent="0.35">
      <c r="D1948" s="2">
        <f t="shared" si="70"/>
        <v>1942</v>
      </c>
      <c r="E1948" s="6">
        <v>7.3009205185203108</v>
      </c>
      <c r="F1948" s="24"/>
      <c r="G1948" s="24"/>
      <c r="H1948" s="24"/>
      <c r="I1948" s="24"/>
      <c r="J1948" s="3"/>
      <c r="K1948" s="8"/>
      <c r="L1948" s="8"/>
      <c r="M1948" s="8"/>
      <c r="N1948" s="13"/>
      <c r="O1948" s="9"/>
      <c r="P1948" s="20"/>
      <c r="Q1948" s="20"/>
      <c r="R1948" s="20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</row>
    <row r="1949" spans="4:49" ht="15" thickBot="1" x14ac:dyDescent="0.35">
      <c r="D1949" s="2">
        <f t="shared" si="70"/>
        <v>1943</v>
      </c>
      <c r="E1949" s="6">
        <v>2.4666092815845984</v>
      </c>
      <c r="F1949" s="24"/>
      <c r="G1949" s="24"/>
      <c r="H1949" s="24"/>
      <c r="I1949" s="24"/>
      <c r="J1949" s="3"/>
      <c r="K1949" s="8"/>
      <c r="L1949" s="8"/>
      <c r="M1949" s="8"/>
      <c r="N1949" s="13"/>
      <c r="O1949" s="9"/>
      <c r="P1949" s="20"/>
      <c r="Q1949" s="20"/>
      <c r="R1949" s="20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</row>
    <row r="1950" spans="4:49" ht="15" thickBot="1" x14ac:dyDescent="0.35">
      <c r="D1950" s="2">
        <f t="shared" si="70"/>
        <v>1944</v>
      </c>
      <c r="E1950" s="6">
        <v>3.4418768793719665</v>
      </c>
      <c r="F1950" s="24"/>
      <c r="G1950" s="24"/>
      <c r="H1950" s="24"/>
      <c r="I1950" s="24"/>
      <c r="J1950" s="3"/>
      <c r="K1950" s="8"/>
      <c r="L1950" s="8"/>
      <c r="M1950" s="8"/>
      <c r="N1950" s="13"/>
      <c r="O1950" s="9"/>
      <c r="P1950" s="20"/>
      <c r="Q1950" s="20"/>
      <c r="R1950" s="20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</row>
    <row r="1951" spans="4:49" ht="15" thickBot="1" x14ac:dyDescent="0.35">
      <c r="D1951" s="2">
        <f t="shared" si="70"/>
        <v>1945</v>
      </c>
      <c r="E1951" s="6">
        <v>1.7206393713261712</v>
      </c>
      <c r="F1951" s="24"/>
      <c r="G1951" s="24"/>
      <c r="H1951" s="24"/>
      <c r="I1951" s="24"/>
      <c r="J1951" s="3"/>
      <c r="K1951" s="8"/>
      <c r="L1951" s="8"/>
      <c r="M1951" s="8"/>
      <c r="N1951" s="13"/>
      <c r="O1951" s="9"/>
      <c r="P1951" s="20"/>
      <c r="Q1951" s="20"/>
      <c r="R1951" s="20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</row>
    <row r="1952" spans="4:49" ht="15" thickBot="1" x14ac:dyDescent="0.35">
      <c r="D1952" s="2">
        <f t="shared" si="70"/>
        <v>1946</v>
      </c>
      <c r="E1952" s="6">
        <v>3.8469273070009282</v>
      </c>
      <c r="F1952" s="24"/>
      <c r="G1952" s="24"/>
      <c r="H1952" s="24"/>
      <c r="I1952" s="24"/>
      <c r="J1952" s="3"/>
      <c r="K1952" s="8"/>
      <c r="L1952" s="8"/>
      <c r="M1952" s="8"/>
      <c r="N1952" s="13"/>
      <c r="O1952" s="9"/>
      <c r="P1952" s="20"/>
      <c r="Q1952" s="20"/>
      <c r="R1952" s="20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</row>
    <row r="1953" spans="4:49" ht="15" thickBot="1" x14ac:dyDescent="0.35">
      <c r="D1953" s="2">
        <f t="shared" si="70"/>
        <v>1947</v>
      </c>
      <c r="E1953" s="6">
        <v>1.4731726482965897</v>
      </c>
      <c r="F1953" s="24"/>
      <c r="G1953" s="24"/>
      <c r="H1953" s="24"/>
      <c r="I1953" s="24"/>
      <c r="J1953" s="3"/>
      <c r="K1953" s="8"/>
      <c r="L1953" s="8"/>
      <c r="M1953" s="8"/>
      <c r="N1953" s="13"/>
      <c r="O1953" s="9"/>
      <c r="P1953" s="20"/>
      <c r="Q1953" s="20"/>
      <c r="R1953" s="20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</row>
    <row r="1954" spans="4:49" ht="15" thickBot="1" x14ac:dyDescent="0.35">
      <c r="D1954" s="2">
        <f t="shared" si="70"/>
        <v>1948</v>
      </c>
      <c r="E1954" s="6">
        <v>2.0209368164818047</v>
      </c>
      <c r="F1954" s="24"/>
      <c r="G1954" s="24"/>
      <c r="H1954" s="24"/>
      <c r="I1954" s="24"/>
      <c r="J1954" s="3"/>
      <c r="K1954" s="8"/>
      <c r="L1954" s="8"/>
      <c r="M1954" s="8"/>
      <c r="N1954" s="13"/>
      <c r="O1954" s="9"/>
      <c r="P1954" s="20"/>
      <c r="Q1954" s="20"/>
      <c r="R1954" s="20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</row>
    <row r="1955" spans="4:49" ht="15" thickBot="1" x14ac:dyDescent="0.35">
      <c r="D1955" s="2">
        <f t="shared" si="70"/>
        <v>1949</v>
      </c>
      <c r="E1955" s="6">
        <v>1.9898218246413386</v>
      </c>
      <c r="F1955" s="24"/>
      <c r="G1955" s="24"/>
      <c r="H1955" s="24"/>
      <c r="I1955" s="24"/>
      <c r="J1955" s="3"/>
      <c r="K1955" s="8"/>
      <c r="L1955" s="8"/>
      <c r="M1955" s="8"/>
      <c r="N1955" s="13"/>
      <c r="O1955" s="9"/>
      <c r="P1955" s="20"/>
      <c r="Q1955" s="20"/>
      <c r="R1955" s="20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</row>
    <row r="1956" spans="4:49" ht="15" thickBot="1" x14ac:dyDescent="0.35">
      <c r="D1956" s="2">
        <f t="shared" si="70"/>
        <v>1950</v>
      </c>
      <c r="E1956" s="6">
        <v>1.8559870785838046</v>
      </c>
      <c r="F1956" s="24"/>
      <c r="G1956" s="24"/>
      <c r="H1956" s="24"/>
      <c r="I1956" s="24"/>
      <c r="J1956" s="3"/>
      <c r="K1956" s="8"/>
      <c r="L1956" s="8"/>
      <c r="M1956" s="8"/>
      <c r="N1956" s="13"/>
      <c r="O1956" s="9"/>
      <c r="P1956" s="20"/>
      <c r="Q1956" s="20"/>
      <c r="R1956" s="20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</row>
    <row r="1957" spans="4:49" ht="15" thickBot="1" x14ac:dyDescent="0.35">
      <c r="D1957" s="2">
        <f t="shared" si="70"/>
        <v>1951</v>
      </c>
      <c r="E1957" s="6">
        <v>23.486629911006681</v>
      </c>
      <c r="F1957" s="24"/>
      <c r="G1957" s="24"/>
      <c r="H1957" s="24"/>
      <c r="I1957" s="24"/>
      <c r="J1957" s="3"/>
      <c r="K1957" s="8"/>
      <c r="L1957" s="8"/>
      <c r="M1957" s="8"/>
      <c r="N1957" s="13"/>
      <c r="O1957" s="9"/>
      <c r="P1957" s="20"/>
      <c r="Q1957" s="20"/>
      <c r="R1957" s="20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</row>
    <row r="1958" spans="4:49" ht="15" thickBot="1" x14ac:dyDescent="0.35">
      <c r="D1958" s="2">
        <f t="shared" si="70"/>
        <v>1952</v>
      </c>
      <c r="E1958" s="6">
        <v>1.191904893280574</v>
      </c>
      <c r="F1958" s="24"/>
      <c r="G1958" s="24"/>
      <c r="H1958" s="24"/>
      <c r="I1958" s="24"/>
      <c r="J1958" s="3"/>
      <c r="K1958" s="8"/>
      <c r="L1958" s="8"/>
      <c r="M1958" s="8"/>
      <c r="N1958" s="13"/>
      <c r="O1958" s="9"/>
      <c r="P1958" s="20"/>
      <c r="Q1958" s="20"/>
      <c r="R1958" s="20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</row>
    <row r="1959" spans="4:49" ht="15" thickBot="1" x14ac:dyDescent="0.35">
      <c r="D1959" s="2">
        <f t="shared" si="70"/>
        <v>1953</v>
      </c>
      <c r="E1959" s="6">
        <v>6.8534515827055618</v>
      </c>
      <c r="F1959" s="24"/>
      <c r="G1959" s="24"/>
      <c r="H1959" s="24"/>
      <c r="I1959" s="24"/>
      <c r="J1959" s="3"/>
      <c r="K1959" s="8"/>
      <c r="L1959" s="8"/>
      <c r="M1959" s="8"/>
      <c r="N1959" s="13"/>
      <c r="O1959" s="9"/>
      <c r="P1959" s="20"/>
      <c r="Q1959" s="20"/>
      <c r="R1959" s="20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</row>
    <row r="1960" spans="4:49" ht="15" thickBot="1" x14ac:dyDescent="0.35">
      <c r="D1960" s="2">
        <f t="shared" si="70"/>
        <v>1954</v>
      </c>
      <c r="E1960" s="6">
        <v>4.9316037562965729</v>
      </c>
      <c r="F1960" s="24"/>
      <c r="G1960" s="24"/>
      <c r="H1960" s="24"/>
      <c r="I1960" s="24"/>
      <c r="J1960" s="3"/>
      <c r="K1960" s="8"/>
      <c r="L1960" s="8"/>
      <c r="M1960" s="8"/>
      <c r="N1960" s="13"/>
      <c r="O1960" s="9"/>
      <c r="P1960" s="20"/>
      <c r="Q1960" s="20"/>
      <c r="R1960" s="20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</row>
    <row r="1961" spans="4:49" ht="15" thickBot="1" x14ac:dyDescent="0.35">
      <c r="D1961" s="2">
        <f t="shared" si="70"/>
        <v>1955</v>
      </c>
      <c r="E1961" s="6">
        <v>2.7425405253140984</v>
      </c>
      <c r="F1961" s="24"/>
      <c r="G1961" s="24"/>
      <c r="H1961" s="24"/>
      <c r="I1961" s="24"/>
      <c r="J1961" s="3"/>
      <c r="K1961" s="8"/>
      <c r="L1961" s="8"/>
      <c r="M1961" s="8"/>
      <c r="N1961" s="13"/>
      <c r="O1961" s="9"/>
      <c r="P1961" s="20"/>
      <c r="Q1961" s="20"/>
      <c r="R1961" s="20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</row>
    <row r="1962" spans="4:49" ht="15" thickBot="1" x14ac:dyDescent="0.35">
      <c r="D1962" s="2">
        <f t="shared" si="70"/>
        <v>1956</v>
      </c>
      <c r="E1962" s="6">
        <v>0.60901353718780438</v>
      </c>
      <c r="F1962" s="24"/>
      <c r="G1962" s="24"/>
      <c r="H1962" s="24"/>
      <c r="I1962" s="24"/>
      <c r="J1962" s="3"/>
      <c r="K1962" s="8"/>
      <c r="L1962" s="8"/>
      <c r="M1962" s="8"/>
      <c r="N1962" s="13"/>
      <c r="O1962" s="9"/>
      <c r="P1962" s="20"/>
      <c r="Q1962" s="20"/>
      <c r="R1962" s="20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</row>
    <row r="1963" spans="4:49" ht="15" thickBot="1" x14ac:dyDescent="0.35">
      <c r="D1963" s="2">
        <f t="shared" si="70"/>
        <v>1957</v>
      </c>
      <c r="E1963" s="6">
        <v>2.671584344566813</v>
      </c>
      <c r="F1963" s="24"/>
      <c r="G1963" s="24"/>
      <c r="H1963" s="24"/>
      <c r="I1963" s="24"/>
      <c r="J1963" s="3"/>
      <c r="K1963" s="8"/>
      <c r="L1963" s="8"/>
      <c r="M1963" s="8"/>
      <c r="N1963" s="13"/>
      <c r="O1963" s="9"/>
      <c r="P1963" s="20"/>
      <c r="Q1963" s="20"/>
      <c r="R1963" s="20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</row>
    <row r="1964" spans="4:49" ht="15" thickBot="1" x14ac:dyDescent="0.35">
      <c r="D1964" s="2">
        <f t="shared" si="70"/>
        <v>1958</v>
      </c>
      <c r="E1964" s="6">
        <v>2.0892367773039511</v>
      </c>
      <c r="F1964" s="24"/>
      <c r="G1964" s="24"/>
      <c r="H1964" s="24"/>
      <c r="I1964" s="24"/>
      <c r="J1964" s="3"/>
      <c r="K1964" s="8"/>
      <c r="L1964" s="8"/>
      <c r="M1964" s="8"/>
      <c r="N1964" s="13"/>
      <c r="O1964" s="9"/>
      <c r="P1964" s="20"/>
      <c r="Q1964" s="20"/>
      <c r="R1964" s="20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</row>
    <row r="1965" spans="4:49" ht="15" thickBot="1" x14ac:dyDescent="0.35">
      <c r="D1965" s="2">
        <f t="shared" si="70"/>
        <v>1959</v>
      </c>
      <c r="E1965" s="6">
        <v>3.3214102785794934</v>
      </c>
      <c r="F1965" s="24"/>
      <c r="G1965" s="24"/>
      <c r="H1965" s="24"/>
      <c r="I1965" s="24"/>
      <c r="J1965" s="3"/>
      <c r="K1965" s="8"/>
      <c r="L1965" s="8"/>
      <c r="M1965" s="8"/>
      <c r="N1965" s="13"/>
      <c r="O1965" s="9"/>
      <c r="P1965" s="20"/>
      <c r="Q1965" s="20"/>
      <c r="R1965" s="20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</row>
    <row r="1966" spans="4:49" ht="15" thickBot="1" x14ac:dyDescent="0.35">
      <c r="D1966" s="2">
        <f t="shared" si="70"/>
        <v>1960</v>
      </c>
      <c r="E1966" s="6">
        <v>0.64461422800431301</v>
      </c>
      <c r="F1966" s="24"/>
      <c r="G1966" s="24"/>
      <c r="H1966" s="24"/>
      <c r="I1966" s="24"/>
      <c r="J1966" s="3"/>
      <c r="K1966" s="8"/>
      <c r="L1966" s="8"/>
      <c r="M1966" s="8"/>
      <c r="N1966" s="13"/>
      <c r="O1966" s="9"/>
      <c r="P1966" s="20"/>
      <c r="Q1966" s="20"/>
      <c r="R1966" s="20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</row>
    <row r="1967" spans="4:49" ht="15" thickBot="1" x14ac:dyDescent="0.35">
      <c r="D1967" s="2">
        <f t="shared" si="70"/>
        <v>1961</v>
      </c>
      <c r="E1967" s="6">
        <v>1.2880880287939942</v>
      </c>
      <c r="F1967" s="24"/>
      <c r="G1967" s="24"/>
      <c r="H1967" s="24"/>
      <c r="I1967" s="24"/>
      <c r="J1967" s="3"/>
      <c r="K1967" s="8"/>
      <c r="L1967" s="8"/>
      <c r="M1967" s="8"/>
      <c r="N1967" s="13"/>
      <c r="O1967" s="9"/>
      <c r="P1967" s="20"/>
      <c r="Q1967" s="20"/>
      <c r="R1967" s="20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</row>
    <row r="1968" spans="4:49" ht="15" thickBot="1" x14ac:dyDescent="0.35">
      <c r="D1968" s="2">
        <f t="shared" si="70"/>
        <v>1962</v>
      </c>
      <c r="E1968" s="6">
        <v>0.68892760174603107</v>
      </c>
      <c r="F1968" s="24"/>
      <c r="G1968" s="24"/>
      <c r="H1968" s="24"/>
      <c r="I1968" s="24"/>
      <c r="J1968" s="3"/>
      <c r="K1968" s="8"/>
      <c r="L1968" s="8"/>
      <c r="M1968" s="8"/>
      <c r="N1968" s="13"/>
      <c r="O1968" s="9"/>
      <c r="P1968" s="20"/>
      <c r="Q1968" s="20"/>
      <c r="R1968" s="20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</row>
    <row r="1969" spans="4:49" ht="15" thickBot="1" x14ac:dyDescent="0.35">
      <c r="D1969" s="2">
        <f t="shared" si="70"/>
        <v>1963</v>
      </c>
      <c r="E1969" s="6">
        <v>13.998326278700334</v>
      </c>
      <c r="F1969" s="24"/>
      <c r="G1969" s="24"/>
      <c r="H1969" s="24"/>
      <c r="I1969" s="24"/>
      <c r="J1969" s="3"/>
      <c r="K1969" s="8"/>
      <c r="L1969" s="8"/>
      <c r="M1969" s="8"/>
      <c r="N1969" s="13"/>
      <c r="O1969" s="9"/>
      <c r="P1969" s="20"/>
      <c r="Q1969" s="20"/>
      <c r="R1969" s="20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</row>
    <row r="1970" spans="4:49" ht="15" thickBot="1" x14ac:dyDescent="0.35">
      <c r="D1970" s="2">
        <f t="shared" si="70"/>
        <v>1964</v>
      </c>
      <c r="E1970" s="6">
        <v>0.71210151282603162</v>
      </c>
      <c r="F1970" s="24"/>
      <c r="G1970" s="24"/>
      <c r="H1970" s="24"/>
      <c r="I1970" s="24"/>
      <c r="J1970" s="3"/>
      <c r="K1970" s="8"/>
      <c r="L1970" s="8"/>
      <c r="M1970" s="8"/>
      <c r="N1970" s="13"/>
      <c r="O1970" s="9"/>
      <c r="P1970" s="20"/>
      <c r="Q1970" s="20"/>
      <c r="R1970" s="20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</row>
    <row r="1971" spans="4:49" ht="15" thickBot="1" x14ac:dyDescent="0.35">
      <c r="D1971" s="2">
        <f t="shared" si="70"/>
        <v>1965</v>
      </c>
      <c r="E1971" s="6">
        <v>2.9545170325275505</v>
      </c>
      <c r="F1971" s="24"/>
      <c r="G1971" s="24"/>
      <c r="H1971" s="24"/>
      <c r="I1971" s="24"/>
      <c r="J1971" s="3"/>
      <c r="K1971" s="8"/>
      <c r="L1971" s="8"/>
      <c r="M1971" s="8"/>
      <c r="N1971" s="13"/>
      <c r="O1971" s="9"/>
      <c r="P1971" s="20"/>
      <c r="Q1971" s="20"/>
      <c r="R1971" s="20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</row>
    <row r="1972" spans="4:49" ht="15" thickBot="1" x14ac:dyDescent="0.35">
      <c r="D1972" s="2">
        <f t="shared" si="70"/>
        <v>1966</v>
      </c>
      <c r="E1972" s="6">
        <v>8.6370067594890134</v>
      </c>
      <c r="F1972" s="24"/>
      <c r="G1972" s="24"/>
      <c r="H1972" s="24"/>
      <c r="I1972" s="24"/>
      <c r="J1972" s="3"/>
      <c r="K1972" s="8"/>
      <c r="L1972" s="8"/>
      <c r="M1972" s="8"/>
      <c r="N1972" s="13"/>
      <c r="O1972" s="9"/>
      <c r="P1972" s="20"/>
      <c r="Q1972" s="20"/>
      <c r="R1972" s="20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</row>
    <row r="1973" spans="4:49" ht="15" thickBot="1" x14ac:dyDescent="0.35">
      <c r="D1973" s="2">
        <f t="shared" si="70"/>
        <v>1967</v>
      </c>
      <c r="E1973" s="6">
        <v>5.5392873605918185</v>
      </c>
      <c r="F1973" s="24"/>
      <c r="G1973" s="24"/>
      <c r="H1973" s="24"/>
      <c r="I1973" s="24"/>
      <c r="J1973" s="3"/>
      <c r="K1973" s="8"/>
      <c r="L1973" s="8"/>
      <c r="M1973" s="8"/>
      <c r="N1973" s="13"/>
      <c r="O1973" s="9"/>
      <c r="P1973" s="20"/>
      <c r="Q1973" s="20"/>
      <c r="R1973" s="20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</row>
    <row r="1974" spans="4:49" ht="15" thickBot="1" x14ac:dyDescent="0.35">
      <c r="D1974" s="2">
        <f t="shared" si="70"/>
        <v>1968</v>
      </c>
      <c r="E1974" s="6">
        <v>4.8446128204072032</v>
      </c>
      <c r="F1974" s="24"/>
      <c r="G1974" s="24"/>
      <c r="H1974" s="24"/>
      <c r="I1974" s="24"/>
      <c r="J1974" s="3"/>
      <c r="K1974" s="8"/>
      <c r="L1974" s="8"/>
      <c r="M1974" s="8"/>
      <c r="N1974" s="13"/>
      <c r="O1974" s="9"/>
      <c r="P1974" s="20"/>
      <c r="Q1974" s="20"/>
      <c r="R1974" s="20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</row>
    <row r="1975" spans="4:49" ht="15" thickBot="1" x14ac:dyDescent="0.35">
      <c r="D1975" s="2">
        <f t="shared" si="70"/>
        <v>1969</v>
      </c>
      <c r="E1975" s="6">
        <v>2.1040570750962053</v>
      </c>
      <c r="F1975" s="24"/>
      <c r="G1975" s="24"/>
      <c r="H1975" s="24"/>
      <c r="I1975" s="24"/>
      <c r="J1975" s="3"/>
      <c r="K1975" s="8"/>
      <c r="L1975" s="8"/>
      <c r="M1975" s="8"/>
      <c r="N1975" s="13"/>
      <c r="O1975" s="9"/>
      <c r="P1975" s="20"/>
      <c r="Q1975" s="20"/>
      <c r="R1975" s="20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</row>
    <row r="1976" spans="4:49" ht="15" thickBot="1" x14ac:dyDescent="0.35">
      <c r="D1976" s="2">
        <f t="shared" si="70"/>
        <v>1970</v>
      </c>
      <c r="E1976" s="6">
        <v>1.1649175167105363</v>
      </c>
      <c r="F1976" s="24"/>
      <c r="G1976" s="24"/>
      <c r="H1976" s="24"/>
      <c r="I1976" s="24"/>
      <c r="J1976" s="3"/>
      <c r="K1976" s="8"/>
      <c r="L1976" s="8"/>
      <c r="M1976" s="8"/>
      <c r="N1976" s="13"/>
      <c r="O1976" s="9"/>
      <c r="P1976" s="20"/>
      <c r="Q1976" s="20"/>
      <c r="R1976" s="20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</row>
    <row r="1977" spans="4:49" ht="15" thickBot="1" x14ac:dyDescent="0.35">
      <c r="D1977" s="2">
        <f t="shared" si="70"/>
        <v>1971</v>
      </c>
      <c r="E1977" s="6">
        <v>2.6941918157172133</v>
      </c>
      <c r="F1977" s="24"/>
      <c r="G1977" s="24"/>
      <c r="H1977" s="24"/>
      <c r="I1977" s="24"/>
      <c r="J1977" s="3"/>
      <c r="K1977" s="8"/>
      <c r="L1977" s="8"/>
      <c r="M1977" s="8"/>
      <c r="N1977" s="13"/>
      <c r="O1977" s="9"/>
      <c r="P1977" s="20"/>
      <c r="Q1977" s="20"/>
      <c r="R1977" s="20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</row>
    <row r="1978" spans="4:49" ht="15" thickBot="1" x14ac:dyDescent="0.35">
      <c r="D1978" s="2">
        <f t="shared" si="70"/>
        <v>1972</v>
      </c>
      <c r="E1978" s="6">
        <v>5.51146418101699</v>
      </c>
      <c r="F1978" s="24"/>
      <c r="G1978" s="24"/>
      <c r="H1978" s="24"/>
      <c r="I1978" s="24"/>
      <c r="J1978" s="3"/>
      <c r="K1978" s="8"/>
      <c r="L1978" s="8"/>
      <c r="M1978" s="8"/>
      <c r="N1978" s="13"/>
      <c r="O1978" s="9"/>
      <c r="P1978" s="20"/>
      <c r="Q1978" s="20"/>
      <c r="R1978" s="20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</row>
    <row r="1979" spans="4:49" ht="15" thickBot="1" x14ac:dyDescent="0.35">
      <c r="D1979" s="2">
        <f t="shared" si="70"/>
        <v>1973</v>
      </c>
      <c r="E1979" s="6">
        <v>1.5485625435837007</v>
      </c>
      <c r="F1979" s="24"/>
      <c r="G1979" s="24"/>
      <c r="H1979" s="24"/>
      <c r="I1979" s="24"/>
      <c r="J1979" s="3"/>
      <c r="K1979" s="8"/>
      <c r="L1979" s="8"/>
      <c r="M1979" s="8"/>
      <c r="N1979" s="13"/>
      <c r="O1979" s="9"/>
      <c r="P1979" s="20"/>
      <c r="Q1979" s="20"/>
      <c r="R1979" s="20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</row>
    <row r="1980" spans="4:49" ht="15" thickBot="1" x14ac:dyDescent="0.35">
      <c r="D1980" s="2">
        <f t="shared" si="70"/>
        <v>1974</v>
      </c>
      <c r="E1980" s="6">
        <v>0.47677564460248345</v>
      </c>
      <c r="F1980" s="24"/>
      <c r="G1980" s="24"/>
      <c r="H1980" s="24"/>
      <c r="I1980" s="24"/>
      <c r="J1980" s="3"/>
      <c r="K1980" s="8"/>
      <c r="L1980" s="8"/>
      <c r="M1980" s="8"/>
      <c r="N1980" s="13"/>
      <c r="O1980" s="9"/>
      <c r="P1980" s="20"/>
      <c r="Q1980" s="20"/>
      <c r="R1980" s="20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</row>
    <row r="1981" spans="4:49" ht="15" thickBot="1" x14ac:dyDescent="0.35">
      <c r="D1981" s="2">
        <f t="shared" si="70"/>
        <v>1975</v>
      </c>
      <c r="E1981" s="6">
        <v>0.71380803458779063</v>
      </c>
      <c r="F1981" s="24"/>
      <c r="G1981" s="24"/>
      <c r="H1981" s="24"/>
      <c r="I1981" s="24"/>
      <c r="J1981" s="3"/>
      <c r="K1981" s="8"/>
      <c r="L1981" s="8"/>
      <c r="M1981" s="8"/>
      <c r="N1981" s="13"/>
      <c r="O1981" s="9"/>
      <c r="P1981" s="20"/>
      <c r="Q1981" s="20"/>
      <c r="R1981" s="20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</row>
    <row r="1982" spans="4:49" ht="15" thickBot="1" x14ac:dyDescent="0.35">
      <c r="D1982" s="2">
        <f t="shared" si="70"/>
        <v>1976</v>
      </c>
      <c r="E1982" s="6">
        <v>0.68712108923348503</v>
      </c>
      <c r="F1982" s="24"/>
      <c r="G1982" s="24"/>
      <c r="H1982" s="24"/>
      <c r="I1982" s="24"/>
      <c r="J1982" s="3"/>
      <c r="K1982" s="8"/>
      <c r="L1982" s="8"/>
      <c r="M1982" s="8"/>
      <c r="N1982" s="13"/>
      <c r="O1982" s="9"/>
      <c r="P1982" s="20"/>
      <c r="Q1982" s="20"/>
      <c r="R1982" s="20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</row>
    <row r="1983" spans="4:49" ht="15" thickBot="1" x14ac:dyDescent="0.35">
      <c r="D1983" s="2">
        <f t="shared" si="70"/>
        <v>1977</v>
      </c>
      <c r="E1983" s="6">
        <v>4.9874481012434098</v>
      </c>
      <c r="F1983" s="24"/>
      <c r="G1983" s="24"/>
      <c r="H1983" s="24"/>
      <c r="I1983" s="24"/>
      <c r="J1983" s="3"/>
      <c r="K1983" s="8"/>
      <c r="L1983" s="8"/>
      <c r="M1983" s="8"/>
      <c r="N1983" s="13"/>
      <c r="O1983" s="9"/>
      <c r="P1983" s="20"/>
      <c r="Q1983" s="20"/>
      <c r="R1983" s="20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</row>
    <row r="1984" spans="4:49" ht="15" thickBot="1" x14ac:dyDescent="0.35">
      <c r="D1984" s="2">
        <f t="shared" si="70"/>
        <v>1978</v>
      </c>
      <c r="E1984" s="6">
        <v>2.2080625738534616</v>
      </c>
      <c r="F1984" s="24"/>
      <c r="G1984" s="24"/>
      <c r="H1984" s="24"/>
      <c r="I1984" s="24"/>
      <c r="J1984" s="3"/>
      <c r="K1984" s="8"/>
      <c r="L1984" s="8"/>
      <c r="M1984" s="8"/>
      <c r="N1984" s="13"/>
      <c r="O1984" s="9"/>
      <c r="P1984" s="20"/>
      <c r="Q1984" s="20"/>
      <c r="R1984" s="20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</row>
    <row r="1985" spans="4:49" ht="15" thickBot="1" x14ac:dyDescent="0.35">
      <c r="D1985" s="2">
        <f t="shared" si="70"/>
        <v>1979</v>
      </c>
      <c r="E1985" s="6">
        <v>5.3379252804928017</v>
      </c>
      <c r="F1985" s="24"/>
      <c r="G1985" s="24"/>
      <c r="H1985" s="24"/>
      <c r="I1985" s="24"/>
      <c r="J1985" s="3"/>
      <c r="K1985" s="8"/>
      <c r="L1985" s="8"/>
      <c r="M1985" s="8"/>
      <c r="N1985" s="13"/>
      <c r="O1985" s="9"/>
      <c r="P1985" s="20"/>
      <c r="Q1985" s="20"/>
      <c r="R1985" s="20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</row>
    <row r="1986" spans="4:49" ht="15" thickBot="1" x14ac:dyDescent="0.35">
      <c r="D1986" s="2">
        <f t="shared" si="70"/>
        <v>1980</v>
      </c>
      <c r="E1986" s="6">
        <v>6.8816823213889728</v>
      </c>
      <c r="F1986" s="24"/>
      <c r="G1986" s="24"/>
      <c r="H1986" s="24"/>
      <c r="I1986" s="24"/>
      <c r="J1986" s="3"/>
      <c r="K1986" s="8"/>
      <c r="L1986" s="8"/>
      <c r="M1986" s="8"/>
      <c r="N1986" s="13"/>
      <c r="O1986" s="9"/>
      <c r="P1986" s="20"/>
      <c r="Q1986" s="20"/>
      <c r="R1986" s="20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</row>
    <row r="1987" spans="4:49" ht="15" thickBot="1" x14ac:dyDescent="0.35">
      <c r="D1987" s="2">
        <f t="shared" si="70"/>
        <v>1981</v>
      </c>
      <c r="E1987" s="6">
        <v>0.98936584236789538</v>
      </c>
      <c r="F1987" s="24"/>
      <c r="G1987" s="24"/>
      <c r="H1987" s="24"/>
      <c r="I1987" s="24"/>
      <c r="J1987" s="3"/>
      <c r="K1987" s="8"/>
      <c r="L1987" s="8"/>
      <c r="M1987" s="8"/>
      <c r="N1987" s="13"/>
      <c r="O1987" s="9"/>
      <c r="P1987" s="20"/>
      <c r="Q1987" s="20"/>
      <c r="R1987" s="20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</row>
    <row r="1988" spans="4:49" ht="15" thickBot="1" x14ac:dyDescent="0.35">
      <c r="D1988" s="2">
        <f t="shared" si="70"/>
        <v>1982</v>
      </c>
      <c r="E1988" s="6">
        <v>12.84265264537858</v>
      </c>
      <c r="F1988" s="24"/>
      <c r="G1988" s="24"/>
      <c r="H1988" s="24"/>
      <c r="I1988" s="24"/>
      <c r="J1988" s="3"/>
      <c r="K1988" s="8"/>
      <c r="L1988" s="8"/>
      <c r="M1988" s="8"/>
      <c r="N1988" s="13"/>
      <c r="O1988" s="9"/>
      <c r="P1988" s="20"/>
      <c r="Q1988" s="20"/>
      <c r="R1988" s="20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</row>
    <row r="1989" spans="4:49" ht="15" thickBot="1" x14ac:dyDescent="0.35">
      <c r="D1989" s="2">
        <f t="shared" si="70"/>
        <v>1983</v>
      </c>
      <c r="E1989" s="6">
        <v>1.5119755300366855</v>
      </c>
      <c r="F1989" s="24"/>
      <c r="G1989" s="24"/>
      <c r="H1989" s="24"/>
      <c r="I1989" s="24"/>
      <c r="J1989" s="3"/>
      <c r="K1989" s="8"/>
      <c r="L1989" s="8"/>
      <c r="M1989" s="8"/>
      <c r="N1989" s="13"/>
      <c r="O1989" s="9"/>
      <c r="P1989" s="20"/>
      <c r="Q1989" s="20"/>
      <c r="R1989" s="20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</row>
    <row r="1990" spans="4:49" ht="15" thickBot="1" x14ac:dyDescent="0.35">
      <c r="D1990" s="2">
        <f t="shared" si="70"/>
        <v>1984</v>
      </c>
      <c r="E1990" s="6">
        <v>2.6757627044201633</v>
      </c>
      <c r="F1990" s="24"/>
      <c r="G1990" s="24"/>
      <c r="H1990" s="24"/>
      <c r="I1990" s="24"/>
      <c r="J1990" s="3"/>
      <c r="K1990" s="8"/>
      <c r="L1990" s="8"/>
      <c r="M1990" s="8"/>
      <c r="N1990" s="13"/>
      <c r="O1990" s="9"/>
      <c r="P1990" s="20"/>
      <c r="Q1990" s="20"/>
      <c r="R1990" s="20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</row>
    <row r="1991" spans="4:49" ht="15" thickBot="1" x14ac:dyDescent="0.35">
      <c r="D1991" s="2">
        <f t="shared" ref="D1991:D2054" si="71">ROW()-6</f>
        <v>1985</v>
      </c>
      <c r="E1991" s="6">
        <v>0.92861083709979875</v>
      </c>
      <c r="F1991" s="24"/>
      <c r="G1991" s="24"/>
      <c r="H1991" s="24"/>
      <c r="I1991" s="24"/>
      <c r="J1991" s="3"/>
      <c r="K1991" s="8"/>
      <c r="L1991" s="8"/>
      <c r="M1991" s="8"/>
      <c r="N1991" s="13"/>
      <c r="O1991" s="9"/>
      <c r="P1991" s="20"/>
      <c r="Q1991" s="20"/>
      <c r="R1991" s="20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</row>
    <row r="1992" spans="4:49" ht="15" thickBot="1" x14ac:dyDescent="0.35">
      <c r="D1992" s="2">
        <f t="shared" si="71"/>
        <v>1986</v>
      </c>
      <c r="E1992" s="6">
        <v>4.8939361408592861</v>
      </c>
      <c r="F1992" s="24"/>
      <c r="G1992" s="24"/>
      <c r="H1992" s="24"/>
      <c r="I1992" s="24"/>
      <c r="J1992" s="3"/>
      <c r="K1992" s="8"/>
      <c r="L1992" s="8"/>
      <c r="M1992" s="8"/>
      <c r="N1992" s="13"/>
      <c r="O1992" s="9"/>
      <c r="P1992" s="20"/>
      <c r="Q1992" s="20"/>
      <c r="R1992" s="20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</row>
    <row r="1993" spans="4:49" ht="15" thickBot="1" x14ac:dyDescent="0.35">
      <c r="D1993" s="2">
        <f t="shared" si="71"/>
        <v>1987</v>
      </c>
      <c r="E1993" s="6">
        <v>2.5335094959540245</v>
      </c>
      <c r="F1993" s="24"/>
      <c r="G1993" s="24"/>
      <c r="H1993" s="24"/>
      <c r="I1993" s="24"/>
      <c r="J1993" s="3"/>
      <c r="K1993" s="8"/>
      <c r="L1993" s="8"/>
      <c r="M1993" s="8"/>
      <c r="N1993" s="13"/>
      <c r="O1993" s="9"/>
      <c r="P1993" s="20"/>
      <c r="Q1993" s="20"/>
      <c r="R1993" s="20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</row>
    <row r="1994" spans="4:49" ht="15" thickBot="1" x14ac:dyDescent="0.35">
      <c r="D1994" s="2">
        <f t="shared" si="71"/>
        <v>1988</v>
      </c>
      <c r="E1994" s="6">
        <v>1.8110612143844316</v>
      </c>
      <c r="F1994" s="24"/>
      <c r="G1994" s="24"/>
      <c r="H1994" s="24"/>
      <c r="I1994" s="24"/>
      <c r="J1994" s="3"/>
      <c r="K1994" s="8"/>
      <c r="L1994" s="8"/>
      <c r="M1994" s="8"/>
      <c r="N1994" s="13"/>
      <c r="O1994" s="9"/>
      <c r="P1994" s="20"/>
      <c r="Q1994" s="20"/>
      <c r="R1994" s="20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</row>
    <row r="1995" spans="4:49" ht="15" thickBot="1" x14ac:dyDescent="0.35">
      <c r="D1995" s="2">
        <f t="shared" si="71"/>
        <v>1989</v>
      </c>
      <c r="E1995" s="6">
        <v>14.476465206988985</v>
      </c>
      <c r="F1995" s="24"/>
      <c r="G1995" s="24"/>
      <c r="H1995" s="24"/>
      <c r="I1995" s="24"/>
      <c r="J1995" s="3"/>
      <c r="K1995" s="8"/>
      <c r="L1995" s="8"/>
      <c r="M1995" s="8"/>
      <c r="N1995" s="13"/>
      <c r="O1995" s="9"/>
      <c r="P1995" s="20"/>
      <c r="Q1995" s="20"/>
      <c r="R1995" s="20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</row>
    <row r="1996" spans="4:49" ht="15" thickBot="1" x14ac:dyDescent="0.35">
      <c r="D1996" s="2">
        <f t="shared" si="71"/>
        <v>1990</v>
      </c>
      <c r="E1996" s="6">
        <v>3.1556438680992702</v>
      </c>
      <c r="F1996" s="24"/>
      <c r="G1996" s="24"/>
      <c r="H1996" s="24"/>
      <c r="I1996" s="24"/>
      <c r="J1996" s="3"/>
      <c r="K1996" s="8"/>
      <c r="L1996" s="8"/>
      <c r="M1996" s="8"/>
      <c r="N1996" s="13"/>
      <c r="O1996" s="9"/>
      <c r="P1996" s="20"/>
      <c r="Q1996" s="20"/>
      <c r="R1996" s="20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</row>
    <row r="1997" spans="4:49" ht="15" thickBot="1" x14ac:dyDescent="0.35">
      <c r="D1997" s="2">
        <f t="shared" si="71"/>
        <v>1991</v>
      </c>
      <c r="E1997" s="6">
        <v>4.8467183494801409</v>
      </c>
      <c r="F1997" s="24"/>
      <c r="G1997" s="24"/>
      <c r="H1997" s="24"/>
      <c r="I1997" s="24"/>
      <c r="J1997" s="3"/>
      <c r="K1997" s="8"/>
      <c r="L1997" s="8"/>
      <c r="M1997" s="8"/>
      <c r="N1997" s="13"/>
      <c r="O1997" s="9"/>
      <c r="P1997" s="20"/>
      <c r="Q1997" s="20"/>
      <c r="R1997" s="20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</row>
    <row r="1998" spans="4:49" ht="15" thickBot="1" x14ac:dyDescent="0.35">
      <c r="D1998" s="2">
        <f t="shared" si="71"/>
        <v>1992</v>
      </c>
      <c r="E1998" s="6">
        <v>0.52995550431141858</v>
      </c>
      <c r="F1998" s="24"/>
      <c r="G1998" s="24"/>
      <c r="H1998" s="24"/>
      <c r="I1998" s="24"/>
      <c r="J1998" s="3"/>
      <c r="K1998" s="8"/>
      <c r="L1998" s="8"/>
      <c r="M1998" s="8"/>
      <c r="N1998" s="13"/>
      <c r="O1998" s="9"/>
      <c r="P1998" s="20"/>
      <c r="Q1998" s="20"/>
      <c r="R1998" s="20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</row>
    <row r="1999" spans="4:49" ht="15" thickBot="1" x14ac:dyDescent="0.35">
      <c r="D1999" s="2">
        <f t="shared" si="71"/>
        <v>1993</v>
      </c>
      <c r="E1999" s="6">
        <v>12.54062538072642</v>
      </c>
      <c r="F1999" s="24"/>
      <c r="G1999" s="24"/>
      <c r="H1999" s="24"/>
      <c r="I1999" s="24"/>
      <c r="J1999" s="3"/>
      <c r="K1999" s="8"/>
      <c r="L1999" s="8"/>
      <c r="M1999" s="8"/>
      <c r="N1999" s="13"/>
      <c r="O1999" s="9"/>
      <c r="P1999" s="20"/>
      <c r="Q1999" s="20"/>
      <c r="R1999" s="20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</row>
    <row r="2000" spans="4:49" ht="15" thickBot="1" x14ac:dyDescent="0.35">
      <c r="D2000" s="2">
        <f t="shared" si="71"/>
        <v>1994</v>
      </c>
      <c r="E2000" s="6">
        <v>0.81176227841114845</v>
      </c>
      <c r="F2000" s="24"/>
      <c r="G2000" s="24"/>
      <c r="H2000" s="24"/>
      <c r="I2000" s="24"/>
      <c r="J2000" s="3"/>
      <c r="K2000" s="8"/>
      <c r="L2000" s="8"/>
      <c r="M2000" s="8"/>
      <c r="N2000" s="13"/>
      <c r="O2000" s="9"/>
      <c r="P2000" s="20"/>
      <c r="Q2000" s="20"/>
      <c r="R2000" s="20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</row>
    <row r="2001" spans="4:49" ht="15" thickBot="1" x14ac:dyDescent="0.35">
      <c r="D2001" s="2">
        <f t="shared" si="71"/>
        <v>1995</v>
      </c>
      <c r="E2001" s="6">
        <v>4.8273055659286267E-2</v>
      </c>
      <c r="F2001" s="24"/>
      <c r="G2001" s="24"/>
      <c r="H2001" s="24"/>
      <c r="I2001" s="24"/>
      <c r="J2001" s="3"/>
      <c r="K2001" s="8"/>
      <c r="L2001" s="8"/>
      <c r="M2001" s="8"/>
      <c r="N2001" s="13"/>
      <c r="O2001" s="9"/>
      <c r="P2001" s="20"/>
      <c r="Q2001" s="20"/>
      <c r="R2001" s="20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</row>
    <row r="2002" spans="4:49" ht="15" thickBot="1" x14ac:dyDescent="0.35">
      <c r="D2002" s="2">
        <f t="shared" si="71"/>
        <v>1996</v>
      </c>
      <c r="E2002" s="6">
        <v>1.3637156573223979</v>
      </c>
      <c r="F2002" s="24"/>
      <c r="G2002" s="24"/>
      <c r="H2002" s="24"/>
      <c r="I2002" s="24"/>
      <c r="J2002" s="3"/>
      <c r="K2002" s="8"/>
      <c r="L2002" s="8"/>
      <c r="M2002" s="8"/>
      <c r="N2002" s="13"/>
      <c r="O2002" s="9"/>
      <c r="P2002" s="20"/>
      <c r="Q2002" s="20"/>
      <c r="R2002" s="20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</row>
    <row r="2003" spans="4:49" ht="15" thickBot="1" x14ac:dyDescent="0.35">
      <c r="D2003" s="2">
        <f t="shared" si="71"/>
        <v>1997</v>
      </c>
      <c r="E2003" s="6">
        <v>0.45188571505384345</v>
      </c>
      <c r="F2003" s="24"/>
      <c r="G2003" s="24"/>
      <c r="H2003" s="24"/>
      <c r="I2003" s="24"/>
      <c r="J2003" s="3"/>
      <c r="K2003" s="8"/>
      <c r="L2003" s="8"/>
      <c r="M2003" s="8"/>
      <c r="N2003" s="13"/>
      <c r="O2003" s="9"/>
      <c r="P2003" s="20"/>
      <c r="Q2003" s="20"/>
      <c r="R2003" s="20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</row>
    <row r="2004" spans="4:49" ht="15" thickBot="1" x14ac:dyDescent="0.35">
      <c r="D2004" s="2">
        <f t="shared" si="71"/>
        <v>1998</v>
      </c>
      <c r="E2004" s="6">
        <v>5.7134943933935238</v>
      </c>
      <c r="F2004" s="24"/>
      <c r="G2004" s="24"/>
      <c r="H2004" s="24"/>
      <c r="I2004" s="24"/>
      <c r="J2004" s="3"/>
      <c r="K2004" s="8"/>
      <c r="L2004" s="8"/>
      <c r="M2004" s="8"/>
      <c r="N2004" s="13"/>
      <c r="O2004" s="9"/>
      <c r="P2004" s="20"/>
      <c r="Q2004" s="20"/>
      <c r="R2004" s="20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</row>
    <row r="2005" spans="4:49" ht="15" thickBot="1" x14ac:dyDescent="0.35">
      <c r="D2005" s="2">
        <f t="shared" si="71"/>
        <v>1999</v>
      </c>
      <c r="E2005" s="6">
        <v>3.7813980697638409E-2</v>
      </c>
      <c r="F2005" s="24"/>
      <c r="G2005" s="24"/>
      <c r="H2005" s="24"/>
      <c r="I2005" s="24"/>
      <c r="J2005" s="3"/>
      <c r="K2005" s="8"/>
      <c r="L2005" s="8"/>
      <c r="M2005" s="8"/>
      <c r="N2005" s="13"/>
      <c r="O2005" s="9"/>
      <c r="P2005" s="20"/>
      <c r="Q2005" s="20"/>
      <c r="R2005" s="20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</row>
    <row r="2006" spans="4:49" ht="15" thickBot="1" x14ac:dyDescent="0.35">
      <c r="D2006" s="2">
        <f t="shared" si="71"/>
        <v>2000</v>
      </c>
      <c r="E2006" s="6">
        <v>2.3530854447056941</v>
      </c>
      <c r="F2006" s="24"/>
      <c r="G2006" s="24"/>
      <c r="H2006" s="24"/>
      <c r="I2006" s="24"/>
      <c r="J2006" s="3"/>
      <c r="K2006" s="8"/>
      <c r="L2006" s="8"/>
      <c r="M2006" s="8"/>
      <c r="N2006" s="13"/>
      <c r="O2006" s="9"/>
      <c r="P2006" s="20"/>
      <c r="Q2006" s="20"/>
      <c r="R2006" s="20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</row>
    <row r="2007" spans="4:49" ht="15" thickBot="1" x14ac:dyDescent="0.35">
      <c r="D2007" s="2">
        <f t="shared" si="71"/>
        <v>2001</v>
      </c>
      <c r="E2007" s="6">
        <v>1.6409840721910422E-2</v>
      </c>
      <c r="F2007" s="24"/>
      <c r="G2007" s="24"/>
      <c r="H2007" s="24"/>
      <c r="I2007" s="24"/>
      <c r="J2007" s="3"/>
      <c r="K2007" s="8"/>
      <c r="L2007" s="8"/>
      <c r="M2007" s="8"/>
      <c r="N2007" s="13"/>
      <c r="O2007" s="9"/>
      <c r="P2007" s="20"/>
      <c r="Q2007" s="20"/>
      <c r="R2007" s="20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</row>
    <row r="2008" spans="4:49" ht="15" thickBot="1" x14ac:dyDescent="0.35">
      <c r="D2008" s="2">
        <f t="shared" si="71"/>
        <v>2002</v>
      </c>
      <c r="E2008" s="6">
        <v>2.6362550862190623</v>
      </c>
      <c r="F2008" s="24"/>
      <c r="G2008" s="24"/>
      <c r="H2008" s="24"/>
      <c r="I2008" s="24"/>
      <c r="J2008" s="3"/>
      <c r="K2008" s="8"/>
      <c r="L2008" s="8"/>
      <c r="M2008" s="8"/>
      <c r="N2008" s="13"/>
      <c r="O2008" s="9"/>
      <c r="P2008" s="20"/>
      <c r="Q2008" s="20"/>
      <c r="R2008" s="20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</row>
    <row r="2009" spans="4:49" ht="15" thickBot="1" x14ac:dyDescent="0.35">
      <c r="D2009" s="2">
        <f t="shared" si="71"/>
        <v>2003</v>
      </c>
      <c r="E2009" s="6">
        <v>0.3271849912831013</v>
      </c>
      <c r="F2009" s="24"/>
      <c r="G2009" s="24"/>
      <c r="H2009" s="24"/>
      <c r="I2009" s="24"/>
      <c r="J2009" s="3"/>
      <c r="K2009" s="8"/>
      <c r="L2009" s="8"/>
      <c r="M2009" s="8"/>
      <c r="N2009" s="13"/>
      <c r="O2009" s="9"/>
      <c r="P2009" s="20"/>
      <c r="Q2009" s="20"/>
      <c r="R2009" s="20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</row>
    <row r="2010" spans="4:49" ht="15" thickBot="1" x14ac:dyDescent="0.35">
      <c r="D2010" s="2">
        <f t="shared" si="71"/>
        <v>2004</v>
      </c>
      <c r="E2010" s="6">
        <v>1.6711008980154596</v>
      </c>
      <c r="F2010" s="24"/>
      <c r="G2010" s="24"/>
      <c r="H2010" s="24"/>
      <c r="I2010" s="24"/>
      <c r="J2010" s="3"/>
      <c r="K2010" s="8"/>
      <c r="L2010" s="8"/>
      <c r="M2010" s="8"/>
      <c r="N2010" s="13"/>
      <c r="O2010" s="9"/>
      <c r="P2010" s="20"/>
      <c r="Q2010" s="20"/>
      <c r="R2010" s="20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</row>
    <row r="2011" spans="4:49" ht="15" thickBot="1" x14ac:dyDescent="0.35">
      <c r="D2011" s="2">
        <f t="shared" si="71"/>
        <v>2005</v>
      </c>
      <c r="E2011" s="6">
        <v>1.7617025538989806</v>
      </c>
      <c r="F2011" s="24"/>
      <c r="G2011" s="24"/>
      <c r="H2011" s="24"/>
      <c r="I2011" s="24"/>
      <c r="J2011" s="3"/>
      <c r="N2011" s="13"/>
      <c r="O2011" s="9"/>
      <c r="P2011" s="20"/>
      <c r="Q2011" s="20"/>
      <c r="R2011" s="20"/>
      <c r="S2011" s="8"/>
      <c r="T2011" s="8"/>
      <c r="U2011" s="8"/>
      <c r="V2011" s="8"/>
      <c r="W2011" s="8"/>
      <c r="X2011" s="8"/>
      <c r="Y2011" s="8"/>
      <c r="Z2011" s="8"/>
    </row>
    <row r="2012" spans="4:49" ht="15" thickBot="1" x14ac:dyDescent="0.35">
      <c r="D2012" s="2">
        <f t="shared" si="71"/>
        <v>2006</v>
      </c>
      <c r="E2012" s="6">
        <v>0.49666093204272099</v>
      </c>
      <c r="F2012" s="24"/>
      <c r="G2012" s="24"/>
      <c r="H2012" s="24"/>
      <c r="I2012" s="24"/>
      <c r="J2012" s="3"/>
      <c r="N2012" s="13"/>
      <c r="O2012" s="9"/>
      <c r="P2012" s="20"/>
      <c r="Q2012" s="20"/>
      <c r="R2012" s="20"/>
      <c r="S2012" s="8"/>
      <c r="T2012" s="8"/>
      <c r="U2012" s="8"/>
      <c r="V2012" s="8"/>
      <c r="W2012" s="8"/>
      <c r="X2012" s="8"/>
      <c r="Y2012" s="8"/>
      <c r="Z2012" s="8"/>
    </row>
    <row r="2013" spans="4:49" ht="15" thickBot="1" x14ac:dyDescent="0.35">
      <c r="D2013" s="2">
        <f t="shared" si="71"/>
        <v>2007</v>
      </c>
      <c r="E2013" s="6">
        <v>2.6474703512228035</v>
      </c>
      <c r="F2013" s="24"/>
      <c r="G2013" s="24"/>
      <c r="H2013" s="24"/>
      <c r="I2013" s="24"/>
      <c r="J2013" s="3"/>
      <c r="N2013" s="13"/>
      <c r="O2013" s="9"/>
      <c r="P2013" s="20"/>
      <c r="Q2013" s="20"/>
      <c r="R2013" s="20"/>
      <c r="S2013" s="8"/>
      <c r="T2013" s="8"/>
      <c r="U2013" s="8"/>
      <c r="V2013" s="8"/>
      <c r="W2013" s="8"/>
      <c r="X2013" s="8"/>
      <c r="Y2013" s="8"/>
      <c r="Z2013" s="8"/>
    </row>
    <row r="2014" spans="4:49" ht="15" thickBot="1" x14ac:dyDescent="0.35">
      <c r="D2014" s="2">
        <f t="shared" si="71"/>
        <v>2008</v>
      </c>
      <c r="E2014" s="6">
        <v>8.641214872207204</v>
      </c>
      <c r="F2014" s="24"/>
      <c r="G2014" s="24"/>
      <c r="H2014" s="24"/>
      <c r="I2014" s="24"/>
      <c r="J2014" s="3"/>
      <c r="N2014" s="13"/>
      <c r="O2014" s="9"/>
      <c r="P2014" s="20"/>
      <c r="Q2014" s="20"/>
      <c r="R2014" s="20"/>
      <c r="S2014" s="8"/>
      <c r="T2014" s="8"/>
      <c r="U2014" s="8"/>
      <c r="V2014" s="8"/>
      <c r="W2014" s="8"/>
      <c r="X2014" s="8"/>
      <c r="Y2014" s="8"/>
      <c r="Z2014" s="8"/>
    </row>
    <row r="2015" spans="4:49" ht="15" thickBot="1" x14ac:dyDescent="0.35">
      <c r="D2015" s="2">
        <f t="shared" si="71"/>
        <v>2009</v>
      </c>
      <c r="E2015" s="6">
        <v>4.7251765714415033</v>
      </c>
      <c r="F2015" s="24"/>
      <c r="G2015" s="24"/>
      <c r="H2015" s="24"/>
      <c r="I2015" s="24"/>
      <c r="J2015" s="3"/>
      <c r="N2015" s="13"/>
      <c r="O2015" s="9"/>
      <c r="P2015" s="20"/>
      <c r="Q2015" s="20"/>
      <c r="R2015" s="20"/>
      <c r="S2015" s="8"/>
      <c r="T2015" s="8"/>
      <c r="U2015" s="8"/>
      <c r="V2015" s="8"/>
      <c r="W2015" s="8"/>
      <c r="X2015" s="8"/>
      <c r="Y2015" s="8"/>
      <c r="Z2015" s="8"/>
    </row>
    <row r="2016" spans="4:49" ht="15" thickBot="1" x14ac:dyDescent="0.35">
      <c r="D2016" s="2">
        <f t="shared" si="71"/>
        <v>2010</v>
      </c>
      <c r="E2016" s="6">
        <v>8.9164911691033115</v>
      </c>
      <c r="F2016" s="24"/>
      <c r="G2016" s="24"/>
      <c r="H2016" s="24"/>
      <c r="I2016" s="24"/>
      <c r="J2016" s="3"/>
      <c r="N2016" s="13"/>
      <c r="O2016" s="9"/>
      <c r="P2016" s="20"/>
      <c r="Q2016" s="20"/>
      <c r="R2016" s="20"/>
      <c r="S2016" s="8"/>
      <c r="T2016" s="8"/>
      <c r="U2016" s="8"/>
      <c r="V2016" s="8"/>
      <c r="W2016" s="8"/>
      <c r="X2016" s="8"/>
      <c r="Y2016" s="8"/>
      <c r="Z2016" s="8"/>
    </row>
    <row r="2017" spans="4:26" ht="15" thickBot="1" x14ac:dyDescent="0.35">
      <c r="D2017" s="2">
        <f t="shared" si="71"/>
        <v>2011</v>
      </c>
      <c r="E2017" s="6">
        <v>6.4824252399677578</v>
      </c>
      <c r="F2017" s="24"/>
      <c r="G2017" s="24"/>
      <c r="H2017" s="24"/>
      <c r="I2017" s="24"/>
      <c r="J2017" s="3"/>
      <c r="N2017" s="13"/>
      <c r="O2017" s="9"/>
      <c r="P2017" s="20"/>
      <c r="Q2017" s="20"/>
      <c r="R2017" s="20"/>
      <c r="S2017" s="8"/>
      <c r="T2017" s="8"/>
      <c r="U2017" s="8"/>
      <c r="V2017" s="8"/>
      <c r="W2017" s="8"/>
      <c r="X2017" s="8"/>
      <c r="Y2017" s="8"/>
      <c r="Z2017" s="8"/>
    </row>
    <row r="2018" spans="4:26" ht="15" thickBot="1" x14ac:dyDescent="0.35">
      <c r="D2018" s="2">
        <f t="shared" si="71"/>
        <v>2012</v>
      </c>
      <c r="E2018" s="6">
        <v>1.394302089373352</v>
      </c>
      <c r="F2018" s="24"/>
      <c r="G2018" s="24"/>
      <c r="H2018" s="24"/>
      <c r="I2018" s="24"/>
      <c r="J2018" s="3"/>
      <c r="N2018" s="13"/>
      <c r="O2018" s="9"/>
      <c r="P2018" s="20"/>
      <c r="Q2018" s="20"/>
      <c r="R2018" s="20"/>
      <c r="S2018" s="8"/>
      <c r="T2018" s="8"/>
      <c r="U2018" s="8"/>
      <c r="V2018" s="8"/>
      <c r="W2018" s="8"/>
      <c r="X2018" s="8"/>
      <c r="Y2018" s="8"/>
      <c r="Z2018" s="8"/>
    </row>
    <row r="2019" spans="4:26" ht="15" thickBot="1" x14ac:dyDescent="0.35">
      <c r="D2019" s="2">
        <f t="shared" si="71"/>
        <v>2013</v>
      </c>
      <c r="E2019" s="6">
        <v>2.9606971827647692</v>
      </c>
      <c r="F2019" s="24"/>
      <c r="G2019" s="24"/>
      <c r="H2019" s="24"/>
      <c r="I2019" s="24"/>
      <c r="J2019" s="3"/>
      <c r="N2019" s="13"/>
      <c r="O2019" s="9"/>
      <c r="P2019" s="20"/>
      <c r="Q2019" s="20"/>
      <c r="R2019" s="20"/>
      <c r="S2019" s="8"/>
      <c r="T2019" s="8"/>
      <c r="U2019" s="8"/>
      <c r="V2019" s="8"/>
      <c r="W2019" s="8"/>
      <c r="X2019" s="8"/>
      <c r="Y2019" s="8"/>
      <c r="Z2019" s="8"/>
    </row>
    <row r="2020" spans="4:26" ht="15" thickBot="1" x14ac:dyDescent="0.35">
      <c r="D2020" s="2">
        <f t="shared" si="71"/>
        <v>2014</v>
      </c>
      <c r="E2020" s="6">
        <v>1.0511027285153405</v>
      </c>
      <c r="F2020" s="24"/>
      <c r="G2020" s="24"/>
      <c r="H2020" s="24"/>
      <c r="I2020" s="24"/>
      <c r="J2020" s="3"/>
      <c r="N2020" s="13"/>
      <c r="O2020" s="9"/>
      <c r="P2020" s="20"/>
      <c r="Q2020" s="20"/>
      <c r="R2020" s="20"/>
      <c r="S2020" s="8"/>
      <c r="T2020" s="8"/>
      <c r="U2020" s="8"/>
      <c r="V2020" s="8"/>
      <c r="W2020" s="8"/>
      <c r="X2020" s="8"/>
      <c r="Y2020" s="8"/>
      <c r="Z2020" s="8"/>
    </row>
    <row r="2021" spans="4:26" ht="15" thickBot="1" x14ac:dyDescent="0.35">
      <c r="D2021" s="2">
        <f t="shared" si="71"/>
        <v>2015</v>
      </c>
      <c r="E2021" s="6">
        <v>9.0368709392166622</v>
      </c>
      <c r="F2021" s="24"/>
      <c r="G2021" s="24"/>
      <c r="H2021" s="24"/>
      <c r="I2021" s="24"/>
      <c r="J2021" s="3"/>
      <c r="N2021" s="13"/>
      <c r="O2021" s="9"/>
      <c r="P2021" s="20"/>
      <c r="Q2021" s="20"/>
      <c r="R2021" s="20"/>
      <c r="S2021" s="8"/>
      <c r="T2021" s="8"/>
      <c r="U2021" s="8"/>
      <c r="V2021" s="8"/>
      <c r="W2021" s="8"/>
      <c r="X2021" s="8"/>
      <c r="Y2021" s="8"/>
      <c r="Z2021" s="8"/>
    </row>
    <row r="2022" spans="4:26" ht="15" thickBot="1" x14ac:dyDescent="0.35">
      <c r="D2022" s="2">
        <f t="shared" si="71"/>
        <v>2016</v>
      </c>
      <c r="E2022" s="6">
        <v>5.3045985349940903</v>
      </c>
      <c r="F2022" s="24"/>
      <c r="G2022" s="24"/>
      <c r="H2022" s="24"/>
      <c r="I2022" s="24"/>
      <c r="J2022" s="3"/>
      <c r="N2022" s="13"/>
      <c r="O2022" s="9"/>
      <c r="P2022" s="20"/>
      <c r="Q2022" s="20"/>
      <c r="R2022" s="20"/>
      <c r="S2022" s="8"/>
      <c r="T2022" s="8"/>
      <c r="U2022" s="8"/>
      <c r="V2022" s="8"/>
      <c r="W2022" s="8"/>
      <c r="X2022" s="8"/>
      <c r="Y2022" s="8"/>
      <c r="Z2022" s="8"/>
    </row>
    <row r="2023" spans="4:26" ht="15" thickBot="1" x14ac:dyDescent="0.35">
      <c r="D2023" s="2">
        <f t="shared" si="71"/>
        <v>2017</v>
      </c>
      <c r="E2023" s="6">
        <v>2.6745124345252242</v>
      </c>
      <c r="F2023" s="24"/>
      <c r="G2023" s="24"/>
      <c r="H2023" s="24"/>
      <c r="I2023" s="24"/>
      <c r="J2023" s="3"/>
      <c r="N2023" s="13"/>
      <c r="O2023" s="9"/>
      <c r="P2023" s="20"/>
      <c r="Q2023" s="20"/>
      <c r="R2023" s="20"/>
      <c r="S2023" s="8"/>
      <c r="T2023" s="8"/>
      <c r="U2023" s="8"/>
      <c r="V2023" s="8"/>
      <c r="W2023" s="8"/>
      <c r="X2023" s="8"/>
      <c r="Y2023" s="8"/>
      <c r="Z2023" s="8"/>
    </row>
    <row r="2024" spans="4:26" ht="15" thickBot="1" x14ac:dyDescent="0.35">
      <c r="D2024" s="2">
        <f t="shared" si="71"/>
        <v>2018</v>
      </c>
      <c r="E2024" s="6">
        <v>4.6726069474474237</v>
      </c>
      <c r="F2024" s="24"/>
      <c r="G2024" s="24"/>
      <c r="H2024" s="24"/>
      <c r="I2024" s="24"/>
      <c r="J2024" s="3"/>
      <c r="N2024" s="13"/>
      <c r="O2024" s="9"/>
      <c r="P2024" s="20"/>
      <c r="Q2024" s="20"/>
      <c r="R2024" s="20"/>
      <c r="S2024" s="8"/>
      <c r="T2024" s="8"/>
      <c r="U2024" s="8"/>
      <c r="V2024" s="8"/>
      <c r="W2024" s="8"/>
      <c r="X2024" s="8"/>
      <c r="Y2024" s="8"/>
      <c r="Z2024" s="8"/>
    </row>
    <row r="2025" spans="4:26" ht="15" thickBot="1" x14ac:dyDescent="0.35">
      <c r="D2025" s="2">
        <f t="shared" si="71"/>
        <v>2019</v>
      </c>
      <c r="E2025" s="6">
        <v>2.8769935504185256</v>
      </c>
      <c r="F2025" s="24"/>
      <c r="G2025" s="24"/>
      <c r="H2025" s="24"/>
      <c r="I2025" s="24"/>
      <c r="J2025" s="3"/>
      <c r="N2025" s="13"/>
      <c r="O2025" s="9"/>
      <c r="P2025" s="20"/>
      <c r="Q2025" s="20"/>
      <c r="R2025" s="20"/>
      <c r="S2025" s="8"/>
      <c r="T2025" s="8"/>
      <c r="U2025" s="8"/>
      <c r="V2025" s="8"/>
      <c r="W2025" s="8"/>
      <c r="X2025" s="8"/>
      <c r="Y2025" s="8"/>
      <c r="Z2025" s="8"/>
    </row>
    <row r="2026" spans="4:26" ht="15" thickBot="1" x14ac:dyDescent="0.35">
      <c r="D2026" s="2">
        <f t="shared" si="71"/>
        <v>2020</v>
      </c>
      <c r="E2026" s="6">
        <v>0.17428214737925246</v>
      </c>
      <c r="F2026" s="24"/>
      <c r="G2026" s="24"/>
      <c r="H2026" s="24"/>
      <c r="I2026" s="24"/>
      <c r="J2026" s="3"/>
      <c r="N2026" s="13"/>
      <c r="O2026" s="9"/>
      <c r="P2026" s="20"/>
      <c r="Q2026" s="20"/>
      <c r="R2026" s="20"/>
      <c r="S2026" s="8"/>
      <c r="T2026" s="8"/>
      <c r="U2026" s="8"/>
      <c r="V2026" s="8"/>
      <c r="W2026" s="8"/>
      <c r="X2026" s="8"/>
      <c r="Y2026" s="8"/>
      <c r="Z2026" s="8"/>
    </row>
    <row r="2027" spans="4:26" ht="15" thickBot="1" x14ac:dyDescent="0.35">
      <c r="D2027" s="2">
        <f t="shared" si="71"/>
        <v>2021</v>
      </c>
      <c r="E2027" s="6">
        <v>0.37260106043344471</v>
      </c>
      <c r="F2027" s="24"/>
      <c r="G2027" s="24"/>
      <c r="H2027" s="24"/>
      <c r="I2027" s="24"/>
      <c r="J2027" s="3"/>
      <c r="N2027" s="13"/>
      <c r="O2027" s="9"/>
      <c r="P2027" s="20"/>
      <c r="Q2027" s="20"/>
      <c r="R2027" s="20"/>
      <c r="S2027" s="8"/>
      <c r="T2027" s="8"/>
      <c r="U2027" s="8"/>
      <c r="V2027" s="8"/>
      <c r="W2027" s="8"/>
      <c r="X2027" s="8"/>
      <c r="Y2027" s="8"/>
      <c r="Z2027" s="8"/>
    </row>
    <row r="2028" spans="4:26" ht="15" thickBot="1" x14ac:dyDescent="0.35">
      <c r="D2028" s="2">
        <f t="shared" si="71"/>
        <v>2022</v>
      </c>
      <c r="E2028" s="6">
        <v>4.5092387444885862</v>
      </c>
      <c r="F2028" s="24"/>
      <c r="G2028" s="24"/>
      <c r="H2028" s="24"/>
      <c r="I2028" s="24"/>
      <c r="J2028" s="3"/>
      <c r="N2028" s="13"/>
      <c r="O2028" s="9"/>
      <c r="P2028" s="20"/>
      <c r="Q2028" s="20"/>
      <c r="R2028" s="20"/>
      <c r="S2028" s="8"/>
      <c r="T2028" s="8"/>
      <c r="U2028" s="8"/>
      <c r="V2028" s="8"/>
      <c r="W2028" s="8"/>
      <c r="X2028" s="8"/>
      <c r="Y2028" s="8"/>
      <c r="Z2028" s="8"/>
    </row>
    <row r="2029" spans="4:26" ht="15" thickBot="1" x14ac:dyDescent="0.35">
      <c r="D2029" s="2">
        <f t="shared" si="71"/>
        <v>2023</v>
      </c>
      <c r="E2029" s="6">
        <v>3.3352257862926513</v>
      </c>
      <c r="F2029" s="24"/>
      <c r="G2029" s="24"/>
      <c r="H2029" s="24"/>
      <c r="I2029" s="24"/>
      <c r="J2029" s="3"/>
      <c r="N2029" s="13"/>
      <c r="O2029" s="9"/>
      <c r="P2029" s="20"/>
      <c r="Q2029" s="20"/>
      <c r="R2029" s="20"/>
      <c r="S2029" s="8"/>
      <c r="T2029" s="8"/>
      <c r="U2029" s="8"/>
      <c r="V2029" s="8"/>
      <c r="W2029" s="8"/>
      <c r="X2029" s="8"/>
      <c r="Y2029" s="8"/>
      <c r="Z2029" s="8"/>
    </row>
    <row r="2030" spans="4:26" ht="15" thickBot="1" x14ac:dyDescent="0.35">
      <c r="D2030" s="2">
        <f t="shared" si="71"/>
        <v>2024</v>
      </c>
      <c r="E2030" s="6">
        <v>6.3804590033679185</v>
      </c>
      <c r="F2030" s="24"/>
      <c r="G2030" s="24"/>
      <c r="H2030" s="24"/>
      <c r="I2030" s="24"/>
      <c r="J2030" s="3"/>
      <c r="N2030" s="13"/>
      <c r="O2030" s="9"/>
      <c r="P2030" s="20"/>
      <c r="Q2030" s="20"/>
      <c r="R2030" s="20"/>
      <c r="S2030" s="8"/>
      <c r="T2030" s="8"/>
      <c r="U2030" s="8"/>
      <c r="V2030" s="8"/>
      <c r="W2030" s="8"/>
      <c r="X2030" s="8"/>
      <c r="Y2030" s="8"/>
      <c r="Z2030" s="8"/>
    </row>
    <row r="2031" spans="4:26" ht="15" thickBot="1" x14ac:dyDescent="0.35">
      <c r="D2031" s="2">
        <f t="shared" si="71"/>
        <v>2025</v>
      </c>
      <c r="E2031" s="6">
        <v>7.0488745525699912</v>
      </c>
      <c r="F2031" s="24"/>
      <c r="G2031" s="24"/>
      <c r="H2031" s="24"/>
      <c r="I2031" s="24"/>
      <c r="J2031" s="3"/>
      <c r="N2031" s="13"/>
      <c r="O2031" s="9"/>
      <c r="P2031" s="20"/>
      <c r="Q2031" s="20"/>
      <c r="R2031" s="20"/>
      <c r="S2031" s="8"/>
      <c r="T2031" s="8"/>
      <c r="U2031" s="8"/>
      <c r="V2031" s="8"/>
      <c r="W2031" s="8"/>
      <c r="X2031" s="8"/>
      <c r="Y2031" s="8"/>
      <c r="Z2031" s="8"/>
    </row>
    <row r="2032" spans="4:26" ht="15" thickBot="1" x14ac:dyDescent="0.35">
      <c r="D2032" s="2">
        <f t="shared" si="71"/>
        <v>2026</v>
      </c>
      <c r="E2032" s="6">
        <v>1.673817885692517</v>
      </c>
      <c r="F2032" s="24"/>
      <c r="G2032" s="24"/>
      <c r="H2032" s="24"/>
      <c r="I2032" s="24"/>
      <c r="J2032" s="3"/>
      <c r="N2032" s="13"/>
      <c r="O2032" s="9"/>
      <c r="P2032" s="20"/>
      <c r="Q2032" s="20"/>
      <c r="R2032" s="20"/>
      <c r="S2032" s="8"/>
      <c r="T2032" s="8"/>
      <c r="U2032" s="8"/>
      <c r="V2032" s="8"/>
      <c r="W2032" s="8"/>
      <c r="X2032" s="8"/>
      <c r="Y2032" s="8"/>
      <c r="Z2032" s="8"/>
    </row>
    <row r="2033" spans="4:26" ht="15" thickBot="1" x14ac:dyDescent="0.35">
      <c r="D2033" s="2">
        <f t="shared" si="71"/>
        <v>2027</v>
      </c>
      <c r="E2033" s="6">
        <v>9.5031608087679782</v>
      </c>
      <c r="F2033" s="24"/>
      <c r="G2033" s="24"/>
      <c r="H2033" s="24"/>
      <c r="I2033" s="24"/>
      <c r="J2033" s="3"/>
      <c r="N2033" s="13"/>
      <c r="O2033" s="9"/>
      <c r="P2033" s="20"/>
      <c r="Q2033" s="20"/>
      <c r="R2033" s="20"/>
      <c r="S2033" s="8"/>
      <c r="T2033" s="8"/>
      <c r="U2033" s="8"/>
      <c r="V2033" s="8"/>
      <c r="W2033" s="8"/>
      <c r="X2033" s="8"/>
      <c r="Y2033" s="8"/>
      <c r="Z2033" s="8"/>
    </row>
    <row r="2034" spans="4:26" ht="15" thickBot="1" x14ac:dyDescent="0.35">
      <c r="D2034" s="2">
        <f t="shared" si="71"/>
        <v>2028</v>
      </c>
      <c r="E2034" s="6">
        <v>4.4823252970194467</v>
      </c>
      <c r="F2034" s="24"/>
      <c r="G2034" s="24"/>
      <c r="H2034" s="24"/>
      <c r="I2034" s="24"/>
      <c r="J2034" s="3"/>
      <c r="N2034" s="13"/>
      <c r="O2034" s="9"/>
      <c r="P2034" s="20"/>
      <c r="Q2034" s="20"/>
      <c r="R2034" s="20"/>
      <c r="S2034" s="8"/>
      <c r="T2034" s="8"/>
      <c r="U2034" s="8"/>
      <c r="V2034" s="8"/>
      <c r="W2034" s="8"/>
      <c r="X2034" s="8"/>
      <c r="Y2034" s="8"/>
      <c r="Z2034" s="8"/>
    </row>
    <row r="2035" spans="4:26" ht="15" thickBot="1" x14ac:dyDescent="0.35">
      <c r="D2035" s="2">
        <f t="shared" si="71"/>
        <v>2029</v>
      </c>
      <c r="E2035" s="6">
        <v>6.144331336618448</v>
      </c>
      <c r="F2035" s="24"/>
      <c r="G2035" s="24"/>
      <c r="H2035" s="24"/>
      <c r="I2035" s="24"/>
      <c r="J2035" s="3"/>
      <c r="N2035" s="13"/>
      <c r="O2035" s="9"/>
      <c r="P2035" s="20"/>
      <c r="Q2035" s="20"/>
      <c r="R2035" s="20"/>
      <c r="S2035" s="8"/>
      <c r="T2035" s="8"/>
      <c r="U2035" s="8"/>
      <c r="V2035" s="8"/>
      <c r="W2035" s="8"/>
      <c r="X2035" s="8"/>
      <c r="Y2035" s="8"/>
      <c r="Z2035" s="8"/>
    </row>
    <row r="2036" spans="4:26" ht="15" thickBot="1" x14ac:dyDescent="0.35">
      <c r="D2036" s="2">
        <f t="shared" si="71"/>
        <v>2030</v>
      </c>
      <c r="E2036" s="6">
        <v>0.71903712682049392</v>
      </c>
      <c r="F2036" s="24"/>
      <c r="G2036" s="24"/>
      <c r="H2036" s="24"/>
      <c r="I2036" s="24"/>
      <c r="J2036" s="3"/>
      <c r="N2036" s="13"/>
      <c r="O2036" s="9"/>
      <c r="P2036" s="20"/>
      <c r="Q2036" s="20"/>
      <c r="R2036" s="20"/>
      <c r="S2036" s="8"/>
      <c r="T2036" s="8"/>
      <c r="U2036" s="8"/>
      <c r="V2036" s="8"/>
      <c r="W2036" s="8"/>
      <c r="X2036" s="8"/>
      <c r="Y2036" s="8"/>
      <c r="Z2036" s="8"/>
    </row>
    <row r="2037" spans="4:26" ht="15" thickBot="1" x14ac:dyDescent="0.35">
      <c r="D2037" s="2">
        <f t="shared" si="71"/>
        <v>2031</v>
      </c>
      <c r="E2037" s="6">
        <v>4.7327860128309256</v>
      </c>
      <c r="F2037" s="24"/>
      <c r="G2037" s="24"/>
      <c r="H2037" s="24"/>
      <c r="I2037" s="24"/>
      <c r="J2037" s="3"/>
      <c r="N2037" s="13"/>
      <c r="O2037" s="9"/>
      <c r="P2037" s="20"/>
      <c r="Q2037" s="20"/>
      <c r="R2037" s="20"/>
      <c r="S2037" s="8"/>
      <c r="T2037" s="8"/>
      <c r="U2037" s="8"/>
      <c r="V2037" s="8"/>
      <c r="W2037" s="8"/>
      <c r="X2037" s="8"/>
      <c r="Y2037" s="8"/>
      <c r="Z2037" s="8"/>
    </row>
    <row r="2038" spans="4:26" ht="15" thickBot="1" x14ac:dyDescent="0.35">
      <c r="D2038" s="2">
        <f t="shared" si="71"/>
        <v>2032</v>
      </c>
      <c r="E2038" s="6">
        <v>1.0444623233967922</v>
      </c>
      <c r="F2038" s="24"/>
      <c r="G2038" s="24"/>
      <c r="H2038" s="24"/>
      <c r="I2038" s="24"/>
      <c r="J2038" s="3"/>
      <c r="N2038" s="13"/>
      <c r="O2038" s="9"/>
      <c r="P2038" s="20"/>
      <c r="Q2038" s="20"/>
      <c r="R2038" s="20"/>
      <c r="S2038" s="8"/>
      <c r="T2038" s="8"/>
      <c r="U2038" s="8"/>
      <c r="V2038" s="8"/>
      <c r="W2038" s="8"/>
      <c r="X2038" s="8"/>
      <c r="Y2038" s="8"/>
      <c r="Z2038" s="8"/>
    </row>
    <row r="2039" spans="4:26" ht="15" thickBot="1" x14ac:dyDescent="0.35">
      <c r="D2039" s="2">
        <f t="shared" si="71"/>
        <v>2033</v>
      </c>
      <c r="E2039" s="6">
        <v>7.0106338786302747</v>
      </c>
      <c r="F2039" s="24"/>
      <c r="G2039" s="24"/>
      <c r="H2039" s="24"/>
      <c r="I2039" s="24"/>
      <c r="J2039" s="3"/>
      <c r="N2039" s="13"/>
      <c r="O2039" s="9"/>
      <c r="P2039" s="20"/>
      <c r="Q2039" s="20"/>
      <c r="R2039" s="20"/>
      <c r="S2039" s="8"/>
      <c r="T2039" s="8"/>
      <c r="U2039" s="8"/>
      <c r="V2039" s="8"/>
      <c r="W2039" s="8"/>
      <c r="X2039" s="8"/>
      <c r="Y2039" s="8"/>
      <c r="Z2039" s="8"/>
    </row>
    <row r="2040" spans="4:26" ht="15" thickBot="1" x14ac:dyDescent="0.35">
      <c r="D2040" s="2">
        <f t="shared" si="71"/>
        <v>2034</v>
      </c>
      <c r="E2040" s="6">
        <v>3.2054062316071632</v>
      </c>
      <c r="F2040" s="24"/>
      <c r="G2040" s="24"/>
      <c r="H2040" s="24"/>
      <c r="I2040" s="24"/>
      <c r="J2040" s="3"/>
      <c r="N2040" s="13"/>
      <c r="O2040" s="9"/>
      <c r="P2040" s="20"/>
      <c r="Q2040" s="20"/>
      <c r="R2040" s="20"/>
      <c r="S2040" s="8"/>
      <c r="T2040" s="8"/>
      <c r="U2040" s="8"/>
      <c r="V2040" s="8"/>
      <c r="W2040" s="8"/>
      <c r="X2040" s="8"/>
      <c r="Y2040" s="8"/>
      <c r="Z2040" s="8"/>
    </row>
    <row r="2041" spans="4:26" ht="15" thickBot="1" x14ac:dyDescent="0.35">
      <c r="D2041" s="2">
        <f t="shared" si="71"/>
        <v>2035</v>
      </c>
      <c r="E2041" s="6">
        <v>3.2765519583906233</v>
      </c>
      <c r="F2041" s="24"/>
      <c r="G2041" s="24"/>
      <c r="H2041" s="24"/>
      <c r="I2041" s="24"/>
      <c r="J2041" s="3"/>
      <c r="N2041" s="13"/>
      <c r="O2041" s="9"/>
      <c r="P2041" s="20"/>
      <c r="Q2041" s="20"/>
      <c r="R2041" s="20"/>
      <c r="S2041" s="8"/>
      <c r="T2041" s="8"/>
      <c r="U2041" s="8"/>
      <c r="V2041" s="8"/>
      <c r="W2041" s="8"/>
      <c r="X2041" s="8"/>
      <c r="Y2041" s="8"/>
      <c r="Z2041" s="8"/>
    </row>
    <row r="2042" spans="4:26" ht="15" thickBot="1" x14ac:dyDescent="0.35">
      <c r="D2042" s="2">
        <f t="shared" si="71"/>
        <v>2036</v>
      </c>
      <c r="E2042" s="6">
        <v>1.855721290653477</v>
      </c>
      <c r="F2042" s="24"/>
      <c r="G2042" s="24"/>
      <c r="H2042" s="24"/>
      <c r="I2042" s="24"/>
      <c r="J2042" s="3"/>
      <c r="N2042" s="13"/>
      <c r="O2042" s="9"/>
      <c r="P2042" s="20"/>
      <c r="Q2042" s="20"/>
      <c r="R2042" s="20"/>
      <c r="S2042" s="8"/>
      <c r="T2042" s="8"/>
      <c r="U2042" s="8"/>
      <c r="V2042" s="8"/>
      <c r="W2042" s="8"/>
      <c r="X2042" s="8"/>
      <c r="Y2042" s="8"/>
      <c r="Z2042" s="8"/>
    </row>
    <row r="2043" spans="4:26" ht="15" thickBot="1" x14ac:dyDescent="0.35">
      <c r="D2043" s="2">
        <f t="shared" si="71"/>
        <v>2037</v>
      </c>
      <c r="E2043" s="6">
        <v>6.9667052151993873</v>
      </c>
      <c r="F2043" s="24"/>
      <c r="G2043" s="24"/>
      <c r="H2043" s="24"/>
      <c r="I2043" s="24"/>
      <c r="J2043" s="3"/>
      <c r="N2043" s="13"/>
      <c r="O2043" s="9"/>
      <c r="P2043" s="20"/>
      <c r="Q2043" s="20"/>
      <c r="R2043" s="20"/>
      <c r="S2043" s="8"/>
      <c r="T2043" s="8"/>
      <c r="U2043" s="8"/>
      <c r="V2043" s="8"/>
      <c r="W2043" s="8"/>
      <c r="X2043" s="8"/>
      <c r="Y2043" s="8"/>
      <c r="Z2043" s="8"/>
    </row>
    <row r="2044" spans="4:26" ht="15" thickBot="1" x14ac:dyDescent="0.35">
      <c r="D2044" s="2">
        <f t="shared" si="71"/>
        <v>2038</v>
      </c>
      <c r="E2044" s="6">
        <v>0.14254284276721871</v>
      </c>
      <c r="F2044" s="24"/>
      <c r="G2044" s="24"/>
      <c r="H2044" s="24"/>
      <c r="I2044" s="24"/>
      <c r="J2044" s="3"/>
      <c r="N2044" s="13"/>
      <c r="O2044" s="9"/>
      <c r="P2044" s="20"/>
      <c r="Q2044" s="20"/>
      <c r="R2044" s="20"/>
      <c r="S2044" s="8"/>
      <c r="T2044" s="8"/>
      <c r="U2044" s="8"/>
      <c r="V2044" s="8"/>
      <c r="W2044" s="8"/>
      <c r="X2044" s="8"/>
      <c r="Y2044" s="8"/>
      <c r="Z2044" s="8"/>
    </row>
    <row r="2045" spans="4:26" ht="15" thickBot="1" x14ac:dyDescent="0.35">
      <c r="D2045" s="2">
        <f t="shared" si="71"/>
        <v>2039</v>
      </c>
      <c r="E2045" s="6">
        <v>4.2300334704778022</v>
      </c>
      <c r="F2045" s="24"/>
      <c r="G2045" s="24"/>
      <c r="H2045" s="24"/>
      <c r="I2045" s="24"/>
      <c r="J2045" s="3"/>
      <c r="N2045" s="13"/>
      <c r="O2045" s="9"/>
      <c r="P2045" s="20"/>
      <c r="Q2045" s="20"/>
      <c r="R2045" s="20"/>
      <c r="S2045" s="8"/>
      <c r="T2045" s="8"/>
      <c r="U2045" s="8"/>
      <c r="V2045" s="8"/>
      <c r="W2045" s="8"/>
      <c r="X2045" s="8"/>
      <c r="Y2045" s="8"/>
      <c r="Z2045" s="8"/>
    </row>
    <row r="2046" spans="4:26" ht="15" thickBot="1" x14ac:dyDescent="0.35">
      <c r="D2046" s="2">
        <f t="shared" si="71"/>
        <v>2040</v>
      </c>
      <c r="E2046" s="6">
        <v>0.54272690313640615</v>
      </c>
      <c r="F2046" s="24"/>
      <c r="G2046" s="24"/>
      <c r="H2046" s="24"/>
      <c r="I2046" s="24"/>
      <c r="J2046" s="3"/>
      <c r="N2046" s="13"/>
      <c r="O2046" s="9"/>
      <c r="P2046" s="20"/>
      <c r="Q2046" s="20"/>
      <c r="R2046" s="20"/>
      <c r="S2046" s="8"/>
      <c r="T2046" s="8"/>
      <c r="U2046" s="8"/>
      <c r="V2046" s="8"/>
      <c r="W2046" s="8"/>
      <c r="X2046" s="8"/>
      <c r="Y2046" s="8"/>
      <c r="Z2046" s="8"/>
    </row>
    <row r="2047" spans="4:26" ht="15" thickBot="1" x14ac:dyDescent="0.35">
      <c r="D2047" s="2">
        <f t="shared" si="71"/>
        <v>2041</v>
      </c>
      <c r="E2047" s="6">
        <v>1.602443448364411</v>
      </c>
      <c r="F2047" s="24"/>
      <c r="G2047" s="24"/>
      <c r="H2047" s="24"/>
      <c r="I2047" s="24"/>
      <c r="J2047" s="3"/>
      <c r="N2047" s="13"/>
      <c r="O2047" s="9"/>
      <c r="P2047" s="20"/>
      <c r="Q2047" s="20"/>
      <c r="R2047" s="20"/>
      <c r="S2047" s="8"/>
      <c r="T2047" s="8"/>
      <c r="U2047" s="8"/>
      <c r="V2047" s="8"/>
      <c r="W2047" s="8"/>
      <c r="X2047" s="8"/>
      <c r="Y2047" s="8"/>
      <c r="Z2047" s="8"/>
    </row>
    <row r="2048" spans="4:26" ht="15" thickBot="1" x14ac:dyDescent="0.35">
      <c r="D2048" s="2">
        <f t="shared" si="71"/>
        <v>2042</v>
      </c>
      <c r="E2048" s="6">
        <v>7.3583581958711912</v>
      </c>
      <c r="F2048" s="24"/>
      <c r="G2048" s="24"/>
      <c r="H2048" s="24"/>
      <c r="I2048" s="24"/>
      <c r="J2048" s="3"/>
      <c r="N2048" s="13"/>
      <c r="O2048" s="9"/>
      <c r="P2048" s="20"/>
      <c r="Q2048" s="20"/>
      <c r="R2048" s="20"/>
      <c r="S2048" s="8"/>
      <c r="T2048" s="8"/>
      <c r="U2048" s="8"/>
      <c r="V2048" s="8"/>
      <c r="W2048" s="8"/>
      <c r="X2048" s="8"/>
      <c r="Y2048" s="8"/>
      <c r="Z2048" s="8"/>
    </row>
    <row r="2049" spans="4:26" ht="15" thickBot="1" x14ac:dyDescent="0.35">
      <c r="D2049" s="2">
        <f t="shared" si="71"/>
        <v>2043</v>
      </c>
      <c r="E2049" s="6">
        <v>10.231009201737493</v>
      </c>
      <c r="F2049" s="24"/>
      <c r="G2049" s="24"/>
      <c r="H2049" s="24"/>
      <c r="I2049" s="24"/>
      <c r="J2049" s="3"/>
      <c r="N2049" s="13"/>
      <c r="O2049" s="9"/>
      <c r="P2049" s="20"/>
      <c r="Q2049" s="20"/>
      <c r="R2049" s="20"/>
      <c r="S2049" s="8"/>
      <c r="T2049" s="8"/>
      <c r="U2049" s="8"/>
      <c r="V2049" s="8"/>
      <c r="W2049" s="8"/>
      <c r="X2049" s="8"/>
      <c r="Y2049" s="8"/>
      <c r="Z2049" s="8"/>
    </row>
    <row r="2050" spans="4:26" ht="15" thickBot="1" x14ac:dyDescent="0.35">
      <c r="D2050" s="2">
        <f t="shared" si="71"/>
        <v>2044</v>
      </c>
      <c r="E2050" s="6">
        <v>5.5852557205847271</v>
      </c>
      <c r="F2050" s="24"/>
      <c r="G2050" s="24"/>
      <c r="H2050" s="24"/>
      <c r="I2050" s="24"/>
      <c r="J2050" s="3"/>
      <c r="N2050" s="13"/>
      <c r="O2050" s="9"/>
      <c r="P2050" s="20"/>
      <c r="Q2050" s="20"/>
      <c r="R2050" s="20"/>
      <c r="S2050" s="8"/>
      <c r="T2050" s="8"/>
      <c r="U2050" s="8"/>
      <c r="V2050" s="8"/>
      <c r="W2050" s="8"/>
      <c r="X2050" s="8"/>
      <c r="Y2050" s="8"/>
      <c r="Z2050" s="8"/>
    </row>
    <row r="2051" spans="4:26" ht="15" thickBot="1" x14ac:dyDescent="0.35">
      <c r="D2051" s="2">
        <f t="shared" si="71"/>
        <v>2045</v>
      </c>
      <c r="E2051" s="6">
        <v>18.075536835789023</v>
      </c>
      <c r="F2051" s="24"/>
      <c r="G2051" s="24"/>
      <c r="H2051" s="24"/>
      <c r="I2051" s="24"/>
      <c r="J2051" s="3"/>
      <c r="N2051" s="13"/>
      <c r="O2051" s="9"/>
      <c r="P2051" s="20"/>
      <c r="Q2051" s="20"/>
      <c r="R2051" s="20"/>
      <c r="S2051" s="8"/>
      <c r="T2051" s="8"/>
      <c r="U2051" s="8"/>
      <c r="V2051" s="8"/>
      <c r="W2051" s="8"/>
      <c r="X2051" s="8"/>
      <c r="Y2051" s="8"/>
      <c r="Z2051" s="8"/>
    </row>
    <row r="2052" spans="4:26" ht="15" thickBot="1" x14ac:dyDescent="0.35">
      <c r="D2052" s="2">
        <f t="shared" si="71"/>
        <v>2046</v>
      </c>
      <c r="E2052" s="6">
        <v>0.48793756559849888</v>
      </c>
      <c r="F2052" s="24"/>
      <c r="G2052" s="24"/>
      <c r="H2052" s="24"/>
      <c r="I2052" s="24"/>
      <c r="J2052" s="3"/>
      <c r="N2052" s="13"/>
      <c r="O2052" s="9"/>
      <c r="P2052" s="20"/>
      <c r="Q2052" s="20"/>
      <c r="R2052" s="20"/>
      <c r="S2052" s="8"/>
      <c r="T2052" s="8"/>
      <c r="U2052" s="8"/>
      <c r="V2052" s="8"/>
      <c r="W2052" s="8"/>
      <c r="X2052" s="8"/>
      <c r="Y2052" s="8"/>
      <c r="Z2052" s="8"/>
    </row>
    <row r="2053" spans="4:26" ht="15" thickBot="1" x14ac:dyDescent="0.35">
      <c r="D2053" s="2">
        <f t="shared" si="71"/>
        <v>2047</v>
      </c>
      <c r="E2053" s="6">
        <v>4.166824337740386</v>
      </c>
      <c r="F2053" s="24"/>
      <c r="G2053" s="24"/>
      <c r="H2053" s="24"/>
      <c r="I2053" s="24"/>
      <c r="J2053" s="3"/>
      <c r="N2053" s="13"/>
      <c r="O2053" s="9"/>
      <c r="P2053" s="20"/>
      <c r="Q2053" s="20"/>
      <c r="R2053" s="20"/>
      <c r="S2053" s="8"/>
      <c r="T2053" s="8"/>
      <c r="U2053" s="8"/>
      <c r="V2053" s="8"/>
      <c r="W2053" s="8"/>
      <c r="X2053" s="8"/>
      <c r="Y2053" s="8"/>
      <c r="Z2053" s="8"/>
    </row>
    <row r="2054" spans="4:26" ht="15" thickBot="1" x14ac:dyDescent="0.35">
      <c r="D2054" s="2">
        <f t="shared" si="71"/>
        <v>2048</v>
      </c>
      <c r="E2054" s="6">
        <v>0.83757228371073211</v>
      </c>
      <c r="F2054" s="24"/>
      <c r="G2054" s="24"/>
      <c r="H2054" s="24"/>
      <c r="I2054" s="24"/>
      <c r="J2054" s="3"/>
      <c r="N2054" s="13"/>
      <c r="O2054" s="9"/>
      <c r="P2054" s="20"/>
      <c r="Q2054" s="20"/>
      <c r="R2054" s="20"/>
      <c r="S2054" s="8"/>
      <c r="T2054" s="8"/>
      <c r="U2054" s="8"/>
      <c r="V2054" s="8"/>
      <c r="W2054" s="8"/>
      <c r="X2054" s="8"/>
      <c r="Y2054" s="8"/>
      <c r="Z2054" s="8"/>
    </row>
    <row r="2055" spans="4:26" ht="15" thickBot="1" x14ac:dyDescent="0.35">
      <c r="D2055" s="2">
        <f t="shared" ref="D2055:D2118" si="72">ROW()-6</f>
        <v>2049</v>
      </c>
      <c r="E2055" s="6">
        <v>5.3557214397036965</v>
      </c>
      <c r="F2055" s="24"/>
      <c r="G2055" s="24"/>
      <c r="H2055" s="24"/>
      <c r="I2055" s="24"/>
      <c r="J2055" s="3"/>
      <c r="N2055" s="13"/>
      <c r="O2055" s="9"/>
      <c r="P2055" s="20"/>
      <c r="Q2055" s="20"/>
      <c r="R2055" s="20"/>
      <c r="S2055" s="8"/>
      <c r="T2055" s="8"/>
      <c r="U2055" s="8"/>
      <c r="V2055" s="8"/>
      <c r="W2055" s="8"/>
      <c r="X2055" s="8"/>
      <c r="Y2055" s="8"/>
      <c r="Z2055" s="8"/>
    </row>
    <row r="2056" spans="4:26" ht="15" thickBot="1" x14ac:dyDescent="0.35">
      <c r="D2056" s="2">
        <f t="shared" si="72"/>
        <v>2050</v>
      </c>
      <c r="E2056" s="6">
        <v>0.22220037002824333</v>
      </c>
      <c r="F2056" s="24"/>
      <c r="G2056" s="24"/>
      <c r="H2056" s="24"/>
      <c r="I2056" s="24"/>
      <c r="J2056" s="3"/>
      <c r="N2056" s="13"/>
      <c r="O2056" s="9"/>
      <c r="P2056" s="20"/>
      <c r="Q2056" s="20"/>
      <c r="R2056" s="20"/>
      <c r="S2056" s="8"/>
      <c r="T2056" s="8"/>
      <c r="U2056" s="8"/>
      <c r="V2056" s="8"/>
      <c r="W2056" s="8"/>
      <c r="X2056" s="8"/>
      <c r="Y2056" s="8"/>
      <c r="Z2056" s="8"/>
    </row>
    <row r="2057" spans="4:26" ht="15" thickBot="1" x14ac:dyDescent="0.35">
      <c r="D2057" s="2">
        <f t="shared" si="72"/>
        <v>2051</v>
      </c>
      <c r="E2057" s="6">
        <v>5.2369548971325823</v>
      </c>
      <c r="F2057" s="24"/>
      <c r="G2057" s="24"/>
      <c r="H2057" s="24"/>
      <c r="I2057" s="24"/>
      <c r="J2057" s="3"/>
      <c r="N2057" s="13"/>
      <c r="O2057" s="9"/>
      <c r="P2057" s="20"/>
      <c r="Q2057" s="20"/>
      <c r="R2057" s="20"/>
      <c r="S2057" s="8"/>
      <c r="T2057" s="8"/>
      <c r="U2057" s="8"/>
      <c r="V2057" s="8"/>
      <c r="W2057" s="8"/>
      <c r="X2057" s="8"/>
      <c r="Y2057" s="8"/>
      <c r="Z2057" s="8"/>
    </row>
    <row r="2058" spans="4:26" ht="15" thickBot="1" x14ac:dyDescent="0.35">
      <c r="D2058" s="2">
        <f t="shared" si="72"/>
        <v>2052</v>
      </c>
      <c r="E2058" s="6">
        <v>8.1556895112631427</v>
      </c>
      <c r="F2058" s="24"/>
      <c r="G2058" s="24"/>
      <c r="H2058" s="24"/>
      <c r="I2058" s="24"/>
      <c r="J2058" s="3"/>
      <c r="N2058" s="13"/>
      <c r="O2058" s="9"/>
      <c r="P2058" s="20"/>
      <c r="Q2058" s="20"/>
      <c r="R2058" s="20"/>
      <c r="S2058" s="8"/>
      <c r="T2058" s="8"/>
      <c r="U2058" s="8"/>
      <c r="V2058" s="8"/>
      <c r="W2058" s="8"/>
      <c r="X2058" s="8"/>
      <c r="Y2058" s="8"/>
      <c r="Z2058" s="8"/>
    </row>
    <row r="2059" spans="4:26" ht="15" thickBot="1" x14ac:dyDescent="0.35">
      <c r="D2059" s="2">
        <f t="shared" si="72"/>
        <v>2053</v>
      </c>
      <c r="E2059" s="6">
        <v>1.6057295404469836</v>
      </c>
      <c r="F2059" s="24"/>
      <c r="G2059" s="24"/>
      <c r="H2059" s="24"/>
      <c r="I2059" s="24"/>
      <c r="J2059" s="3"/>
      <c r="N2059" s="13"/>
      <c r="O2059" s="9"/>
      <c r="P2059" s="20"/>
      <c r="Q2059" s="20"/>
      <c r="R2059" s="20"/>
      <c r="S2059" s="8"/>
      <c r="T2059" s="8"/>
      <c r="U2059" s="8"/>
      <c r="V2059" s="8"/>
      <c r="W2059" s="8"/>
      <c r="X2059" s="8"/>
      <c r="Y2059" s="8"/>
      <c r="Z2059" s="8"/>
    </row>
    <row r="2060" spans="4:26" ht="15" thickBot="1" x14ac:dyDescent="0.35">
      <c r="D2060" s="2">
        <f t="shared" si="72"/>
        <v>2054</v>
      </c>
      <c r="E2060" s="6">
        <v>8.8803682284828938</v>
      </c>
      <c r="F2060" s="24"/>
      <c r="G2060" s="24"/>
      <c r="H2060" s="24"/>
      <c r="I2060" s="24"/>
      <c r="J2060" s="3"/>
      <c r="N2060" s="13"/>
      <c r="O2060" s="9"/>
      <c r="P2060" s="20"/>
      <c r="Q2060" s="20"/>
      <c r="R2060" s="20"/>
      <c r="S2060" s="8"/>
      <c r="T2060" s="8"/>
      <c r="U2060" s="8"/>
      <c r="V2060" s="8"/>
      <c r="W2060" s="8"/>
      <c r="X2060" s="8"/>
      <c r="Y2060" s="8"/>
      <c r="Z2060" s="8"/>
    </row>
    <row r="2061" spans="4:26" ht="15" thickBot="1" x14ac:dyDescent="0.35">
      <c r="D2061" s="2">
        <f t="shared" si="72"/>
        <v>2055</v>
      </c>
      <c r="E2061" s="6">
        <v>7.2860000978558992E-2</v>
      </c>
      <c r="F2061" s="24"/>
      <c r="G2061" s="24"/>
      <c r="H2061" s="24"/>
      <c r="I2061" s="24"/>
      <c r="J2061" s="3"/>
      <c r="N2061" s="13"/>
      <c r="O2061" s="9"/>
      <c r="P2061" s="20"/>
      <c r="Q2061" s="20"/>
      <c r="R2061" s="20"/>
      <c r="S2061" s="8"/>
      <c r="T2061" s="8"/>
      <c r="U2061" s="8"/>
      <c r="V2061" s="8"/>
      <c r="W2061" s="8"/>
      <c r="X2061" s="8"/>
      <c r="Y2061" s="8"/>
      <c r="Z2061" s="8"/>
    </row>
    <row r="2062" spans="4:26" ht="15" thickBot="1" x14ac:dyDescent="0.35">
      <c r="D2062" s="2">
        <f t="shared" si="72"/>
        <v>2056</v>
      </c>
      <c r="E2062" s="6">
        <v>5.8015724210175872</v>
      </c>
      <c r="F2062" s="24"/>
      <c r="G2062" s="24"/>
      <c r="H2062" s="24"/>
      <c r="I2062" s="24"/>
      <c r="J2062" s="3"/>
      <c r="N2062" s="13"/>
      <c r="O2062" s="9"/>
      <c r="P2062" s="20"/>
      <c r="Q2062" s="20"/>
      <c r="R2062" s="20"/>
      <c r="S2062" s="8"/>
      <c r="T2062" s="8"/>
      <c r="U2062" s="8"/>
      <c r="V2062" s="8"/>
      <c r="W2062" s="8"/>
      <c r="X2062" s="8"/>
      <c r="Y2062" s="8"/>
      <c r="Z2062" s="8"/>
    </row>
    <row r="2063" spans="4:26" ht="15" thickBot="1" x14ac:dyDescent="0.35">
      <c r="D2063" s="2">
        <f t="shared" si="72"/>
        <v>2057</v>
      </c>
      <c r="E2063" s="6">
        <v>5.9117548683081207</v>
      </c>
      <c r="F2063" s="24"/>
      <c r="G2063" s="24"/>
      <c r="H2063" s="24"/>
      <c r="I2063" s="24"/>
      <c r="J2063" s="3"/>
      <c r="N2063" s="13"/>
      <c r="O2063" s="9"/>
      <c r="P2063" s="20"/>
      <c r="Q2063" s="20"/>
      <c r="R2063" s="20"/>
      <c r="S2063" s="8"/>
      <c r="T2063" s="8"/>
      <c r="U2063" s="8"/>
      <c r="V2063" s="8"/>
      <c r="W2063" s="8"/>
      <c r="X2063" s="8"/>
      <c r="Y2063" s="8"/>
      <c r="Z2063" s="8"/>
    </row>
    <row r="2064" spans="4:26" ht="15" thickBot="1" x14ac:dyDescent="0.35">
      <c r="D2064" s="2">
        <f t="shared" si="72"/>
        <v>2058</v>
      </c>
      <c r="E2064" s="6">
        <v>0.34380655161931645</v>
      </c>
      <c r="F2064" s="24"/>
      <c r="G2064" s="24"/>
      <c r="H2064" s="24"/>
      <c r="I2064" s="24"/>
      <c r="J2064" s="3"/>
      <c r="N2064" s="13"/>
      <c r="O2064" s="9"/>
      <c r="P2064" s="20"/>
      <c r="Q2064" s="20"/>
      <c r="R2064" s="20"/>
      <c r="S2064" s="8"/>
      <c r="T2064" s="8"/>
      <c r="U2064" s="8"/>
      <c r="V2064" s="8"/>
      <c r="W2064" s="8"/>
      <c r="X2064" s="8"/>
      <c r="Y2064" s="8"/>
      <c r="Z2064" s="8"/>
    </row>
    <row r="2065" spans="4:26" ht="15" thickBot="1" x14ac:dyDescent="0.35">
      <c r="D2065" s="2">
        <f t="shared" si="72"/>
        <v>2059</v>
      </c>
      <c r="E2065" s="6">
        <v>1.5908327602287065</v>
      </c>
      <c r="F2065" s="24"/>
      <c r="G2065" s="24"/>
      <c r="H2065" s="24"/>
      <c r="I2065" s="24"/>
      <c r="J2065" s="3"/>
      <c r="N2065" s="13"/>
      <c r="O2065" s="9"/>
      <c r="P2065" s="20"/>
      <c r="Q2065" s="20"/>
      <c r="R2065" s="20"/>
      <c r="S2065" s="8"/>
      <c r="T2065" s="8"/>
      <c r="U2065" s="8"/>
      <c r="V2065" s="8"/>
      <c r="W2065" s="8"/>
      <c r="X2065" s="8"/>
      <c r="Y2065" s="8"/>
      <c r="Z2065" s="8"/>
    </row>
    <row r="2066" spans="4:26" ht="15" thickBot="1" x14ac:dyDescent="0.35">
      <c r="D2066" s="2">
        <f t="shared" si="72"/>
        <v>2060</v>
      </c>
      <c r="E2066" s="6">
        <v>6.6748877627808545</v>
      </c>
      <c r="F2066" s="24"/>
      <c r="G2066" s="24"/>
      <c r="H2066" s="24"/>
      <c r="I2066" s="24"/>
      <c r="J2066" s="3"/>
      <c r="N2066" s="13"/>
      <c r="O2066" s="9"/>
      <c r="P2066" s="20"/>
      <c r="Q2066" s="20"/>
      <c r="R2066" s="20"/>
      <c r="S2066" s="8"/>
      <c r="T2066" s="8"/>
      <c r="U2066" s="8"/>
      <c r="V2066" s="8"/>
      <c r="W2066" s="8"/>
      <c r="X2066" s="8"/>
      <c r="Y2066" s="8"/>
      <c r="Z2066" s="8"/>
    </row>
    <row r="2067" spans="4:26" ht="15" thickBot="1" x14ac:dyDescent="0.35">
      <c r="D2067" s="2">
        <f t="shared" si="72"/>
        <v>2061</v>
      </c>
      <c r="E2067" s="6">
        <v>5.6926466285201004E-2</v>
      </c>
      <c r="F2067" s="24"/>
      <c r="G2067" s="24"/>
      <c r="H2067" s="24"/>
      <c r="I2067" s="24"/>
      <c r="J2067" s="3"/>
      <c r="N2067" s="13"/>
      <c r="O2067" s="9"/>
      <c r="P2067" s="20"/>
      <c r="Q2067" s="20"/>
      <c r="R2067" s="20"/>
      <c r="S2067" s="8"/>
      <c r="T2067" s="8"/>
      <c r="U2067" s="8"/>
      <c r="V2067" s="8"/>
      <c r="W2067" s="8"/>
      <c r="X2067" s="8"/>
      <c r="Y2067" s="8"/>
      <c r="Z2067" s="8"/>
    </row>
    <row r="2068" spans="4:26" ht="15" thickBot="1" x14ac:dyDescent="0.35">
      <c r="D2068" s="2">
        <f t="shared" si="72"/>
        <v>2062</v>
      </c>
      <c r="E2068" s="6">
        <v>5.1754027368680857</v>
      </c>
      <c r="F2068" s="24"/>
      <c r="G2068" s="24"/>
      <c r="H2068" s="24"/>
      <c r="I2068" s="24"/>
      <c r="J2068" s="3"/>
      <c r="N2068" s="13"/>
      <c r="O2068" s="9"/>
      <c r="P2068" s="20"/>
      <c r="Q2068" s="20"/>
      <c r="R2068" s="20"/>
      <c r="S2068" s="8"/>
      <c r="T2068" s="8"/>
      <c r="U2068" s="8"/>
      <c r="V2068" s="8"/>
      <c r="W2068" s="8"/>
      <c r="X2068" s="8"/>
      <c r="Y2068" s="8"/>
      <c r="Z2068" s="8"/>
    </row>
    <row r="2069" spans="4:26" ht="15" thickBot="1" x14ac:dyDescent="0.35">
      <c r="D2069" s="2">
        <f t="shared" si="72"/>
        <v>2063</v>
      </c>
      <c r="E2069" s="6">
        <v>2.3239760534013105</v>
      </c>
      <c r="F2069" s="24"/>
      <c r="G2069" s="24"/>
      <c r="H2069" s="24"/>
      <c r="I2069" s="24"/>
      <c r="J2069" s="3"/>
      <c r="N2069" s="13"/>
      <c r="O2069" s="9"/>
      <c r="P2069" s="20"/>
      <c r="Q2069" s="20"/>
      <c r="R2069" s="20"/>
      <c r="S2069" s="8"/>
      <c r="T2069" s="8"/>
      <c r="U2069" s="8"/>
      <c r="V2069" s="8"/>
      <c r="W2069" s="8"/>
      <c r="X2069" s="8"/>
      <c r="Y2069" s="8"/>
      <c r="Z2069" s="8"/>
    </row>
    <row r="2070" spans="4:26" ht="15" thickBot="1" x14ac:dyDescent="0.35">
      <c r="D2070" s="2">
        <f t="shared" si="72"/>
        <v>2064</v>
      </c>
      <c r="E2070" s="6">
        <v>4.6402317219628678E-3</v>
      </c>
      <c r="F2070" s="24"/>
      <c r="G2070" s="24"/>
      <c r="H2070" s="24"/>
      <c r="I2070" s="24"/>
      <c r="J2070" s="3"/>
      <c r="N2070" s="13"/>
      <c r="O2070" s="9"/>
      <c r="P2070" s="20"/>
      <c r="Q2070" s="20"/>
      <c r="R2070" s="20"/>
      <c r="S2070" s="8"/>
      <c r="T2070" s="8"/>
      <c r="U2070" s="8"/>
      <c r="V2070" s="8"/>
      <c r="W2070" s="8"/>
      <c r="X2070" s="8"/>
      <c r="Y2070" s="8"/>
      <c r="Z2070" s="8"/>
    </row>
    <row r="2071" spans="4:26" ht="15" thickBot="1" x14ac:dyDescent="0.35">
      <c r="D2071" s="2">
        <f t="shared" si="72"/>
        <v>2065</v>
      </c>
      <c r="E2071" s="6">
        <v>2.6698142157828904</v>
      </c>
      <c r="F2071" s="24"/>
      <c r="G2071" s="24"/>
      <c r="H2071" s="24"/>
      <c r="I2071" s="24"/>
      <c r="J2071" s="3"/>
      <c r="N2071" s="13"/>
      <c r="O2071" s="9"/>
      <c r="P2071" s="20"/>
      <c r="Q2071" s="20"/>
      <c r="R2071" s="20"/>
      <c r="S2071" s="8"/>
      <c r="T2071" s="8"/>
      <c r="U2071" s="8"/>
      <c r="V2071" s="8"/>
      <c r="W2071" s="8"/>
      <c r="X2071" s="8"/>
      <c r="Y2071" s="8"/>
      <c r="Z2071" s="8"/>
    </row>
    <row r="2072" spans="4:26" ht="15" thickBot="1" x14ac:dyDescent="0.35">
      <c r="D2072" s="2">
        <f t="shared" si="72"/>
        <v>2066</v>
      </c>
      <c r="E2072" s="6">
        <v>3.6116378322735025</v>
      </c>
      <c r="F2072" s="24"/>
      <c r="G2072" s="24"/>
      <c r="H2072" s="24"/>
      <c r="I2072" s="24"/>
      <c r="J2072" s="3"/>
      <c r="N2072" s="13"/>
      <c r="O2072" s="9"/>
      <c r="P2072" s="20"/>
      <c r="Q2072" s="20"/>
      <c r="R2072" s="20"/>
      <c r="S2072" s="8"/>
      <c r="T2072" s="8"/>
      <c r="U2072" s="8"/>
      <c r="V2072" s="8"/>
      <c r="W2072" s="8"/>
      <c r="X2072" s="8"/>
      <c r="Y2072" s="8"/>
      <c r="Z2072" s="8"/>
    </row>
    <row r="2073" spans="4:26" ht="15" thickBot="1" x14ac:dyDescent="0.35">
      <c r="D2073" s="2">
        <f t="shared" si="72"/>
        <v>2067</v>
      </c>
      <c r="E2073" s="6">
        <v>3.0518942145923909</v>
      </c>
      <c r="F2073" s="24"/>
      <c r="G2073" s="24"/>
      <c r="H2073" s="24"/>
      <c r="I2073" s="24"/>
      <c r="J2073" s="3"/>
      <c r="N2073" s="13"/>
      <c r="O2073" s="9"/>
      <c r="P2073" s="20"/>
      <c r="Q2073" s="20"/>
      <c r="R2073" s="20"/>
      <c r="S2073" s="8"/>
      <c r="T2073" s="8"/>
      <c r="U2073" s="8"/>
      <c r="V2073" s="8"/>
      <c r="W2073" s="8"/>
      <c r="X2073" s="8"/>
      <c r="Y2073" s="8"/>
      <c r="Z2073" s="8"/>
    </row>
    <row r="2074" spans="4:26" ht="15" thickBot="1" x14ac:dyDescent="0.35">
      <c r="D2074" s="2">
        <f t="shared" si="72"/>
        <v>2068</v>
      </c>
      <c r="E2074" s="6">
        <v>18.102559137832962</v>
      </c>
      <c r="F2074" s="24"/>
      <c r="G2074" s="24"/>
      <c r="H2074" s="24"/>
      <c r="I2074" s="24"/>
      <c r="J2074" s="3"/>
      <c r="N2074" s="13"/>
      <c r="O2074" s="9"/>
      <c r="P2074" s="20"/>
      <c r="Q2074" s="20"/>
      <c r="R2074" s="20"/>
      <c r="S2074" s="8"/>
      <c r="T2074" s="8"/>
      <c r="U2074" s="8"/>
      <c r="V2074" s="8"/>
      <c r="W2074" s="8"/>
      <c r="X2074" s="8"/>
      <c r="Y2074" s="8"/>
      <c r="Z2074" s="8"/>
    </row>
    <row r="2075" spans="4:26" ht="15" thickBot="1" x14ac:dyDescent="0.35">
      <c r="D2075" s="2">
        <f t="shared" si="72"/>
        <v>2069</v>
      </c>
      <c r="E2075" s="6">
        <v>1.9357042445459802</v>
      </c>
      <c r="F2075" s="24"/>
      <c r="G2075" s="24"/>
      <c r="H2075" s="24"/>
      <c r="I2075" s="24"/>
      <c r="J2075" s="3"/>
      <c r="N2075" s="13"/>
      <c r="O2075" s="9"/>
      <c r="P2075" s="20"/>
      <c r="Q2075" s="20"/>
      <c r="R2075" s="20"/>
      <c r="S2075" s="8"/>
      <c r="T2075" s="8"/>
      <c r="U2075" s="8"/>
      <c r="V2075" s="8"/>
      <c r="W2075" s="8"/>
      <c r="X2075" s="8"/>
      <c r="Y2075" s="8"/>
      <c r="Z2075" s="8"/>
    </row>
    <row r="2076" spans="4:26" ht="15" thickBot="1" x14ac:dyDescent="0.35">
      <c r="D2076" s="2">
        <f t="shared" si="72"/>
        <v>2070</v>
      </c>
      <c r="E2076" s="6">
        <v>0.90743213842889259</v>
      </c>
      <c r="F2076" s="24"/>
      <c r="G2076" s="24"/>
      <c r="H2076" s="24"/>
      <c r="I2076" s="24"/>
      <c r="J2076" s="3"/>
      <c r="N2076" s="13"/>
      <c r="O2076" s="9"/>
      <c r="P2076" s="20"/>
      <c r="Q2076" s="20"/>
      <c r="R2076" s="20"/>
      <c r="S2076" s="8"/>
      <c r="T2076" s="8"/>
      <c r="U2076" s="8"/>
      <c r="V2076" s="8"/>
      <c r="W2076" s="8"/>
      <c r="X2076" s="8"/>
      <c r="Y2076" s="8"/>
      <c r="Z2076" s="8"/>
    </row>
    <row r="2077" spans="4:26" ht="15" thickBot="1" x14ac:dyDescent="0.35">
      <c r="D2077" s="2">
        <f t="shared" si="72"/>
        <v>2071</v>
      </c>
      <c r="E2077" s="6">
        <v>2.6436442758294905</v>
      </c>
      <c r="F2077" s="24"/>
      <c r="G2077" s="24"/>
      <c r="H2077" s="24"/>
      <c r="I2077" s="24"/>
      <c r="J2077" s="3"/>
      <c r="N2077" s="13"/>
      <c r="O2077" s="9"/>
      <c r="P2077" s="20"/>
      <c r="Q2077" s="20"/>
      <c r="R2077" s="20"/>
      <c r="S2077" s="8"/>
      <c r="T2077" s="8"/>
      <c r="U2077" s="8"/>
      <c r="V2077" s="8"/>
      <c r="W2077" s="8"/>
      <c r="X2077" s="8"/>
      <c r="Y2077" s="8"/>
      <c r="Z2077" s="8"/>
    </row>
    <row r="2078" spans="4:26" ht="15" thickBot="1" x14ac:dyDescent="0.35">
      <c r="D2078" s="2">
        <f t="shared" si="72"/>
        <v>2072</v>
      </c>
      <c r="E2078" s="6">
        <v>0.16482996321995355</v>
      </c>
      <c r="F2078" s="24"/>
      <c r="G2078" s="24"/>
      <c r="H2078" s="24"/>
      <c r="I2078" s="24"/>
      <c r="J2078" s="3"/>
      <c r="N2078" s="13"/>
      <c r="O2078" s="9"/>
      <c r="P2078" s="20"/>
      <c r="Q2078" s="20"/>
      <c r="R2078" s="20"/>
      <c r="S2078" s="8"/>
      <c r="T2078" s="8"/>
      <c r="U2078" s="8"/>
      <c r="V2078" s="8"/>
      <c r="W2078" s="8"/>
      <c r="X2078" s="8"/>
      <c r="Y2078" s="8"/>
      <c r="Z2078" s="8"/>
    </row>
    <row r="2079" spans="4:26" ht="15" thickBot="1" x14ac:dyDescent="0.35">
      <c r="D2079" s="2">
        <f t="shared" si="72"/>
        <v>2073</v>
      </c>
      <c r="E2079" s="6">
        <v>0.53650114052507836</v>
      </c>
      <c r="F2079" s="24"/>
      <c r="G2079" s="24"/>
      <c r="H2079" s="24"/>
      <c r="I2079" s="24"/>
      <c r="J2079" s="3"/>
      <c r="N2079" s="13"/>
      <c r="O2079" s="9"/>
      <c r="P2079" s="20"/>
      <c r="Q2079" s="20"/>
      <c r="R2079" s="20"/>
      <c r="S2079" s="8"/>
      <c r="T2079" s="8"/>
      <c r="U2079" s="8"/>
      <c r="V2079" s="8"/>
      <c r="W2079" s="8"/>
      <c r="X2079" s="8"/>
      <c r="Y2079" s="8"/>
      <c r="Z2079" s="8"/>
    </row>
    <row r="2080" spans="4:26" ht="15" thickBot="1" x14ac:dyDescent="0.35">
      <c r="D2080" s="2">
        <f t="shared" si="72"/>
        <v>2074</v>
      </c>
      <c r="E2080" s="6">
        <v>0.17568944334914927</v>
      </c>
      <c r="F2080" s="24"/>
      <c r="G2080" s="24"/>
      <c r="H2080" s="24"/>
      <c r="I2080" s="24"/>
      <c r="J2080" s="3"/>
      <c r="N2080" s="13"/>
      <c r="O2080" s="9"/>
      <c r="P2080" s="20"/>
      <c r="Q2080" s="20"/>
      <c r="R2080" s="20"/>
      <c r="S2080" s="8"/>
      <c r="T2080" s="8"/>
      <c r="U2080" s="8"/>
      <c r="V2080" s="8"/>
      <c r="W2080" s="8"/>
      <c r="X2080" s="8"/>
      <c r="Y2080" s="8"/>
      <c r="Z2080" s="8"/>
    </row>
    <row r="2081" spans="4:26" ht="15" thickBot="1" x14ac:dyDescent="0.35">
      <c r="D2081" s="2">
        <f t="shared" si="72"/>
        <v>2075</v>
      </c>
      <c r="E2081" s="6">
        <v>2.2010872696292165</v>
      </c>
      <c r="F2081" s="24"/>
      <c r="G2081" s="24"/>
      <c r="H2081" s="24"/>
      <c r="I2081" s="24"/>
      <c r="J2081" s="3"/>
      <c r="N2081" s="13"/>
      <c r="O2081" s="9"/>
      <c r="P2081" s="20"/>
      <c r="Q2081" s="20"/>
      <c r="R2081" s="20"/>
      <c r="S2081" s="8"/>
      <c r="T2081" s="8"/>
      <c r="U2081" s="8"/>
      <c r="V2081" s="8"/>
      <c r="W2081" s="8"/>
      <c r="X2081" s="8"/>
      <c r="Y2081" s="8"/>
      <c r="Z2081" s="8"/>
    </row>
    <row r="2082" spans="4:26" ht="15" thickBot="1" x14ac:dyDescent="0.35">
      <c r="D2082" s="2">
        <f t="shared" si="72"/>
        <v>2076</v>
      </c>
      <c r="E2082" s="6">
        <v>1.4346396688272784</v>
      </c>
      <c r="F2082" s="24"/>
      <c r="G2082" s="24"/>
      <c r="H2082" s="24"/>
      <c r="I2082" s="24"/>
      <c r="J2082" s="3"/>
      <c r="N2082" s="13"/>
      <c r="O2082" s="9"/>
      <c r="P2082" s="20"/>
      <c r="Q2082" s="20"/>
      <c r="R2082" s="20"/>
      <c r="S2082" s="8"/>
      <c r="T2082" s="8"/>
      <c r="U2082" s="8"/>
      <c r="V2082" s="8"/>
      <c r="W2082" s="8"/>
      <c r="X2082" s="8"/>
      <c r="Y2082" s="8"/>
      <c r="Z2082" s="8"/>
    </row>
    <row r="2083" spans="4:26" ht="15" thickBot="1" x14ac:dyDescent="0.35">
      <c r="D2083" s="2">
        <f t="shared" si="72"/>
        <v>2077</v>
      </c>
      <c r="E2083" s="6">
        <v>1.4774556539500887</v>
      </c>
      <c r="F2083" s="24"/>
      <c r="G2083" s="24"/>
      <c r="H2083" s="24"/>
      <c r="I2083" s="24"/>
      <c r="J2083" s="3"/>
      <c r="N2083" s="13"/>
      <c r="O2083" s="9"/>
      <c r="P2083" s="20"/>
      <c r="Q2083" s="20"/>
      <c r="R2083" s="20"/>
      <c r="S2083" s="8"/>
      <c r="T2083" s="8"/>
      <c r="U2083" s="8"/>
      <c r="V2083" s="8"/>
      <c r="W2083" s="8"/>
      <c r="X2083" s="8"/>
      <c r="Y2083" s="8"/>
      <c r="Z2083" s="8"/>
    </row>
    <row r="2084" spans="4:26" ht="15" thickBot="1" x14ac:dyDescent="0.35">
      <c r="D2084" s="2">
        <f t="shared" si="72"/>
        <v>2078</v>
      </c>
      <c r="E2084" s="6">
        <v>2.0439985525992852</v>
      </c>
      <c r="F2084" s="24"/>
      <c r="G2084" s="24"/>
      <c r="H2084" s="24"/>
      <c r="I2084" s="24"/>
      <c r="J2084" s="3"/>
      <c r="N2084" s="13"/>
      <c r="O2084" s="9"/>
      <c r="P2084" s="20"/>
      <c r="Q2084" s="20"/>
      <c r="R2084" s="20"/>
      <c r="S2084" s="8"/>
      <c r="T2084" s="8"/>
      <c r="U2084" s="8"/>
      <c r="V2084" s="8"/>
      <c r="W2084" s="8"/>
      <c r="X2084" s="8"/>
      <c r="Y2084" s="8"/>
      <c r="Z2084" s="8"/>
    </row>
    <row r="2085" spans="4:26" ht="15" thickBot="1" x14ac:dyDescent="0.35">
      <c r="D2085" s="2">
        <f t="shared" si="72"/>
        <v>2079</v>
      </c>
      <c r="E2085" s="6">
        <v>3.539663577091952</v>
      </c>
      <c r="F2085" s="24"/>
      <c r="G2085" s="24"/>
      <c r="H2085" s="24"/>
      <c r="I2085" s="24"/>
      <c r="J2085" s="3"/>
      <c r="N2085" s="13"/>
      <c r="O2085" s="9"/>
      <c r="P2085" s="20"/>
      <c r="Q2085" s="20"/>
      <c r="R2085" s="20"/>
      <c r="S2085" s="8"/>
      <c r="T2085" s="8"/>
      <c r="U2085" s="8"/>
      <c r="V2085" s="8"/>
      <c r="W2085" s="8"/>
      <c r="X2085" s="8"/>
      <c r="Y2085" s="8"/>
      <c r="Z2085" s="8"/>
    </row>
    <row r="2086" spans="4:26" ht="15" thickBot="1" x14ac:dyDescent="0.35">
      <c r="D2086" s="2">
        <f t="shared" si="72"/>
        <v>2080</v>
      </c>
      <c r="E2086" s="6">
        <v>0.35315423736496132</v>
      </c>
      <c r="F2086" s="24"/>
      <c r="G2086" s="24"/>
      <c r="H2086" s="24"/>
      <c r="I2086" s="24"/>
      <c r="J2086" s="3"/>
      <c r="N2086" s="13"/>
      <c r="O2086" s="9"/>
      <c r="P2086" s="20"/>
      <c r="Q2086" s="20"/>
      <c r="R2086" s="20"/>
      <c r="S2086" s="8"/>
      <c r="T2086" s="8"/>
      <c r="U2086" s="8"/>
      <c r="V2086" s="8"/>
      <c r="W2086" s="8"/>
      <c r="X2086" s="8"/>
      <c r="Y2086" s="8"/>
      <c r="Z2086" s="8"/>
    </row>
    <row r="2087" spans="4:26" ht="15" thickBot="1" x14ac:dyDescent="0.35">
      <c r="D2087" s="2">
        <f t="shared" si="72"/>
        <v>2081</v>
      </c>
      <c r="E2087" s="6">
        <v>4.6053699967549626</v>
      </c>
      <c r="F2087" s="24"/>
      <c r="G2087" s="24"/>
      <c r="H2087" s="24"/>
      <c r="I2087" s="24"/>
      <c r="J2087" s="3"/>
      <c r="N2087" s="13"/>
      <c r="O2087" s="9"/>
      <c r="P2087" s="20"/>
      <c r="Q2087" s="20"/>
      <c r="R2087" s="20"/>
      <c r="S2087" s="8"/>
      <c r="T2087" s="8"/>
      <c r="U2087" s="8"/>
      <c r="V2087" s="8"/>
      <c r="W2087" s="8"/>
      <c r="X2087" s="8"/>
      <c r="Y2087" s="8"/>
      <c r="Z2087" s="8"/>
    </row>
    <row r="2088" spans="4:26" ht="15" thickBot="1" x14ac:dyDescent="0.35">
      <c r="D2088" s="2">
        <f t="shared" si="72"/>
        <v>2082</v>
      </c>
      <c r="E2088" s="6">
        <v>3.3374680337927436</v>
      </c>
      <c r="F2088" s="24"/>
      <c r="G2088" s="24"/>
      <c r="H2088" s="24"/>
      <c r="I2088" s="24"/>
      <c r="J2088" s="3"/>
      <c r="N2088" s="13"/>
      <c r="O2088" s="9"/>
      <c r="P2088" s="20"/>
      <c r="Q2088" s="20"/>
      <c r="R2088" s="20"/>
      <c r="S2088" s="8"/>
      <c r="T2088" s="8"/>
      <c r="U2088" s="8"/>
      <c r="V2088" s="8"/>
      <c r="W2088" s="8"/>
      <c r="X2088" s="8"/>
      <c r="Y2088" s="8"/>
      <c r="Z2088" s="8"/>
    </row>
    <row r="2089" spans="4:26" ht="15" thickBot="1" x14ac:dyDescent="0.35">
      <c r="D2089" s="2">
        <f t="shared" si="72"/>
        <v>2083</v>
      </c>
      <c r="E2089" s="6">
        <v>1.9478601957955823</v>
      </c>
      <c r="F2089" s="24"/>
      <c r="G2089" s="24"/>
      <c r="H2089" s="24"/>
      <c r="I2089" s="24"/>
      <c r="J2089" s="3"/>
      <c r="N2089" s="13"/>
      <c r="O2089" s="9"/>
      <c r="P2089" s="20"/>
      <c r="Q2089" s="20"/>
      <c r="R2089" s="20"/>
      <c r="S2089" s="8"/>
      <c r="T2089" s="8"/>
      <c r="U2089" s="8"/>
      <c r="V2089" s="8"/>
      <c r="W2089" s="8"/>
      <c r="X2089" s="8"/>
      <c r="Y2089" s="8"/>
      <c r="Z2089" s="8"/>
    </row>
    <row r="2090" spans="4:26" ht="15" thickBot="1" x14ac:dyDescent="0.35">
      <c r="D2090" s="2">
        <f t="shared" si="72"/>
        <v>2084</v>
      </c>
      <c r="E2090" s="6">
        <v>4.3742367373029918</v>
      </c>
      <c r="F2090" s="24"/>
      <c r="G2090" s="24"/>
      <c r="H2090" s="24"/>
      <c r="I2090" s="24"/>
      <c r="J2090" s="3"/>
      <c r="N2090" s="13"/>
      <c r="O2090" s="9"/>
      <c r="P2090" s="20"/>
      <c r="Q2090" s="20"/>
      <c r="R2090" s="20"/>
      <c r="S2090" s="8"/>
      <c r="T2090" s="8"/>
      <c r="U2090" s="8"/>
      <c r="V2090" s="8"/>
      <c r="W2090" s="8"/>
      <c r="X2090" s="8"/>
      <c r="Y2090" s="8"/>
      <c r="Z2090" s="8"/>
    </row>
    <row r="2091" spans="4:26" ht="15" thickBot="1" x14ac:dyDescent="0.35">
      <c r="D2091" s="2">
        <f t="shared" si="72"/>
        <v>2085</v>
      </c>
      <c r="E2091" s="6">
        <v>1.1146301143718826</v>
      </c>
      <c r="F2091" s="24"/>
      <c r="G2091" s="24"/>
      <c r="H2091" s="24"/>
      <c r="I2091" s="24"/>
      <c r="J2091" s="3"/>
      <c r="N2091" s="13"/>
      <c r="O2091" s="9"/>
      <c r="P2091" s="20"/>
      <c r="Q2091" s="20"/>
      <c r="R2091" s="20"/>
      <c r="S2091" s="8"/>
      <c r="T2091" s="8"/>
      <c r="U2091" s="8"/>
      <c r="V2091" s="8"/>
      <c r="W2091" s="8"/>
      <c r="X2091" s="8"/>
      <c r="Y2091" s="8"/>
      <c r="Z2091" s="8"/>
    </row>
    <row r="2092" spans="4:26" ht="15" thickBot="1" x14ac:dyDescent="0.35">
      <c r="D2092" s="2">
        <f t="shared" si="72"/>
        <v>2086</v>
      </c>
      <c r="E2092" s="6">
        <v>4.9507210687596777</v>
      </c>
      <c r="F2092" s="24"/>
      <c r="G2092" s="24"/>
      <c r="H2092" s="24"/>
      <c r="I2092" s="24"/>
      <c r="J2092" s="3"/>
      <c r="N2092" s="13"/>
      <c r="O2092" s="9"/>
      <c r="P2092" s="20"/>
      <c r="Q2092" s="20"/>
      <c r="R2092" s="20"/>
      <c r="S2092" s="8"/>
      <c r="T2092" s="8"/>
      <c r="U2092" s="8"/>
      <c r="V2092" s="8"/>
      <c r="W2092" s="8"/>
      <c r="X2092" s="8"/>
      <c r="Y2092" s="8"/>
      <c r="Z2092" s="8"/>
    </row>
    <row r="2093" spans="4:26" ht="15" thickBot="1" x14ac:dyDescent="0.35">
      <c r="D2093" s="2">
        <f t="shared" si="72"/>
        <v>2087</v>
      </c>
      <c r="E2093" s="6">
        <v>2.5013005014754905</v>
      </c>
      <c r="F2093" s="24"/>
      <c r="G2093" s="24"/>
      <c r="H2093" s="24"/>
      <c r="I2093" s="24"/>
      <c r="J2093" s="3"/>
      <c r="N2093" s="13"/>
      <c r="O2093" s="9"/>
      <c r="P2093" s="20"/>
      <c r="Q2093" s="20"/>
      <c r="R2093" s="20"/>
      <c r="S2093" s="8"/>
      <c r="T2093" s="8"/>
      <c r="U2093" s="8"/>
      <c r="V2093" s="8"/>
      <c r="W2093" s="8"/>
      <c r="X2093" s="8"/>
      <c r="Y2093" s="8"/>
      <c r="Z2093" s="8"/>
    </row>
    <row r="2094" spans="4:26" ht="15" thickBot="1" x14ac:dyDescent="0.35">
      <c r="D2094" s="2">
        <f t="shared" si="72"/>
        <v>2088</v>
      </c>
      <c r="E2094" s="6">
        <v>8.3773081189662104</v>
      </c>
      <c r="F2094" s="24"/>
      <c r="G2094" s="24"/>
      <c r="H2094" s="24"/>
      <c r="I2094" s="24"/>
      <c r="J2094" s="3"/>
      <c r="N2094" s="13"/>
      <c r="O2094" s="9"/>
      <c r="P2094" s="20"/>
      <c r="Q2094" s="20"/>
      <c r="R2094" s="20"/>
      <c r="S2094" s="8"/>
      <c r="T2094" s="8"/>
      <c r="U2094" s="8"/>
      <c r="V2094" s="8"/>
      <c r="W2094" s="8"/>
      <c r="X2094" s="8"/>
      <c r="Y2094" s="8"/>
      <c r="Z2094" s="8"/>
    </row>
    <row r="2095" spans="4:26" ht="15" thickBot="1" x14ac:dyDescent="0.35">
      <c r="D2095" s="2">
        <f t="shared" si="72"/>
        <v>2089</v>
      </c>
      <c r="E2095" s="6">
        <v>1.6783143513202639</v>
      </c>
      <c r="F2095" s="24"/>
      <c r="G2095" s="24"/>
      <c r="H2095" s="24"/>
      <c r="I2095" s="24"/>
      <c r="J2095" s="3"/>
      <c r="N2095" s="13"/>
      <c r="O2095" s="9"/>
      <c r="P2095" s="20"/>
      <c r="Q2095" s="20"/>
      <c r="R2095" s="20"/>
      <c r="S2095" s="8"/>
      <c r="T2095" s="8"/>
      <c r="U2095" s="8"/>
      <c r="V2095" s="8"/>
      <c r="W2095" s="8"/>
      <c r="X2095" s="8"/>
      <c r="Y2095" s="8"/>
      <c r="Z2095" s="8"/>
    </row>
    <row r="2096" spans="4:26" ht="15" thickBot="1" x14ac:dyDescent="0.35">
      <c r="D2096" s="2">
        <f t="shared" si="72"/>
        <v>2090</v>
      </c>
      <c r="E2096" s="6">
        <v>8.4850198890690596</v>
      </c>
      <c r="F2096" s="24"/>
      <c r="G2096" s="24"/>
      <c r="H2096" s="24"/>
      <c r="I2096" s="24"/>
      <c r="J2096" s="3"/>
      <c r="N2096" s="13"/>
      <c r="O2096" s="9"/>
      <c r="P2096" s="20"/>
      <c r="Q2096" s="20"/>
      <c r="R2096" s="20"/>
      <c r="S2096" s="8"/>
      <c r="T2096" s="8"/>
      <c r="U2096" s="8"/>
      <c r="V2096" s="8"/>
      <c r="W2096" s="8"/>
      <c r="X2096" s="8"/>
      <c r="Y2096" s="8"/>
      <c r="Z2096" s="8"/>
    </row>
    <row r="2097" spans="4:26" ht="15" thickBot="1" x14ac:dyDescent="0.35">
      <c r="D2097" s="2">
        <f t="shared" si="72"/>
        <v>2091</v>
      </c>
      <c r="E2097" s="6">
        <v>1.0709124259741152</v>
      </c>
      <c r="F2097" s="24"/>
      <c r="G2097" s="24"/>
      <c r="H2097" s="24"/>
      <c r="I2097" s="24"/>
      <c r="J2097" s="3"/>
      <c r="N2097" s="13"/>
      <c r="O2097" s="9"/>
      <c r="P2097" s="20"/>
      <c r="Q2097" s="20"/>
      <c r="R2097" s="20"/>
      <c r="S2097" s="8"/>
      <c r="T2097" s="8"/>
      <c r="U2097" s="8"/>
      <c r="V2097" s="8"/>
      <c r="W2097" s="8"/>
      <c r="X2097" s="8"/>
      <c r="Y2097" s="8"/>
      <c r="Z2097" s="8"/>
    </row>
    <row r="2098" spans="4:26" ht="15" thickBot="1" x14ac:dyDescent="0.35">
      <c r="D2098" s="2">
        <f t="shared" si="72"/>
        <v>2092</v>
      </c>
      <c r="E2098" s="6">
        <v>0.35749836693450032</v>
      </c>
      <c r="F2098" s="24"/>
      <c r="G2098" s="24"/>
      <c r="H2098" s="24"/>
      <c r="I2098" s="24"/>
      <c r="J2098" s="3"/>
      <c r="N2098" s="13"/>
      <c r="O2098" s="9"/>
      <c r="P2098" s="20"/>
      <c r="Q2098" s="20"/>
      <c r="R2098" s="20"/>
      <c r="S2098" s="8"/>
      <c r="T2098" s="8"/>
      <c r="U2098" s="8"/>
      <c r="V2098" s="8"/>
      <c r="W2098" s="8"/>
      <c r="X2098" s="8"/>
      <c r="Y2098" s="8"/>
      <c r="Z2098" s="8"/>
    </row>
    <row r="2099" spans="4:26" ht="15" thickBot="1" x14ac:dyDescent="0.35">
      <c r="D2099" s="2">
        <f t="shared" si="72"/>
        <v>2093</v>
      </c>
      <c r="E2099" s="6">
        <v>16.609754235603127</v>
      </c>
      <c r="F2099" s="24"/>
      <c r="G2099" s="24"/>
      <c r="H2099" s="24"/>
      <c r="I2099" s="24"/>
      <c r="J2099" s="3"/>
      <c r="N2099" s="13"/>
      <c r="O2099" s="9"/>
      <c r="P2099" s="20"/>
      <c r="Q2099" s="20"/>
      <c r="R2099" s="20"/>
      <c r="S2099" s="8"/>
      <c r="T2099" s="8"/>
      <c r="U2099" s="8"/>
      <c r="V2099" s="8"/>
      <c r="W2099" s="8"/>
      <c r="X2099" s="8"/>
      <c r="Y2099" s="8"/>
      <c r="Z2099" s="8"/>
    </row>
    <row r="2100" spans="4:26" ht="15" thickBot="1" x14ac:dyDescent="0.35">
      <c r="D2100" s="2">
        <f t="shared" si="72"/>
        <v>2094</v>
      </c>
      <c r="E2100" s="6">
        <v>3.1932528541860878</v>
      </c>
      <c r="F2100" s="24"/>
      <c r="G2100" s="24"/>
      <c r="H2100" s="24"/>
      <c r="I2100" s="24"/>
      <c r="J2100" s="3"/>
      <c r="N2100" s="13"/>
      <c r="O2100" s="9"/>
      <c r="P2100" s="20"/>
      <c r="Q2100" s="20"/>
      <c r="R2100" s="20"/>
      <c r="S2100" s="8"/>
      <c r="T2100" s="8"/>
      <c r="U2100" s="8"/>
      <c r="V2100" s="8"/>
      <c r="W2100" s="8"/>
      <c r="X2100" s="8"/>
      <c r="Y2100" s="8"/>
      <c r="Z2100" s="8"/>
    </row>
    <row r="2101" spans="4:26" ht="15" thickBot="1" x14ac:dyDescent="0.35">
      <c r="D2101" s="2">
        <f t="shared" si="72"/>
        <v>2095</v>
      </c>
      <c r="E2101" s="6">
        <v>2.8964680003703058E-2</v>
      </c>
      <c r="F2101" s="24"/>
      <c r="G2101" s="24"/>
      <c r="H2101" s="24"/>
      <c r="I2101" s="24"/>
      <c r="J2101" s="3"/>
      <c r="N2101" s="13"/>
      <c r="O2101" s="9"/>
      <c r="P2101" s="20"/>
      <c r="Q2101" s="20"/>
      <c r="R2101" s="20"/>
      <c r="S2101" s="8"/>
      <c r="T2101" s="8"/>
      <c r="U2101" s="8"/>
      <c r="V2101" s="8"/>
      <c r="W2101" s="8"/>
      <c r="X2101" s="8"/>
      <c r="Y2101" s="8"/>
      <c r="Z2101" s="8"/>
    </row>
    <row r="2102" spans="4:26" ht="15" thickBot="1" x14ac:dyDescent="0.35">
      <c r="D2102" s="2">
        <f t="shared" si="72"/>
        <v>2096</v>
      </c>
      <c r="E2102" s="6">
        <v>4.2081620504760595</v>
      </c>
      <c r="F2102" s="24"/>
      <c r="G2102" s="24"/>
      <c r="H2102" s="24"/>
      <c r="I2102" s="24"/>
      <c r="J2102" s="3"/>
      <c r="N2102" s="13"/>
      <c r="O2102" s="9"/>
      <c r="P2102" s="20"/>
      <c r="Q2102" s="20"/>
      <c r="R2102" s="20"/>
      <c r="S2102" s="8"/>
      <c r="T2102" s="8"/>
      <c r="U2102" s="8"/>
      <c r="V2102" s="8"/>
      <c r="W2102" s="8"/>
      <c r="X2102" s="8"/>
      <c r="Y2102" s="8"/>
      <c r="Z2102" s="8"/>
    </row>
    <row r="2103" spans="4:26" ht="15" thickBot="1" x14ac:dyDescent="0.35">
      <c r="D2103" s="2">
        <f t="shared" si="72"/>
        <v>2097</v>
      </c>
      <c r="E2103" s="6">
        <v>1.473326577200059</v>
      </c>
      <c r="F2103" s="24"/>
      <c r="G2103" s="24"/>
      <c r="H2103" s="24"/>
      <c r="I2103" s="24"/>
      <c r="J2103" s="3"/>
      <c r="N2103" s="13"/>
      <c r="O2103" s="9"/>
      <c r="P2103" s="20"/>
      <c r="Q2103" s="20"/>
      <c r="R2103" s="20"/>
      <c r="S2103" s="8"/>
      <c r="T2103" s="8"/>
      <c r="U2103" s="8"/>
      <c r="V2103" s="8"/>
      <c r="W2103" s="8"/>
      <c r="X2103" s="8"/>
      <c r="Y2103" s="8"/>
      <c r="Z2103" s="8"/>
    </row>
    <row r="2104" spans="4:26" ht="15" thickBot="1" x14ac:dyDescent="0.35">
      <c r="D2104" s="2">
        <f t="shared" si="72"/>
        <v>2098</v>
      </c>
      <c r="E2104" s="6">
        <v>1.352152942216581</v>
      </c>
      <c r="F2104" s="24"/>
      <c r="G2104" s="24"/>
      <c r="H2104" s="24"/>
      <c r="I2104" s="24"/>
      <c r="J2104" s="3"/>
      <c r="N2104" s="13"/>
      <c r="O2104" s="9"/>
      <c r="P2104" s="20"/>
      <c r="Q2104" s="20"/>
      <c r="R2104" s="20"/>
      <c r="S2104" s="8"/>
      <c r="T2104" s="8"/>
      <c r="U2104" s="8"/>
      <c r="V2104" s="8"/>
      <c r="W2104" s="8"/>
      <c r="X2104" s="8"/>
      <c r="Y2104" s="8"/>
      <c r="Z2104" s="8"/>
    </row>
    <row r="2105" spans="4:26" ht="15" thickBot="1" x14ac:dyDescent="0.35">
      <c r="D2105" s="2">
        <f t="shared" si="72"/>
        <v>2099</v>
      </c>
      <c r="E2105" s="6">
        <v>2.3502945917865703</v>
      </c>
      <c r="F2105" s="24"/>
      <c r="G2105" s="24"/>
      <c r="H2105" s="24"/>
      <c r="I2105" s="24"/>
      <c r="J2105" s="3"/>
      <c r="N2105" s="13"/>
      <c r="O2105" s="9"/>
      <c r="P2105" s="20"/>
      <c r="Q2105" s="20"/>
      <c r="R2105" s="20"/>
      <c r="S2105" s="8"/>
      <c r="T2105" s="8"/>
      <c r="U2105" s="8"/>
      <c r="V2105" s="8"/>
      <c r="W2105" s="8"/>
      <c r="X2105" s="8"/>
      <c r="Y2105" s="8"/>
      <c r="Z2105" s="8"/>
    </row>
    <row r="2106" spans="4:26" ht="15" thickBot="1" x14ac:dyDescent="0.35">
      <c r="D2106" s="2">
        <f t="shared" si="72"/>
        <v>2100</v>
      </c>
      <c r="E2106" s="6">
        <v>15.243018362855594</v>
      </c>
      <c r="F2106" s="24"/>
      <c r="G2106" s="24"/>
      <c r="H2106" s="24"/>
      <c r="I2106" s="24"/>
      <c r="J2106" s="3"/>
      <c r="N2106" s="13"/>
      <c r="O2106" s="9"/>
      <c r="P2106" s="20"/>
      <c r="Q2106" s="20"/>
      <c r="R2106" s="20"/>
      <c r="S2106" s="8"/>
      <c r="T2106" s="8"/>
      <c r="U2106" s="8"/>
      <c r="V2106" s="8"/>
      <c r="W2106" s="8"/>
      <c r="X2106" s="8"/>
      <c r="Y2106" s="8"/>
      <c r="Z2106" s="8"/>
    </row>
    <row r="2107" spans="4:26" ht="15" thickBot="1" x14ac:dyDescent="0.35">
      <c r="D2107" s="2">
        <f t="shared" si="72"/>
        <v>2101</v>
      </c>
      <c r="E2107" s="6">
        <v>3.1038156839712423</v>
      </c>
      <c r="F2107" s="24"/>
      <c r="G2107" s="24"/>
      <c r="H2107" s="24"/>
      <c r="I2107" s="24"/>
      <c r="J2107" s="3"/>
      <c r="N2107" s="13"/>
      <c r="O2107" s="9"/>
      <c r="P2107" s="20"/>
      <c r="Q2107" s="20"/>
      <c r="R2107" s="20"/>
      <c r="S2107" s="8"/>
      <c r="T2107" s="8"/>
      <c r="U2107" s="8"/>
      <c r="V2107" s="8"/>
      <c r="W2107" s="8"/>
      <c r="X2107" s="8"/>
      <c r="Y2107" s="8"/>
      <c r="Z2107" s="8"/>
    </row>
    <row r="2108" spans="4:26" ht="15" thickBot="1" x14ac:dyDescent="0.35">
      <c r="D2108" s="2">
        <f t="shared" si="72"/>
        <v>2102</v>
      </c>
      <c r="E2108" s="6">
        <v>2.8773956117385975</v>
      </c>
      <c r="F2108" s="24"/>
      <c r="G2108" s="24"/>
      <c r="H2108" s="24"/>
      <c r="I2108" s="24"/>
      <c r="J2108" s="3"/>
      <c r="N2108" s="13"/>
      <c r="O2108" s="9"/>
      <c r="P2108" s="20"/>
      <c r="Q2108" s="20"/>
      <c r="R2108" s="20"/>
      <c r="S2108" s="8"/>
      <c r="T2108" s="8"/>
      <c r="U2108" s="8"/>
      <c r="V2108" s="8"/>
      <c r="W2108" s="8"/>
      <c r="X2108" s="8"/>
      <c r="Y2108" s="8"/>
      <c r="Z2108" s="8"/>
    </row>
    <row r="2109" spans="4:26" ht="15" thickBot="1" x14ac:dyDescent="0.35">
      <c r="D2109" s="2">
        <f t="shared" si="72"/>
        <v>2103</v>
      </c>
      <c r="E2109" s="6">
        <v>4.8160648601194778</v>
      </c>
      <c r="F2109" s="24"/>
      <c r="G2109" s="24"/>
      <c r="H2109" s="24"/>
      <c r="I2109" s="24"/>
      <c r="J2109" s="3"/>
      <c r="N2109" s="13"/>
      <c r="O2109" s="9"/>
      <c r="P2109" s="20"/>
      <c r="Q2109" s="20"/>
      <c r="R2109" s="20"/>
      <c r="S2109" s="8"/>
      <c r="T2109" s="8"/>
      <c r="U2109" s="8"/>
      <c r="V2109" s="8"/>
      <c r="W2109" s="8"/>
      <c r="X2109" s="8"/>
      <c r="Y2109" s="8"/>
      <c r="Z2109" s="8"/>
    </row>
    <row r="2110" spans="4:26" ht="15" thickBot="1" x14ac:dyDescent="0.35">
      <c r="D2110" s="2">
        <f t="shared" si="72"/>
        <v>2104</v>
      </c>
      <c r="E2110" s="6">
        <v>2.0387679624064181</v>
      </c>
      <c r="F2110" s="24"/>
      <c r="G2110" s="24"/>
      <c r="H2110" s="24"/>
      <c r="I2110" s="24"/>
      <c r="J2110" s="3"/>
      <c r="N2110" s="13"/>
      <c r="O2110" s="9"/>
      <c r="P2110" s="20"/>
      <c r="Q2110" s="20"/>
      <c r="R2110" s="20"/>
      <c r="S2110" s="8"/>
      <c r="T2110" s="8"/>
      <c r="U2110" s="8"/>
      <c r="V2110" s="8"/>
      <c r="W2110" s="8"/>
      <c r="X2110" s="8"/>
      <c r="Y2110" s="8"/>
      <c r="Z2110" s="8"/>
    </row>
    <row r="2111" spans="4:26" ht="15" thickBot="1" x14ac:dyDescent="0.35">
      <c r="D2111" s="2">
        <f t="shared" si="72"/>
        <v>2105</v>
      </c>
      <c r="E2111" s="6">
        <v>1.1924472309022178</v>
      </c>
      <c r="F2111" s="24"/>
      <c r="G2111" s="24"/>
      <c r="H2111" s="24"/>
      <c r="I2111" s="24"/>
      <c r="J2111" s="3"/>
      <c r="N2111" s="13"/>
      <c r="O2111" s="9"/>
      <c r="P2111" s="20"/>
      <c r="Q2111" s="20"/>
      <c r="R2111" s="20"/>
      <c r="S2111" s="8"/>
      <c r="T2111" s="8"/>
      <c r="U2111" s="8"/>
      <c r="V2111" s="8"/>
      <c r="W2111" s="8"/>
      <c r="X2111" s="8"/>
      <c r="Y2111" s="8"/>
      <c r="Z2111" s="8"/>
    </row>
    <row r="2112" spans="4:26" ht="15" thickBot="1" x14ac:dyDescent="0.35">
      <c r="D2112" s="2">
        <f t="shared" si="72"/>
        <v>2106</v>
      </c>
      <c r="E2112" s="6">
        <v>0.69463667753510761</v>
      </c>
      <c r="F2112" s="24"/>
      <c r="G2112" s="24"/>
      <c r="H2112" s="24"/>
      <c r="I2112" s="24"/>
      <c r="J2112" s="3"/>
      <c r="N2112" s="13"/>
      <c r="O2112" s="9"/>
      <c r="P2112" s="20"/>
      <c r="Q2112" s="20"/>
      <c r="R2112" s="20"/>
      <c r="S2112" s="8"/>
      <c r="T2112" s="8"/>
      <c r="U2112" s="8"/>
      <c r="V2112" s="8"/>
      <c r="W2112" s="8"/>
      <c r="X2112" s="8"/>
      <c r="Y2112" s="8"/>
      <c r="Z2112" s="8"/>
    </row>
    <row r="2113" spans="4:26" ht="15" thickBot="1" x14ac:dyDescent="0.35">
      <c r="D2113" s="2">
        <f t="shared" si="72"/>
        <v>2107</v>
      </c>
      <c r="E2113" s="6">
        <v>0.99473351133919574</v>
      </c>
      <c r="F2113" s="24"/>
      <c r="G2113" s="24"/>
      <c r="H2113" s="24"/>
      <c r="I2113" s="24"/>
      <c r="J2113" s="3"/>
      <c r="N2113" s="13"/>
      <c r="O2113" s="9"/>
      <c r="P2113" s="20"/>
      <c r="Q2113" s="20"/>
      <c r="R2113" s="20"/>
      <c r="S2113" s="8"/>
      <c r="T2113" s="8"/>
      <c r="U2113" s="8"/>
      <c r="V2113" s="8"/>
      <c r="W2113" s="8"/>
      <c r="X2113" s="8"/>
      <c r="Y2113" s="8"/>
      <c r="Z2113" s="8"/>
    </row>
    <row r="2114" spans="4:26" ht="15" thickBot="1" x14ac:dyDescent="0.35">
      <c r="D2114" s="2">
        <f t="shared" si="72"/>
        <v>2108</v>
      </c>
      <c r="E2114" s="6">
        <v>1.4786793982919382</v>
      </c>
      <c r="F2114" s="24"/>
      <c r="G2114" s="24"/>
      <c r="H2114" s="24"/>
      <c r="I2114" s="24"/>
      <c r="J2114" s="3"/>
      <c r="N2114" s="13"/>
      <c r="O2114" s="9"/>
      <c r="P2114" s="20"/>
      <c r="Q2114" s="20"/>
      <c r="R2114" s="20"/>
      <c r="S2114" s="8"/>
      <c r="T2114" s="8"/>
      <c r="U2114" s="8"/>
      <c r="V2114" s="8"/>
      <c r="W2114" s="8"/>
      <c r="X2114" s="8"/>
      <c r="Y2114" s="8"/>
      <c r="Z2114" s="8"/>
    </row>
    <row r="2115" spans="4:26" ht="15" thickBot="1" x14ac:dyDescent="0.35">
      <c r="D2115" s="2">
        <f t="shared" si="72"/>
        <v>2109</v>
      </c>
      <c r="E2115" s="6">
        <v>4.2247099250119833</v>
      </c>
      <c r="F2115" s="24"/>
      <c r="G2115" s="24"/>
      <c r="H2115" s="24"/>
      <c r="I2115" s="24"/>
      <c r="J2115" s="3"/>
      <c r="N2115" s="13"/>
      <c r="O2115" s="9"/>
      <c r="P2115" s="20"/>
      <c r="Q2115" s="20"/>
      <c r="R2115" s="20"/>
      <c r="S2115" s="8"/>
      <c r="T2115" s="8"/>
      <c r="U2115" s="8"/>
      <c r="V2115" s="8"/>
      <c r="W2115" s="8"/>
      <c r="X2115" s="8"/>
      <c r="Y2115" s="8"/>
      <c r="Z2115" s="8"/>
    </row>
    <row r="2116" spans="4:26" ht="15" thickBot="1" x14ac:dyDescent="0.35">
      <c r="D2116" s="2">
        <f t="shared" si="72"/>
        <v>2110</v>
      </c>
      <c r="E2116" s="6">
        <v>3.5089011866127939</v>
      </c>
      <c r="F2116" s="24"/>
      <c r="G2116" s="24"/>
      <c r="H2116" s="24"/>
      <c r="I2116" s="24"/>
      <c r="J2116" s="3"/>
      <c r="N2116" s="13"/>
      <c r="O2116" s="9"/>
      <c r="P2116" s="20"/>
      <c r="Q2116" s="20"/>
      <c r="R2116" s="20"/>
      <c r="S2116" s="8"/>
      <c r="T2116" s="8"/>
      <c r="U2116" s="8"/>
      <c r="V2116" s="8"/>
      <c r="W2116" s="8"/>
      <c r="X2116" s="8"/>
      <c r="Y2116" s="8"/>
      <c r="Z2116" s="8"/>
    </row>
    <row r="2117" spans="4:26" ht="15" thickBot="1" x14ac:dyDescent="0.35">
      <c r="D2117" s="2">
        <f t="shared" si="72"/>
        <v>2111</v>
      </c>
      <c r="E2117" s="6">
        <v>6.670052514492065</v>
      </c>
      <c r="F2117" s="24"/>
      <c r="G2117" s="24"/>
      <c r="H2117" s="24"/>
      <c r="I2117" s="24"/>
      <c r="J2117" s="3"/>
      <c r="N2117" s="13"/>
      <c r="O2117" s="9"/>
      <c r="P2117" s="20"/>
      <c r="Q2117" s="20"/>
      <c r="R2117" s="20"/>
      <c r="S2117" s="8"/>
      <c r="T2117" s="8"/>
      <c r="U2117" s="8"/>
      <c r="V2117" s="8"/>
      <c r="W2117" s="8"/>
      <c r="X2117" s="8"/>
      <c r="Y2117" s="8"/>
      <c r="Z2117" s="8"/>
    </row>
    <row r="2118" spans="4:26" ht="15" thickBot="1" x14ac:dyDescent="0.35">
      <c r="D2118" s="2">
        <f t="shared" si="72"/>
        <v>2112</v>
      </c>
      <c r="E2118" s="6">
        <v>1.627355925581019</v>
      </c>
      <c r="F2118" s="24"/>
      <c r="G2118" s="24"/>
      <c r="H2118" s="24"/>
      <c r="I2118" s="24"/>
      <c r="J2118" s="3"/>
      <c r="N2118" s="13"/>
      <c r="O2118" s="9"/>
      <c r="P2118" s="20"/>
      <c r="Q2118" s="20"/>
      <c r="R2118" s="20"/>
      <c r="S2118" s="8"/>
      <c r="T2118" s="8"/>
      <c r="U2118" s="8"/>
      <c r="V2118" s="8"/>
      <c r="W2118" s="8"/>
      <c r="X2118" s="8"/>
      <c r="Y2118" s="8"/>
      <c r="Z2118" s="8"/>
    </row>
    <row r="2119" spans="4:26" ht="15" thickBot="1" x14ac:dyDescent="0.35">
      <c r="D2119" s="2">
        <f t="shared" ref="D2119:D2182" si="73">ROW()-6</f>
        <v>2113</v>
      </c>
      <c r="E2119" s="6">
        <v>3.860433716649053</v>
      </c>
      <c r="F2119" s="24"/>
      <c r="G2119" s="24"/>
      <c r="H2119" s="24"/>
      <c r="I2119" s="24"/>
      <c r="J2119" s="3"/>
      <c r="N2119" s="13"/>
      <c r="O2119" s="9"/>
      <c r="P2119" s="20"/>
      <c r="Q2119" s="20"/>
      <c r="R2119" s="20"/>
      <c r="S2119" s="8"/>
      <c r="T2119" s="8"/>
      <c r="U2119" s="8"/>
      <c r="V2119" s="8"/>
      <c r="W2119" s="8"/>
      <c r="X2119" s="8"/>
      <c r="Y2119" s="8"/>
      <c r="Z2119" s="8"/>
    </row>
    <row r="2120" spans="4:26" ht="15" thickBot="1" x14ac:dyDescent="0.35">
      <c r="D2120" s="2">
        <f t="shared" si="73"/>
        <v>2114</v>
      </c>
      <c r="E2120" s="6">
        <v>4.9109342107382883</v>
      </c>
      <c r="F2120" s="24"/>
      <c r="G2120" s="24"/>
      <c r="H2120" s="24"/>
      <c r="I2120" s="24"/>
      <c r="J2120" s="3"/>
      <c r="N2120" s="13"/>
      <c r="O2120" s="9"/>
      <c r="P2120" s="20"/>
      <c r="Q2120" s="20"/>
      <c r="R2120" s="20"/>
      <c r="S2120" s="8"/>
      <c r="T2120" s="8"/>
      <c r="U2120" s="8"/>
      <c r="V2120" s="8"/>
      <c r="W2120" s="8"/>
      <c r="X2120" s="8"/>
      <c r="Y2120" s="8"/>
      <c r="Z2120" s="8"/>
    </row>
    <row r="2121" spans="4:26" ht="15" thickBot="1" x14ac:dyDescent="0.35">
      <c r="D2121" s="2">
        <f t="shared" si="73"/>
        <v>2115</v>
      </c>
      <c r="E2121" s="6">
        <v>1.3829739338860405</v>
      </c>
      <c r="F2121" s="24"/>
      <c r="G2121" s="24"/>
      <c r="H2121" s="24"/>
      <c r="I2121" s="24"/>
      <c r="J2121" s="3"/>
      <c r="N2121" s="13"/>
      <c r="O2121" s="9"/>
      <c r="P2121" s="20"/>
      <c r="Q2121" s="20"/>
      <c r="R2121" s="20"/>
      <c r="S2121" s="8"/>
      <c r="T2121" s="8"/>
      <c r="U2121" s="8"/>
      <c r="V2121" s="8"/>
      <c r="W2121" s="8"/>
      <c r="X2121" s="8"/>
      <c r="Y2121" s="8"/>
      <c r="Z2121" s="8"/>
    </row>
    <row r="2122" spans="4:26" ht="15" thickBot="1" x14ac:dyDescent="0.35">
      <c r="D2122" s="2">
        <f t="shared" si="73"/>
        <v>2116</v>
      </c>
      <c r="E2122" s="6">
        <v>0.27281106639122887</v>
      </c>
      <c r="F2122" s="24"/>
      <c r="G2122" s="24"/>
      <c r="H2122" s="24"/>
      <c r="I2122" s="24"/>
      <c r="J2122" s="3"/>
      <c r="N2122" s="13"/>
      <c r="O2122" s="9"/>
      <c r="P2122" s="20"/>
      <c r="Q2122" s="20"/>
      <c r="R2122" s="20"/>
      <c r="S2122" s="8"/>
      <c r="T2122" s="8"/>
      <c r="U2122" s="8"/>
      <c r="V2122" s="8"/>
      <c r="W2122" s="8"/>
      <c r="X2122" s="8"/>
      <c r="Y2122" s="8"/>
      <c r="Z2122" s="8"/>
    </row>
    <row r="2123" spans="4:26" ht="15" thickBot="1" x14ac:dyDescent="0.35">
      <c r="D2123" s="2">
        <f t="shared" si="73"/>
        <v>2117</v>
      </c>
      <c r="E2123" s="6">
        <v>0.44114383849339256</v>
      </c>
      <c r="F2123" s="24"/>
      <c r="G2123" s="24"/>
      <c r="H2123" s="24"/>
      <c r="I2123" s="24"/>
      <c r="J2123" s="3"/>
      <c r="N2123" s="13"/>
      <c r="O2123" s="9"/>
      <c r="P2123" s="20"/>
      <c r="Q2123" s="20"/>
      <c r="R2123" s="20"/>
      <c r="S2123" s="8"/>
      <c r="T2123" s="8"/>
      <c r="U2123" s="8"/>
      <c r="V2123" s="8"/>
      <c r="W2123" s="8"/>
      <c r="X2123" s="8"/>
      <c r="Y2123" s="8"/>
      <c r="Z2123" s="8"/>
    </row>
    <row r="2124" spans="4:26" ht="15" thickBot="1" x14ac:dyDescent="0.35">
      <c r="D2124" s="2">
        <f t="shared" si="73"/>
        <v>2118</v>
      </c>
      <c r="E2124" s="6">
        <v>2.8627378157039542</v>
      </c>
      <c r="F2124" s="24"/>
      <c r="G2124" s="24"/>
      <c r="H2124" s="24"/>
      <c r="I2124" s="24"/>
      <c r="J2124" s="3"/>
      <c r="N2124" s="13"/>
      <c r="O2124" s="9"/>
      <c r="P2124" s="20"/>
      <c r="Q2124" s="20"/>
      <c r="R2124" s="20"/>
      <c r="S2124" s="8"/>
      <c r="T2124" s="8"/>
      <c r="U2124" s="8"/>
      <c r="V2124" s="8"/>
      <c r="W2124" s="8"/>
      <c r="X2124" s="8"/>
      <c r="Y2124" s="8"/>
      <c r="Z2124" s="8"/>
    </row>
    <row r="2125" spans="4:26" ht="15" thickBot="1" x14ac:dyDescent="0.35">
      <c r="D2125" s="2">
        <f t="shared" si="73"/>
        <v>2119</v>
      </c>
      <c r="E2125" s="6">
        <v>3.6493465887619276</v>
      </c>
      <c r="F2125" s="24"/>
      <c r="G2125" s="24"/>
      <c r="H2125" s="24"/>
      <c r="I2125" s="24"/>
      <c r="J2125" s="3"/>
      <c r="N2125" s="13"/>
      <c r="O2125" s="9"/>
      <c r="P2125" s="20"/>
      <c r="Q2125" s="20"/>
      <c r="R2125" s="20"/>
      <c r="S2125" s="8"/>
      <c r="T2125" s="8"/>
      <c r="U2125" s="8"/>
      <c r="V2125" s="8"/>
      <c r="W2125" s="8"/>
      <c r="X2125" s="8"/>
      <c r="Y2125" s="8"/>
      <c r="Z2125" s="8"/>
    </row>
    <row r="2126" spans="4:26" ht="15" thickBot="1" x14ac:dyDescent="0.35">
      <c r="D2126" s="2">
        <f t="shared" si="73"/>
        <v>2120</v>
      </c>
      <c r="E2126" s="6">
        <v>0.9964158069802147</v>
      </c>
      <c r="F2126" s="24"/>
      <c r="G2126" s="24"/>
      <c r="H2126" s="24"/>
      <c r="I2126" s="24"/>
      <c r="J2126" s="3"/>
      <c r="N2126" s="13"/>
      <c r="O2126" s="9"/>
      <c r="P2126" s="20"/>
      <c r="Q2126" s="20"/>
      <c r="R2126" s="20"/>
      <c r="S2126" s="8"/>
      <c r="T2126" s="8"/>
      <c r="U2126" s="8"/>
      <c r="V2126" s="8"/>
      <c r="W2126" s="8"/>
      <c r="X2126" s="8"/>
      <c r="Y2126" s="8"/>
      <c r="Z2126" s="8"/>
    </row>
    <row r="2127" spans="4:26" ht="15" thickBot="1" x14ac:dyDescent="0.35">
      <c r="D2127" s="2">
        <f t="shared" si="73"/>
        <v>2121</v>
      </c>
      <c r="E2127" s="6">
        <v>3.2632515726250184</v>
      </c>
      <c r="F2127" s="24"/>
      <c r="G2127" s="24"/>
      <c r="H2127" s="24"/>
      <c r="I2127" s="24"/>
      <c r="J2127" s="3"/>
      <c r="N2127" s="13"/>
      <c r="O2127" s="9"/>
      <c r="P2127" s="20"/>
      <c r="Q2127" s="20"/>
      <c r="R2127" s="20"/>
      <c r="S2127" s="8"/>
      <c r="T2127" s="8"/>
      <c r="U2127" s="8"/>
      <c r="V2127" s="8"/>
      <c r="W2127" s="8"/>
      <c r="X2127" s="8"/>
      <c r="Y2127" s="8"/>
      <c r="Z2127" s="8"/>
    </row>
    <row r="2128" spans="4:26" ht="15" thickBot="1" x14ac:dyDescent="0.35">
      <c r="D2128" s="2">
        <f t="shared" si="73"/>
        <v>2122</v>
      </c>
      <c r="E2128" s="6">
        <v>2.2069250971822005</v>
      </c>
      <c r="F2128" s="24"/>
      <c r="G2128" s="24"/>
      <c r="H2128" s="24"/>
      <c r="I2128" s="24"/>
      <c r="J2128" s="3"/>
      <c r="N2128" s="13"/>
      <c r="O2128" s="9"/>
      <c r="P2128" s="20"/>
      <c r="Q2128" s="20"/>
      <c r="R2128" s="20"/>
      <c r="S2128" s="8"/>
      <c r="T2128" s="8"/>
      <c r="U2128" s="8"/>
      <c r="V2128" s="8"/>
      <c r="W2128" s="8"/>
      <c r="X2128" s="8"/>
      <c r="Y2128" s="8"/>
      <c r="Z2128" s="8"/>
    </row>
    <row r="2129" spans="4:26" ht="15" thickBot="1" x14ac:dyDescent="0.35">
      <c r="D2129" s="2">
        <f t="shared" si="73"/>
        <v>2123</v>
      </c>
      <c r="E2129" s="6">
        <v>3.2199797997746478</v>
      </c>
      <c r="F2129" s="24"/>
      <c r="G2129" s="24"/>
      <c r="H2129" s="24"/>
      <c r="I2129" s="24"/>
      <c r="J2129" s="3"/>
      <c r="N2129" s="13"/>
      <c r="O2129" s="9"/>
      <c r="P2129" s="20"/>
      <c r="Q2129" s="20"/>
      <c r="R2129" s="20"/>
      <c r="S2129" s="8"/>
      <c r="T2129" s="8"/>
      <c r="U2129" s="8"/>
      <c r="V2129" s="8"/>
      <c r="W2129" s="8"/>
      <c r="X2129" s="8"/>
      <c r="Y2129" s="8"/>
      <c r="Z2129" s="8"/>
    </row>
    <row r="2130" spans="4:26" ht="15" thickBot="1" x14ac:dyDescent="0.35">
      <c r="D2130" s="2">
        <f t="shared" si="73"/>
        <v>2124</v>
      </c>
      <c r="E2130" s="6">
        <v>2.9596323371944533</v>
      </c>
      <c r="F2130" s="24"/>
      <c r="G2130" s="24"/>
      <c r="H2130" s="24"/>
      <c r="I2130" s="24"/>
      <c r="J2130" s="3"/>
      <c r="N2130" s="13"/>
      <c r="O2130" s="9"/>
      <c r="P2130" s="20"/>
      <c r="Q2130" s="20"/>
      <c r="R2130" s="20"/>
      <c r="S2130" s="8"/>
      <c r="T2130" s="8"/>
      <c r="U2130" s="8"/>
      <c r="V2130" s="8"/>
      <c r="W2130" s="8"/>
      <c r="X2130" s="8"/>
      <c r="Y2130" s="8"/>
      <c r="Z2130" s="8"/>
    </row>
    <row r="2131" spans="4:26" ht="15" thickBot="1" x14ac:dyDescent="0.35">
      <c r="D2131" s="2">
        <f t="shared" si="73"/>
        <v>2125</v>
      </c>
      <c r="E2131" s="6">
        <v>0.69295744141223481</v>
      </c>
      <c r="F2131" s="24"/>
      <c r="G2131" s="24"/>
      <c r="H2131" s="24"/>
      <c r="I2131" s="24"/>
      <c r="J2131" s="3"/>
      <c r="N2131" s="13"/>
      <c r="O2131" s="9"/>
      <c r="P2131" s="20"/>
      <c r="Q2131" s="20"/>
      <c r="R2131" s="20"/>
      <c r="S2131" s="8"/>
      <c r="T2131" s="8"/>
      <c r="U2131" s="8"/>
      <c r="V2131" s="8"/>
      <c r="W2131" s="8"/>
      <c r="X2131" s="8"/>
      <c r="Y2131" s="8"/>
      <c r="Z2131" s="8"/>
    </row>
    <row r="2132" spans="4:26" ht="15" thickBot="1" x14ac:dyDescent="0.35">
      <c r="D2132" s="2">
        <f t="shared" si="73"/>
        <v>2126</v>
      </c>
      <c r="E2132" s="6">
        <v>10.475833201927843</v>
      </c>
      <c r="F2132" s="24"/>
      <c r="G2132" s="24"/>
      <c r="H2132" s="24"/>
      <c r="I2132" s="24"/>
      <c r="J2132" s="3"/>
      <c r="N2132" s="13"/>
      <c r="O2132" s="9"/>
      <c r="P2132" s="20"/>
      <c r="Q2132" s="20"/>
      <c r="R2132" s="20"/>
      <c r="S2132" s="8"/>
      <c r="T2132" s="8"/>
      <c r="U2132" s="8"/>
      <c r="V2132" s="8"/>
      <c r="W2132" s="8"/>
      <c r="X2132" s="8"/>
      <c r="Y2132" s="8"/>
      <c r="Z2132" s="8"/>
    </row>
    <row r="2133" spans="4:26" ht="15" thickBot="1" x14ac:dyDescent="0.35">
      <c r="D2133" s="2">
        <f t="shared" si="73"/>
        <v>2127</v>
      </c>
      <c r="E2133" s="6">
        <v>3.5183637720263841</v>
      </c>
      <c r="F2133" s="24"/>
      <c r="G2133" s="24"/>
      <c r="H2133" s="24"/>
      <c r="I2133" s="24"/>
      <c r="J2133" s="3"/>
      <c r="N2133" s="13"/>
      <c r="O2133" s="9"/>
      <c r="P2133" s="20"/>
      <c r="Q2133" s="20"/>
      <c r="R2133" s="20"/>
      <c r="S2133" s="8"/>
      <c r="T2133" s="8"/>
      <c r="U2133" s="8"/>
      <c r="V2133" s="8"/>
      <c r="W2133" s="8"/>
      <c r="X2133" s="8"/>
      <c r="Y2133" s="8"/>
      <c r="Z2133" s="8"/>
    </row>
    <row r="2134" spans="4:26" ht="15" thickBot="1" x14ac:dyDescent="0.35">
      <c r="D2134" s="2">
        <f t="shared" si="73"/>
        <v>2128</v>
      </c>
      <c r="E2134" s="6">
        <v>2.8670089293813521</v>
      </c>
      <c r="F2134" s="24"/>
      <c r="G2134" s="24"/>
      <c r="H2134" s="24"/>
      <c r="I2134" s="24"/>
      <c r="J2134" s="3"/>
      <c r="N2134" s="13"/>
      <c r="O2134" s="9"/>
      <c r="P2134" s="20"/>
      <c r="Q2134" s="20"/>
      <c r="R2134" s="20"/>
      <c r="S2134" s="8"/>
      <c r="T2134" s="8"/>
      <c r="U2134" s="8"/>
      <c r="V2134" s="8"/>
      <c r="W2134" s="8"/>
      <c r="X2134" s="8"/>
      <c r="Y2134" s="8"/>
      <c r="Z2134" s="8"/>
    </row>
    <row r="2135" spans="4:26" ht="15" thickBot="1" x14ac:dyDescent="0.35">
      <c r="D2135" s="2">
        <f t="shared" si="73"/>
        <v>2129</v>
      </c>
      <c r="E2135" s="6">
        <v>4.6539731776035964</v>
      </c>
      <c r="F2135" s="24"/>
      <c r="G2135" s="24"/>
      <c r="H2135" s="24"/>
      <c r="I2135" s="24"/>
      <c r="J2135" s="3"/>
      <c r="N2135" s="13"/>
      <c r="O2135" s="9"/>
      <c r="P2135" s="20"/>
      <c r="Q2135" s="20"/>
      <c r="R2135" s="20"/>
      <c r="S2135" s="8"/>
      <c r="T2135" s="8"/>
      <c r="U2135" s="8"/>
      <c r="V2135" s="8"/>
      <c r="W2135" s="8"/>
      <c r="X2135" s="8"/>
      <c r="Y2135" s="8"/>
      <c r="Z2135" s="8"/>
    </row>
    <row r="2136" spans="4:26" ht="15" thickBot="1" x14ac:dyDescent="0.35">
      <c r="D2136" s="2">
        <f t="shared" si="73"/>
        <v>2130</v>
      </c>
      <c r="E2136" s="6">
        <v>3.4920826149824133</v>
      </c>
      <c r="F2136" s="24"/>
      <c r="G2136" s="24"/>
      <c r="H2136" s="24"/>
      <c r="I2136" s="24"/>
      <c r="J2136" s="3"/>
      <c r="N2136" s="13"/>
      <c r="O2136" s="9"/>
      <c r="P2136" s="20"/>
      <c r="Q2136" s="20"/>
      <c r="R2136" s="20"/>
      <c r="S2136" s="8"/>
      <c r="T2136" s="8"/>
      <c r="U2136" s="8"/>
      <c r="V2136" s="8"/>
      <c r="W2136" s="8"/>
      <c r="X2136" s="8"/>
      <c r="Y2136" s="8"/>
      <c r="Z2136" s="8"/>
    </row>
    <row r="2137" spans="4:26" ht="15" thickBot="1" x14ac:dyDescent="0.35">
      <c r="D2137" s="2">
        <f t="shared" si="73"/>
        <v>2131</v>
      </c>
      <c r="E2137" s="6">
        <v>8.6749026722222595</v>
      </c>
      <c r="F2137" s="24"/>
      <c r="G2137" s="24"/>
      <c r="H2137" s="24"/>
      <c r="I2137" s="24"/>
      <c r="J2137" s="3"/>
      <c r="N2137" s="13"/>
      <c r="O2137" s="9"/>
      <c r="P2137" s="20"/>
      <c r="Q2137" s="20"/>
      <c r="R2137" s="20"/>
      <c r="S2137" s="8"/>
      <c r="T2137" s="8"/>
      <c r="U2137" s="8"/>
      <c r="V2137" s="8"/>
      <c r="W2137" s="8"/>
      <c r="X2137" s="8"/>
      <c r="Y2137" s="8"/>
      <c r="Z2137" s="8"/>
    </row>
    <row r="2138" spans="4:26" ht="15" thickBot="1" x14ac:dyDescent="0.35">
      <c r="D2138" s="2">
        <f t="shared" si="73"/>
        <v>2132</v>
      </c>
      <c r="E2138" s="6">
        <v>10.319180962094688</v>
      </c>
      <c r="F2138" s="24"/>
      <c r="G2138" s="24"/>
      <c r="H2138" s="24"/>
      <c r="I2138" s="24"/>
      <c r="J2138" s="3"/>
      <c r="N2138" s="13"/>
      <c r="O2138" s="9"/>
      <c r="P2138" s="20"/>
      <c r="Q2138" s="20"/>
      <c r="R2138" s="20"/>
      <c r="S2138" s="8"/>
      <c r="T2138" s="8"/>
      <c r="U2138" s="8"/>
      <c r="V2138" s="8"/>
      <c r="W2138" s="8"/>
      <c r="X2138" s="8"/>
      <c r="Y2138" s="8"/>
      <c r="Z2138" s="8"/>
    </row>
    <row r="2139" spans="4:26" ht="15" thickBot="1" x14ac:dyDescent="0.35">
      <c r="D2139" s="2">
        <f t="shared" si="73"/>
        <v>2133</v>
      </c>
      <c r="E2139" s="6">
        <v>0.3774886198904282</v>
      </c>
      <c r="F2139" s="24"/>
      <c r="G2139" s="24"/>
      <c r="H2139" s="24"/>
      <c r="I2139" s="24"/>
      <c r="J2139" s="3"/>
      <c r="N2139" s="13"/>
      <c r="O2139" s="9"/>
      <c r="P2139" s="20"/>
      <c r="Q2139" s="20"/>
      <c r="R2139" s="20"/>
      <c r="S2139" s="8"/>
      <c r="T2139" s="8"/>
      <c r="U2139" s="8"/>
      <c r="V2139" s="8"/>
      <c r="W2139" s="8"/>
      <c r="X2139" s="8"/>
      <c r="Y2139" s="8"/>
      <c r="Z2139" s="8"/>
    </row>
    <row r="2140" spans="4:26" ht="15" thickBot="1" x14ac:dyDescent="0.35">
      <c r="D2140" s="2">
        <f t="shared" si="73"/>
        <v>2134</v>
      </c>
      <c r="E2140" s="6">
        <v>6.7588844831786981</v>
      </c>
      <c r="F2140" s="24"/>
      <c r="G2140" s="24"/>
      <c r="H2140" s="24"/>
      <c r="I2140" s="24"/>
      <c r="J2140" s="3"/>
      <c r="N2140" s="13"/>
      <c r="O2140" s="9"/>
      <c r="P2140" s="20"/>
      <c r="Q2140" s="20"/>
      <c r="R2140" s="20"/>
      <c r="S2140" s="8"/>
      <c r="T2140" s="8"/>
      <c r="U2140" s="8"/>
      <c r="V2140" s="8"/>
      <c r="W2140" s="8"/>
      <c r="X2140" s="8"/>
      <c r="Y2140" s="8"/>
      <c r="Z2140" s="8"/>
    </row>
    <row r="2141" spans="4:26" ht="15" thickBot="1" x14ac:dyDescent="0.35">
      <c r="D2141" s="2">
        <f t="shared" si="73"/>
        <v>2135</v>
      </c>
      <c r="E2141" s="6">
        <v>0.20276779148672619</v>
      </c>
      <c r="F2141" s="24"/>
      <c r="G2141" s="24"/>
      <c r="H2141" s="24"/>
      <c r="I2141" s="24"/>
      <c r="J2141" s="3"/>
      <c r="N2141" s="13"/>
      <c r="O2141" s="9"/>
      <c r="P2141" s="20"/>
      <c r="Q2141" s="20"/>
      <c r="R2141" s="20"/>
      <c r="S2141" s="8"/>
      <c r="T2141" s="8"/>
      <c r="U2141" s="8"/>
      <c r="V2141" s="8"/>
      <c r="W2141" s="8"/>
      <c r="X2141" s="8"/>
      <c r="Y2141" s="8"/>
      <c r="Z2141" s="8"/>
    </row>
    <row r="2142" spans="4:26" ht="15" thickBot="1" x14ac:dyDescent="0.35">
      <c r="D2142" s="2">
        <f t="shared" si="73"/>
        <v>2136</v>
      </c>
      <c r="E2142" s="6">
        <v>3.7734838350557856</v>
      </c>
      <c r="F2142" s="24"/>
      <c r="G2142" s="24"/>
      <c r="H2142" s="24"/>
      <c r="I2142" s="24"/>
      <c r="J2142" s="3"/>
      <c r="N2142" s="13"/>
      <c r="O2142" s="9"/>
      <c r="P2142" s="20"/>
      <c r="Q2142" s="20"/>
      <c r="R2142" s="20"/>
      <c r="S2142" s="8"/>
      <c r="T2142" s="8"/>
      <c r="U2142" s="8"/>
      <c r="V2142" s="8"/>
      <c r="W2142" s="8"/>
      <c r="X2142" s="8"/>
      <c r="Y2142" s="8"/>
      <c r="Z2142" s="8"/>
    </row>
    <row r="2143" spans="4:26" ht="15" thickBot="1" x14ac:dyDescent="0.35">
      <c r="D2143" s="2">
        <f t="shared" si="73"/>
        <v>2137</v>
      </c>
      <c r="E2143" s="6">
        <v>7.0502418307336887</v>
      </c>
      <c r="F2143" s="24"/>
      <c r="G2143" s="24"/>
      <c r="H2143" s="24"/>
      <c r="I2143" s="24"/>
      <c r="J2143" s="3"/>
      <c r="N2143" s="13"/>
      <c r="O2143" s="9"/>
      <c r="P2143" s="20"/>
      <c r="Q2143" s="20"/>
      <c r="R2143" s="20"/>
      <c r="S2143" s="8"/>
      <c r="T2143" s="8"/>
      <c r="U2143" s="8"/>
      <c r="V2143" s="8"/>
      <c r="W2143" s="8"/>
      <c r="X2143" s="8"/>
      <c r="Y2143" s="8"/>
      <c r="Z2143" s="8"/>
    </row>
    <row r="2144" spans="4:26" ht="15" thickBot="1" x14ac:dyDescent="0.35">
      <c r="D2144" s="2">
        <f t="shared" si="73"/>
        <v>2138</v>
      </c>
      <c r="E2144" s="6">
        <v>6.0032376646639989</v>
      </c>
      <c r="F2144" s="24"/>
      <c r="G2144" s="24"/>
      <c r="H2144" s="24"/>
      <c r="I2144" s="24"/>
      <c r="J2144" s="3"/>
      <c r="N2144" s="13"/>
      <c r="O2144" s="9"/>
      <c r="P2144" s="20"/>
      <c r="Q2144" s="20"/>
      <c r="R2144" s="20"/>
      <c r="S2144" s="8"/>
      <c r="T2144" s="8"/>
      <c r="U2144" s="8"/>
      <c r="V2144" s="8"/>
      <c r="W2144" s="8"/>
      <c r="X2144" s="8"/>
      <c r="Y2144" s="8"/>
      <c r="Z2144" s="8"/>
    </row>
    <row r="2145" spans="4:26" ht="15" thickBot="1" x14ac:dyDescent="0.35">
      <c r="D2145" s="2">
        <f t="shared" si="73"/>
        <v>2139</v>
      </c>
      <c r="E2145" s="6">
        <v>4.6828630136388325</v>
      </c>
      <c r="F2145" s="24"/>
      <c r="G2145" s="24"/>
      <c r="H2145" s="24"/>
      <c r="I2145" s="24"/>
      <c r="J2145" s="3"/>
      <c r="N2145" s="13"/>
      <c r="O2145" s="9"/>
      <c r="P2145" s="20"/>
      <c r="Q2145" s="20"/>
      <c r="R2145" s="20"/>
      <c r="S2145" s="8"/>
      <c r="T2145" s="8"/>
      <c r="U2145" s="8"/>
      <c r="V2145" s="8"/>
      <c r="W2145" s="8"/>
      <c r="X2145" s="8"/>
      <c r="Y2145" s="8"/>
      <c r="Z2145" s="8"/>
    </row>
    <row r="2146" spans="4:26" ht="15" thickBot="1" x14ac:dyDescent="0.35">
      <c r="D2146" s="2">
        <f t="shared" si="73"/>
        <v>2140</v>
      </c>
      <c r="E2146" s="6">
        <v>1.6159343058803382</v>
      </c>
      <c r="F2146" s="24"/>
      <c r="G2146" s="24"/>
      <c r="H2146" s="24"/>
      <c r="I2146" s="24"/>
      <c r="J2146" s="3"/>
      <c r="N2146" s="13"/>
      <c r="O2146" s="9"/>
      <c r="P2146" s="20"/>
      <c r="Q2146" s="20"/>
      <c r="R2146" s="20"/>
      <c r="S2146" s="8"/>
      <c r="T2146" s="8"/>
      <c r="U2146" s="8"/>
      <c r="V2146" s="8"/>
      <c r="W2146" s="8"/>
      <c r="X2146" s="8"/>
      <c r="Y2146" s="8"/>
      <c r="Z2146" s="8"/>
    </row>
    <row r="2147" spans="4:26" ht="15" thickBot="1" x14ac:dyDescent="0.35">
      <c r="D2147" s="2">
        <f t="shared" si="73"/>
        <v>2141</v>
      </c>
      <c r="E2147" s="6">
        <v>1.0196450504469765</v>
      </c>
      <c r="F2147" s="24"/>
      <c r="G2147" s="24"/>
      <c r="H2147" s="24"/>
      <c r="I2147" s="24"/>
      <c r="J2147" s="3"/>
      <c r="N2147" s="13"/>
      <c r="O2147" s="9"/>
      <c r="P2147" s="20"/>
      <c r="Q2147" s="20"/>
      <c r="R2147" s="20"/>
      <c r="S2147" s="8"/>
      <c r="T2147" s="8"/>
      <c r="U2147" s="8"/>
      <c r="V2147" s="8"/>
      <c r="W2147" s="8"/>
      <c r="X2147" s="8"/>
      <c r="Y2147" s="8"/>
      <c r="Z2147" s="8"/>
    </row>
    <row r="2148" spans="4:26" ht="15" thickBot="1" x14ac:dyDescent="0.35">
      <c r="D2148" s="2">
        <f t="shared" si="73"/>
        <v>2142</v>
      </c>
      <c r="E2148" s="6">
        <v>5.8613273950952927</v>
      </c>
      <c r="F2148" s="24"/>
      <c r="G2148" s="24"/>
      <c r="H2148" s="24"/>
      <c r="I2148" s="24"/>
      <c r="J2148" s="3"/>
      <c r="N2148" s="13"/>
      <c r="O2148" s="9"/>
      <c r="P2148" s="20"/>
      <c r="Q2148" s="20"/>
      <c r="R2148" s="20"/>
      <c r="S2148" s="8"/>
      <c r="T2148" s="8"/>
      <c r="U2148" s="8"/>
      <c r="V2148" s="8"/>
      <c r="W2148" s="8"/>
      <c r="X2148" s="8"/>
      <c r="Y2148" s="8"/>
      <c r="Z2148" s="8"/>
    </row>
    <row r="2149" spans="4:26" ht="15" thickBot="1" x14ac:dyDescent="0.35">
      <c r="D2149" s="2">
        <f t="shared" si="73"/>
        <v>2143</v>
      </c>
      <c r="E2149" s="6">
        <v>5.4969783646642876</v>
      </c>
      <c r="F2149" s="24"/>
      <c r="G2149" s="24"/>
      <c r="H2149" s="24"/>
      <c r="I2149" s="24"/>
      <c r="J2149" s="3"/>
      <c r="N2149" s="13"/>
      <c r="O2149" s="9"/>
      <c r="P2149" s="20"/>
      <c r="Q2149" s="20"/>
      <c r="R2149" s="20"/>
      <c r="S2149" s="8"/>
      <c r="T2149" s="8"/>
      <c r="U2149" s="8"/>
      <c r="V2149" s="8"/>
      <c r="W2149" s="8"/>
      <c r="X2149" s="8"/>
      <c r="Y2149" s="8"/>
      <c r="Z2149" s="8"/>
    </row>
    <row r="2150" spans="4:26" ht="15" thickBot="1" x14ac:dyDescent="0.35">
      <c r="D2150" s="2">
        <f t="shared" si="73"/>
        <v>2144</v>
      </c>
      <c r="E2150" s="6">
        <v>9.1722381312277363</v>
      </c>
      <c r="F2150" s="24"/>
      <c r="G2150" s="24"/>
      <c r="H2150" s="24"/>
      <c r="I2150" s="24"/>
      <c r="J2150" s="3"/>
      <c r="N2150" s="13"/>
      <c r="O2150" s="9"/>
      <c r="P2150" s="20"/>
      <c r="Q2150" s="20"/>
      <c r="R2150" s="20"/>
      <c r="S2150" s="8"/>
      <c r="T2150" s="8"/>
      <c r="U2150" s="8"/>
      <c r="V2150" s="8"/>
      <c r="W2150" s="8"/>
      <c r="X2150" s="8"/>
      <c r="Y2150" s="8"/>
      <c r="Z2150" s="8"/>
    </row>
    <row r="2151" spans="4:26" ht="15" thickBot="1" x14ac:dyDescent="0.35">
      <c r="D2151" s="2">
        <f t="shared" si="73"/>
        <v>2145</v>
      </c>
      <c r="E2151" s="6">
        <v>1.0783983586465968</v>
      </c>
      <c r="F2151" s="24"/>
      <c r="G2151" s="24"/>
      <c r="H2151" s="24"/>
      <c r="I2151" s="24"/>
      <c r="J2151" s="3"/>
      <c r="N2151" s="13"/>
      <c r="O2151" s="9"/>
      <c r="P2151" s="20"/>
      <c r="Q2151" s="20"/>
      <c r="R2151" s="20"/>
      <c r="S2151" s="8"/>
      <c r="T2151" s="8"/>
      <c r="U2151" s="8"/>
      <c r="V2151" s="8"/>
      <c r="W2151" s="8"/>
      <c r="X2151" s="8"/>
      <c r="Y2151" s="8"/>
      <c r="Z2151" s="8"/>
    </row>
    <row r="2152" spans="4:26" ht="15" thickBot="1" x14ac:dyDescent="0.35">
      <c r="D2152" s="2">
        <f t="shared" si="73"/>
        <v>2146</v>
      </c>
      <c r="E2152" s="6">
        <v>1.4737009074327228</v>
      </c>
      <c r="F2152" s="24"/>
      <c r="G2152" s="24"/>
      <c r="H2152" s="24"/>
      <c r="I2152" s="24"/>
      <c r="J2152" s="3"/>
      <c r="N2152" s="13"/>
      <c r="O2152" s="9"/>
      <c r="P2152" s="20"/>
      <c r="Q2152" s="20"/>
      <c r="R2152" s="20"/>
      <c r="S2152" s="8"/>
      <c r="T2152" s="8"/>
      <c r="U2152" s="8"/>
      <c r="V2152" s="8"/>
      <c r="W2152" s="8"/>
      <c r="X2152" s="8"/>
      <c r="Y2152" s="8"/>
      <c r="Z2152" s="8"/>
    </row>
    <row r="2153" spans="4:26" ht="15" thickBot="1" x14ac:dyDescent="0.35">
      <c r="D2153" s="2">
        <f t="shared" si="73"/>
        <v>2147</v>
      </c>
      <c r="E2153" s="6">
        <v>11.57133371907199</v>
      </c>
      <c r="F2153" s="24"/>
      <c r="G2153" s="24"/>
      <c r="H2153" s="24"/>
      <c r="I2153" s="24"/>
      <c r="J2153" s="3"/>
      <c r="N2153" s="13"/>
      <c r="O2153" s="9"/>
      <c r="P2153" s="20"/>
      <c r="Q2153" s="20"/>
      <c r="R2153" s="20"/>
      <c r="S2153" s="8"/>
      <c r="T2153" s="8"/>
      <c r="U2153" s="8"/>
      <c r="V2153" s="8"/>
      <c r="W2153" s="8"/>
      <c r="X2153" s="8"/>
      <c r="Y2153" s="8"/>
      <c r="Z2153" s="8"/>
    </row>
    <row r="2154" spans="4:26" ht="15" thickBot="1" x14ac:dyDescent="0.35">
      <c r="D2154" s="2">
        <f t="shared" si="73"/>
        <v>2148</v>
      </c>
      <c r="E2154" s="6">
        <v>8.5913204332185771</v>
      </c>
      <c r="F2154" s="24"/>
      <c r="G2154" s="24"/>
      <c r="H2154" s="24"/>
      <c r="I2154" s="24"/>
      <c r="J2154" s="3"/>
      <c r="N2154" s="13"/>
      <c r="O2154" s="9"/>
      <c r="P2154" s="20"/>
      <c r="Q2154" s="20"/>
      <c r="R2154" s="20"/>
      <c r="S2154" s="8"/>
      <c r="T2154" s="8"/>
      <c r="U2154" s="8"/>
      <c r="V2154" s="8"/>
      <c r="W2154" s="8"/>
      <c r="X2154" s="8"/>
      <c r="Y2154" s="8"/>
      <c r="Z2154" s="8"/>
    </row>
    <row r="2155" spans="4:26" ht="15" thickBot="1" x14ac:dyDescent="0.35">
      <c r="D2155" s="2">
        <f t="shared" si="73"/>
        <v>2149</v>
      </c>
      <c r="E2155" s="6">
        <v>0.95286041786749853</v>
      </c>
      <c r="F2155" s="24"/>
      <c r="G2155" s="24"/>
      <c r="H2155" s="24"/>
      <c r="I2155" s="24"/>
      <c r="J2155" s="3"/>
      <c r="N2155" s="13"/>
      <c r="O2155" s="9"/>
      <c r="P2155" s="20"/>
      <c r="Q2155" s="20"/>
      <c r="R2155" s="20"/>
      <c r="S2155" s="8"/>
      <c r="T2155" s="8"/>
      <c r="U2155" s="8"/>
      <c r="V2155" s="8"/>
      <c r="W2155" s="8"/>
      <c r="X2155" s="8"/>
      <c r="Y2155" s="8"/>
      <c r="Z2155" s="8"/>
    </row>
    <row r="2156" spans="4:26" ht="15" thickBot="1" x14ac:dyDescent="0.35">
      <c r="D2156" s="2">
        <f t="shared" si="73"/>
        <v>2150</v>
      </c>
      <c r="E2156" s="6">
        <v>18.156699373118492</v>
      </c>
      <c r="F2156" s="24"/>
      <c r="G2156" s="24"/>
      <c r="H2156" s="24"/>
      <c r="I2156" s="24"/>
      <c r="J2156" s="3"/>
      <c r="N2156" s="13"/>
      <c r="O2156" s="9"/>
      <c r="P2156" s="20"/>
      <c r="Q2156" s="20"/>
      <c r="R2156" s="20"/>
      <c r="S2156" s="8"/>
      <c r="T2156" s="8"/>
      <c r="U2156" s="8"/>
      <c r="V2156" s="8"/>
      <c r="W2156" s="8"/>
      <c r="X2156" s="8"/>
      <c r="Y2156" s="8"/>
      <c r="Z2156" s="8"/>
    </row>
    <row r="2157" spans="4:26" ht="15" thickBot="1" x14ac:dyDescent="0.35">
      <c r="D2157" s="2">
        <f t="shared" si="73"/>
        <v>2151</v>
      </c>
      <c r="E2157" s="6">
        <v>7.4595169272220563</v>
      </c>
      <c r="F2157" s="24"/>
      <c r="G2157" s="24"/>
      <c r="H2157" s="24"/>
      <c r="I2157" s="24"/>
      <c r="J2157" s="3"/>
      <c r="N2157" s="13"/>
      <c r="O2157" s="9"/>
      <c r="P2157" s="20"/>
      <c r="Q2157" s="20"/>
      <c r="R2157" s="20"/>
      <c r="S2157" s="8"/>
      <c r="T2157" s="8"/>
      <c r="U2157" s="8"/>
      <c r="V2157" s="8"/>
      <c r="W2157" s="8"/>
      <c r="X2157" s="8"/>
      <c r="Y2157" s="8"/>
      <c r="Z2157" s="8"/>
    </row>
    <row r="2158" spans="4:26" ht="15" thickBot="1" x14ac:dyDescent="0.35">
      <c r="D2158" s="2">
        <f t="shared" si="73"/>
        <v>2152</v>
      </c>
      <c r="E2158" s="6">
        <v>1.2480645329814142</v>
      </c>
      <c r="F2158" s="24"/>
      <c r="G2158" s="24"/>
      <c r="H2158" s="24"/>
      <c r="I2158" s="24"/>
      <c r="J2158" s="3"/>
      <c r="N2158" s="13"/>
      <c r="O2158" s="9"/>
      <c r="P2158" s="20"/>
      <c r="Q2158" s="20"/>
      <c r="R2158" s="20"/>
      <c r="S2158" s="8"/>
      <c r="T2158" s="8"/>
      <c r="U2158" s="8"/>
      <c r="V2158" s="8"/>
      <c r="W2158" s="8"/>
      <c r="X2158" s="8"/>
      <c r="Y2158" s="8"/>
      <c r="Z2158" s="8"/>
    </row>
    <row r="2159" spans="4:26" ht="15" thickBot="1" x14ac:dyDescent="0.35">
      <c r="D2159" s="2">
        <f t="shared" si="73"/>
        <v>2153</v>
      </c>
      <c r="E2159" s="6">
        <v>1.8891088622940138</v>
      </c>
      <c r="F2159" s="24"/>
      <c r="G2159" s="24"/>
      <c r="H2159" s="24"/>
      <c r="I2159" s="24"/>
      <c r="J2159" s="3"/>
      <c r="N2159" s="13"/>
      <c r="O2159" s="9"/>
      <c r="P2159" s="20"/>
      <c r="Q2159" s="20"/>
      <c r="R2159" s="20"/>
      <c r="S2159" s="8"/>
      <c r="T2159" s="8"/>
      <c r="U2159" s="8"/>
      <c r="V2159" s="8"/>
      <c r="W2159" s="8"/>
      <c r="X2159" s="8"/>
      <c r="Y2159" s="8"/>
      <c r="Z2159" s="8"/>
    </row>
    <row r="2160" spans="4:26" ht="15" thickBot="1" x14ac:dyDescent="0.35">
      <c r="D2160" s="2">
        <f t="shared" si="73"/>
        <v>2154</v>
      </c>
      <c r="E2160" s="6">
        <v>12.536068086236217</v>
      </c>
      <c r="F2160" s="24"/>
      <c r="G2160" s="24"/>
      <c r="H2160" s="24"/>
      <c r="I2160" s="24"/>
      <c r="J2160" s="3"/>
      <c r="N2160" s="13"/>
      <c r="O2160" s="9"/>
      <c r="P2160" s="20"/>
      <c r="Q2160" s="20"/>
      <c r="R2160" s="20"/>
      <c r="S2160" s="8"/>
      <c r="T2160" s="8"/>
      <c r="U2160" s="8"/>
      <c r="V2160" s="8"/>
      <c r="W2160" s="8"/>
      <c r="X2160" s="8"/>
      <c r="Y2160" s="8"/>
      <c r="Z2160" s="8"/>
    </row>
    <row r="2161" spans="4:26" ht="15" thickBot="1" x14ac:dyDescent="0.35">
      <c r="D2161" s="2">
        <f t="shared" si="73"/>
        <v>2155</v>
      </c>
      <c r="E2161" s="6">
        <v>0.74671781780291513</v>
      </c>
      <c r="F2161" s="24"/>
      <c r="G2161" s="24"/>
      <c r="H2161" s="24"/>
      <c r="I2161" s="24"/>
      <c r="J2161" s="3"/>
      <c r="N2161" s="13"/>
      <c r="O2161" s="9"/>
      <c r="P2161" s="20"/>
      <c r="Q2161" s="20"/>
      <c r="R2161" s="20"/>
      <c r="S2161" s="8"/>
      <c r="T2161" s="8"/>
      <c r="U2161" s="8"/>
      <c r="V2161" s="8"/>
      <c r="W2161" s="8"/>
      <c r="X2161" s="8"/>
      <c r="Y2161" s="8"/>
      <c r="Z2161" s="8"/>
    </row>
    <row r="2162" spans="4:26" ht="15" thickBot="1" x14ac:dyDescent="0.35">
      <c r="D2162" s="2">
        <f t="shared" si="73"/>
        <v>2156</v>
      </c>
      <c r="E2162" s="6">
        <v>1.9774365002171668</v>
      </c>
      <c r="F2162" s="24"/>
      <c r="G2162" s="24"/>
      <c r="H2162" s="24"/>
      <c r="I2162" s="24"/>
      <c r="J2162" s="3"/>
      <c r="N2162" s="13"/>
      <c r="O2162" s="9"/>
      <c r="P2162" s="20"/>
      <c r="Q2162" s="20"/>
      <c r="R2162" s="20"/>
      <c r="S2162" s="8"/>
      <c r="T2162" s="8"/>
      <c r="U2162" s="8"/>
      <c r="V2162" s="8"/>
      <c r="W2162" s="8"/>
      <c r="X2162" s="8"/>
      <c r="Y2162" s="8"/>
      <c r="Z2162" s="8"/>
    </row>
    <row r="2163" spans="4:26" ht="15" thickBot="1" x14ac:dyDescent="0.35">
      <c r="D2163" s="2">
        <f t="shared" si="73"/>
        <v>2157</v>
      </c>
      <c r="E2163" s="6">
        <v>0.72270314432834382</v>
      </c>
      <c r="F2163" s="24"/>
      <c r="G2163" s="24"/>
      <c r="H2163" s="24"/>
      <c r="I2163" s="24"/>
      <c r="J2163" s="3"/>
      <c r="N2163" s="13"/>
      <c r="O2163" s="9"/>
      <c r="P2163" s="20"/>
      <c r="Q2163" s="20"/>
      <c r="R2163" s="20"/>
      <c r="S2163" s="8"/>
      <c r="T2163" s="8"/>
      <c r="U2163" s="8"/>
      <c r="V2163" s="8"/>
      <c r="W2163" s="8"/>
      <c r="X2163" s="8"/>
      <c r="Y2163" s="8"/>
      <c r="Z2163" s="8"/>
    </row>
    <row r="2164" spans="4:26" ht="15" thickBot="1" x14ac:dyDescent="0.35">
      <c r="D2164" s="2">
        <f t="shared" si="73"/>
        <v>2158</v>
      </c>
      <c r="E2164" s="6">
        <v>1.6632726426017823</v>
      </c>
      <c r="F2164" s="24"/>
      <c r="G2164" s="24"/>
      <c r="H2164" s="24"/>
      <c r="I2164" s="24"/>
      <c r="J2164" s="3"/>
      <c r="N2164" s="13"/>
      <c r="O2164" s="9"/>
      <c r="P2164" s="20"/>
      <c r="Q2164" s="20"/>
      <c r="R2164" s="20"/>
      <c r="S2164" s="8"/>
      <c r="T2164" s="8"/>
      <c r="U2164" s="8"/>
      <c r="V2164" s="8"/>
      <c r="W2164" s="8"/>
      <c r="X2164" s="8"/>
      <c r="Y2164" s="8"/>
      <c r="Z2164" s="8"/>
    </row>
    <row r="2165" spans="4:26" ht="15" thickBot="1" x14ac:dyDescent="0.35">
      <c r="D2165" s="2">
        <f t="shared" si="73"/>
        <v>2159</v>
      </c>
      <c r="E2165" s="6">
        <v>3.8716199956808056E-2</v>
      </c>
      <c r="F2165" s="24"/>
      <c r="G2165" s="24"/>
      <c r="H2165" s="24"/>
      <c r="I2165" s="24"/>
      <c r="J2165" s="3"/>
      <c r="N2165" s="13"/>
      <c r="O2165" s="9"/>
      <c r="P2165" s="20"/>
      <c r="Q2165" s="20"/>
      <c r="R2165" s="20"/>
      <c r="S2165" s="8"/>
      <c r="T2165" s="8"/>
      <c r="U2165" s="8"/>
      <c r="V2165" s="8"/>
      <c r="W2165" s="8"/>
      <c r="X2165" s="8"/>
      <c r="Y2165" s="8"/>
      <c r="Z2165" s="8"/>
    </row>
    <row r="2166" spans="4:26" ht="15" thickBot="1" x14ac:dyDescent="0.35">
      <c r="D2166" s="2">
        <f t="shared" si="73"/>
        <v>2160</v>
      </c>
      <c r="E2166" s="6">
        <v>4.0862233914556736</v>
      </c>
      <c r="F2166" s="24"/>
      <c r="G2166" s="24"/>
      <c r="H2166" s="24"/>
      <c r="I2166" s="24"/>
      <c r="J2166" s="3"/>
      <c r="N2166" s="13"/>
      <c r="O2166" s="9"/>
      <c r="P2166" s="20"/>
      <c r="Q2166" s="20"/>
      <c r="R2166" s="20"/>
      <c r="S2166" s="8"/>
      <c r="T2166" s="8"/>
      <c r="U2166" s="8"/>
      <c r="V2166" s="8"/>
      <c r="W2166" s="8"/>
      <c r="X2166" s="8"/>
      <c r="Y2166" s="8"/>
      <c r="Z2166" s="8"/>
    </row>
    <row r="2167" spans="4:26" ht="15" thickBot="1" x14ac:dyDescent="0.35">
      <c r="D2167" s="2">
        <f t="shared" si="73"/>
        <v>2161</v>
      </c>
      <c r="E2167" s="6">
        <v>5.5789641657521321</v>
      </c>
      <c r="F2167" s="24"/>
      <c r="G2167" s="24"/>
      <c r="H2167" s="24"/>
      <c r="I2167" s="24"/>
      <c r="J2167" s="3"/>
      <c r="N2167" s="13"/>
      <c r="O2167" s="9"/>
      <c r="P2167" s="20"/>
      <c r="Q2167" s="20"/>
      <c r="R2167" s="20"/>
      <c r="S2167" s="8"/>
      <c r="T2167" s="8"/>
      <c r="U2167" s="8"/>
      <c r="V2167" s="8"/>
      <c r="W2167" s="8"/>
      <c r="X2167" s="8"/>
      <c r="Y2167" s="8"/>
      <c r="Z2167" s="8"/>
    </row>
    <row r="2168" spans="4:26" ht="15" thickBot="1" x14ac:dyDescent="0.35">
      <c r="D2168" s="2">
        <f t="shared" si="73"/>
        <v>2162</v>
      </c>
      <c r="E2168" s="6">
        <v>2.9706213970194946</v>
      </c>
      <c r="F2168" s="24"/>
      <c r="G2168" s="24"/>
      <c r="H2168" s="24"/>
      <c r="I2168" s="24"/>
      <c r="J2168" s="3"/>
      <c r="N2168" s="13"/>
      <c r="O2168" s="9"/>
      <c r="P2168" s="20"/>
      <c r="Q2168" s="20"/>
      <c r="R2168" s="20"/>
      <c r="S2168" s="8"/>
      <c r="T2168" s="8"/>
      <c r="U2168" s="8"/>
      <c r="V2168" s="8"/>
      <c r="W2168" s="8"/>
      <c r="X2168" s="8"/>
      <c r="Y2168" s="8"/>
      <c r="Z2168" s="8"/>
    </row>
    <row r="2169" spans="4:26" ht="15" thickBot="1" x14ac:dyDescent="0.35">
      <c r="D2169" s="2">
        <f t="shared" si="73"/>
        <v>2163</v>
      </c>
      <c r="E2169" s="6">
        <v>0.14153183369579697</v>
      </c>
      <c r="F2169" s="24"/>
      <c r="G2169" s="24"/>
      <c r="H2169" s="24"/>
      <c r="I2169" s="24"/>
      <c r="J2169" s="3"/>
      <c r="N2169" s="13"/>
      <c r="O2169" s="9"/>
      <c r="P2169" s="20"/>
      <c r="Q2169" s="20"/>
      <c r="R2169" s="20"/>
      <c r="S2169" s="8"/>
      <c r="T2169" s="8"/>
      <c r="U2169" s="8"/>
      <c r="V2169" s="8"/>
      <c r="W2169" s="8"/>
      <c r="X2169" s="8"/>
      <c r="Y2169" s="8"/>
      <c r="Z2169" s="8"/>
    </row>
    <row r="2170" spans="4:26" ht="15" thickBot="1" x14ac:dyDescent="0.35">
      <c r="D2170" s="2">
        <f t="shared" si="73"/>
        <v>2164</v>
      </c>
      <c r="E2170" s="6">
        <v>2.1329347499995679</v>
      </c>
      <c r="F2170" s="24"/>
      <c r="G2170" s="24"/>
      <c r="H2170" s="24"/>
      <c r="I2170" s="24"/>
      <c r="J2170" s="3"/>
      <c r="N2170" s="13"/>
      <c r="O2170" s="9"/>
      <c r="P2170" s="20"/>
      <c r="Q2170" s="20"/>
      <c r="R2170" s="20"/>
      <c r="S2170" s="8"/>
      <c r="T2170" s="8"/>
      <c r="U2170" s="8"/>
      <c r="V2170" s="8"/>
      <c r="W2170" s="8"/>
      <c r="X2170" s="8"/>
      <c r="Y2170" s="8"/>
      <c r="Z2170" s="8"/>
    </row>
    <row r="2171" spans="4:26" ht="15" thickBot="1" x14ac:dyDescent="0.35">
      <c r="D2171" s="2">
        <f t="shared" si="73"/>
        <v>2165</v>
      </c>
      <c r="E2171" s="6">
        <v>3.0306565874153222</v>
      </c>
      <c r="F2171" s="24"/>
      <c r="G2171" s="24"/>
      <c r="H2171" s="24"/>
      <c r="I2171" s="24"/>
      <c r="J2171" s="3"/>
      <c r="N2171" s="13"/>
      <c r="O2171" s="9"/>
      <c r="P2171" s="20"/>
      <c r="Q2171" s="20"/>
      <c r="R2171" s="20"/>
      <c r="S2171" s="8"/>
      <c r="T2171" s="8"/>
      <c r="U2171" s="8"/>
      <c r="V2171" s="8"/>
      <c r="W2171" s="8"/>
      <c r="X2171" s="8"/>
      <c r="Y2171" s="8"/>
      <c r="Z2171" s="8"/>
    </row>
    <row r="2172" spans="4:26" ht="15" thickBot="1" x14ac:dyDescent="0.35">
      <c r="D2172" s="2">
        <f t="shared" si="73"/>
        <v>2166</v>
      </c>
      <c r="E2172" s="6">
        <v>2.469270234815288</v>
      </c>
      <c r="F2172" s="24"/>
      <c r="G2172" s="24"/>
      <c r="H2172" s="24"/>
      <c r="I2172" s="24"/>
      <c r="J2172" s="3"/>
      <c r="N2172" s="13"/>
      <c r="O2172" s="9"/>
      <c r="P2172" s="20"/>
      <c r="Q2172" s="20"/>
      <c r="R2172" s="20"/>
      <c r="S2172" s="8"/>
      <c r="T2172" s="8"/>
      <c r="U2172" s="8"/>
      <c r="V2172" s="8"/>
      <c r="W2172" s="8"/>
      <c r="X2172" s="8"/>
      <c r="Y2172" s="8"/>
      <c r="Z2172" s="8"/>
    </row>
    <row r="2173" spans="4:26" ht="15" thickBot="1" x14ac:dyDescent="0.35">
      <c r="D2173" s="2">
        <f t="shared" si="73"/>
        <v>2167</v>
      </c>
      <c r="E2173" s="6">
        <v>0.16307426730003743</v>
      </c>
      <c r="F2173" s="24"/>
      <c r="G2173" s="24"/>
      <c r="H2173" s="24"/>
      <c r="I2173" s="24"/>
      <c r="J2173" s="3"/>
      <c r="N2173" s="13"/>
      <c r="O2173" s="9"/>
      <c r="P2173" s="20"/>
      <c r="Q2173" s="20"/>
      <c r="R2173" s="20"/>
      <c r="S2173" s="8"/>
      <c r="T2173" s="8"/>
      <c r="U2173" s="8"/>
      <c r="V2173" s="8"/>
      <c r="W2173" s="8"/>
      <c r="X2173" s="8"/>
      <c r="Y2173" s="8"/>
      <c r="Z2173" s="8"/>
    </row>
    <row r="2174" spans="4:26" ht="15" thickBot="1" x14ac:dyDescent="0.35">
      <c r="D2174" s="2">
        <f t="shared" si="73"/>
        <v>2168</v>
      </c>
      <c r="E2174" s="6">
        <v>2.2684827594553876</v>
      </c>
      <c r="F2174" s="24"/>
      <c r="G2174" s="24"/>
      <c r="H2174" s="24"/>
      <c r="I2174" s="24"/>
      <c r="J2174" s="3"/>
      <c r="N2174" s="13"/>
      <c r="O2174" s="9"/>
      <c r="P2174" s="20"/>
      <c r="Q2174" s="20"/>
      <c r="R2174" s="20"/>
      <c r="S2174" s="8"/>
      <c r="T2174" s="8"/>
      <c r="U2174" s="8"/>
      <c r="V2174" s="8"/>
      <c r="W2174" s="8"/>
      <c r="X2174" s="8"/>
      <c r="Y2174" s="8"/>
      <c r="Z2174" s="8"/>
    </row>
    <row r="2175" spans="4:26" ht="15" thickBot="1" x14ac:dyDescent="0.35">
      <c r="D2175" s="2">
        <f t="shared" si="73"/>
        <v>2169</v>
      </c>
      <c r="E2175" s="6">
        <v>0.60478825764461552</v>
      </c>
      <c r="F2175" s="24"/>
      <c r="G2175" s="24"/>
      <c r="H2175" s="24"/>
      <c r="I2175" s="24"/>
      <c r="J2175" s="3"/>
      <c r="N2175" s="13"/>
      <c r="O2175" s="9"/>
      <c r="P2175" s="20"/>
      <c r="Q2175" s="20"/>
      <c r="R2175" s="20"/>
      <c r="S2175" s="8"/>
      <c r="T2175" s="8"/>
      <c r="U2175" s="8"/>
      <c r="V2175" s="8"/>
      <c r="W2175" s="8"/>
      <c r="X2175" s="8"/>
      <c r="Y2175" s="8"/>
      <c r="Z2175" s="8"/>
    </row>
    <row r="2176" spans="4:26" ht="15" thickBot="1" x14ac:dyDescent="0.35">
      <c r="D2176" s="2">
        <f t="shared" si="73"/>
        <v>2170</v>
      </c>
      <c r="E2176" s="6">
        <v>0.17758887030300738</v>
      </c>
      <c r="F2176" s="24"/>
      <c r="G2176" s="24"/>
      <c r="H2176" s="24"/>
      <c r="I2176" s="24"/>
      <c r="J2176" s="3"/>
      <c r="N2176" s="13"/>
      <c r="O2176" s="9"/>
      <c r="P2176" s="20"/>
      <c r="Q2176" s="20"/>
      <c r="R2176" s="20"/>
      <c r="S2176" s="8"/>
      <c r="T2176" s="8"/>
      <c r="U2176" s="8"/>
      <c r="V2176" s="8"/>
      <c r="W2176" s="8"/>
      <c r="X2176" s="8"/>
      <c r="Y2176" s="8"/>
      <c r="Z2176" s="8"/>
    </row>
    <row r="2177" spans="4:26" ht="15" thickBot="1" x14ac:dyDescent="0.35">
      <c r="D2177" s="2">
        <f t="shared" si="73"/>
        <v>2171</v>
      </c>
      <c r="E2177" s="6">
        <v>0.75732288912530721</v>
      </c>
      <c r="F2177" s="24"/>
      <c r="G2177" s="24"/>
      <c r="H2177" s="24"/>
      <c r="I2177" s="24"/>
      <c r="J2177" s="3"/>
      <c r="N2177" s="13"/>
      <c r="O2177" s="9"/>
      <c r="P2177" s="20"/>
      <c r="Q2177" s="20"/>
      <c r="R2177" s="20"/>
      <c r="S2177" s="8"/>
      <c r="T2177" s="8"/>
      <c r="U2177" s="8"/>
      <c r="V2177" s="8"/>
      <c r="W2177" s="8"/>
      <c r="X2177" s="8"/>
      <c r="Y2177" s="8"/>
      <c r="Z2177" s="8"/>
    </row>
    <row r="2178" spans="4:26" ht="15" thickBot="1" x14ac:dyDescent="0.35">
      <c r="D2178" s="2">
        <f t="shared" si="73"/>
        <v>2172</v>
      </c>
      <c r="E2178" s="6">
        <v>2.2769331976683787</v>
      </c>
      <c r="F2178" s="24"/>
      <c r="G2178" s="24"/>
      <c r="H2178" s="24"/>
      <c r="I2178" s="24"/>
      <c r="J2178" s="3"/>
      <c r="N2178" s="13"/>
      <c r="O2178" s="9"/>
      <c r="P2178" s="20"/>
      <c r="Q2178" s="20"/>
      <c r="R2178" s="20"/>
      <c r="S2178" s="8"/>
      <c r="T2178" s="8"/>
      <c r="U2178" s="8"/>
      <c r="V2178" s="8"/>
      <c r="W2178" s="8"/>
      <c r="X2178" s="8"/>
      <c r="Y2178" s="8"/>
      <c r="Z2178" s="8"/>
    </row>
    <row r="2179" spans="4:26" ht="15" thickBot="1" x14ac:dyDescent="0.35">
      <c r="D2179" s="2">
        <f t="shared" si="73"/>
        <v>2173</v>
      </c>
      <c r="E2179" s="6">
        <v>10.872414172509483</v>
      </c>
      <c r="F2179" s="24"/>
      <c r="G2179" s="24"/>
      <c r="H2179" s="24"/>
      <c r="I2179" s="24"/>
      <c r="J2179" s="3"/>
      <c r="N2179" s="13"/>
      <c r="O2179" s="9"/>
      <c r="P2179" s="20"/>
      <c r="Q2179" s="20"/>
      <c r="R2179" s="20"/>
      <c r="S2179" s="8"/>
      <c r="T2179" s="8"/>
      <c r="U2179" s="8"/>
      <c r="V2179" s="8"/>
      <c r="W2179" s="8"/>
      <c r="X2179" s="8"/>
      <c r="Y2179" s="8"/>
      <c r="Z2179" s="8"/>
    </row>
    <row r="2180" spans="4:26" ht="15" thickBot="1" x14ac:dyDescent="0.35">
      <c r="D2180" s="2">
        <f t="shared" si="73"/>
        <v>2174</v>
      </c>
      <c r="E2180" s="6">
        <v>7.4948125939104724</v>
      </c>
      <c r="F2180" s="24"/>
      <c r="G2180" s="24"/>
      <c r="H2180" s="24"/>
      <c r="I2180" s="24"/>
      <c r="J2180" s="3"/>
      <c r="N2180" s="13"/>
      <c r="O2180" s="9"/>
      <c r="P2180" s="20"/>
      <c r="Q2180" s="20"/>
      <c r="R2180" s="20"/>
      <c r="S2180" s="8"/>
      <c r="T2180" s="8"/>
      <c r="U2180" s="8"/>
      <c r="V2180" s="8"/>
      <c r="W2180" s="8"/>
      <c r="X2180" s="8"/>
      <c r="Y2180" s="8"/>
      <c r="Z2180" s="8"/>
    </row>
    <row r="2181" spans="4:26" ht="15" thickBot="1" x14ac:dyDescent="0.35">
      <c r="D2181" s="2">
        <f t="shared" si="73"/>
        <v>2175</v>
      </c>
      <c r="E2181" s="6">
        <v>3.4613092272263377</v>
      </c>
      <c r="F2181" s="24"/>
      <c r="G2181" s="24"/>
      <c r="H2181" s="24"/>
      <c r="I2181" s="24"/>
      <c r="J2181" s="3"/>
      <c r="N2181" s="13"/>
      <c r="O2181" s="9"/>
      <c r="P2181" s="20"/>
      <c r="Q2181" s="20"/>
      <c r="R2181" s="20"/>
      <c r="S2181" s="8"/>
      <c r="T2181" s="8"/>
      <c r="U2181" s="8"/>
      <c r="V2181" s="8"/>
      <c r="W2181" s="8"/>
      <c r="X2181" s="8"/>
      <c r="Y2181" s="8"/>
      <c r="Z2181" s="8"/>
    </row>
    <row r="2182" spans="4:26" ht="15" thickBot="1" x14ac:dyDescent="0.35">
      <c r="D2182" s="2">
        <f t="shared" si="73"/>
        <v>2176</v>
      </c>
      <c r="E2182" s="6">
        <v>2.2128860246111253</v>
      </c>
      <c r="F2182" s="24"/>
      <c r="G2182" s="24"/>
      <c r="H2182" s="24"/>
      <c r="I2182" s="24"/>
      <c r="J2182" s="3"/>
      <c r="N2182" s="13"/>
      <c r="O2182" s="9"/>
      <c r="P2182" s="20"/>
      <c r="Q2182" s="20"/>
      <c r="R2182" s="20"/>
      <c r="S2182" s="8"/>
      <c r="T2182" s="8"/>
      <c r="U2182" s="8"/>
      <c r="V2182" s="8"/>
      <c r="W2182" s="8"/>
      <c r="X2182" s="8"/>
      <c r="Y2182" s="8"/>
      <c r="Z2182" s="8"/>
    </row>
    <row r="2183" spans="4:26" ht="15" thickBot="1" x14ac:dyDescent="0.35">
      <c r="D2183" s="2">
        <f t="shared" ref="D2183:D2246" si="74">ROW()-6</f>
        <v>2177</v>
      </c>
      <c r="E2183" s="6">
        <v>4.429976684671761</v>
      </c>
      <c r="F2183" s="24"/>
      <c r="G2183" s="24"/>
      <c r="H2183" s="24"/>
      <c r="I2183" s="24"/>
      <c r="J2183" s="3"/>
      <c r="N2183" s="13"/>
      <c r="O2183" s="9"/>
      <c r="P2183" s="20"/>
      <c r="Q2183" s="20"/>
      <c r="R2183" s="20"/>
      <c r="S2183" s="8"/>
      <c r="T2183" s="8"/>
      <c r="U2183" s="8"/>
      <c r="V2183" s="8"/>
      <c r="W2183" s="8"/>
      <c r="X2183" s="8"/>
      <c r="Y2183" s="8"/>
      <c r="Z2183" s="8"/>
    </row>
    <row r="2184" spans="4:26" ht="15" thickBot="1" x14ac:dyDescent="0.35">
      <c r="D2184" s="2">
        <f t="shared" si="74"/>
        <v>2178</v>
      </c>
      <c r="E2184" s="6">
        <v>1.6158979860869551</v>
      </c>
      <c r="F2184" s="24"/>
      <c r="G2184" s="24"/>
      <c r="H2184" s="24"/>
      <c r="I2184" s="24"/>
      <c r="J2184" s="3"/>
      <c r="N2184" s="13"/>
      <c r="O2184" s="9"/>
      <c r="P2184" s="20"/>
      <c r="Q2184" s="20"/>
      <c r="R2184" s="20"/>
      <c r="S2184" s="8"/>
      <c r="T2184" s="8"/>
      <c r="U2184" s="8"/>
      <c r="V2184" s="8"/>
      <c r="W2184" s="8"/>
      <c r="X2184" s="8"/>
      <c r="Y2184" s="8"/>
      <c r="Z2184" s="8"/>
    </row>
    <row r="2185" spans="4:26" ht="15" thickBot="1" x14ac:dyDescent="0.35">
      <c r="D2185" s="2">
        <f t="shared" si="74"/>
        <v>2179</v>
      </c>
      <c r="E2185" s="6">
        <v>3.5340855756690641</v>
      </c>
      <c r="F2185" s="24"/>
      <c r="G2185" s="24"/>
      <c r="H2185" s="24"/>
      <c r="I2185" s="24"/>
      <c r="J2185" s="3"/>
      <c r="N2185" s="13"/>
      <c r="O2185" s="9"/>
      <c r="P2185" s="20"/>
      <c r="Q2185" s="20"/>
      <c r="R2185" s="20"/>
      <c r="S2185" s="8"/>
      <c r="T2185" s="8"/>
      <c r="U2185" s="8"/>
      <c r="V2185" s="8"/>
      <c r="W2185" s="8"/>
      <c r="X2185" s="8"/>
      <c r="Y2185" s="8"/>
      <c r="Z2185" s="8"/>
    </row>
    <row r="2186" spans="4:26" ht="15" thickBot="1" x14ac:dyDescent="0.35">
      <c r="D2186" s="2">
        <f t="shared" si="74"/>
        <v>2180</v>
      </c>
      <c r="E2186" s="6">
        <v>0.6207639733121183</v>
      </c>
      <c r="F2186" s="24"/>
      <c r="G2186" s="24"/>
      <c r="H2186" s="24"/>
      <c r="I2186" s="24"/>
      <c r="J2186" s="3"/>
      <c r="N2186" s="13"/>
      <c r="O2186" s="9"/>
      <c r="P2186" s="20"/>
      <c r="Q2186" s="20"/>
      <c r="R2186" s="20"/>
      <c r="S2186" s="8"/>
      <c r="T2186" s="8"/>
      <c r="U2186" s="8"/>
      <c r="V2186" s="8"/>
      <c r="W2186" s="8"/>
      <c r="X2186" s="8"/>
      <c r="Y2186" s="8"/>
      <c r="Z2186" s="8"/>
    </row>
    <row r="2187" spans="4:26" ht="15" thickBot="1" x14ac:dyDescent="0.35">
      <c r="D2187" s="2">
        <f t="shared" si="74"/>
        <v>2181</v>
      </c>
      <c r="E2187" s="6">
        <v>4.0410382180333828</v>
      </c>
      <c r="F2187" s="24"/>
      <c r="G2187" s="24"/>
      <c r="H2187" s="24"/>
      <c r="I2187" s="24"/>
      <c r="J2187" s="3"/>
      <c r="N2187" s="13"/>
      <c r="O2187" s="9"/>
      <c r="P2187" s="20"/>
      <c r="Q2187" s="20"/>
      <c r="R2187" s="20"/>
      <c r="S2187" s="8"/>
      <c r="T2187" s="8"/>
      <c r="U2187" s="8"/>
      <c r="V2187" s="8"/>
      <c r="W2187" s="8"/>
      <c r="X2187" s="8"/>
      <c r="Y2187" s="8"/>
      <c r="Z2187" s="8"/>
    </row>
    <row r="2188" spans="4:26" ht="15" thickBot="1" x14ac:dyDescent="0.35">
      <c r="D2188" s="2">
        <f t="shared" si="74"/>
        <v>2182</v>
      </c>
      <c r="E2188" s="6">
        <v>6.4259823730952474</v>
      </c>
      <c r="F2188" s="24"/>
      <c r="G2188" s="24"/>
      <c r="H2188" s="24"/>
      <c r="I2188" s="24"/>
      <c r="J2188" s="3"/>
      <c r="N2188" s="13"/>
      <c r="O2188" s="9"/>
      <c r="P2188" s="20"/>
      <c r="Q2188" s="20"/>
      <c r="R2188" s="20"/>
      <c r="S2188" s="8"/>
      <c r="T2188" s="8"/>
      <c r="U2188" s="8"/>
      <c r="V2188" s="8"/>
      <c r="W2188" s="8"/>
      <c r="X2188" s="8"/>
      <c r="Y2188" s="8"/>
      <c r="Z2188" s="8"/>
    </row>
    <row r="2189" spans="4:26" ht="15" thickBot="1" x14ac:dyDescent="0.35">
      <c r="D2189" s="2">
        <f t="shared" si="74"/>
        <v>2183</v>
      </c>
      <c r="E2189" s="6">
        <v>3.6404135160501698</v>
      </c>
      <c r="F2189" s="24"/>
      <c r="G2189" s="24"/>
      <c r="H2189" s="24"/>
      <c r="I2189" s="24"/>
      <c r="J2189" s="3"/>
      <c r="N2189" s="13"/>
      <c r="O2189" s="9"/>
      <c r="P2189" s="20"/>
      <c r="Q2189" s="20"/>
      <c r="R2189" s="20"/>
      <c r="S2189" s="8"/>
      <c r="T2189" s="8"/>
      <c r="U2189" s="8"/>
      <c r="V2189" s="8"/>
      <c r="W2189" s="8"/>
      <c r="X2189" s="8"/>
      <c r="Y2189" s="8"/>
      <c r="Z2189" s="8"/>
    </row>
    <row r="2190" spans="4:26" ht="15" thickBot="1" x14ac:dyDescent="0.35">
      <c r="D2190" s="2">
        <f t="shared" si="74"/>
        <v>2184</v>
      </c>
      <c r="E2190" s="6">
        <v>1.1750938632264076</v>
      </c>
      <c r="F2190" s="24"/>
      <c r="G2190" s="24"/>
      <c r="H2190" s="24"/>
      <c r="I2190" s="24"/>
      <c r="J2190" s="3"/>
      <c r="N2190" s="13"/>
      <c r="O2190" s="9"/>
      <c r="P2190" s="20"/>
      <c r="Q2190" s="20"/>
      <c r="R2190" s="20"/>
      <c r="S2190" s="8"/>
      <c r="T2190" s="8"/>
      <c r="U2190" s="8"/>
      <c r="V2190" s="8"/>
      <c r="W2190" s="8"/>
      <c r="X2190" s="8"/>
      <c r="Y2190" s="8"/>
      <c r="Z2190" s="8"/>
    </row>
    <row r="2191" spans="4:26" ht="15" thickBot="1" x14ac:dyDescent="0.35">
      <c r="D2191" s="2">
        <f t="shared" si="74"/>
        <v>2185</v>
      </c>
      <c r="E2191" s="6">
        <v>0.22078983812099845</v>
      </c>
      <c r="F2191" s="24"/>
      <c r="G2191" s="24"/>
      <c r="H2191" s="24"/>
      <c r="I2191" s="24"/>
      <c r="J2191" s="3"/>
      <c r="N2191" s="13"/>
      <c r="O2191" s="9"/>
      <c r="P2191" s="20"/>
      <c r="Q2191" s="20"/>
      <c r="R2191" s="20"/>
      <c r="S2191" s="8"/>
      <c r="T2191" s="8"/>
      <c r="U2191" s="8"/>
      <c r="V2191" s="8"/>
      <c r="W2191" s="8"/>
      <c r="X2191" s="8"/>
      <c r="Y2191" s="8"/>
      <c r="Z2191" s="8"/>
    </row>
    <row r="2192" spans="4:26" ht="15" thickBot="1" x14ac:dyDescent="0.35">
      <c r="D2192" s="2">
        <f t="shared" si="74"/>
        <v>2186</v>
      </c>
      <c r="E2192" s="6">
        <v>2.1957157424853029</v>
      </c>
      <c r="F2192" s="24"/>
      <c r="G2192" s="24"/>
      <c r="H2192" s="24"/>
      <c r="I2192" s="24"/>
      <c r="J2192" s="3"/>
      <c r="N2192" s="13"/>
      <c r="O2192" s="9"/>
      <c r="P2192" s="20"/>
      <c r="Q2192" s="20"/>
      <c r="R2192" s="20"/>
      <c r="S2192" s="8"/>
      <c r="T2192" s="8"/>
      <c r="U2192" s="8"/>
      <c r="V2192" s="8"/>
      <c r="W2192" s="8"/>
      <c r="X2192" s="8"/>
      <c r="Y2192" s="8"/>
      <c r="Z2192" s="8"/>
    </row>
    <row r="2193" spans="4:26" ht="15" thickBot="1" x14ac:dyDescent="0.35">
      <c r="D2193" s="2">
        <f t="shared" si="74"/>
        <v>2187</v>
      </c>
      <c r="E2193" s="6">
        <v>3.2974742448560161</v>
      </c>
      <c r="F2193" s="24"/>
      <c r="G2193" s="24"/>
      <c r="H2193" s="24"/>
      <c r="I2193" s="24"/>
      <c r="J2193" s="3"/>
      <c r="N2193" s="13"/>
      <c r="O2193" s="9"/>
      <c r="P2193" s="20"/>
      <c r="Q2193" s="20"/>
      <c r="R2193" s="20"/>
      <c r="S2193" s="8"/>
      <c r="T2193" s="8"/>
      <c r="U2193" s="8"/>
      <c r="V2193" s="8"/>
      <c r="W2193" s="8"/>
      <c r="X2193" s="8"/>
      <c r="Y2193" s="8"/>
      <c r="Z2193" s="8"/>
    </row>
    <row r="2194" spans="4:26" ht="15" thickBot="1" x14ac:dyDescent="0.35">
      <c r="D2194" s="2">
        <f t="shared" si="74"/>
        <v>2188</v>
      </c>
      <c r="E2194" s="6">
        <v>14.972100608624489</v>
      </c>
      <c r="F2194" s="24"/>
      <c r="G2194" s="24"/>
      <c r="H2194" s="24"/>
      <c r="I2194" s="24"/>
      <c r="J2194" s="3"/>
      <c r="N2194" s="13"/>
      <c r="O2194" s="9"/>
      <c r="P2194" s="20"/>
      <c r="Q2194" s="20"/>
      <c r="R2194" s="20"/>
      <c r="S2194" s="8"/>
      <c r="T2194" s="8"/>
      <c r="U2194" s="8"/>
      <c r="V2194" s="8"/>
      <c r="W2194" s="8"/>
      <c r="X2194" s="8"/>
      <c r="Y2194" s="8"/>
      <c r="Z2194" s="8"/>
    </row>
    <row r="2195" spans="4:26" ht="15" thickBot="1" x14ac:dyDescent="0.35">
      <c r="D2195" s="2">
        <f t="shared" si="74"/>
        <v>2189</v>
      </c>
      <c r="E2195" s="6">
        <v>6.7644112046460009E-2</v>
      </c>
      <c r="F2195" s="24"/>
      <c r="G2195" s="24"/>
      <c r="H2195" s="24"/>
      <c r="I2195" s="24"/>
      <c r="J2195" s="3"/>
      <c r="N2195" s="13"/>
      <c r="O2195" s="9"/>
      <c r="P2195" s="20"/>
      <c r="Q2195" s="20"/>
      <c r="R2195" s="20"/>
      <c r="S2195" s="8"/>
      <c r="T2195" s="8"/>
      <c r="U2195" s="8"/>
      <c r="V2195" s="8"/>
      <c r="W2195" s="8"/>
      <c r="X2195" s="8"/>
      <c r="Y2195" s="8"/>
      <c r="Z2195" s="8"/>
    </row>
    <row r="2196" spans="4:26" ht="15" thickBot="1" x14ac:dyDescent="0.35">
      <c r="D2196" s="2">
        <f t="shared" si="74"/>
        <v>2190</v>
      </c>
      <c r="E2196" s="6">
        <v>6.1609911724273703</v>
      </c>
      <c r="F2196" s="24"/>
      <c r="G2196" s="24"/>
      <c r="H2196" s="24"/>
      <c r="I2196" s="24"/>
      <c r="J2196" s="3"/>
      <c r="N2196" s="13"/>
      <c r="O2196" s="9"/>
      <c r="P2196" s="20"/>
      <c r="Q2196" s="20"/>
      <c r="R2196" s="20"/>
      <c r="S2196" s="8"/>
      <c r="T2196" s="8"/>
      <c r="U2196" s="8"/>
      <c r="V2196" s="8"/>
      <c r="W2196" s="8"/>
      <c r="X2196" s="8"/>
      <c r="Y2196" s="8"/>
      <c r="Z2196" s="8"/>
    </row>
    <row r="2197" spans="4:26" ht="15" thickBot="1" x14ac:dyDescent="0.35">
      <c r="D2197" s="2">
        <f t="shared" si="74"/>
        <v>2191</v>
      </c>
      <c r="E2197" s="6">
        <v>4.0029014651875698</v>
      </c>
      <c r="F2197" s="24"/>
      <c r="G2197" s="24"/>
      <c r="H2197" s="24"/>
      <c r="I2197" s="24"/>
      <c r="J2197" s="3"/>
      <c r="N2197" s="13"/>
      <c r="O2197" s="9"/>
      <c r="P2197" s="20"/>
      <c r="Q2197" s="20"/>
      <c r="R2197" s="20"/>
      <c r="S2197" s="8"/>
      <c r="T2197" s="8"/>
      <c r="U2197" s="8"/>
      <c r="V2197" s="8"/>
      <c r="W2197" s="8"/>
      <c r="X2197" s="8"/>
      <c r="Y2197" s="8"/>
      <c r="Z2197" s="8"/>
    </row>
    <row r="2198" spans="4:26" ht="15" thickBot="1" x14ac:dyDescent="0.35">
      <c r="D2198" s="2">
        <f t="shared" si="74"/>
        <v>2192</v>
      </c>
      <c r="E2198" s="6">
        <v>0.1107102744015464</v>
      </c>
      <c r="F2198" s="24"/>
      <c r="G2198" s="24"/>
      <c r="H2198" s="24"/>
      <c r="I2198" s="24"/>
      <c r="J2198" s="3"/>
      <c r="N2198" s="13"/>
      <c r="O2198" s="9"/>
      <c r="P2198" s="20"/>
      <c r="Q2198" s="20"/>
      <c r="R2198" s="20"/>
      <c r="S2198" s="8"/>
      <c r="T2198" s="8"/>
      <c r="U2198" s="8"/>
      <c r="V2198" s="8"/>
      <c r="W2198" s="8"/>
      <c r="X2198" s="8"/>
      <c r="Y2198" s="8"/>
      <c r="Z2198" s="8"/>
    </row>
    <row r="2199" spans="4:26" ht="15" thickBot="1" x14ac:dyDescent="0.35">
      <c r="D2199" s="2">
        <f t="shared" si="74"/>
        <v>2193</v>
      </c>
      <c r="E2199" s="6">
        <v>8.3082386506100026</v>
      </c>
      <c r="F2199" s="24"/>
      <c r="G2199" s="24"/>
      <c r="H2199" s="24"/>
      <c r="I2199" s="24"/>
      <c r="J2199" s="3"/>
      <c r="N2199" s="13"/>
      <c r="O2199" s="9"/>
      <c r="P2199" s="20"/>
      <c r="Q2199" s="20"/>
      <c r="R2199" s="20"/>
      <c r="S2199" s="8"/>
      <c r="T2199" s="8"/>
      <c r="U2199" s="8"/>
      <c r="V2199" s="8"/>
      <c r="W2199" s="8"/>
      <c r="X2199" s="8"/>
      <c r="Y2199" s="8"/>
      <c r="Z2199" s="8"/>
    </row>
    <row r="2200" spans="4:26" ht="15" thickBot="1" x14ac:dyDescent="0.35">
      <c r="D2200" s="2">
        <f t="shared" si="74"/>
        <v>2194</v>
      </c>
      <c r="E2200" s="6">
        <v>1.4656731031162726</v>
      </c>
      <c r="F2200" s="24"/>
      <c r="G2200" s="24"/>
      <c r="H2200" s="24"/>
      <c r="I2200" s="24"/>
      <c r="J2200" s="3"/>
      <c r="N2200" s="13"/>
      <c r="O2200" s="9"/>
      <c r="P2200" s="20"/>
      <c r="Q2200" s="20"/>
      <c r="R2200" s="20"/>
      <c r="S2200" s="8"/>
      <c r="T2200" s="8"/>
      <c r="U2200" s="8"/>
      <c r="V2200" s="8"/>
      <c r="W2200" s="8"/>
      <c r="X2200" s="8"/>
      <c r="Y2200" s="8"/>
      <c r="Z2200" s="8"/>
    </row>
    <row r="2201" spans="4:26" ht="15" thickBot="1" x14ac:dyDescent="0.35">
      <c r="D2201" s="2">
        <f t="shared" si="74"/>
        <v>2195</v>
      </c>
      <c r="E2201" s="6">
        <v>3.8635608682301457</v>
      </c>
      <c r="F2201" s="24"/>
      <c r="G2201" s="24"/>
      <c r="H2201" s="24"/>
      <c r="I2201" s="24"/>
      <c r="J2201" s="3"/>
      <c r="N2201" s="13"/>
      <c r="O2201" s="9"/>
      <c r="P2201" s="20"/>
      <c r="Q2201" s="20"/>
      <c r="R2201" s="20"/>
      <c r="S2201" s="8"/>
      <c r="T2201" s="8"/>
      <c r="U2201" s="8"/>
      <c r="V2201" s="8"/>
      <c r="W2201" s="8"/>
      <c r="X2201" s="8"/>
      <c r="Y2201" s="8"/>
      <c r="Z2201" s="8"/>
    </row>
    <row r="2202" spans="4:26" ht="15" thickBot="1" x14ac:dyDescent="0.35">
      <c r="D2202" s="2">
        <f t="shared" si="74"/>
        <v>2196</v>
      </c>
      <c r="E2202" s="6">
        <v>2.998820475631125</v>
      </c>
      <c r="F2202" s="24"/>
      <c r="G2202" s="24"/>
      <c r="H2202" s="24"/>
      <c r="I2202" s="24"/>
      <c r="J2202" s="3"/>
      <c r="N2202" s="13"/>
      <c r="O2202" s="9"/>
      <c r="P2202" s="20"/>
      <c r="Q2202" s="20"/>
      <c r="R2202" s="20"/>
      <c r="S2202" s="8"/>
      <c r="T2202" s="8"/>
      <c r="U2202" s="8"/>
      <c r="V2202" s="8"/>
      <c r="W2202" s="8"/>
      <c r="X2202" s="8"/>
      <c r="Y2202" s="8"/>
      <c r="Z2202" s="8"/>
    </row>
    <row r="2203" spans="4:26" ht="15" thickBot="1" x14ac:dyDescent="0.35">
      <c r="D2203" s="2">
        <f t="shared" si="74"/>
        <v>2197</v>
      </c>
      <c r="E2203" s="6">
        <v>2.2983155014486387</v>
      </c>
      <c r="F2203" s="24"/>
      <c r="G2203" s="24"/>
      <c r="H2203" s="24"/>
      <c r="I2203" s="24"/>
      <c r="J2203" s="3"/>
      <c r="N2203" s="13"/>
      <c r="O2203" s="9"/>
      <c r="P2203" s="20"/>
      <c r="Q2203" s="20"/>
      <c r="R2203" s="20"/>
      <c r="S2203" s="8"/>
      <c r="T2203" s="8"/>
      <c r="U2203" s="8"/>
      <c r="V2203" s="8"/>
      <c r="W2203" s="8"/>
      <c r="X2203" s="8"/>
      <c r="Y2203" s="8"/>
      <c r="Z2203" s="8"/>
    </row>
    <row r="2204" spans="4:26" ht="15" thickBot="1" x14ac:dyDescent="0.35">
      <c r="D2204" s="2">
        <f t="shared" si="74"/>
        <v>2198</v>
      </c>
      <c r="E2204" s="6">
        <v>1.2505492189194658</v>
      </c>
      <c r="F2204" s="24"/>
      <c r="G2204" s="24"/>
      <c r="H2204" s="24"/>
      <c r="I2204" s="24"/>
      <c r="J2204" s="3"/>
      <c r="N2204" s="13"/>
      <c r="O2204" s="9"/>
      <c r="P2204" s="20"/>
      <c r="Q2204" s="20"/>
      <c r="R2204" s="20"/>
      <c r="S2204" s="8"/>
      <c r="T2204" s="8"/>
      <c r="U2204" s="8"/>
      <c r="V2204" s="8"/>
      <c r="W2204" s="8"/>
      <c r="X2204" s="8"/>
      <c r="Y2204" s="8"/>
      <c r="Z2204" s="8"/>
    </row>
    <row r="2205" spans="4:26" ht="15" thickBot="1" x14ac:dyDescent="0.35">
      <c r="D2205" s="2">
        <f t="shared" si="74"/>
        <v>2199</v>
      </c>
      <c r="E2205" s="6">
        <v>3.0392766768298141</v>
      </c>
      <c r="F2205" s="24"/>
      <c r="G2205" s="24"/>
      <c r="H2205" s="24"/>
      <c r="I2205" s="24"/>
      <c r="J2205" s="3"/>
      <c r="N2205" s="13"/>
      <c r="O2205" s="9"/>
      <c r="P2205" s="20"/>
      <c r="Q2205" s="20"/>
      <c r="R2205" s="20"/>
      <c r="S2205" s="8"/>
      <c r="T2205" s="8"/>
      <c r="U2205" s="8"/>
      <c r="V2205" s="8"/>
      <c r="W2205" s="8"/>
      <c r="X2205" s="8"/>
      <c r="Y2205" s="8"/>
      <c r="Z2205" s="8"/>
    </row>
    <row r="2206" spans="4:26" ht="15" thickBot="1" x14ac:dyDescent="0.35">
      <c r="D2206" s="2">
        <f t="shared" si="74"/>
        <v>2200</v>
      </c>
      <c r="E2206" s="6">
        <v>0.52606996158706576</v>
      </c>
      <c r="F2206" s="24"/>
      <c r="G2206" s="24"/>
      <c r="H2206" s="24"/>
      <c r="I2206" s="24"/>
      <c r="J2206" s="3"/>
      <c r="N2206" s="13"/>
      <c r="O2206" s="9"/>
      <c r="P2206" s="20"/>
      <c r="Q2206" s="20"/>
      <c r="R2206" s="20"/>
      <c r="S2206" s="8"/>
      <c r="T2206" s="8"/>
      <c r="U2206" s="8"/>
      <c r="V2206" s="8"/>
      <c r="W2206" s="8"/>
      <c r="X2206" s="8"/>
      <c r="Y2206" s="8"/>
      <c r="Z2206" s="8"/>
    </row>
    <row r="2207" spans="4:26" ht="15" thickBot="1" x14ac:dyDescent="0.35">
      <c r="D2207" s="2">
        <f t="shared" si="74"/>
        <v>2201</v>
      </c>
      <c r="E2207" s="6">
        <v>3.9892744408665148</v>
      </c>
      <c r="F2207" s="24"/>
      <c r="G2207" s="24"/>
      <c r="H2207" s="24"/>
      <c r="I2207" s="24"/>
      <c r="J2207" s="3"/>
      <c r="N2207" s="13"/>
      <c r="O2207" s="9"/>
      <c r="P2207" s="20"/>
      <c r="Q2207" s="20"/>
      <c r="R2207" s="20"/>
      <c r="S2207" s="8"/>
      <c r="T2207" s="8"/>
      <c r="U2207" s="8"/>
      <c r="V2207" s="8"/>
      <c r="W2207" s="8"/>
      <c r="X2207" s="8"/>
      <c r="Y2207" s="8"/>
      <c r="Z2207" s="8"/>
    </row>
    <row r="2208" spans="4:26" ht="15" thickBot="1" x14ac:dyDescent="0.35">
      <c r="D2208" s="2">
        <f t="shared" si="74"/>
        <v>2202</v>
      </c>
      <c r="E2208" s="6">
        <v>1.0343121114251612</v>
      </c>
      <c r="F2208" s="24"/>
      <c r="G2208" s="24"/>
      <c r="H2208" s="24"/>
      <c r="I2208" s="24"/>
      <c r="J2208" s="3"/>
      <c r="N2208" s="13"/>
      <c r="O2208" s="9"/>
      <c r="P2208" s="20"/>
      <c r="Q2208" s="20"/>
      <c r="R2208" s="20"/>
      <c r="S2208" s="8"/>
      <c r="T2208" s="8"/>
      <c r="U2208" s="8"/>
      <c r="V2208" s="8"/>
      <c r="W2208" s="8"/>
      <c r="X2208" s="8"/>
      <c r="Y2208" s="8"/>
      <c r="Z2208" s="8"/>
    </row>
    <row r="2209" spans="4:26" ht="15" thickBot="1" x14ac:dyDescent="0.35">
      <c r="D2209" s="2">
        <f t="shared" si="74"/>
        <v>2203</v>
      </c>
      <c r="E2209" s="6">
        <v>10.195396472645008</v>
      </c>
      <c r="F2209" s="24"/>
      <c r="G2209" s="24"/>
      <c r="H2209" s="24"/>
      <c r="I2209" s="24"/>
      <c r="J2209" s="3"/>
      <c r="N2209" s="13"/>
      <c r="O2209" s="9"/>
      <c r="P2209" s="20"/>
      <c r="Q2209" s="20"/>
      <c r="R2209" s="20"/>
      <c r="S2209" s="8"/>
      <c r="T2209" s="8"/>
      <c r="U2209" s="8"/>
      <c r="V2209" s="8"/>
      <c r="W2209" s="8"/>
      <c r="X2209" s="8"/>
      <c r="Y2209" s="8"/>
      <c r="Z2209" s="8"/>
    </row>
    <row r="2210" spans="4:26" ht="15" thickBot="1" x14ac:dyDescent="0.35">
      <c r="D2210" s="2">
        <f t="shared" si="74"/>
        <v>2204</v>
      </c>
      <c r="E2210" s="6">
        <v>1.6842980803919836</v>
      </c>
      <c r="F2210" s="24"/>
      <c r="G2210" s="24"/>
      <c r="H2210" s="24"/>
      <c r="I2210" s="24"/>
      <c r="J2210" s="3"/>
      <c r="N2210" s="13"/>
      <c r="O2210" s="9"/>
      <c r="P2210" s="20"/>
      <c r="Q2210" s="20"/>
      <c r="R2210" s="20"/>
      <c r="S2210" s="8"/>
      <c r="T2210" s="8"/>
      <c r="U2210" s="8"/>
      <c r="V2210" s="8"/>
      <c r="W2210" s="8"/>
      <c r="X2210" s="8"/>
      <c r="Y2210" s="8"/>
      <c r="Z2210" s="8"/>
    </row>
    <row r="2211" spans="4:26" ht="15" thickBot="1" x14ac:dyDescent="0.35">
      <c r="D2211" s="2">
        <f t="shared" si="74"/>
        <v>2205</v>
      </c>
      <c r="E2211" s="6">
        <v>6.3923194542200787E-2</v>
      </c>
      <c r="F2211" s="24"/>
      <c r="G2211" s="24"/>
      <c r="H2211" s="24"/>
      <c r="I2211" s="24"/>
      <c r="J2211" s="3"/>
      <c r="N2211" s="13"/>
      <c r="O2211" s="9"/>
      <c r="P2211" s="20"/>
      <c r="Q2211" s="20"/>
      <c r="R2211" s="20"/>
      <c r="S2211" s="8"/>
      <c r="T2211" s="8"/>
      <c r="U2211" s="8"/>
      <c r="V2211" s="8"/>
      <c r="W2211" s="8"/>
      <c r="X2211" s="8"/>
      <c r="Y2211" s="8"/>
      <c r="Z2211" s="8"/>
    </row>
    <row r="2212" spans="4:26" ht="15" thickBot="1" x14ac:dyDescent="0.35">
      <c r="D2212" s="2">
        <f t="shared" si="74"/>
        <v>2206</v>
      </c>
      <c r="E2212" s="6">
        <v>7.8845477611149608</v>
      </c>
      <c r="F2212" s="24"/>
      <c r="G2212" s="24"/>
      <c r="H2212" s="24"/>
      <c r="I2212" s="24"/>
      <c r="J2212" s="3"/>
      <c r="N2212" s="13"/>
      <c r="O2212" s="9"/>
      <c r="P2212" s="20"/>
      <c r="Q2212" s="20"/>
      <c r="R2212" s="20"/>
      <c r="S2212" s="8"/>
      <c r="T2212" s="8"/>
      <c r="U2212" s="8"/>
      <c r="V2212" s="8"/>
      <c r="W2212" s="8"/>
      <c r="X2212" s="8"/>
      <c r="Y2212" s="8"/>
      <c r="Z2212" s="8"/>
    </row>
    <row r="2213" spans="4:26" ht="15" thickBot="1" x14ac:dyDescent="0.35">
      <c r="D2213" s="2">
        <f t="shared" si="74"/>
        <v>2207</v>
      </c>
      <c r="E2213" s="6">
        <v>3.5871673915386966</v>
      </c>
      <c r="F2213" s="24"/>
      <c r="G2213" s="24"/>
      <c r="H2213" s="24"/>
      <c r="I2213" s="24"/>
      <c r="J2213" s="3"/>
      <c r="N2213" s="13"/>
      <c r="O2213" s="9"/>
      <c r="P2213" s="20"/>
      <c r="Q2213" s="20"/>
      <c r="R2213" s="20"/>
      <c r="S2213" s="8"/>
      <c r="T2213" s="8"/>
      <c r="U2213" s="8"/>
      <c r="V2213" s="8"/>
      <c r="W2213" s="8"/>
      <c r="X2213" s="8"/>
      <c r="Y2213" s="8"/>
      <c r="Z2213" s="8"/>
    </row>
    <row r="2214" spans="4:26" ht="15" thickBot="1" x14ac:dyDescent="0.35">
      <c r="D2214" s="2">
        <f t="shared" si="74"/>
        <v>2208</v>
      </c>
      <c r="E2214" s="6">
        <v>1.2011302848166965</v>
      </c>
      <c r="F2214" s="24"/>
      <c r="G2214" s="24"/>
      <c r="H2214" s="24"/>
      <c r="I2214" s="24"/>
      <c r="J2214" s="3"/>
      <c r="N2214" s="13"/>
      <c r="O2214" s="9"/>
      <c r="P2214" s="20"/>
      <c r="Q2214" s="20"/>
      <c r="R2214" s="20"/>
      <c r="S2214" s="8"/>
      <c r="T2214" s="8"/>
      <c r="U2214" s="8"/>
      <c r="V2214" s="8"/>
      <c r="W2214" s="8"/>
      <c r="X2214" s="8"/>
      <c r="Y2214" s="8"/>
      <c r="Z2214" s="8"/>
    </row>
    <row r="2215" spans="4:26" ht="15" thickBot="1" x14ac:dyDescent="0.35">
      <c r="D2215" s="2">
        <f t="shared" si="74"/>
        <v>2209</v>
      </c>
      <c r="E2215" s="6">
        <v>11.744551018986099</v>
      </c>
      <c r="F2215" s="24"/>
      <c r="G2215" s="24"/>
      <c r="H2215" s="24"/>
      <c r="I2215" s="24"/>
      <c r="J2215" s="3"/>
      <c r="N2215" s="13"/>
      <c r="O2215" s="9"/>
      <c r="P2215" s="20"/>
      <c r="Q2215" s="20"/>
      <c r="R2215" s="20"/>
      <c r="S2215" s="8"/>
      <c r="T2215" s="8"/>
      <c r="U2215" s="8"/>
      <c r="V2215" s="8"/>
      <c r="W2215" s="8"/>
      <c r="X2215" s="8"/>
      <c r="Y2215" s="8"/>
      <c r="Z2215" s="8"/>
    </row>
    <row r="2216" spans="4:26" ht="15" thickBot="1" x14ac:dyDescent="0.35">
      <c r="D2216" s="2">
        <f t="shared" si="74"/>
        <v>2210</v>
      </c>
      <c r="E2216" s="6">
        <v>3.6743849865762757</v>
      </c>
      <c r="F2216" s="24"/>
      <c r="G2216" s="24"/>
      <c r="H2216" s="24"/>
      <c r="I2216" s="24"/>
      <c r="J2216" s="3"/>
      <c r="N2216" s="13"/>
      <c r="O2216" s="9"/>
      <c r="P2216" s="20"/>
      <c r="Q2216" s="20"/>
      <c r="R2216" s="20"/>
      <c r="S2216" s="8"/>
      <c r="T2216" s="8"/>
      <c r="U2216" s="8"/>
      <c r="V2216" s="8"/>
      <c r="W2216" s="8"/>
      <c r="X2216" s="8"/>
      <c r="Y2216" s="8"/>
      <c r="Z2216" s="8"/>
    </row>
    <row r="2217" spans="4:26" ht="15" thickBot="1" x14ac:dyDescent="0.35">
      <c r="D2217" s="2">
        <f t="shared" si="74"/>
        <v>2211</v>
      </c>
      <c r="E2217" s="6">
        <v>0.69858769329374493</v>
      </c>
      <c r="F2217" s="24"/>
      <c r="G2217" s="24"/>
      <c r="H2217" s="24"/>
      <c r="I2217" s="24"/>
      <c r="J2217" s="3"/>
      <c r="N2217" s="13"/>
      <c r="O2217" s="9"/>
      <c r="P2217" s="20"/>
      <c r="Q2217" s="20"/>
      <c r="R2217" s="20"/>
      <c r="S2217" s="8"/>
      <c r="T2217" s="8"/>
      <c r="U2217" s="8"/>
      <c r="V2217" s="8"/>
      <c r="W2217" s="8"/>
      <c r="X2217" s="8"/>
      <c r="Y2217" s="8"/>
      <c r="Z2217" s="8"/>
    </row>
    <row r="2218" spans="4:26" ht="15" thickBot="1" x14ac:dyDescent="0.35">
      <c r="D2218" s="2">
        <f t="shared" si="74"/>
        <v>2212</v>
      </c>
      <c r="E2218" s="6">
        <v>1.2945639859200422</v>
      </c>
      <c r="F2218" s="24"/>
      <c r="G2218" s="24"/>
      <c r="H2218" s="24"/>
      <c r="I2218" s="24"/>
      <c r="J2218" s="3"/>
      <c r="N2218" s="13"/>
      <c r="O2218" s="9"/>
      <c r="P2218" s="20"/>
      <c r="Q2218" s="20"/>
      <c r="R2218" s="20"/>
      <c r="S2218" s="8"/>
      <c r="T2218" s="8"/>
      <c r="U2218" s="8"/>
      <c r="V2218" s="8"/>
      <c r="W2218" s="8"/>
      <c r="X2218" s="8"/>
      <c r="Y2218" s="8"/>
      <c r="Z2218" s="8"/>
    </row>
    <row r="2219" spans="4:26" ht="15" thickBot="1" x14ac:dyDescent="0.35">
      <c r="D2219" s="2">
        <f t="shared" si="74"/>
        <v>2213</v>
      </c>
      <c r="E2219" s="6">
        <v>3.1744082655664747</v>
      </c>
      <c r="F2219" s="24"/>
      <c r="G2219" s="24"/>
      <c r="H2219" s="24"/>
      <c r="I2219" s="24"/>
      <c r="J2219" s="3"/>
      <c r="N2219" s="13"/>
      <c r="O2219" s="9"/>
      <c r="P2219" s="20"/>
      <c r="Q2219" s="20"/>
      <c r="R2219" s="20"/>
      <c r="S2219" s="8"/>
      <c r="T2219" s="8"/>
      <c r="U2219" s="8"/>
      <c r="V2219" s="8"/>
      <c r="W2219" s="8"/>
      <c r="X2219" s="8"/>
      <c r="Y2219" s="8"/>
      <c r="Z2219" s="8"/>
    </row>
    <row r="2220" spans="4:26" ht="15" thickBot="1" x14ac:dyDescent="0.35">
      <c r="D2220" s="2">
        <f t="shared" si="74"/>
        <v>2214</v>
      </c>
      <c r="E2220" s="6">
        <v>1.0768930108645012</v>
      </c>
      <c r="F2220" s="24"/>
      <c r="G2220" s="24"/>
      <c r="H2220" s="24"/>
      <c r="I2220" s="24"/>
      <c r="J2220" s="3"/>
      <c r="N2220" s="13"/>
      <c r="O2220" s="9"/>
      <c r="P2220" s="20"/>
      <c r="Q2220" s="20"/>
      <c r="R2220" s="20"/>
      <c r="S2220" s="8"/>
      <c r="T2220" s="8"/>
      <c r="U2220" s="8"/>
      <c r="V2220" s="8"/>
      <c r="W2220" s="8"/>
      <c r="X2220" s="8"/>
      <c r="Y2220" s="8"/>
      <c r="Z2220" s="8"/>
    </row>
    <row r="2221" spans="4:26" ht="15" thickBot="1" x14ac:dyDescent="0.35">
      <c r="D2221" s="2">
        <f t="shared" si="74"/>
        <v>2215</v>
      </c>
      <c r="E2221" s="6">
        <v>3.0049377643607191</v>
      </c>
      <c r="F2221" s="24"/>
      <c r="G2221" s="24"/>
      <c r="H2221" s="24"/>
      <c r="I2221" s="24"/>
      <c r="J2221" s="3"/>
      <c r="N2221" s="13"/>
      <c r="O2221" s="9"/>
      <c r="P2221" s="20"/>
      <c r="Q2221" s="20"/>
      <c r="R2221" s="20"/>
      <c r="S2221" s="8"/>
      <c r="T2221" s="8"/>
      <c r="U2221" s="8"/>
      <c r="V2221" s="8"/>
      <c r="W2221" s="8"/>
      <c r="X2221" s="8"/>
      <c r="Y2221" s="8"/>
      <c r="Z2221" s="8"/>
    </row>
    <row r="2222" spans="4:26" ht="15" thickBot="1" x14ac:dyDescent="0.35">
      <c r="D2222" s="2">
        <f t="shared" si="74"/>
        <v>2216</v>
      </c>
      <c r="E2222" s="6">
        <v>1.3700430297470829</v>
      </c>
      <c r="F2222" s="24"/>
      <c r="G2222" s="24"/>
      <c r="H2222" s="24"/>
      <c r="I2222" s="24"/>
      <c r="J2222" s="3"/>
      <c r="N2222" s="13"/>
      <c r="O2222" s="9"/>
      <c r="P2222" s="20"/>
      <c r="Q2222" s="20"/>
      <c r="R2222" s="20"/>
      <c r="S2222" s="8"/>
      <c r="T2222" s="8"/>
      <c r="U2222" s="8"/>
      <c r="V2222" s="8"/>
      <c r="W2222" s="8"/>
      <c r="X2222" s="8"/>
      <c r="Y2222" s="8"/>
      <c r="Z2222" s="8"/>
    </row>
    <row r="2223" spans="4:26" ht="15" thickBot="1" x14ac:dyDescent="0.35">
      <c r="D2223" s="2">
        <f t="shared" si="74"/>
        <v>2217</v>
      </c>
      <c r="E2223" s="6">
        <v>16.795543065115261</v>
      </c>
      <c r="F2223" s="24"/>
      <c r="G2223" s="24"/>
      <c r="H2223" s="24"/>
      <c r="I2223" s="24"/>
      <c r="J2223" s="3"/>
      <c r="N2223" s="13"/>
      <c r="O2223" s="9"/>
      <c r="P2223" s="20"/>
      <c r="Q2223" s="20"/>
      <c r="R2223" s="20"/>
      <c r="S2223" s="8"/>
      <c r="T2223" s="8"/>
      <c r="U2223" s="8"/>
      <c r="V2223" s="8"/>
      <c r="W2223" s="8"/>
      <c r="X2223" s="8"/>
      <c r="Y2223" s="8"/>
      <c r="Z2223" s="8"/>
    </row>
    <row r="2224" spans="4:26" ht="15" thickBot="1" x14ac:dyDescent="0.35">
      <c r="D2224" s="2">
        <f t="shared" si="74"/>
        <v>2218</v>
      </c>
      <c r="E2224" s="6">
        <v>4.0819718556492557</v>
      </c>
      <c r="F2224" s="24"/>
      <c r="G2224" s="24"/>
      <c r="H2224" s="24"/>
      <c r="I2224" s="24"/>
      <c r="J2224" s="3"/>
      <c r="N2224" s="13"/>
      <c r="O2224" s="9"/>
      <c r="P2224" s="20"/>
      <c r="Q2224" s="20"/>
      <c r="R2224" s="20"/>
      <c r="S2224" s="8"/>
      <c r="T2224" s="8"/>
      <c r="U2224" s="8"/>
      <c r="V2224" s="8"/>
      <c r="W2224" s="8"/>
      <c r="X2224" s="8"/>
      <c r="Y2224" s="8"/>
      <c r="Z2224" s="8"/>
    </row>
    <row r="2225" spans="4:26" ht="15" thickBot="1" x14ac:dyDescent="0.35">
      <c r="D2225" s="2">
        <f t="shared" si="74"/>
        <v>2219</v>
      </c>
      <c r="E2225" s="6">
        <v>1.05172265520708</v>
      </c>
      <c r="F2225" s="24"/>
      <c r="G2225" s="24"/>
      <c r="H2225" s="24"/>
      <c r="I2225" s="24"/>
      <c r="J2225" s="3"/>
      <c r="N2225" s="13"/>
      <c r="O2225" s="9"/>
      <c r="P2225" s="20"/>
      <c r="Q2225" s="20"/>
      <c r="R2225" s="20"/>
      <c r="S2225" s="8"/>
      <c r="T2225" s="8"/>
      <c r="U2225" s="8"/>
      <c r="V2225" s="8"/>
      <c r="W2225" s="8"/>
      <c r="X2225" s="8"/>
      <c r="Y2225" s="8"/>
      <c r="Z2225" s="8"/>
    </row>
    <row r="2226" spans="4:26" ht="15" thickBot="1" x14ac:dyDescent="0.35">
      <c r="D2226" s="2">
        <f t="shared" si="74"/>
        <v>2220</v>
      </c>
      <c r="E2226" s="6">
        <v>3.0628644351874379</v>
      </c>
      <c r="F2226" s="24"/>
      <c r="G2226" s="24"/>
      <c r="H2226" s="24"/>
      <c r="I2226" s="24"/>
      <c r="J2226" s="3"/>
      <c r="N2226" s="13"/>
      <c r="O2226" s="9"/>
      <c r="P2226" s="20"/>
      <c r="Q2226" s="20"/>
      <c r="R2226" s="20"/>
      <c r="S2226" s="8"/>
      <c r="T2226" s="8"/>
      <c r="U2226" s="8"/>
      <c r="V2226" s="8"/>
      <c r="W2226" s="8"/>
      <c r="X2226" s="8"/>
      <c r="Y2226" s="8"/>
      <c r="Z2226" s="8"/>
    </row>
    <row r="2227" spans="4:26" ht="15" thickBot="1" x14ac:dyDescent="0.35">
      <c r="D2227" s="2">
        <f t="shared" si="74"/>
        <v>2221</v>
      </c>
      <c r="E2227" s="6">
        <v>3.2792893293217791</v>
      </c>
      <c r="F2227" s="24"/>
      <c r="G2227" s="24"/>
      <c r="H2227" s="24"/>
      <c r="I2227" s="24"/>
      <c r="J2227" s="3"/>
      <c r="N2227" s="13"/>
      <c r="O2227" s="9"/>
      <c r="P2227" s="20"/>
      <c r="Q2227" s="20"/>
      <c r="R2227" s="20"/>
      <c r="S2227" s="8"/>
      <c r="T2227" s="8"/>
      <c r="U2227" s="8"/>
      <c r="V2227" s="8"/>
      <c r="W2227" s="8"/>
      <c r="X2227" s="8"/>
      <c r="Y2227" s="8"/>
      <c r="Z2227" s="8"/>
    </row>
    <row r="2228" spans="4:26" ht="15" thickBot="1" x14ac:dyDescent="0.35">
      <c r="D2228" s="2">
        <f t="shared" si="74"/>
        <v>2222</v>
      </c>
      <c r="E2228" s="6">
        <v>10.437570611295728</v>
      </c>
      <c r="F2228" s="24"/>
      <c r="G2228" s="24"/>
      <c r="H2228" s="24"/>
      <c r="I2228" s="24"/>
      <c r="J2228" s="3"/>
      <c r="N2228" s="13"/>
      <c r="O2228" s="9"/>
      <c r="P2228" s="20"/>
      <c r="Q2228" s="20"/>
      <c r="R2228" s="20"/>
      <c r="S2228" s="8"/>
      <c r="T2228" s="8"/>
      <c r="U2228" s="8"/>
      <c r="V2228" s="8"/>
      <c r="W2228" s="8"/>
      <c r="X2228" s="8"/>
      <c r="Y2228" s="8"/>
      <c r="Z2228" s="8"/>
    </row>
    <row r="2229" spans="4:26" ht="15" thickBot="1" x14ac:dyDescent="0.35">
      <c r="D2229" s="2">
        <f t="shared" si="74"/>
        <v>2223</v>
      </c>
      <c r="E2229" s="6">
        <v>23.661342989212184</v>
      </c>
      <c r="F2229" s="24"/>
      <c r="G2229" s="24"/>
      <c r="H2229" s="24"/>
      <c r="I2229" s="24"/>
      <c r="J2229" s="3"/>
      <c r="N2229" s="13"/>
      <c r="O2229" s="9"/>
      <c r="P2229" s="20"/>
      <c r="Q2229" s="20"/>
      <c r="R2229" s="20"/>
      <c r="S2229" s="8"/>
      <c r="T2229" s="8"/>
      <c r="U2229" s="8"/>
      <c r="V2229" s="8"/>
      <c r="W2229" s="8"/>
      <c r="X2229" s="8"/>
      <c r="Y2229" s="8"/>
      <c r="Z2229" s="8"/>
    </row>
    <row r="2230" spans="4:26" ht="15" thickBot="1" x14ac:dyDescent="0.35">
      <c r="D2230" s="2">
        <f t="shared" si="74"/>
        <v>2224</v>
      </c>
      <c r="E2230" s="6">
        <v>1.9981205018370451</v>
      </c>
      <c r="F2230" s="24"/>
      <c r="G2230" s="24"/>
      <c r="H2230" s="24"/>
      <c r="I2230" s="24"/>
      <c r="J2230" s="3"/>
      <c r="N2230" s="13"/>
      <c r="O2230" s="9"/>
      <c r="P2230" s="20"/>
      <c r="Q2230" s="20"/>
      <c r="R2230" s="20"/>
      <c r="S2230" s="8"/>
      <c r="T2230" s="8"/>
      <c r="U2230" s="8"/>
      <c r="V2230" s="8"/>
      <c r="W2230" s="8"/>
      <c r="X2230" s="8"/>
      <c r="Y2230" s="8"/>
      <c r="Z2230" s="8"/>
    </row>
    <row r="2231" spans="4:26" ht="15" thickBot="1" x14ac:dyDescent="0.35">
      <c r="D2231" s="2">
        <f t="shared" si="74"/>
        <v>2225</v>
      </c>
      <c r="E2231" s="6">
        <v>0.70686536538072942</v>
      </c>
      <c r="F2231" s="24"/>
      <c r="G2231" s="24"/>
      <c r="H2231" s="24"/>
      <c r="I2231" s="24"/>
      <c r="J2231" s="3"/>
      <c r="N2231" s="13"/>
      <c r="O2231" s="9"/>
      <c r="P2231" s="20"/>
      <c r="Q2231" s="20"/>
      <c r="R2231" s="20"/>
      <c r="S2231" s="8"/>
      <c r="T2231" s="8"/>
      <c r="U2231" s="8"/>
      <c r="V2231" s="8"/>
      <c r="W2231" s="8"/>
      <c r="X2231" s="8"/>
      <c r="Y2231" s="8"/>
      <c r="Z2231" s="8"/>
    </row>
    <row r="2232" spans="4:26" ht="15" thickBot="1" x14ac:dyDescent="0.35">
      <c r="D2232" s="2">
        <f t="shared" si="74"/>
        <v>2226</v>
      </c>
      <c r="E2232" s="6">
        <v>0.84259020021323328</v>
      </c>
      <c r="F2232" s="24"/>
      <c r="G2232" s="24"/>
      <c r="H2232" s="24"/>
      <c r="I2232" s="24"/>
      <c r="J2232" s="3"/>
      <c r="N2232" s="13"/>
      <c r="O2232" s="9"/>
      <c r="P2232" s="20"/>
      <c r="Q2232" s="20"/>
      <c r="R2232" s="20"/>
      <c r="S2232" s="8"/>
      <c r="T2232" s="8"/>
      <c r="U2232" s="8"/>
      <c r="V2232" s="8"/>
      <c r="W2232" s="8"/>
      <c r="X2232" s="8"/>
      <c r="Y2232" s="8"/>
      <c r="Z2232" s="8"/>
    </row>
    <row r="2233" spans="4:26" ht="15" thickBot="1" x14ac:dyDescent="0.35">
      <c r="D2233" s="2">
        <f t="shared" si="74"/>
        <v>2227</v>
      </c>
      <c r="E2233" s="6">
        <v>8.7578927299894751</v>
      </c>
      <c r="F2233" s="24"/>
      <c r="G2233" s="24"/>
      <c r="H2233" s="24"/>
      <c r="I2233" s="24"/>
      <c r="J2233" s="3"/>
      <c r="N2233" s="13"/>
      <c r="O2233" s="9"/>
      <c r="P2233" s="20"/>
      <c r="Q2233" s="20"/>
      <c r="R2233" s="20"/>
      <c r="S2233" s="8"/>
      <c r="T2233" s="8"/>
      <c r="U2233" s="8"/>
      <c r="V2233" s="8"/>
      <c r="W2233" s="8"/>
      <c r="X2233" s="8"/>
      <c r="Y2233" s="8"/>
      <c r="Z2233" s="8"/>
    </row>
    <row r="2234" spans="4:26" ht="15" thickBot="1" x14ac:dyDescent="0.35">
      <c r="D2234" s="2">
        <f t="shared" si="74"/>
        <v>2228</v>
      </c>
      <c r="E2234" s="6">
        <v>8.4749908975158856</v>
      </c>
      <c r="F2234" s="24"/>
      <c r="G2234" s="24"/>
      <c r="H2234" s="24"/>
      <c r="I2234" s="24"/>
      <c r="J2234" s="3"/>
      <c r="N2234" s="13"/>
      <c r="O2234" s="9"/>
      <c r="P2234" s="20"/>
      <c r="Q2234" s="20"/>
      <c r="R2234" s="20"/>
      <c r="S2234" s="8"/>
      <c r="T2234" s="8"/>
      <c r="U2234" s="8"/>
      <c r="V2234" s="8"/>
      <c r="W2234" s="8"/>
      <c r="X2234" s="8"/>
      <c r="Y2234" s="8"/>
      <c r="Z2234" s="8"/>
    </row>
    <row r="2235" spans="4:26" ht="15" thickBot="1" x14ac:dyDescent="0.35">
      <c r="D2235" s="2">
        <f t="shared" si="74"/>
        <v>2229</v>
      </c>
      <c r="E2235" s="6">
        <v>3.3726950321045654</v>
      </c>
      <c r="F2235" s="24"/>
      <c r="G2235" s="24"/>
      <c r="H2235" s="24"/>
      <c r="I2235" s="24"/>
      <c r="J2235" s="3"/>
      <c r="N2235" s="13"/>
      <c r="O2235" s="9"/>
      <c r="P2235" s="20"/>
      <c r="Q2235" s="20"/>
      <c r="R2235" s="20"/>
      <c r="S2235" s="8"/>
      <c r="T2235" s="8"/>
      <c r="U2235" s="8"/>
      <c r="V2235" s="8"/>
      <c r="W2235" s="8"/>
      <c r="X2235" s="8"/>
      <c r="Y2235" s="8"/>
      <c r="Z2235" s="8"/>
    </row>
    <row r="2236" spans="4:26" ht="15" thickBot="1" x14ac:dyDescent="0.35">
      <c r="D2236" s="2">
        <f t="shared" si="74"/>
        <v>2230</v>
      </c>
      <c r="E2236" s="6">
        <v>5.4041567454741104</v>
      </c>
      <c r="F2236" s="24"/>
      <c r="G2236" s="24"/>
      <c r="H2236" s="24"/>
      <c r="I2236" s="24"/>
      <c r="J2236" s="3"/>
      <c r="N2236" s="13"/>
      <c r="O2236" s="9"/>
      <c r="P2236" s="20"/>
      <c r="Q2236" s="20"/>
      <c r="R2236" s="20"/>
      <c r="S2236" s="8"/>
      <c r="T2236" s="8"/>
      <c r="U2236" s="8"/>
      <c r="V2236" s="8"/>
      <c r="W2236" s="8"/>
      <c r="X2236" s="8"/>
      <c r="Y2236" s="8"/>
      <c r="Z2236" s="8"/>
    </row>
    <row r="2237" spans="4:26" ht="15" thickBot="1" x14ac:dyDescent="0.35">
      <c r="D2237" s="2">
        <f t="shared" si="74"/>
        <v>2231</v>
      </c>
      <c r="E2237" s="6">
        <v>5.9297226932780207</v>
      </c>
      <c r="F2237" s="24"/>
      <c r="G2237" s="24"/>
      <c r="H2237" s="24"/>
      <c r="I2237" s="24"/>
      <c r="J2237" s="3"/>
      <c r="N2237" s="13"/>
      <c r="O2237" s="9"/>
      <c r="P2237" s="20"/>
      <c r="Q2237" s="20"/>
      <c r="R2237" s="20"/>
      <c r="S2237" s="8"/>
      <c r="T2237" s="8"/>
      <c r="U2237" s="8"/>
      <c r="V2237" s="8"/>
      <c r="W2237" s="8"/>
      <c r="X2237" s="8"/>
      <c r="Y2237" s="8"/>
      <c r="Z2237" s="8"/>
    </row>
    <row r="2238" spans="4:26" ht="15" thickBot="1" x14ac:dyDescent="0.35">
      <c r="D2238" s="2">
        <f t="shared" si="74"/>
        <v>2232</v>
      </c>
      <c r="E2238" s="6">
        <v>6.6438900170902873</v>
      </c>
      <c r="F2238" s="24"/>
      <c r="G2238" s="24"/>
      <c r="H2238" s="24"/>
      <c r="I2238" s="24"/>
      <c r="J2238" s="3"/>
      <c r="N2238" s="13"/>
      <c r="O2238" s="9"/>
      <c r="P2238" s="20"/>
      <c r="Q2238" s="20"/>
      <c r="R2238" s="20"/>
      <c r="S2238" s="8"/>
      <c r="T2238" s="8"/>
      <c r="U2238" s="8"/>
      <c r="V2238" s="8"/>
      <c r="W2238" s="8"/>
      <c r="X2238" s="8"/>
      <c r="Y2238" s="8"/>
      <c r="Z2238" s="8"/>
    </row>
    <row r="2239" spans="4:26" ht="15" thickBot="1" x14ac:dyDescent="0.35">
      <c r="D2239" s="2">
        <f t="shared" si="74"/>
        <v>2233</v>
      </c>
      <c r="E2239" s="6">
        <v>14.220317231737081</v>
      </c>
      <c r="F2239" s="24"/>
      <c r="G2239" s="24"/>
      <c r="H2239" s="24"/>
      <c r="I2239" s="24"/>
      <c r="J2239" s="3"/>
      <c r="N2239" s="13"/>
      <c r="O2239" s="9"/>
      <c r="P2239" s="20"/>
      <c r="Q2239" s="20"/>
      <c r="R2239" s="20"/>
      <c r="S2239" s="8"/>
      <c r="T2239" s="8"/>
      <c r="U2239" s="8"/>
      <c r="V2239" s="8"/>
      <c r="W2239" s="8"/>
      <c r="X2239" s="8"/>
      <c r="Y2239" s="8"/>
      <c r="Z2239" s="8"/>
    </row>
    <row r="2240" spans="4:26" ht="15" thickBot="1" x14ac:dyDescent="0.35">
      <c r="D2240" s="2">
        <f t="shared" si="74"/>
        <v>2234</v>
      </c>
      <c r="E2240" s="6">
        <v>1.3793613661267219</v>
      </c>
      <c r="F2240" s="24"/>
      <c r="G2240" s="24"/>
      <c r="H2240" s="24"/>
      <c r="I2240" s="24"/>
      <c r="J2240" s="3"/>
      <c r="N2240" s="13"/>
      <c r="O2240" s="9"/>
      <c r="P2240" s="20"/>
      <c r="Q2240" s="20"/>
      <c r="R2240" s="20"/>
      <c r="S2240" s="8"/>
      <c r="T2240" s="8"/>
      <c r="U2240" s="8"/>
      <c r="V2240" s="8"/>
      <c r="W2240" s="8"/>
      <c r="X2240" s="8"/>
      <c r="Y2240" s="8"/>
      <c r="Z2240" s="8"/>
    </row>
    <row r="2241" spans="4:26" ht="15" thickBot="1" x14ac:dyDescent="0.35">
      <c r="D2241" s="2">
        <f t="shared" si="74"/>
        <v>2235</v>
      </c>
      <c r="E2241" s="6">
        <v>5.1610777696150381</v>
      </c>
      <c r="F2241" s="24"/>
      <c r="G2241" s="24"/>
      <c r="H2241" s="24"/>
      <c r="I2241" s="24"/>
      <c r="J2241" s="3"/>
      <c r="N2241" s="13"/>
      <c r="O2241" s="9"/>
      <c r="P2241" s="20"/>
      <c r="Q2241" s="20"/>
      <c r="R2241" s="20"/>
      <c r="S2241" s="8"/>
      <c r="T2241" s="8"/>
      <c r="U2241" s="8"/>
      <c r="V2241" s="8"/>
      <c r="W2241" s="8"/>
      <c r="X2241" s="8"/>
      <c r="Y2241" s="8"/>
      <c r="Z2241" s="8"/>
    </row>
    <row r="2242" spans="4:26" ht="15" thickBot="1" x14ac:dyDescent="0.35">
      <c r="D2242" s="2">
        <f t="shared" si="74"/>
        <v>2236</v>
      </c>
      <c r="E2242" s="6">
        <v>1.4247164634938712</v>
      </c>
      <c r="F2242" s="24"/>
      <c r="G2242" s="24"/>
      <c r="H2242" s="24"/>
      <c r="I2242" s="24"/>
      <c r="J2242" s="3"/>
      <c r="N2242" s="13"/>
      <c r="O2242" s="9"/>
      <c r="P2242" s="20"/>
      <c r="Q2242" s="20"/>
      <c r="R2242" s="20"/>
      <c r="S2242" s="8"/>
      <c r="T2242" s="8"/>
      <c r="U2242" s="8"/>
      <c r="V2242" s="8"/>
      <c r="W2242" s="8"/>
      <c r="X2242" s="8"/>
      <c r="Y2242" s="8"/>
      <c r="Z2242" s="8"/>
    </row>
    <row r="2243" spans="4:26" ht="15" thickBot="1" x14ac:dyDescent="0.35">
      <c r="D2243" s="2">
        <f t="shared" si="74"/>
        <v>2237</v>
      </c>
      <c r="E2243" s="6">
        <v>1.4634247597823025</v>
      </c>
      <c r="F2243" s="24"/>
      <c r="G2243" s="24"/>
      <c r="H2243" s="24"/>
      <c r="I2243" s="24"/>
      <c r="J2243" s="3"/>
      <c r="N2243" s="13"/>
      <c r="O2243" s="9"/>
      <c r="P2243" s="20"/>
      <c r="Q2243" s="20"/>
      <c r="R2243" s="20"/>
      <c r="S2243" s="8"/>
      <c r="T2243" s="8"/>
      <c r="U2243" s="8"/>
      <c r="V2243" s="8"/>
      <c r="W2243" s="8"/>
      <c r="X2243" s="8"/>
      <c r="Y2243" s="8"/>
      <c r="Z2243" s="8"/>
    </row>
    <row r="2244" spans="4:26" ht="15" thickBot="1" x14ac:dyDescent="0.35">
      <c r="D2244" s="2">
        <f t="shared" si="74"/>
        <v>2238</v>
      </c>
      <c r="E2244" s="6">
        <v>1.7583018821194794</v>
      </c>
      <c r="F2244" s="24"/>
      <c r="G2244" s="24"/>
      <c r="H2244" s="24"/>
      <c r="I2244" s="24"/>
      <c r="J2244" s="3"/>
      <c r="N2244" s="13"/>
      <c r="O2244" s="9"/>
      <c r="P2244" s="20"/>
      <c r="Q2244" s="20"/>
      <c r="R2244" s="20"/>
      <c r="S2244" s="8"/>
      <c r="T2244" s="8"/>
      <c r="U2244" s="8"/>
      <c r="V2244" s="8"/>
      <c r="W2244" s="8"/>
      <c r="X2244" s="8"/>
      <c r="Y2244" s="8"/>
      <c r="Z2244" s="8"/>
    </row>
    <row r="2245" spans="4:26" ht="15" thickBot="1" x14ac:dyDescent="0.35">
      <c r="D2245" s="2">
        <f t="shared" si="74"/>
        <v>2239</v>
      </c>
      <c r="E2245" s="6">
        <v>2.8167736267945811</v>
      </c>
      <c r="F2245" s="24"/>
      <c r="G2245" s="24"/>
      <c r="H2245" s="24"/>
      <c r="I2245" s="24"/>
      <c r="J2245" s="3"/>
      <c r="N2245" s="13"/>
      <c r="O2245" s="9"/>
      <c r="P2245" s="20"/>
      <c r="Q2245" s="20"/>
      <c r="R2245" s="20"/>
      <c r="S2245" s="8"/>
      <c r="T2245" s="8"/>
      <c r="U2245" s="8"/>
      <c r="V2245" s="8"/>
      <c r="W2245" s="8"/>
      <c r="X2245" s="8"/>
      <c r="Y2245" s="8"/>
      <c r="Z2245" s="8"/>
    </row>
    <row r="2246" spans="4:26" ht="15" thickBot="1" x14ac:dyDescent="0.35">
      <c r="D2246" s="2">
        <f t="shared" si="74"/>
        <v>2240</v>
      </c>
      <c r="E2246" s="6">
        <v>4.4577603526902676</v>
      </c>
      <c r="F2246" s="24"/>
      <c r="G2246" s="24"/>
      <c r="H2246" s="24"/>
      <c r="I2246" s="24"/>
      <c r="J2246" s="3"/>
      <c r="N2246" s="13"/>
      <c r="O2246" s="9"/>
      <c r="P2246" s="20"/>
      <c r="Q2246" s="20"/>
      <c r="R2246" s="20"/>
      <c r="S2246" s="8"/>
      <c r="T2246" s="8"/>
      <c r="U2246" s="8"/>
      <c r="V2246" s="8"/>
      <c r="W2246" s="8"/>
      <c r="X2246" s="8"/>
      <c r="Y2246" s="8"/>
      <c r="Z2246" s="8"/>
    </row>
    <row r="2247" spans="4:26" ht="15" thickBot="1" x14ac:dyDescent="0.35">
      <c r="D2247" s="2">
        <f t="shared" ref="D2247:D2310" si="75">ROW()-6</f>
        <v>2241</v>
      </c>
      <c r="E2247" s="6">
        <v>2.9099773570138909</v>
      </c>
      <c r="F2247" s="24"/>
      <c r="G2247" s="24"/>
      <c r="H2247" s="24"/>
      <c r="I2247" s="24"/>
      <c r="J2247" s="3"/>
      <c r="N2247" s="13"/>
      <c r="O2247" s="9"/>
      <c r="P2247" s="20"/>
      <c r="Q2247" s="20"/>
      <c r="R2247" s="20"/>
      <c r="S2247" s="8"/>
      <c r="T2247" s="8"/>
      <c r="U2247" s="8"/>
      <c r="V2247" s="8"/>
      <c r="W2247" s="8"/>
      <c r="X2247" s="8"/>
      <c r="Y2247" s="8"/>
      <c r="Z2247" s="8"/>
    </row>
    <row r="2248" spans="4:26" ht="15" thickBot="1" x14ac:dyDescent="0.35">
      <c r="D2248" s="2">
        <f t="shared" si="75"/>
        <v>2242</v>
      </c>
      <c r="E2248" s="6">
        <v>0.65072785191115945</v>
      </c>
      <c r="F2248" s="24"/>
      <c r="G2248" s="24"/>
      <c r="H2248" s="24"/>
      <c r="I2248" s="24"/>
      <c r="J2248" s="3"/>
      <c r="N2248" s="13"/>
      <c r="O2248" s="9"/>
      <c r="P2248" s="20"/>
      <c r="Q2248" s="20"/>
      <c r="R2248" s="20"/>
      <c r="S2248" s="8"/>
      <c r="T2248" s="8"/>
      <c r="U2248" s="8"/>
      <c r="V2248" s="8"/>
      <c r="W2248" s="8"/>
      <c r="X2248" s="8"/>
      <c r="Y2248" s="8"/>
      <c r="Z2248" s="8"/>
    </row>
    <row r="2249" spans="4:26" ht="15" thickBot="1" x14ac:dyDescent="0.35">
      <c r="D2249" s="2">
        <f t="shared" si="75"/>
        <v>2243</v>
      </c>
      <c r="E2249" s="6">
        <v>3.5815258055541279</v>
      </c>
      <c r="F2249" s="24"/>
      <c r="G2249" s="24"/>
      <c r="H2249" s="24"/>
      <c r="I2249" s="24"/>
      <c r="J2249" s="3"/>
      <c r="N2249" s="13"/>
      <c r="O2249" s="9"/>
      <c r="P2249" s="20"/>
      <c r="Q2249" s="20"/>
      <c r="R2249" s="20"/>
      <c r="S2249" s="8"/>
      <c r="T2249" s="8"/>
      <c r="U2249" s="8"/>
      <c r="V2249" s="8"/>
      <c r="W2249" s="8"/>
      <c r="X2249" s="8"/>
      <c r="Y2249" s="8"/>
      <c r="Z2249" s="8"/>
    </row>
    <row r="2250" spans="4:26" ht="15" thickBot="1" x14ac:dyDescent="0.35">
      <c r="D2250" s="2">
        <f t="shared" si="75"/>
        <v>2244</v>
      </c>
      <c r="E2250" s="6">
        <v>7.3550420178731563E-2</v>
      </c>
      <c r="F2250" s="24"/>
      <c r="G2250" s="24"/>
      <c r="H2250" s="24"/>
      <c r="I2250" s="24"/>
      <c r="J2250" s="3"/>
      <c r="N2250" s="13"/>
      <c r="O2250" s="9"/>
      <c r="P2250" s="20"/>
      <c r="Q2250" s="20"/>
      <c r="R2250" s="20"/>
      <c r="S2250" s="8"/>
      <c r="T2250" s="8"/>
      <c r="U2250" s="8"/>
      <c r="V2250" s="8"/>
      <c r="W2250" s="8"/>
      <c r="X2250" s="8"/>
      <c r="Y2250" s="8"/>
      <c r="Z2250" s="8"/>
    </row>
    <row r="2251" spans="4:26" ht="15" thickBot="1" x14ac:dyDescent="0.35">
      <c r="D2251" s="2">
        <f t="shared" si="75"/>
        <v>2245</v>
      </c>
      <c r="E2251" s="6">
        <v>9.7480676823852388</v>
      </c>
      <c r="F2251" s="24"/>
      <c r="G2251" s="24"/>
      <c r="H2251" s="24"/>
      <c r="I2251" s="24"/>
      <c r="J2251" s="3"/>
      <c r="N2251" s="13"/>
      <c r="O2251" s="9"/>
      <c r="P2251" s="20"/>
      <c r="Q2251" s="20"/>
      <c r="R2251" s="20"/>
      <c r="S2251" s="8"/>
      <c r="T2251" s="8"/>
      <c r="U2251" s="8"/>
      <c r="V2251" s="8"/>
      <c r="W2251" s="8"/>
      <c r="X2251" s="8"/>
      <c r="Y2251" s="8"/>
      <c r="Z2251" s="8"/>
    </row>
    <row r="2252" spans="4:26" ht="15" thickBot="1" x14ac:dyDescent="0.35">
      <c r="D2252" s="2">
        <f t="shared" si="75"/>
        <v>2246</v>
      </c>
      <c r="E2252" s="6">
        <v>2.8239125056723196</v>
      </c>
      <c r="F2252" s="24"/>
      <c r="G2252" s="24"/>
      <c r="H2252" s="24"/>
      <c r="I2252" s="24"/>
      <c r="J2252" s="3"/>
      <c r="N2252" s="13"/>
      <c r="O2252" s="9"/>
      <c r="P2252" s="20"/>
      <c r="Q2252" s="20"/>
      <c r="R2252" s="20"/>
      <c r="S2252" s="8"/>
      <c r="T2252" s="8"/>
      <c r="U2252" s="8"/>
      <c r="V2252" s="8"/>
      <c r="W2252" s="8"/>
      <c r="X2252" s="8"/>
      <c r="Y2252" s="8"/>
      <c r="Z2252" s="8"/>
    </row>
    <row r="2253" spans="4:26" ht="15" thickBot="1" x14ac:dyDescent="0.35">
      <c r="D2253" s="2">
        <f t="shared" si="75"/>
        <v>2247</v>
      </c>
      <c r="E2253" s="6">
        <v>2.6840418959282912</v>
      </c>
      <c r="F2253" s="24"/>
      <c r="G2253" s="24"/>
      <c r="H2253" s="24"/>
      <c r="I2253" s="24"/>
      <c r="J2253" s="3"/>
      <c r="N2253" s="13"/>
      <c r="O2253" s="9"/>
      <c r="P2253" s="20"/>
      <c r="Q2253" s="20"/>
      <c r="R2253" s="20"/>
      <c r="S2253" s="8"/>
      <c r="T2253" s="8"/>
      <c r="U2253" s="8"/>
      <c r="V2253" s="8"/>
      <c r="W2253" s="8"/>
      <c r="X2253" s="8"/>
      <c r="Y2253" s="8"/>
      <c r="Z2253" s="8"/>
    </row>
    <row r="2254" spans="4:26" ht="15" thickBot="1" x14ac:dyDescent="0.35">
      <c r="D2254" s="2">
        <f t="shared" si="75"/>
        <v>2248</v>
      </c>
      <c r="E2254" s="6">
        <v>5.1086069573055939</v>
      </c>
      <c r="F2254" s="24"/>
      <c r="G2254" s="24"/>
      <c r="H2254" s="24"/>
      <c r="I2254" s="24"/>
      <c r="J2254" s="3"/>
      <c r="N2254" s="13"/>
      <c r="O2254" s="9"/>
      <c r="P2254" s="20"/>
      <c r="Q2254" s="20"/>
      <c r="R2254" s="20"/>
      <c r="S2254" s="8"/>
      <c r="T2254" s="8"/>
      <c r="U2254" s="8"/>
      <c r="V2254" s="8"/>
      <c r="W2254" s="8"/>
      <c r="X2254" s="8"/>
      <c r="Y2254" s="8"/>
      <c r="Z2254" s="8"/>
    </row>
    <row r="2255" spans="4:26" ht="15" thickBot="1" x14ac:dyDescent="0.35">
      <c r="D2255" s="2">
        <f t="shared" si="75"/>
        <v>2249</v>
      </c>
      <c r="E2255" s="6">
        <v>0.87973106760059028</v>
      </c>
      <c r="F2255" s="24"/>
      <c r="G2255" s="24"/>
      <c r="H2255" s="24"/>
      <c r="I2255" s="24"/>
      <c r="J2255" s="3"/>
      <c r="N2255" s="13"/>
      <c r="O2255" s="9"/>
      <c r="P2255" s="20"/>
      <c r="Q2255" s="20"/>
      <c r="R2255" s="20"/>
      <c r="S2255" s="8"/>
      <c r="T2255" s="8"/>
      <c r="U2255" s="8"/>
      <c r="V2255" s="8"/>
      <c r="W2255" s="8"/>
      <c r="X2255" s="8"/>
      <c r="Y2255" s="8"/>
      <c r="Z2255" s="8"/>
    </row>
    <row r="2256" spans="4:26" ht="15" thickBot="1" x14ac:dyDescent="0.35">
      <c r="D2256" s="2">
        <f t="shared" si="75"/>
        <v>2250</v>
      </c>
      <c r="E2256" s="6">
        <v>5.0489326447920115</v>
      </c>
      <c r="F2256" s="24"/>
      <c r="G2256" s="24"/>
      <c r="H2256" s="24"/>
      <c r="I2256" s="24"/>
      <c r="J2256" s="3"/>
      <c r="N2256" s="13"/>
      <c r="O2256" s="9"/>
      <c r="P2256" s="20"/>
      <c r="Q2256" s="20"/>
      <c r="R2256" s="20"/>
      <c r="S2256" s="8"/>
      <c r="T2256" s="8"/>
      <c r="U2256" s="8"/>
      <c r="V2256" s="8"/>
      <c r="W2256" s="8"/>
      <c r="X2256" s="8"/>
      <c r="Y2256" s="8"/>
      <c r="Z2256" s="8"/>
    </row>
    <row r="2257" spans="4:26" ht="15" thickBot="1" x14ac:dyDescent="0.35">
      <c r="D2257" s="2">
        <f t="shared" si="75"/>
        <v>2251</v>
      </c>
      <c r="E2257" s="6">
        <v>4.330223060527671</v>
      </c>
      <c r="F2257" s="24"/>
      <c r="G2257" s="24"/>
      <c r="H2257" s="24"/>
      <c r="I2257" s="24"/>
      <c r="J2257" s="3"/>
      <c r="N2257" s="13"/>
      <c r="O2257" s="9"/>
      <c r="P2257" s="20"/>
      <c r="Q2257" s="20"/>
      <c r="R2257" s="20"/>
      <c r="S2257" s="8"/>
      <c r="T2257" s="8"/>
      <c r="U2257" s="8"/>
      <c r="V2257" s="8"/>
      <c r="W2257" s="8"/>
      <c r="X2257" s="8"/>
      <c r="Y2257" s="8"/>
      <c r="Z2257" s="8"/>
    </row>
    <row r="2258" spans="4:26" ht="15" thickBot="1" x14ac:dyDescent="0.35">
      <c r="D2258" s="2">
        <f t="shared" si="75"/>
        <v>2252</v>
      </c>
      <c r="E2258" s="6">
        <v>7.0855350766127021</v>
      </c>
      <c r="F2258" s="24"/>
      <c r="G2258" s="24"/>
      <c r="H2258" s="24"/>
      <c r="I2258" s="24"/>
      <c r="J2258" s="3"/>
      <c r="N2258" s="13"/>
      <c r="O2258" s="9"/>
      <c r="P2258" s="20"/>
      <c r="Q2258" s="20"/>
      <c r="R2258" s="20"/>
      <c r="S2258" s="8"/>
      <c r="T2258" s="8"/>
      <c r="U2258" s="8"/>
      <c r="V2258" s="8"/>
      <c r="W2258" s="8"/>
      <c r="X2258" s="8"/>
      <c r="Y2258" s="8"/>
      <c r="Z2258" s="8"/>
    </row>
    <row r="2259" spans="4:26" ht="15" thickBot="1" x14ac:dyDescent="0.35">
      <c r="D2259" s="2">
        <f t="shared" si="75"/>
        <v>2253</v>
      </c>
      <c r="E2259" s="6">
        <v>2.6960411299828153</v>
      </c>
      <c r="F2259" s="24"/>
      <c r="G2259" s="24"/>
      <c r="H2259" s="24"/>
      <c r="I2259" s="24"/>
      <c r="J2259" s="3"/>
      <c r="N2259" s="13"/>
      <c r="O2259" s="9"/>
      <c r="P2259" s="20"/>
      <c r="Q2259" s="20"/>
      <c r="R2259" s="20"/>
      <c r="S2259" s="8"/>
      <c r="T2259" s="8"/>
      <c r="U2259" s="8"/>
      <c r="V2259" s="8"/>
      <c r="W2259" s="8"/>
      <c r="X2259" s="8"/>
      <c r="Y2259" s="8"/>
      <c r="Z2259" s="8"/>
    </row>
    <row r="2260" spans="4:26" ht="15" thickBot="1" x14ac:dyDescent="0.35">
      <c r="D2260" s="2">
        <f t="shared" si="75"/>
        <v>2254</v>
      </c>
      <c r="E2260" s="6">
        <v>1.9311353558630859</v>
      </c>
      <c r="F2260" s="24"/>
      <c r="G2260" s="24"/>
      <c r="H2260" s="24"/>
      <c r="I2260" s="24"/>
      <c r="J2260" s="3"/>
      <c r="N2260" s="13"/>
      <c r="O2260" s="9"/>
      <c r="P2260" s="20"/>
      <c r="Q2260" s="20"/>
      <c r="R2260" s="20"/>
      <c r="S2260" s="8"/>
      <c r="T2260" s="8"/>
      <c r="U2260" s="8"/>
      <c r="V2260" s="8"/>
      <c r="W2260" s="8"/>
      <c r="X2260" s="8"/>
      <c r="Y2260" s="8"/>
      <c r="Z2260" s="8"/>
    </row>
    <row r="2261" spans="4:26" ht="15" thickBot="1" x14ac:dyDescent="0.35">
      <c r="D2261" s="2">
        <f t="shared" si="75"/>
        <v>2255</v>
      </c>
      <c r="E2261" s="6">
        <v>2.0618171836937393</v>
      </c>
      <c r="F2261" s="24"/>
      <c r="G2261" s="24"/>
      <c r="H2261" s="24"/>
      <c r="I2261" s="24"/>
      <c r="J2261" s="3"/>
      <c r="N2261" s="13"/>
      <c r="O2261" s="9"/>
      <c r="P2261" s="20"/>
      <c r="Q2261" s="20"/>
      <c r="R2261" s="20"/>
      <c r="S2261" s="8"/>
      <c r="T2261" s="8"/>
      <c r="U2261" s="8"/>
      <c r="V2261" s="8"/>
      <c r="W2261" s="8"/>
      <c r="X2261" s="8"/>
      <c r="Y2261" s="8"/>
      <c r="Z2261" s="8"/>
    </row>
    <row r="2262" spans="4:26" ht="15" thickBot="1" x14ac:dyDescent="0.35">
      <c r="D2262" s="2">
        <f t="shared" si="75"/>
        <v>2256</v>
      </c>
      <c r="E2262" s="6">
        <v>1.6279566609160221</v>
      </c>
      <c r="F2262" s="24"/>
      <c r="G2262" s="24"/>
      <c r="H2262" s="24"/>
      <c r="I2262" s="24"/>
      <c r="J2262" s="3"/>
      <c r="N2262" s="13"/>
      <c r="O2262" s="9"/>
      <c r="P2262" s="20"/>
      <c r="Q2262" s="20"/>
      <c r="R2262" s="20"/>
      <c r="S2262" s="8"/>
      <c r="T2262" s="8"/>
      <c r="U2262" s="8"/>
      <c r="V2262" s="8"/>
      <c r="W2262" s="8"/>
      <c r="X2262" s="8"/>
      <c r="Y2262" s="8"/>
      <c r="Z2262" s="8"/>
    </row>
    <row r="2263" spans="4:26" ht="15" thickBot="1" x14ac:dyDescent="0.35">
      <c r="D2263" s="2">
        <f t="shared" si="75"/>
        <v>2257</v>
      </c>
      <c r="E2263" s="6">
        <v>1.848356467385091</v>
      </c>
      <c r="F2263" s="24"/>
      <c r="G2263" s="24"/>
      <c r="H2263" s="24"/>
      <c r="I2263" s="24"/>
      <c r="J2263" s="3"/>
      <c r="N2263" s="13"/>
      <c r="O2263" s="9"/>
      <c r="P2263" s="20"/>
      <c r="Q2263" s="20"/>
      <c r="R2263" s="20"/>
      <c r="S2263" s="8"/>
      <c r="T2263" s="8"/>
      <c r="U2263" s="8"/>
      <c r="V2263" s="8"/>
      <c r="W2263" s="8"/>
      <c r="X2263" s="8"/>
      <c r="Y2263" s="8"/>
      <c r="Z2263" s="8"/>
    </row>
    <row r="2264" spans="4:26" ht="15" thickBot="1" x14ac:dyDescent="0.35">
      <c r="D2264" s="2">
        <f t="shared" si="75"/>
        <v>2258</v>
      </c>
      <c r="E2264" s="6">
        <v>2.2640587183531808</v>
      </c>
      <c r="F2264" s="24"/>
      <c r="G2264" s="24"/>
      <c r="H2264" s="24"/>
      <c r="I2264" s="24"/>
      <c r="J2264" s="3"/>
      <c r="N2264" s="13"/>
      <c r="O2264" s="9"/>
      <c r="P2264" s="20"/>
      <c r="Q2264" s="20"/>
      <c r="R2264" s="20"/>
      <c r="S2264" s="8"/>
      <c r="T2264" s="8"/>
      <c r="U2264" s="8"/>
      <c r="V2264" s="8"/>
      <c r="W2264" s="8"/>
      <c r="X2264" s="8"/>
      <c r="Y2264" s="8"/>
      <c r="Z2264" s="8"/>
    </row>
    <row r="2265" spans="4:26" ht="15" thickBot="1" x14ac:dyDescent="0.35">
      <c r="D2265" s="2">
        <f t="shared" si="75"/>
        <v>2259</v>
      </c>
      <c r="E2265" s="6">
        <v>0.84609664405063101</v>
      </c>
      <c r="F2265" s="24"/>
      <c r="G2265" s="24"/>
      <c r="H2265" s="24"/>
      <c r="I2265" s="24"/>
      <c r="J2265" s="3"/>
      <c r="N2265" s="13"/>
      <c r="O2265" s="9"/>
      <c r="P2265" s="20"/>
      <c r="Q2265" s="20"/>
      <c r="R2265" s="20"/>
      <c r="S2265" s="8"/>
      <c r="T2265" s="8"/>
      <c r="U2265" s="8"/>
      <c r="V2265" s="8"/>
      <c r="W2265" s="8"/>
      <c r="X2265" s="8"/>
      <c r="Y2265" s="8"/>
      <c r="Z2265" s="8"/>
    </row>
    <row r="2266" spans="4:26" ht="15" thickBot="1" x14ac:dyDescent="0.35">
      <c r="D2266" s="2">
        <f t="shared" si="75"/>
        <v>2260</v>
      </c>
      <c r="E2266" s="6">
        <v>4.7998065277907065</v>
      </c>
      <c r="F2266" s="24"/>
      <c r="G2266" s="24"/>
      <c r="H2266" s="24"/>
      <c r="I2266" s="24"/>
      <c r="J2266" s="3"/>
      <c r="N2266" s="13"/>
      <c r="O2266" s="9"/>
      <c r="P2266" s="20"/>
      <c r="Q2266" s="20"/>
      <c r="R2266" s="20"/>
      <c r="S2266" s="8"/>
      <c r="T2266" s="8"/>
      <c r="U2266" s="8"/>
      <c r="V2266" s="8"/>
      <c r="W2266" s="8"/>
      <c r="X2266" s="8"/>
      <c r="Y2266" s="8"/>
      <c r="Z2266" s="8"/>
    </row>
    <row r="2267" spans="4:26" ht="15" thickBot="1" x14ac:dyDescent="0.35">
      <c r="D2267" s="2">
        <f t="shared" si="75"/>
        <v>2261</v>
      </c>
      <c r="E2267" s="6">
        <v>1.1229676327652462</v>
      </c>
      <c r="F2267" s="24"/>
      <c r="G2267" s="24"/>
      <c r="H2267" s="24"/>
      <c r="I2267" s="24"/>
      <c r="J2267" s="3"/>
      <c r="N2267" s="13"/>
      <c r="O2267" s="9"/>
      <c r="P2267" s="20"/>
      <c r="Q2267" s="20"/>
      <c r="R2267" s="20"/>
      <c r="S2267" s="8"/>
      <c r="T2267" s="8"/>
      <c r="U2267" s="8"/>
      <c r="V2267" s="8"/>
      <c r="W2267" s="8"/>
      <c r="X2267" s="8"/>
      <c r="Y2267" s="8"/>
      <c r="Z2267" s="8"/>
    </row>
    <row r="2268" spans="4:26" ht="15" thickBot="1" x14ac:dyDescent="0.35">
      <c r="D2268" s="2">
        <f t="shared" si="75"/>
        <v>2262</v>
      </c>
      <c r="E2268" s="6">
        <v>1.5339439068723386</v>
      </c>
      <c r="F2268" s="24"/>
      <c r="G2268" s="24"/>
      <c r="H2268" s="24"/>
      <c r="I2268" s="24"/>
      <c r="J2268" s="3"/>
      <c r="N2268" s="13"/>
      <c r="O2268" s="9"/>
      <c r="P2268" s="20"/>
      <c r="Q2268" s="20"/>
      <c r="R2268" s="20"/>
      <c r="S2268" s="8"/>
      <c r="T2268" s="8"/>
      <c r="U2268" s="8"/>
      <c r="V2268" s="8"/>
      <c r="W2268" s="8"/>
      <c r="X2268" s="8"/>
      <c r="Y2268" s="8"/>
      <c r="Z2268" s="8"/>
    </row>
    <row r="2269" spans="4:26" ht="15" thickBot="1" x14ac:dyDescent="0.35">
      <c r="D2269" s="2">
        <f t="shared" si="75"/>
        <v>2263</v>
      </c>
      <c r="E2269" s="6">
        <v>8.1614693991809926</v>
      </c>
      <c r="F2269" s="24"/>
      <c r="G2269" s="24"/>
      <c r="H2269" s="24"/>
      <c r="I2269" s="24"/>
      <c r="J2269" s="3"/>
      <c r="N2269" s="13"/>
      <c r="O2269" s="9"/>
      <c r="P2269" s="20"/>
      <c r="Q2269" s="20"/>
      <c r="R2269" s="20"/>
      <c r="S2269" s="8"/>
      <c r="T2269" s="8"/>
      <c r="U2269" s="8"/>
      <c r="V2269" s="8"/>
      <c r="W2269" s="8"/>
      <c r="X2269" s="8"/>
      <c r="Y2269" s="8"/>
      <c r="Z2269" s="8"/>
    </row>
    <row r="2270" spans="4:26" ht="15" thickBot="1" x14ac:dyDescent="0.35">
      <c r="D2270" s="2">
        <f t="shared" si="75"/>
        <v>2264</v>
      </c>
      <c r="E2270" s="6">
        <v>2.7277612157632682</v>
      </c>
      <c r="F2270" s="24"/>
      <c r="G2270" s="24"/>
      <c r="H2270" s="24"/>
      <c r="I2270" s="24"/>
      <c r="J2270" s="3"/>
      <c r="N2270" s="13"/>
      <c r="O2270" s="9"/>
      <c r="P2270" s="20"/>
      <c r="Q2270" s="20"/>
      <c r="R2270" s="20"/>
      <c r="S2270" s="8"/>
      <c r="T2270" s="8"/>
      <c r="U2270" s="8"/>
      <c r="V2270" s="8"/>
      <c r="W2270" s="8"/>
      <c r="X2270" s="8"/>
      <c r="Y2270" s="8"/>
      <c r="Z2270" s="8"/>
    </row>
    <row r="2271" spans="4:26" ht="15" thickBot="1" x14ac:dyDescent="0.35">
      <c r="D2271" s="2">
        <f t="shared" si="75"/>
        <v>2265</v>
      </c>
      <c r="E2271" s="6">
        <v>0.91153046815567984</v>
      </c>
      <c r="F2271" s="24"/>
      <c r="G2271" s="24"/>
      <c r="H2271" s="24"/>
      <c r="I2271" s="24"/>
      <c r="J2271" s="3"/>
      <c r="N2271" s="13"/>
      <c r="O2271" s="9"/>
      <c r="P2271" s="20"/>
      <c r="Q2271" s="20"/>
      <c r="R2271" s="20"/>
      <c r="S2271" s="8"/>
      <c r="T2271" s="8"/>
      <c r="U2271" s="8"/>
      <c r="V2271" s="8"/>
      <c r="W2271" s="8"/>
      <c r="X2271" s="8"/>
      <c r="Y2271" s="8"/>
      <c r="Z2271" s="8"/>
    </row>
    <row r="2272" spans="4:26" ht="15" thickBot="1" x14ac:dyDescent="0.35">
      <c r="D2272" s="2">
        <f t="shared" si="75"/>
        <v>2266</v>
      </c>
      <c r="E2272" s="6">
        <v>4.4759557684435149</v>
      </c>
      <c r="F2272" s="24"/>
      <c r="G2272" s="24"/>
      <c r="H2272" s="24"/>
      <c r="I2272" s="24"/>
      <c r="J2272" s="3"/>
      <c r="N2272" s="13"/>
      <c r="O2272" s="9"/>
      <c r="P2272" s="20"/>
      <c r="Q2272" s="20"/>
      <c r="R2272" s="20"/>
      <c r="S2272" s="8"/>
      <c r="T2272" s="8"/>
      <c r="U2272" s="8"/>
      <c r="V2272" s="8"/>
      <c r="W2272" s="8"/>
      <c r="X2272" s="8"/>
      <c r="Y2272" s="8"/>
      <c r="Z2272" s="8"/>
    </row>
    <row r="2273" spans="4:26" ht="15" thickBot="1" x14ac:dyDescent="0.35">
      <c r="D2273" s="2">
        <f t="shared" si="75"/>
        <v>2267</v>
      </c>
      <c r="E2273" s="6">
        <v>1.1732644724593441E-2</v>
      </c>
      <c r="F2273" s="24"/>
      <c r="G2273" s="24"/>
      <c r="H2273" s="24"/>
      <c r="I2273" s="24"/>
      <c r="J2273" s="3"/>
      <c r="N2273" s="13"/>
      <c r="O2273" s="9"/>
      <c r="P2273" s="20"/>
      <c r="Q2273" s="20"/>
      <c r="R2273" s="20"/>
      <c r="S2273" s="8"/>
      <c r="T2273" s="8"/>
      <c r="U2273" s="8"/>
      <c r="V2273" s="8"/>
      <c r="W2273" s="8"/>
      <c r="X2273" s="8"/>
      <c r="Y2273" s="8"/>
      <c r="Z2273" s="8"/>
    </row>
    <row r="2274" spans="4:26" ht="15" thickBot="1" x14ac:dyDescent="0.35">
      <c r="D2274" s="2">
        <f t="shared" si="75"/>
        <v>2268</v>
      </c>
      <c r="E2274" s="6">
        <v>4.1114806843365246</v>
      </c>
      <c r="F2274" s="24"/>
      <c r="G2274" s="24"/>
      <c r="H2274" s="24"/>
      <c r="I2274" s="24"/>
      <c r="J2274" s="3"/>
      <c r="N2274" s="13"/>
      <c r="O2274" s="9"/>
      <c r="P2274" s="20"/>
      <c r="Q2274" s="20"/>
      <c r="R2274" s="20"/>
      <c r="S2274" s="8"/>
      <c r="T2274" s="8"/>
      <c r="U2274" s="8"/>
      <c r="V2274" s="8"/>
      <c r="W2274" s="8"/>
      <c r="X2274" s="8"/>
      <c r="Y2274" s="8"/>
      <c r="Z2274" s="8"/>
    </row>
    <row r="2275" spans="4:26" ht="15" thickBot="1" x14ac:dyDescent="0.35">
      <c r="D2275" s="2">
        <f t="shared" si="75"/>
        <v>2269</v>
      </c>
      <c r="E2275" s="6">
        <v>8.8740877159722856E-2</v>
      </c>
      <c r="F2275" s="24"/>
      <c r="G2275" s="24"/>
      <c r="H2275" s="24"/>
      <c r="I2275" s="24"/>
      <c r="J2275" s="3"/>
      <c r="N2275" s="13"/>
      <c r="O2275" s="9"/>
      <c r="P2275" s="20"/>
      <c r="Q2275" s="20"/>
      <c r="R2275" s="20"/>
      <c r="S2275" s="8"/>
      <c r="T2275" s="8"/>
      <c r="U2275" s="8"/>
      <c r="V2275" s="8"/>
      <c r="W2275" s="8"/>
      <c r="X2275" s="8"/>
      <c r="Y2275" s="8"/>
      <c r="Z2275" s="8"/>
    </row>
    <row r="2276" spans="4:26" ht="15" thickBot="1" x14ac:dyDescent="0.35">
      <c r="D2276" s="2">
        <f t="shared" si="75"/>
        <v>2270</v>
      </c>
      <c r="E2276" s="6">
        <v>8.5212542675638154</v>
      </c>
      <c r="F2276" s="24"/>
      <c r="G2276" s="24"/>
      <c r="H2276" s="24"/>
      <c r="I2276" s="24"/>
      <c r="J2276" s="3"/>
      <c r="N2276" s="13"/>
      <c r="O2276" s="9"/>
      <c r="P2276" s="20"/>
      <c r="Q2276" s="20"/>
      <c r="R2276" s="20"/>
      <c r="S2276" s="8"/>
      <c r="T2276" s="8"/>
      <c r="U2276" s="8"/>
      <c r="V2276" s="8"/>
      <c r="W2276" s="8"/>
      <c r="X2276" s="8"/>
      <c r="Y2276" s="8"/>
      <c r="Z2276" s="8"/>
    </row>
    <row r="2277" spans="4:26" ht="15" thickBot="1" x14ac:dyDescent="0.35">
      <c r="D2277" s="2">
        <f t="shared" si="75"/>
        <v>2271</v>
      </c>
      <c r="E2277" s="6">
        <v>1.2732184307952117</v>
      </c>
      <c r="F2277" s="24"/>
      <c r="G2277" s="24"/>
      <c r="H2277" s="24"/>
      <c r="I2277" s="24"/>
      <c r="J2277" s="3"/>
      <c r="N2277" s="13"/>
      <c r="O2277" s="9"/>
      <c r="P2277" s="20"/>
      <c r="Q2277" s="20"/>
      <c r="R2277" s="20"/>
      <c r="S2277" s="8"/>
      <c r="T2277" s="8"/>
      <c r="U2277" s="8"/>
      <c r="V2277" s="8"/>
      <c r="W2277" s="8"/>
      <c r="X2277" s="8"/>
      <c r="Y2277" s="8"/>
      <c r="Z2277" s="8"/>
    </row>
    <row r="2278" spans="4:26" ht="15" thickBot="1" x14ac:dyDescent="0.35">
      <c r="D2278" s="2">
        <f t="shared" si="75"/>
        <v>2272</v>
      </c>
      <c r="E2278" s="6">
        <v>6.0669153589889842</v>
      </c>
      <c r="F2278" s="24"/>
      <c r="G2278" s="24"/>
      <c r="H2278" s="24"/>
      <c r="I2278" s="24"/>
      <c r="J2278" s="3"/>
      <c r="N2278" s="13"/>
      <c r="O2278" s="9"/>
      <c r="P2278" s="20"/>
      <c r="Q2278" s="20"/>
      <c r="R2278" s="20"/>
      <c r="S2278" s="8"/>
      <c r="T2278" s="8"/>
      <c r="U2278" s="8"/>
      <c r="V2278" s="8"/>
      <c r="W2278" s="8"/>
      <c r="X2278" s="8"/>
      <c r="Y2278" s="8"/>
      <c r="Z2278" s="8"/>
    </row>
    <row r="2279" spans="4:26" ht="15" thickBot="1" x14ac:dyDescent="0.35">
      <c r="D2279" s="2">
        <f t="shared" si="75"/>
        <v>2273</v>
      </c>
      <c r="E2279" s="6">
        <v>6.4030227508563264</v>
      </c>
      <c r="F2279" s="24"/>
      <c r="G2279" s="24"/>
      <c r="H2279" s="24"/>
      <c r="I2279" s="24"/>
      <c r="J2279" s="3"/>
      <c r="N2279" s="13"/>
      <c r="O2279" s="9"/>
      <c r="P2279" s="20"/>
      <c r="Q2279" s="20"/>
      <c r="R2279" s="20"/>
      <c r="S2279" s="8"/>
      <c r="T2279" s="8"/>
      <c r="U2279" s="8"/>
      <c r="V2279" s="8"/>
      <c r="W2279" s="8"/>
      <c r="X2279" s="8"/>
      <c r="Y2279" s="8"/>
      <c r="Z2279" s="8"/>
    </row>
    <row r="2280" spans="4:26" ht="15" thickBot="1" x14ac:dyDescent="0.35">
      <c r="D2280" s="2">
        <f t="shared" si="75"/>
        <v>2274</v>
      </c>
      <c r="E2280" s="6">
        <v>5.8099096214079928</v>
      </c>
      <c r="F2280" s="24"/>
      <c r="G2280" s="24"/>
      <c r="H2280" s="24"/>
      <c r="I2280" s="24"/>
      <c r="J2280" s="3"/>
      <c r="N2280" s="13"/>
      <c r="O2280" s="9"/>
      <c r="P2280" s="20"/>
      <c r="Q2280" s="20"/>
      <c r="R2280" s="20"/>
      <c r="S2280" s="8"/>
      <c r="T2280" s="8"/>
      <c r="U2280" s="8"/>
      <c r="V2280" s="8"/>
      <c r="W2280" s="8"/>
      <c r="X2280" s="8"/>
      <c r="Y2280" s="8"/>
      <c r="Z2280" s="8"/>
    </row>
    <row r="2281" spans="4:26" ht="15" thickBot="1" x14ac:dyDescent="0.35">
      <c r="D2281" s="2">
        <f t="shared" si="75"/>
        <v>2275</v>
      </c>
      <c r="E2281" s="6">
        <v>2.5925420783833344</v>
      </c>
      <c r="F2281" s="24"/>
      <c r="G2281" s="24"/>
      <c r="H2281" s="24"/>
      <c r="I2281" s="24"/>
      <c r="J2281" s="3"/>
      <c r="N2281" s="13"/>
      <c r="O2281" s="9"/>
      <c r="P2281" s="20"/>
      <c r="Q2281" s="20"/>
      <c r="R2281" s="20"/>
      <c r="S2281" s="8"/>
      <c r="T2281" s="8"/>
      <c r="U2281" s="8"/>
      <c r="V2281" s="8"/>
      <c r="W2281" s="8"/>
      <c r="X2281" s="8"/>
      <c r="Y2281" s="8"/>
      <c r="Z2281" s="8"/>
    </row>
    <row r="2282" spans="4:26" ht="15" thickBot="1" x14ac:dyDescent="0.35">
      <c r="D2282" s="2">
        <f t="shared" si="75"/>
        <v>2276</v>
      </c>
      <c r="E2282" s="6">
        <v>1.692861661042252</v>
      </c>
      <c r="F2282" s="24"/>
      <c r="G2282" s="24"/>
      <c r="H2282" s="24"/>
      <c r="I2282" s="24"/>
      <c r="J2282" s="3"/>
      <c r="N2282" s="13"/>
      <c r="O2282" s="9"/>
      <c r="P2282" s="20"/>
      <c r="Q2282" s="20"/>
      <c r="R2282" s="20"/>
      <c r="S2282" s="8"/>
      <c r="T2282" s="8"/>
      <c r="U2282" s="8"/>
      <c r="V2282" s="8"/>
      <c r="W2282" s="8"/>
      <c r="X2282" s="8"/>
      <c r="Y2282" s="8"/>
      <c r="Z2282" s="8"/>
    </row>
    <row r="2283" spans="4:26" ht="15" thickBot="1" x14ac:dyDescent="0.35">
      <c r="D2283" s="2">
        <f t="shared" si="75"/>
        <v>2277</v>
      </c>
      <c r="E2283" s="6">
        <v>4.3589937898217324</v>
      </c>
      <c r="F2283" s="24"/>
      <c r="G2283" s="24"/>
      <c r="H2283" s="24"/>
      <c r="I2283" s="24"/>
      <c r="J2283" s="3"/>
      <c r="N2283" s="13"/>
      <c r="O2283" s="9"/>
      <c r="P2283" s="20"/>
      <c r="Q2283" s="20"/>
      <c r="R2283" s="20"/>
      <c r="S2283" s="8"/>
      <c r="T2283" s="8"/>
      <c r="U2283" s="8"/>
      <c r="V2283" s="8"/>
      <c r="W2283" s="8"/>
      <c r="X2283" s="8"/>
      <c r="Y2283" s="8"/>
      <c r="Z2283" s="8"/>
    </row>
    <row r="2284" spans="4:26" ht="15" thickBot="1" x14ac:dyDescent="0.35">
      <c r="D2284" s="2">
        <f t="shared" si="75"/>
        <v>2278</v>
      </c>
      <c r="E2284" s="6">
        <v>3.1486771412546095</v>
      </c>
      <c r="F2284" s="24"/>
      <c r="G2284" s="24"/>
      <c r="H2284" s="24"/>
      <c r="I2284" s="24"/>
      <c r="J2284" s="3"/>
      <c r="N2284" s="13"/>
      <c r="O2284" s="9"/>
      <c r="P2284" s="20"/>
      <c r="Q2284" s="20"/>
      <c r="R2284" s="20"/>
      <c r="S2284" s="8"/>
      <c r="T2284" s="8"/>
      <c r="U2284" s="8"/>
      <c r="V2284" s="8"/>
      <c r="W2284" s="8"/>
      <c r="X2284" s="8"/>
      <c r="Y2284" s="8"/>
      <c r="Z2284" s="8"/>
    </row>
    <row r="2285" spans="4:26" ht="15" thickBot="1" x14ac:dyDescent="0.35">
      <c r="D2285" s="2">
        <f t="shared" si="75"/>
        <v>2279</v>
      </c>
      <c r="E2285" s="6">
        <v>0.25214661453629655</v>
      </c>
      <c r="F2285" s="24"/>
      <c r="G2285" s="24"/>
      <c r="H2285" s="24"/>
      <c r="I2285" s="24"/>
      <c r="J2285" s="3"/>
      <c r="N2285" s="13"/>
      <c r="O2285" s="9"/>
      <c r="P2285" s="20"/>
      <c r="Q2285" s="20"/>
      <c r="R2285" s="20"/>
      <c r="S2285" s="8"/>
      <c r="T2285" s="8"/>
      <c r="U2285" s="8"/>
      <c r="V2285" s="8"/>
      <c r="W2285" s="8"/>
      <c r="X2285" s="8"/>
      <c r="Y2285" s="8"/>
      <c r="Z2285" s="8"/>
    </row>
    <row r="2286" spans="4:26" ht="15" thickBot="1" x14ac:dyDescent="0.35">
      <c r="D2286" s="2">
        <f t="shared" si="75"/>
        <v>2280</v>
      </c>
      <c r="E2286" s="6">
        <v>6.3254131913159695</v>
      </c>
      <c r="F2286" s="24"/>
      <c r="G2286" s="24"/>
      <c r="H2286" s="24"/>
      <c r="I2286" s="24"/>
      <c r="J2286" s="3"/>
      <c r="N2286" s="13"/>
      <c r="O2286" s="9"/>
      <c r="P2286" s="20"/>
      <c r="Q2286" s="20"/>
      <c r="R2286" s="20"/>
      <c r="S2286" s="8"/>
      <c r="T2286" s="8"/>
      <c r="U2286" s="8"/>
      <c r="V2286" s="8"/>
      <c r="W2286" s="8"/>
      <c r="X2286" s="8"/>
      <c r="Y2286" s="8"/>
      <c r="Z2286" s="8"/>
    </row>
    <row r="2287" spans="4:26" ht="15" thickBot="1" x14ac:dyDescent="0.35">
      <c r="D2287" s="2">
        <f t="shared" si="75"/>
        <v>2281</v>
      </c>
      <c r="E2287" s="6">
        <v>8.9161993712150274</v>
      </c>
      <c r="F2287" s="24"/>
      <c r="G2287" s="24"/>
      <c r="H2287" s="24"/>
      <c r="I2287" s="24"/>
      <c r="J2287" s="3"/>
      <c r="N2287" s="13"/>
      <c r="O2287" s="9"/>
      <c r="P2287" s="20"/>
      <c r="Q2287" s="20"/>
      <c r="R2287" s="20"/>
      <c r="S2287" s="8"/>
      <c r="T2287" s="8"/>
      <c r="U2287" s="8"/>
      <c r="V2287" s="8"/>
      <c r="W2287" s="8"/>
      <c r="X2287" s="8"/>
      <c r="Y2287" s="8"/>
      <c r="Z2287" s="8"/>
    </row>
    <row r="2288" spans="4:26" ht="15" thickBot="1" x14ac:dyDescent="0.35">
      <c r="D2288" s="2">
        <f t="shared" si="75"/>
        <v>2282</v>
      </c>
      <c r="E2288" s="6">
        <v>1.715237644571513</v>
      </c>
      <c r="F2288" s="24"/>
      <c r="G2288" s="24"/>
      <c r="H2288" s="24"/>
      <c r="I2288" s="24"/>
      <c r="J2288" s="3"/>
      <c r="N2288" s="13"/>
      <c r="O2288" s="9"/>
      <c r="P2288" s="20"/>
      <c r="Q2288" s="20"/>
      <c r="R2288" s="20"/>
      <c r="S2288" s="8"/>
      <c r="T2288" s="8"/>
      <c r="U2288" s="8"/>
      <c r="V2288" s="8"/>
      <c r="W2288" s="8"/>
      <c r="X2288" s="8"/>
      <c r="Y2288" s="8"/>
      <c r="Z2288" s="8"/>
    </row>
    <row r="2289" spans="4:26" ht="15" thickBot="1" x14ac:dyDescent="0.35">
      <c r="D2289" s="2">
        <f t="shared" si="75"/>
        <v>2283</v>
      </c>
      <c r="E2289" s="6">
        <v>1.2095116480940942</v>
      </c>
      <c r="F2289" s="24"/>
      <c r="G2289" s="24"/>
      <c r="H2289" s="24"/>
      <c r="I2289" s="24"/>
      <c r="J2289" s="3"/>
      <c r="O2289" s="8"/>
      <c r="P2289" s="20"/>
      <c r="Q2289" s="20"/>
      <c r="R2289" s="20"/>
      <c r="S2289" s="8"/>
      <c r="T2289" s="8"/>
      <c r="U2289" s="8"/>
      <c r="V2289" s="8"/>
      <c r="W2289" s="8"/>
      <c r="X2289" s="8"/>
      <c r="Y2289" s="8"/>
      <c r="Z2289" s="8"/>
    </row>
    <row r="2290" spans="4:26" ht="15" thickBot="1" x14ac:dyDescent="0.35">
      <c r="D2290" s="2">
        <f t="shared" si="75"/>
        <v>2284</v>
      </c>
      <c r="E2290" s="6">
        <v>8.1997821668462176</v>
      </c>
      <c r="F2290" s="24"/>
      <c r="G2290" s="24"/>
      <c r="H2290" s="24"/>
      <c r="I2290" s="24"/>
      <c r="J2290" s="3"/>
      <c r="O2290" s="8"/>
      <c r="P2290" s="20"/>
      <c r="Q2290" s="20"/>
      <c r="R2290" s="20"/>
      <c r="S2290" s="8"/>
      <c r="T2290" s="8"/>
      <c r="U2290" s="8"/>
      <c r="V2290" s="8"/>
      <c r="W2290" s="8"/>
      <c r="X2290" s="8"/>
      <c r="Y2290" s="8"/>
      <c r="Z2290" s="8"/>
    </row>
    <row r="2291" spans="4:26" ht="15" thickBot="1" x14ac:dyDescent="0.35">
      <c r="D2291" s="2">
        <f t="shared" si="75"/>
        <v>2285</v>
      </c>
      <c r="E2291" s="6">
        <v>1.2046719400687018</v>
      </c>
      <c r="F2291" s="24"/>
      <c r="G2291" s="24"/>
      <c r="H2291" s="24"/>
      <c r="I2291" s="24"/>
      <c r="J2291" s="3"/>
      <c r="O2291" s="8"/>
      <c r="P2291" s="20"/>
      <c r="Q2291" s="20"/>
      <c r="R2291" s="20"/>
      <c r="S2291" s="8"/>
      <c r="T2291" s="8"/>
      <c r="U2291" s="8"/>
      <c r="V2291" s="8"/>
      <c r="W2291" s="8"/>
      <c r="X2291" s="8"/>
      <c r="Y2291" s="8"/>
      <c r="Z2291" s="8"/>
    </row>
    <row r="2292" spans="4:26" ht="15" thickBot="1" x14ac:dyDescent="0.35">
      <c r="D2292" s="2">
        <f t="shared" si="75"/>
        <v>2286</v>
      </c>
      <c r="E2292" s="6">
        <v>0.41544718257719493</v>
      </c>
      <c r="F2292" s="24"/>
      <c r="G2292" s="24"/>
      <c r="H2292" s="24"/>
      <c r="I2292" s="24"/>
      <c r="J2292" s="3"/>
      <c r="O2292" s="8"/>
      <c r="P2292" s="20"/>
      <c r="Q2292" s="20"/>
      <c r="R2292" s="20"/>
      <c r="S2292" s="8"/>
      <c r="T2292" s="8"/>
      <c r="U2292" s="8"/>
      <c r="V2292" s="8"/>
      <c r="W2292" s="8"/>
      <c r="X2292" s="8"/>
      <c r="Y2292" s="8"/>
      <c r="Z2292" s="8"/>
    </row>
    <row r="2293" spans="4:26" ht="15" thickBot="1" x14ac:dyDescent="0.35">
      <c r="D2293" s="2">
        <f t="shared" si="75"/>
        <v>2287</v>
      </c>
      <c r="E2293" s="6">
        <v>0.34165451603934904</v>
      </c>
      <c r="F2293" s="24"/>
      <c r="G2293" s="24"/>
      <c r="H2293" s="24"/>
      <c r="I2293" s="24"/>
      <c r="J2293" s="3"/>
      <c r="O2293" s="8"/>
      <c r="P2293" s="20"/>
      <c r="Q2293" s="20"/>
      <c r="R2293" s="20"/>
      <c r="S2293" s="8"/>
      <c r="T2293" s="8"/>
      <c r="U2293" s="8"/>
      <c r="V2293" s="8"/>
      <c r="W2293" s="8"/>
      <c r="X2293" s="8"/>
      <c r="Y2293" s="8"/>
      <c r="Z2293" s="8"/>
    </row>
    <row r="2294" spans="4:26" ht="15" thickBot="1" x14ac:dyDescent="0.35">
      <c r="D2294" s="2">
        <f t="shared" si="75"/>
        <v>2288</v>
      </c>
      <c r="E2294" s="6">
        <v>2.4558669253442877</v>
      </c>
      <c r="F2294" s="24"/>
      <c r="G2294" s="24"/>
      <c r="H2294" s="24"/>
      <c r="I2294" s="24"/>
      <c r="J2294" s="3"/>
      <c r="O2294" s="8"/>
      <c r="P2294" s="20"/>
      <c r="Q2294" s="20"/>
      <c r="R2294" s="20"/>
      <c r="S2294" s="8"/>
      <c r="T2294" s="8"/>
      <c r="U2294" s="8"/>
      <c r="V2294" s="8"/>
      <c r="W2294" s="8"/>
      <c r="X2294" s="8"/>
      <c r="Y2294" s="8"/>
      <c r="Z2294" s="8"/>
    </row>
    <row r="2295" spans="4:26" ht="15" thickBot="1" x14ac:dyDescent="0.35">
      <c r="D2295" s="2">
        <f t="shared" si="75"/>
        <v>2289</v>
      </c>
      <c r="E2295" s="6">
        <v>10.397364473632079</v>
      </c>
      <c r="F2295" s="24"/>
      <c r="G2295" s="24"/>
      <c r="H2295" s="24"/>
      <c r="I2295" s="24"/>
      <c r="J2295" s="3"/>
      <c r="O2295" s="8"/>
      <c r="P2295" s="20"/>
      <c r="Q2295" s="20"/>
      <c r="R2295" s="20"/>
      <c r="S2295" s="8"/>
      <c r="T2295" s="8"/>
      <c r="U2295" s="8"/>
      <c r="V2295" s="8"/>
      <c r="W2295" s="8"/>
      <c r="X2295" s="8"/>
      <c r="Y2295" s="8"/>
      <c r="Z2295" s="8"/>
    </row>
    <row r="2296" spans="4:26" ht="15" thickBot="1" x14ac:dyDescent="0.35">
      <c r="D2296" s="2">
        <f t="shared" si="75"/>
        <v>2290</v>
      </c>
      <c r="E2296" s="6">
        <v>3.5481966018988582</v>
      </c>
      <c r="F2296" s="24"/>
      <c r="G2296" s="24"/>
      <c r="H2296" s="24"/>
      <c r="I2296" s="24"/>
      <c r="J2296" s="3"/>
      <c r="O2296" s="8"/>
      <c r="P2296" s="20"/>
      <c r="Q2296" s="20"/>
      <c r="R2296" s="20"/>
      <c r="S2296" s="8"/>
      <c r="T2296" s="8"/>
      <c r="U2296" s="8"/>
      <c r="V2296" s="8"/>
      <c r="W2296" s="8"/>
      <c r="X2296" s="8"/>
      <c r="Y2296" s="8"/>
      <c r="Z2296" s="8"/>
    </row>
    <row r="2297" spans="4:26" ht="15" thickBot="1" x14ac:dyDescent="0.35">
      <c r="D2297" s="2">
        <f t="shared" si="75"/>
        <v>2291</v>
      </c>
      <c r="E2297" s="6">
        <v>2.1213246221319837</v>
      </c>
      <c r="F2297" s="24"/>
      <c r="G2297" s="24"/>
      <c r="H2297" s="24"/>
      <c r="I2297" s="24"/>
      <c r="J2297" s="3"/>
      <c r="O2297" s="8"/>
      <c r="P2297" s="20"/>
      <c r="Q2297" s="20"/>
      <c r="R2297" s="20"/>
      <c r="S2297" s="8"/>
      <c r="T2297" s="8"/>
      <c r="U2297" s="8"/>
      <c r="V2297" s="8"/>
      <c r="W2297" s="8"/>
      <c r="X2297" s="8"/>
      <c r="Y2297" s="8"/>
      <c r="Z2297" s="8"/>
    </row>
    <row r="2298" spans="4:26" ht="15" thickBot="1" x14ac:dyDescent="0.35">
      <c r="D2298" s="2">
        <f t="shared" si="75"/>
        <v>2292</v>
      </c>
      <c r="E2298" s="6">
        <v>3.9896471650426442</v>
      </c>
      <c r="F2298" s="24"/>
      <c r="G2298" s="24"/>
      <c r="H2298" s="24"/>
      <c r="I2298" s="24"/>
      <c r="J2298" s="3"/>
      <c r="O2298" s="8"/>
      <c r="P2298" s="20"/>
      <c r="Q2298" s="20"/>
      <c r="R2298" s="20"/>
      <c r="S2298" s="8"/>
      <c r="T2298" s="8"/>
      <c r="U2298" s="8"/>
      <c r="V2298" s="8"/>
      <c r="W2298" s="8"/>
      <c r="X2298" s="8"/>
      <c r="Y2298" s="8"/>
      <c r="Z2298" s="8"/>
    </row>
    <row r="2299" spans="4:26" ht="15" thickBot="1" x14ac:dyDescent="0.35">
      <c r="D2299" s="2">
        <f t="shared" si="75"/>
        <v>2293</v>
      </c>
      <c r="E2299" s="6">
        <v>8.6521400821188337</v>
      </c>
      <c r="F2299" s="24"/>
      <c r="G2299" s="24"/>
      <c r="H2299" s="24"/>
      <c r="I2299" s="24"/>
      <c r="J2299" s="3"/>
      <c r="O2299" s="8"/>
      <c r="P2299" s="20"/>
      <c r="Q2299" s="20"/>
      <c r="R2299" s="20"/>
      <c r="S2299" s="8"/>
      <c r="T2299" s="8"/>
      <c r="U2299" s="8"/>
      <c r="V2299" s="8"/>
      <c r="W2299" s="8"/>
      <c r="X2299" s="8"/>
      <c r="Y2299" s="8"/>
      <c r="Z2299" s="8"/>
    </row>
    <row r="2300" spans="4:26" ht="15" thickBot="1" x14ac:dyDescent="0.35">
      <c r="D2300" s="2">
        <f t="shared" si="75"/>
        <v>2294</v>
      </c>
      <c r="E2300" s="6">
        <v>1.5104813687126069</v>
      </c>
      <c r="F2300" s="24"/>
      <c r="G2300" s="24"/>
      <c r="H2300" s="24"/>
      <c r="I2300" s="24"/>
      <c r="J2300" s="3"/>
      <c r="O2300" s="8"/>
      <c r="P2300" s="20"/>
      <c r="Q2300" s="20"/>
      <c r="R2300" s="20"/>
      <c r="S2300" s="8"/>
      <c r="T2300" s="8"/>
      <c r="U2300" s="8"/>
      <c r="V2300" s="8"/>
      <c r="W2300" s="8"/>
      <c r="X2300" s="8"/>
      <c r="Y2300" s="8"/>
      <c r="Z2300" s="8"/>
    </row>
    <row r="2301" spans="4:26" ht="15" thickBot="1" x14ac:dyDescent="0.35">
      <c r="D2301" s="2">
        <f t="shared" si="75"/>
        <v>2295</v>
      </c>
      <c r="E2301" s="6">
        <v>2.3187014285805394</v>
      </c>
      <c r="F2301" s="24"/>
      <c r="G2301" s="24"/>
      <c r="H2301" s="24"/>
      <c r="I2301" s="24"/>
      <c r="J2301" s="3"/>
      <c r="O2301" s="8"/>
      <c r="P2301" s="20"/>
      <c r="Q2301" s="20"/>
      <c r="R2301" s="20"/>
      <c r="S2301" s="8"/>
      <c r="T2301" s="8"/>
      <c r="U2301" s="8"/>
      <c r="V2301" s="8"/>
      <c r="W2301" s="8"/>
      <c r="X2301" s="8"/>
      <c r="Y2301" s="8"/>
      <c r="Z2301" s="8"/>
    </row>
    <row r="2302" spans="4:26" ht="15" thickBot="1" x14ac:dyDescent="0.35">
      <c r="D2302" s="2">
        <f t="shared" si="75"/>
        <v>2296</v>
      </c>
      <c r="E2302" s="6">
        <v>5.6433331663541129</v>
      </c>
      <c r="F2302" s="24"/>
      <c r="G2302" s="24"/>
      <c r="H2302" s="24"/>
      <c r="I2302" s="24"/>
      <c r="J2302" s="3"/>
      <c r="O2302" s="8"/>
      <c r="P2302" s="20"/>
      <c r="Q2302" s="20"/>
      <c r="R2302" s="20"/>
      <c r="S2302" s="8"/>
      <c r="T2302" s="8"/>
      <c r="U2302" s="8"/>
      <c r="V2302" s="8"/>
      <c r="W2302" s="8"/>
      <c r="X2302" s="8"/>
      <c r="Y2302" s="8"/>
      <c r="Z2302" s="8"/>
    </row>
    <row r="2303" spans="4:26" ht="15" thickBot="1" x14ac:dyDescent="0.35">
      <c r="D2303" s="2">
        <f t="shared" si="75"/>
        <v>2297</v>
      </c>
      <c r="E2303" s="6">
        <v>0.6594039161216344</v>
      </c>
      <c r="F2303" s="24"/>
      <c r="G2303" s="24"/>
      <c r="H2303" s="24"/>
      <c r="I2303" s="24"/>
      <c r="J2303" s="3"/>
      <c r="O2303" s="8"/>
      <c r="P2303" s="20"/>
      <c r="Q2303" s="20"/>
      <c r="R2303" s="20"/>
      <c r="S2303" s="8"/>
      <c r="T2303" s="8"/>
      <c r="U2303" s="8"/>
      <c r="V2303" s="8"/>
      <c r="W2303" s="8"/>
      <c r="X2303" s="8"/>
      <c r="Y2303" s="8"/>
      <c r="Z2303" s="8"/>
    </row>
    <row r="2304" spans="4:26" ht="15" thickBot="1" x14ac:dyDescent="0.35">
      <c r="D2304" s="2">
        <f t="shared" si="75"/>
        <v>2298</v>
      </c>
      <c r="E2304" s="6">
        <v>1.3400466560740241</v>
      </c>
      <c r="F2304" s="24"/>
      <c r="G2304" s="24"/>
      <c r="H2304" s="24"/>
      <c r="I2304" s="24"/>
      <c r="J2304" s="3"/>
      <c r="O2304" s="8"/>
      <c r="P2304" s="20"/>
      <c r="Q2304" s="20"/>
      <c r="R2304" s="20"/>
      <c r="S2304" s="8"/>
      <c r="T2304" s="8"/>
      <c r="U2304" s="8"/>
      <c r="V2304" s="8"/>
      <c r="W2304" s="8"/>
      <c r="X2304" s="8"/>
      <c r="Y2304" s="8"/>
      <c r="Z2304" s="8"/>
    </row>
    <row r="2305" spans="4:26" ht="15" thickBot="1" x14ac:dyDescent="0.35">
      <c r="D2305" s="2">
        <f t="shared" si="75"/>
        <v>2299</v>
      </c>
      <c r="E2305" s="6">
        <v>1.4129886252975981</v>
      </c>
      <c r="F2305" s="24"/>
      <c r="G2305" s="24"/>
      <c r="H2305" s="24"/>
      <c r="I2305" s="24"/>
      <c r="J2305" s="3"/>
      <c r="O2305" s="8"/>
      <c r="P2305" s="20"/>
      <c r="Q2305" s="20"/>
      <c r="R2305" s="20"/>
      <c r="S2305" s="8"/>
      <c r="T2305" s="8"/>
      <c r="U2305" s="8"/>
      <c r="V2305" s="8"/>
      <c r="W2305" s="8"/>
      <c r="X2305" s="8"/>
      <c r="Y2305" s="8"/>
      <c r="Z2305" s="8"/>
    </row>
    <row r="2306" spans="4:26" ht="15" thickBot="1" x14ac:dyDescent="0.35">
      <c r="D2306" s="2">
        <f t="shared" si="75"/>
        <v>2300</v>
      </c>
      <c r="E2306" s="6">
        <v>4.5386849142327419</v>
      </c>
      <c r="F2306" s="24"/>
      <c r="G2306" s="24"/>
      <c r="H2306" s="24"/>
      <c r="I2306" s="24"/>
      <c r="J2306" s="3"/>
      <c r="O2306" s="8"/>
      <c r="P2306" s="20"/>
      <c r="Q2306" s="20"/>
      <c r="R2306" s="20"/>
      <c r="S2306" s="8"/>
      <c r="T2306" s="8"/>
      <c r="U2306" s="8"/>
      <c r="V2306" s="8"/>
      <c r="W2306" s="8"/>
      <c r="X2306" s="8"/>
      <c r="Y2306" s="8"/>
      <c r="Z2306" s="8"/>
    </row>
    <row r="2307" spans="4:26" ht="15" thickBot="1" x14ac:dyDescent="0.35">
      <c r="D2307" s="2">
        <f t="shared" si="75"/>
        <v>2301</v>
      </c>
      <c r="E2307" s="6">
        <v>5.0672682835138589</v>
      </c>
      <c r="F2307" s="24"/>
      <c r="G2307" s="24"/>
      <c r="H2307" s="24"/>
      <c r="I2307" s="24"/>
      <c r="J2307" s="3"/>
      <c r="O2307" s="8"/>
      <c r="P2307" s="20"/>
      <c r="Q2307" s="20"/>
      <c r="R2307" s="20"/>
      <c r="S2307" s="8"/>
      <c r="T2307" s="8"/>
      <c r="U2307" s="8"/>
      <c r="V2307" s="8"/>
      <c r="W2307" s="8"/>
      <c r="X2307" s="8"/>
      <c r="Y2307" s="8"/>
      <c r="Z2307" s="8"/>
    </row>
    <row r="2308" spans="4:26" ht="15" thickBot="1" x14ac:dyDescent="0.35">
      <c r="D2308" s="2">
        <f t="shared" si="75"/>
        <v>2302</v>
      </c>
      <c r="E2308" s="6">
        <v>9.6121217315789556E-2</v>
      </c>
      <c r="F2308" s="24"/>
      <c r="G2308" s="24"/>
      <c r="H2308" s="24"/>
      <c r="I2308" s="24"/>
      <c r="J2308" s="3"/>
      <c r="O2308" s="8"/>
      <c r="P2308" s="20"/>
      <c r="Q2308" s="20"/>
      <c r="R2308" s="20"/>
      <c r="S2308" s="8"/>
      <c r="T2308" s="8"/>
      <c r="U2308" s="8"/>
      <c r="V2308" s="8"/>
      <c r="W2308" s="8"/>
      <c r="X2308" s="8"/>
      <c r="Y2308" s="8"/>
      <c r="Z2308" s="8"/>
    </row>
    <row r="2309" spans="4:26" ht="15" thickBot="1" x14ac:dyDescent="0.35">
      <c r="D2309" s="2">
        <f t="shared" si="75"/>
        <v>2303</v>
      </c>
      <c r="E2309" s="6">
        <v>1.1924308558132755</v>
      </c>
      <c r="F2309" s="24"/>
      <c r="G2309" s="24"/>
      <c r="H2309" s="24"/>
      <c r="I2309" s="24"/>
      <c r="J2309" s="3"/>
      <c r="O2309" s="8"/>
      <c r="P2309" s="20"/>
      <c r="Q2309" s="20"/>
      <c r="R2309" s="20"/>
      <c r="S2309" s="8"/>
      <c r="T2309" s="8"/>
      <c r="U2309" s="8"/>
      <c r="V2309" s="8"/>
      <c r="W2309" s="8"/>
      <c r="X2309" s="8"/>
      <c r="Y2309" s="8"/>
      <c r="Z2309" s="8"/>
    </row>
    <row r="2310" spans="4:26" ht="15" thickBot="1" x14ac:dyDescent="0.35">
      <c r="D2310" s="2">
        <f t="shared" si="75"/>
        <v>2304</v>
      </c>
      <c r="E2310" s="6">
        <v>0.90839670412431217</v>
      </c>
      <c r="F2310" s="24"/>
      <c r="G2310" s="24"/>
      <c r="H2310" s="24"/>
      <c r="I2310" s="24"/>
      <c r="J2310" s="3"/>
      <c r="O2310" s="8"/>
      <c r="P2310" s="20"/>
      <c r="Q2310" s="20"/>
      <c r="R2310" s="20"/>
      <c r="S2310" s="8"/>
      <c r="T2310" s="8"/>
      <c r="U2310" s="8"/>
      <c r="V2310" s="8"/>
      <c r="W2310" s="8"/>
      <c r="X2310" s="8"/>
      <c r="Y2310" s="8"/>
      <c r="Z2310" s="8"/>
    </row>
    <row r="2311" spans="4:26" ht="15" thickBot="1" x14ac:dyDescent="0.35">
      <c r="D2311" s="2">
        <f t="shared" ref="D2311:D2374" si="76">ROW()-6</f>
        <v>2305</v>
      </c>
      <c r="E2311" s="6">
        <v>1.7027203025508506</v>
      </c>
      <c r="F2311" s="24"/>
      <c r="G2311" s="24"/>
      <c r="H2311" s="24"/>
      <c r="I2311" s="24"/>
      <c r="J2311" s="3"/>
      <c r="O2311" s="8"/>
      <c r="P2311" s="20"/>
      <c r="Q2311" s="20"/>
      <c r="R2311" s="20"/>
      <c r="S2311" s="8"/>
      <c r="T2311" s="8"/>
      <c r="U2311" s="8"/>
      <c r="V2311" s="8"/>
      <c r="W2311" s="8"/>
      <c r="X2311" s="8"/>
      <c r="Y2311" s="8"/>
      <c r="Z2311" s="8"/>
    </row>
    <row r="2312" spans="4:26" ht="15" thickBot="1" x14ac:dyDescent="0.35">
      <c r="D2312" s="2">
        <f t="shared" si="76"/>
        <v>2306</v>
      </c>
      <c r="E2312" s="6">
        <v>6.9282513826865157</v>
      </c>
      <c r="F2312" s="24"/>
      <c r="G2312" s="24"/>
      <c r="H2312" s="24"/>
      <c r="I2312" s="24"/>
      <c r="J2312" s="3"/>
      <c r="O2312" s="8"/>
      <c r="P2312" s="20"/>
      <c r="Q2312" s="20"/>
      <c r="R2312" s="20"/>
      <c r="S2312" s="8"/>
      <c r="T2312" s="8"/>
      <c r="U2312" s="8"/>
      <c r="V2312" s="8"/>
      <c r="W2312" s="8"/>
      <c r="X2312" s="8"/>
      <c r="Y2312" s="8"/>
      <c r="Z2312" s="8"/>
    </row>
    <row r="2313" spans="4:26" ht="15" thickBot="1" x14ac:dyDescent="0.35">
      <c r="D2313" s="2">
        <f t="shared" si="76"/>
        <v>2307</v>
      </c>
      <c r="E2313" s="6">
        <v>0.49648509571370858</v>
      </c>
      <c r="F2313" s="24"/>
      <c r="G2313" s="24"/>
      <c r="H2313" s="24"/>
      <c r="I2313" s="24"/>
      <c r="J2313" s="3"/>
      <c r="O2313" s="8"/>
      <c r="P2313" s="20"/>
      <c r="Q2313" s="20"/>
      <c r="R2313" s="20"/>
      <c r="S2313" s="8"/>
      <c r="T2313" s="8"/>
      <c r="U2313" s="8"/>
      <c r="V2313" s="8"/>
      <c r="W2313" s="8"/>
      <c r="X2313" s="8"/>
      <c r="Y2313" s="8"/>
      <c r="Z2313" s="8"/>
    </row>
    <row r="2314" spans="4:26" ht="15" thickBot="1" x14ac:dyDescent="0.35">
      <c r="D2314" s="2">
        <f t="shared" si="76"/>
        <v>2308</v>
      </c>
      <c r="E2314" s="6">
        <v>7.320480720380127</v>
      </c>
      <c r="F2314" s="24"/>
      <c r="G2314" s="24"/>
      <c r="H2314" s="24"/>
      <c r="I2314" s="24"/>
      <c r="J2314" s="3"/>
      <c r="O2314" s="8"/>
      <c r="P2314" s="20"/>
      <c r="Q2314" s="20"/>
      <c r="R2314" s="20"/>
      <c r="S2314" s="8"/>
      <c r="T2314" s="8"/>
      <c r="U2314" s="8"/>
      <c r="V2314" s="8"/>
      <c r="W2314" s="8"/>
      <c r="X2314" s="8"/>
      <c r="Y2314" s="8"/>
      <c r="Z2314" s="8"/>
    </row>
    <row r="2315" spans="4:26" ht="15" thickBot="1" x14ac:dyDescent="0.35">
      <c r="D2315" s="2">
        <f t="shared" si="76"/>
        <v>2309</v>
      </c>
      <c r="E2315" s="6">
        <v>9.5259540695926148</v>
      </c>
      <c r="F2315" s="24"/>
      <c r="G2315" s="24"/>
      <c r="H2315" s="24"/>
      <c r="I2315" s="24"/>
      <c r="J2315" s="3"/>
      <c r="O2315" s="8"/>
      <c r="P2315" s="20"/>
      <c r="Q2315" s="20"/>
      <c r="R2315" s="20"/>
      <c r="S2315" s="8"/>
      <c r="T2315" s="8"/>
      <c r="U2315" s="8"/>
      <c r="V2315" s="8"/>
      <c r="W2315" s="8"/>
      <c r="X2315" s="8"/>
      <c r="Y2315" s="8"/>
      <c r="Z2315" s="8"/>
    </row>
    <row r="2316" spans="4:26" ht="15" thickBot="1" x14ac:dyDescent="0.35">
      <c r="D2316" s="2">
        <f t="shared" si="76"/>
        <v>2310</v>
      </c>
      <c r="E2316" s="6">
        <v>1.9865809908804224</v>
      </c>
      <c r="F2316" s="24"/>
      <c r="G2316" s="24"/>
      <c r="H2316" s="24"/>
      <c r="I2316" s="24"/>
      <c r="J2316" s="3"/>
      <c r="O2316" s="8"/>
      <c r="P2316" s="20"/>
      <c r="Q2316" s="20"/>
      <c r="R2316" s="20"/>
      <c r="S2316" s="8"/>
      <c r="T2316" s="8"/>
      <c r="U2316" s="8"/>
      <c r="V2316" s="8"/>
      <c r="W2316" s="8"/>
      <c r="X2316" s="8"/>
      <c r="Y2316" s="8"/>
      <c r="Z2316" s="8"/>
    </row>
    <row r="2317" spans="4:26" ht="15" thickBot="1" x14ac:dyDescent="0.35">
      <c r="D2317" s="2">
        <f t="shared" si="76"/>
        <v>2311</v>
      </c>
      <c r="E2317" s="6">
        <v>0.45067256322277605</v>
      </c>
      <c r="F2317" s="24"/>
      <c r="G2317" s="24"/>
      <c r="H2317" s="24"/>
      <c r="I2317" s="24"/>
      <c r="J2317" s="3"/>
      <c r="O2317" s="8"/>
      <c r="P2317" s="20"/>
      <c r="Q2317" s="20"/>
      <c r="R2317" s="20"/>
      <c r="S2317" s="8"/>
      <c r="T2317" s="8"/>
      <c r="U2317" s="8"/>
      <c r="V2317" s="8"/>
      <c r="W2317" s="8"/>
      <c r="X2317" s="8"/>
      <c r="Y2317" s="8"/>
      <c r="Z2317" s="8"/>
    </row>
    <row r="2318" spans="4:26" ht="15" thickBot="1" x14ac:dyDescent="0.35">
      <c r="D2318" s="2">
        <f t="shared" si="76"/>
        <v>2312</v>
      </c>
      <c r="E2318" s="6">
        <v>1.1992735341019962</v>
      </c>
      <c r="F2318" s="24"/>
      <c r="G2318" s="24"/>
      <c r="H2318" s="24"/>
      <c r="I2318" s="24"/>
      <c r="J2318" s="3"/>
      <c r="O2318" s="8"/>
      <c r="P2318" s="20"/>
      <c r="Q2318" s="20"/>
      <c r="R2318" s="20"/>
      <c r="S2318" s="8"/>
      <c r="T2318" s="8"/>
      <c r="U2318" s="8"/>
      <c r="V2318" s="8"/>
      <c r="W2318" s="8"/>
      <c r="X2318" s="8"/>
      <c r="Y2318" s="8"/>
      <c r="Z2318" s="8"/>
    </row>
    <row r="2319" spans="4:26" ht="15" thickBot="1" x14ac:dyDescent="0.35">
      <c r="D2319" s="2">
        <f t="shared" si="76"/>
        <v>2313</v>
      </c>
      <c r="E2319" s="6">
        <v>0.82634541424949792</v>
      </c>
      <c r="F2319" s="24"/>
      <c r="G2319" s="24"/>
      <c r="H2319" s="24"/>
      <c r="I2319" s="24"/>
      <c r="J2319" s="3"/>
      <c r="O2319" s="8"/>
      <c r="P2319" s="20"/>
      <c r="Q2319" s="20"/>
      <c r="R2319" s="20"/>
      <c r="S2319" s="8"/>
      <c r="T2319" s="8"/>
      <c r="U2319" s="8"/>
      <c r="V2319" s="8"/>
      <c r="W2319" s="8"/>
      <c r="X2319" s="8"/>
      <c r="Y2319" s="8"/>
      <c r="Z2319" s="8"/>
    </row>
    <row r="2320" spans="4:26" ht="15" thickBot="1" x14ac:dyDescent="0.35">
      <c r="D2320" s="2">
        <f t="shared" si="76"/>
        <v>2314</v>
      </c>
      <c r="E2320" s="6">
        <v>4.0225816317798744</v>
      </c>
      <c r="F2320" s="24"/>
      <c r="G2320" s="24"/>
      <c r="H2320" s="24"/>
      <c r="I2320" s="24"/>
      <c r="J2320" s="3"/>
      <c r="O2320" s="8"/>
      <c r="P2320" s="20"/>
      <c r="Q2320" s="20"/>
      <c r="R2320" s="20"/>
      <c r="S2320" s="8"/>
      <c r="T2320" s="8"/>
      <c r="U2320" s="8"/>
      <c r="V2320" s="8"/>
      <c r="W2320" s="8"/>
      <c r="X2320" s="8"/>
      <c r="Y2320" s="8"/>
      <c r="Z2320" s="8"/>
    </row>
    <row r="2321" spans="4:26" ht="15" thickBot="1" x14ac:dyDescent="0.35">
      <c r="D2321" s="2">
        <f t="shared" si="76"/>
        <v>2315</v>
      </c>
      <c r="E2321" s="6">
        <v>3.2835857289056807</v>
      </c>
      <c r="F2321" s="24"/>
      <c r="G2321" s="24"/>
      <c r="H2321" s="24"/>
      <c r="I2321" s="24"/>
      <c r="J2321" s="3"/>
      <c r="O2321" s="8"/>
      <c r="P2321" s="20"/>
      <c r="Q2321" s="20"/>
      <c r="R2321" s="20"/>
      <c r="S2321" s="8"/>
      <c r="T2321" s="8"/>
      <c r="U2321" s="8"/>
      <c r="V2321" s="8"/>
      <c r="W2321" s="8"/>
      <c r="X2321" s="8"/>
      <c r="Y2321" s="8"/>
      <c r="Z2321" s="8"/>
    </row>
    <row r="2322" spans="4:26" ht="15" thickBot="1" x14ac:dyDescent="0.35">
      <c r="D2322" s="2">
        <f t="shared" si="76"/>
        <v>2316</v>
      </c>
      <c r="E2322" s="6">
        <v>0.2153402902376291</v>
      </c>
      <c r="F2322" s="24"/>
      <c r="G2322" s="24"/>
      <c r="H2322" s="24"/>
      <c r="I2322" s="24"/>
      <c r="J2322" s="3"/>
      <c r="O2322" s="8"/>
      <c r="P2322" s="20"/>
      <c r="Q2322" s="20"/>
      <c r="R2322" s="20"/>
      <c r="S2322" s="8"/>
      <c r="T2322" s="8"/>
      <c r="U2322" s="8"/>
      <c r="V2322" s="8"/>
      <c r="W2322" s="8"/>
      <c r="X2322" s="8"/>
      <c r="Y2322" s="8"/>
      <c r="Z2322" s="8"/>
    </row>
    <row r="2323" spans="4:26" ht="15" thickBot="1" x14ac:dyDescent="0.35">
      <c r="D2323" s="2">
        <f t="shared" si="76"/>
        <v>2317</v>
      </c>
      <c r="E2323" s="6">
        <v>1.6943790978152944E-2</v>
      </c>
      <c r="F2323" s="24"/>
      <c r="G2323" s="24"/>
      <c r="H2323" s="24"/>
      <c r="I2323" s="24"/>
      <c r="J2323" s="3"/>
      <c r="O2323" s="8"/>
      <c r="P2323" s="20"/>
      <c r="Q2323" s="20"/>
      <c r="R2323" s="20"/>
      <c r="S2323" s="8"/>
      <c r="T2323" s="8"/>
      <c r="U2323" s="8"/>
      <c r="V2323" s="8"/>
      <c r="W2323" s="8"/>
      <c r="X2323" s="8"/>
      <c r="Y2323" s="8"/>
      <c r="Z2323" s="8"/>
    </row>
    <row r="2324" spans="4:26" ht="15" thickBot="1" x14ac:dyDescent="0.35">
      <c r="D2324" s="2">
        <f t="shared" si="76"/>
        <v>2318</v>
      </c>
      <c r="E2324" s="6">
        <v>0.66531996255358061</v>
      </c>
      <c r="F2324" s="24"/>
      <c r="G2324" s="24"/>
      <c r="H2324" s="24"/>
      <c r="I2324" s="24"/>
      <c r="J2324" s="3"/>
      <c r="O2324" s="8"/>
      <c r="P2324" s="20"/>
      <c r="Q2324" s="20"/>
      <c r="R2324" s="20"/>
      <c r="S2324" s="8"/>
      <c r="T2324" s="8"/>
      <c r="U2324" s="8"/>
      <c r="V2324" s="8"/>
      <c r="W2324" s="8"/>
      <c r="X2324" s="8"/>
      <c r="Y2324" s="8"/>
      <c r="Z2324" s="8"/>
    </row>
    <row r="2325" spans="4:26" ht="15" thickBot="1" x14ac:dyDescent="0.35">
      <c r="D2325" s="2">
        <f t="shared" si="76"/>
        <v>2319</v>
      </c>
      <c r="E2325" s="6">
        <v>19.038248978583074</v>
      </c>
      <c r="F2325" s="24"/>
      <c r="G2325" s="24"/>
      <c r="H2325" s="24"/>
      <c r="I2325" s="24"/>
      <c r="J2325" s="3"/>
      <c r="O2325" s="8"/>
      <c r="P2325" s="20"/>
      <c r="Q2325" s="20"/>
      <c r="R2325" s="20"/>
      <c r="S2325" s="8"/>
      <c r="T2325" s="8"/>
      <c r="U2325" s="8"/>
      <c r="V2325" s="8"/>
      <c r="W2325" s="8"/>
      <c r="X2325" s="8"/>
      <c r="Y2325" s="8"/>
      <c r="Z2325" s="8"/>
    </row>
    <row r="2326" spans="4:26" ht="15" thickBot="1" x14ac:dyDescent="0.35">
      <c r="D2326" s="2">
        <f t="shared" si="76"/>
        <v>2320</v>
      </c>
      <c r="E2326" s="6">
        <v>8.5184172307499626</v>
      </c>
      <c r="F2326" s="24"/>
      <c r="G2326" s="24"/>
      <c r="H2326" s="24"/>
      <c r="I2326" s="24"/>
      <c r="J2326" s="3"/>
      <c r="O2326" s="8"/>
      <c r="P2326" s="20"/>
      <c r="Q2326" s="20"/>
      <c r="R2326" s="20"/>
      <c r="S2326" s="8"/>
      <c r="T2326" s="8"/>
      <c r="U2326" s="8"/>
      <c r="V2326" s="8"/>
      <c r="W2326" s="8"/>
      <c r="X2326" s="8"/>
      <c r="Y2326" s="8"/>
      <c r="Z2326" s="8"/>
    </row>
    <row r="2327" spans="4:26" ht="15" thickBot="1" x14ac:dyDescent="0.35">
      <c r="D2327" s="2">
        <f t="shared" si="76"/>
        <v>2321</v>
      </c>
      <c r="E2327" s="6">
        <v>3.2075363819530995</v>
      </c>
      <c r="F2327" s="24"/>
      <c r="G2327" s="24"/>
      <c r="H2327" s="24"/>
      <c r="I2327" s="24"/>
      <c r="J2327" s="3"/>
      <c r="O2327" s="8"/>
      <c r="P2327" s="20"/>
      <c r="Q2327" s="20"/>
      <c r="R2327" s="20"/>
      <c r="S2327" s="8"/>
      <c r="T2327" s="8"/>
      <c r="U2327" s="8"/>
      <c r="V2327" s="8"/>
      <c r="W2327" s="8"/>
      <c r="X2327" s="8"/>
      <c r="Y2327" s="8"/>
      <c r="Z2327" s="8"/>
    </row>
    <row r="2328" spans="4:26" ht="15" thickBot="1" x14ac:dyDescent="0.35">
      <c r="D2328" s="2">
        <f t="shared" si="76"/>
        <v>2322</v>
      </c>
      <c r="E2328" s="6">
        <v>0.88340110133679173</v>
      </c>
      <c r="F2328" s="24"/>
      <c r="G2328" s="24"/>
      <c r="H2328" s="24"/>
      <c r="I2328" s="24"/>
      <c r="J2328" s="3"/>
      <c r="O2328" s="8"/>
      <c r="P2328" s="20"/>
      <c r="Q2328" s="20"/>
      <c r="R2328" s="20"/>
      <c r="S2328" s="8"/>
      <c r="T2328" s="8"/>
      <c r="U2328" s="8"/>
      <c r="V2328" s="8"/>
      <c r="W2328" s="8"/>
      <c r="X2328" s="8"/>
      <c r="Y2328" s="8"/>
      <c r="Z2328" s="8"/>
    </row>
    <row r="2329" spans="4:26" ht="15" thickBot="1" x14ac:dyDescent="0.35">
      <c r="D2329" s="2">
        <f t="shared" si="76"/>
        <v>2323</v>
      </c>
      <c r="E2329" s="6">
        <v>1.2421500618924837</v>
      </c>
      <c r="F2329" s="24"/>
      <c r="G2329" s="24"/>
      <c r="H2329" s="24"/>
      <c r="I2329" s="24"/>
      <c r="J2329" s="3"/>
      <c r="O2329" s="8"/>
      <c r="P2329" s="20"/>
      <c r="Q2329" s="20"/>
      <c r="R2329" s="20"/>
      <c r="S2329" s="8"/>
      <c r="T2329" s="8"/>
      <c r="U2329" s="8"/>
      <c r="V2329" s="8"/>
      <c r="W2329" s="8"/>
      <c r="X2329" s="8"/>
      <c r="Y2329" s="8"/>
      <c r="Z2329" s="8"/>
    </row>
    <row r="2330" spans="4:26" ht="15" thickBot="1" x14ac:dyDescent="0.35">
      <c r="D2330" s="2">
        <f t="shared" si="76"/>
        <v>2324</v>
      </c>
      <c r="E2330" s="6">
        <v>9.0418218312230128</v>
      </c>
      <c r="F2330" s="24"/>
      <c r="G2330" s="24"/>
      <c r="H2330" s="24"/>
      <c r="I2330" s="24"/>
      <c r="J2330" s="3"/>
      <c r="O2330" s="8"/>
      <c r="P2330" s="20"/>
      <c r="Q2330" s="20"/>
      <c r="R2330" s="20"/>
      <c r="S2330" s="8"/>
      <c r="T2330" s="8"/>
      <c r="U2330" s="8"/>
      <c r="V2330" s="8"/>
      <c r="W2330" s="8"/>
      <c r="X2330" s="8"/>
      <c r="Y2330" s="8"/>
      <c r="Z2330" s="8"/>
    </row>
    <row r="2331" spans="4:26" ht="15" thickBot="1" x14ac:dyDescent="0.35">
      <c r="D2331" s="2">
        <f t="shared" si="76"/>
        <v>2325</v>
      </c>
      <c r="E2331" s="6">
        <v>4.8605681303275574</v>
      </c>
      <c r="F2331" s="24"/>
      <c r="G2331" s="24"/>
      <c r="H2331" s="24"/>
      <c r="I2331" s="24"/>
      <c r="J2331" s="3"/>
      <c r="O2331" s="8"/>
      <c r="P2331" s="20"/>
      <c r="Q2331" s="20"/>
      <c r="R2331" s="20"/>
      <c r="S2331" s="8"/>
      <c r="T2331" s="8"/>
      <c r="U2331" s="8"/>
      <c r="V2331" s="8"/>
      <c r="W2331" s="8"/>
      <c r="X2331" s="8"/>
      <c r="Y2331" s="8"/>
      <c r="Z2331" s="8"/>
    </row>
    <row r="2332" spans="4:26" ht="15" thickBot="1" x14ac:dyDescent="0.35">
      <c r="D2332" s="2">
        <f t="shared" si="76"/>
        <v>2326</v>
      </c>
      <c r="E2332" s="6">
        <v>4.8211135246588119</v>
      </c>
      <c r="F2332" s="24"/>
      <c r="G2332" s="24"/>
      <c r="H2332" s="24"/>
      <c r="I2332" s="24"/>
      <c r="J2332" s="3"/>
      <c r="O2332" s="8"/>
      <c r="P2332" s="20"/>
      <c r="Q2332" s="20"/>
      <c r="R2332" s="20"/>
      <c r="S2332" s="8"/>
      <c r="T2332" s="8"/>
      <c r="U2332" s="8"/>
      <c r="V2332" s="8"/>
      <c r="W2332" s="8"/>
      <c r="X2332" s="8"/>
      <c r="Y2332" s="8"/>
      <c r="Z2332" s="8"/>
    </row>
    <row r="2333" spans="4:26" ht="15" thickBot="1" x14ac:dyDescent="0.35">
      <c r="D2333" s="2">
        <f t="shared" si="76"/>
        <v>2327</v>
      </c>
      <c r="E2333" s="6">
        <v>0.56822434770367858</v>
      </c>
      <c r="F2333" s="24"/>
      <c r="G2333" s="24"/>
      <c r="H2333" s="24"/>
      <c r="I2333" s="24"/>
      <c r="J2333" s="3"/>
      <c r="O2333" s="8"/>
      <c r="P2333" s="20"/>
      <c r="Q2333" s="20"/>
      <c r="R2333" s="20"/>
      <c r="S2333" s="8"/>
      <c r="T2333" s="8"/>
      <c r="U2333" s="8"/>
      <c r="V2333" s="8"/>
      <c r="W2333" s="8"/>
      <c r="X2333" s="8"/>
      <c r="Y2333" s="8"/>
      <c r="Z2333" s="8"/>
    </row>
    <row r="2334" spans="4:26" ht="15" thickBot="1" x14ac:dyDescent="0.35">
      <c r="D2334" s="2">
        <f t="shared" si="76"/>
        <v>2328</v>
      </c>
      <c r="E2334" s="6">
        <v>3.2295439422599674</v>
      </c>
      <c r="F2334" s="24"/>
      <c r="G2334" s="24"/>
      <c r="H2334" s="24"/>
      <c r="I2334" s="24"/>
      <c r="J2334" s="3"/>
      <c r="O2334" s="8"/>
      <c r="P2334" s="20"/>
      <c r="Q2334" s="20"/>
      <c r="R2334" s="20"/>
      <c r="S2334" s="8"/>
      <c r="T2334" s="8"/>
      <c r="U2334" s="8"/>
      <c r="V2334" s="8"/>
      <c r="W2334" s="8"/>
      <c r="X2334" s="8"/>
      <c r="Y2334" s="8"/>
      <c r="Z2334" s="8"/>
    </row>
    <row r="2335" spans="4:26" ht="15" thickBot="1" x14ac:dyDescent="0.35">
      <c r="D2335" s="2">
        <f t="shared" si="76"/>
        <v>2329</v>
      </c>
      <c r="E2335" s="6">
        <v>1.9349169171298823</v>
      </c>
      <c r="F2335" s="24"/>
      <c r="G2335" s="24"/>
      <c r="H2335" s="24"/>
      <c r="I2335" s="24"/>
      <c r="J2335" s="3"/>
      <c r="O2335" s="8"/>
      <c r="P2335" s="20"/>
      <c r="Q2335" s="20"/>
      <c r="R2335" s="20"/>
      <c r="S2335" s="8"/>
      <c r="T2335" s="8"/>
      <c r="U2335" s="8"/>
      <c r="V2335" s="8"/>
      <c r="W2335" s="8"/>
      <c r="X2335" s="8"/>
      <c r="Y2335" s="8"/>
      <c r="Z2335" s="8"/>
    </row>
    <row r="2336" spans="4:26" ht="15" thickBot="1" x14ac:dyDescent="0.35">
      <c r="D2336" s="2">
        <f t="shared" si="76"/>
        <v>2330</v>
      </c>
      <c r="E2336" s="6">
        <v>0.29483174425104824</v>
      </c>
      <c r="F2336" s="24"/>
      <c r="G2336" s="24"/>
      <c r="H2336" s="24"/>
      <c r="I2336" s="24"/>
      <c r="J2336" s="3"/>
      <c r="O2336" s="8"/>
      <c r="P2336" s="20"/>
      <c r="Q2336" s="20"/>
      <c r="R2336" s="20"/>
      <c r="S2336" s="8"/>
      <c r="T2336" s="8"/>
      <c r="U2336" s="8"/>
      <c r="V2336" s="8"/>
      <c r="W2336" s="8"/>
      <c r="X2336" s="8"/>
      <c r="Y2336" s="8"/>
      <c r="Z2336" s="8"/>
    </row>
    <row r="2337" spans="4:26" ht="15" thickBot="1" x14ac:dyDescent="0.35">
      <c r="D2337" s="2">
        <f t="shared" si="76"/>
        <v>2331</v>
      </c>
      <c r="E2337" s="6">
        <v>2.8399964979127192</v>
      </c>
      <c r="F2337" s="24"/>
      <c r="G2337" s="24"/>
      <c r="H2337" s="24"/>
      <c r="I2337" s="24"/>
      <c r="J2337" s="3"/>
      <c r="O2337" s="8"/>
      <c r="P2337" s="20"/>
      <c r="Q2337" s="20"/>
      <c r="R2337" s="20"/>
      <c r="S2337" s="8"/>
      <c r="T2337" s="8"/>
      <c r="U2337" s="8"/>
      <c r="V2337" s="8"/>
      <c r="W2337" s="8"/>
      <c r="X2337" s="8"/>
      <c r="Y2337" s="8"/>
      <c r="Z2337" s="8"/>
    </row>
    <row r="2338" spans="4:26" ht="15" thickBot="1" x14ac:dyDescent="0.35">
      <c r="D2338" s="2">
        <f t="shared" si="76"/>
        <v>2332</v>
      </c>
      <c r="E2338" s="6">
        <v>0.18951339308025339</v>
      </c>
      <c r="F2338" s="24"/>
      <c r="G2338" s="24"/>
      <c r="H2338" s="24"/>
      <c r="I2338" s="24"/>
      <c r="J2338" s="3"/>
      <c r="O2338" s="8"/>
      <c r="P2338" s="20"/>
      <c r="Q2338" s="20"/>
      <c r="R2338" s="20"/>
      <c r="S2338" s="8"/>
      <c r="T2338" s="8"/>
      <c r="U2338" s="8"/>
      <c r="V2338" s="8"/>
      <c r="W2338" s="8"/>
      <c r="X2338" s="8"/>
      <c r="Y2338" s="8"/>
      <c r="Z2338" s="8"/>
    </row>
    <row r="2339" spans="4:26" ht="15" thickBot="1" x14ac:dyDescent="0.35">
      <c r="D2339" s="2">
        <f t="shared" si="76"/>
        <v>2333</v>
      </c>
      <c r="E2339" s="6">
        <v>0.92071732565549902</v>
      </c>
      <c r="F2339" s="24"/>
      <c r="G2339" s="24"/>
      <c r="H2339" s="24"/>
      <c r="I2339" s="24"/>
      <c r="J2339" s="3"/>
      <c r="O2339" s="8"/>
      <c r="P2339" s="20"/>
      <c r="Q2339" s="20"/>
      <c r="R2339" s="20"/>
      <c r="S2339" s="8"/>
      <c r="T2339" s="8"/>
      <c r="U2339" s="8"/>
      <c r="V2339" s="8"/>
      <c r="W2339" s="8"/>
      <c r="X2339" s="8"/>
      <c r="Y2339" s="8"/>
      <c r="Z2339" s="8"/>
    </row>
    <row r="2340" spans="4:26" ht="15" thickBot="1" x14ac:dyDescent="0.35">
      <c r="D2340" s="2">
        <f t="shared" si="76"/>
        <v>2334</v>
      </c>
      <c r="E2340" s="6">
        <v>0.39515940815142009</v>
      </c>
      <c r="F2340" s="24"/>
      <c r="G2340" s="24"/>
      <c r="H2340" s="24"/>
      <c r="I2340" s="24"/>
      <c r="J2340" s="3"/>
      <c r="O2340" s="8"/>
      <c r="P2340" s="20"/>
      <c r="Q2340" s="20"/>
      <c r="R2340" s="20"/>
      <c r="S2340" s="8"/>
      <c r="T2340" s="8"/>
      <c r="U2340" s="8"/>
      <c r="V2340" s="8"/>
      <c r="W2340" s="8"/>
      <c r="X2340" s="8"/>
      <c r="Y2340" s="8"/>
      <c r="Z2340" s="8"/>
    </row>
    <row r="2341" spans="4:26" ht="15" thickBot="1" x14ac:dyDescent="0.35">
      <c r="D2341" s="2">
        <f t="shared" si="76"/>
        <v>2335</v>
      </c>
      <c r="E2341" s="6">
        <v>4.33049236114263</v>
      </c>
      <c r="F2341" s="24"/>
      <c r="G2341" s="24"/>
      <c r="H2341" s="24"/>
      <c r="I2341" s="24"/>
      <c r="J2341" s="3"/>
      <c r="O2341" s="8"/>
      <c r="P2341" s="20"/>
      <c r="Q2341" s="20"/>
      <c r="R2341" s="20"/>
      <c r="S2341" s="8"/>
      <c r="T2341" s="8"/>
      <c r="U2341" s="8"/>
      <c r="V2341" s="8"/>
      <c r="W2341" s="8"/>
      <c r="X2341" s="8"/>
      <c r="Y2341" s="8"/>
      <c r="Z2341" s="8"/>
    </row>
    <row r="2342" spans="4:26" ht="15" thickBot="1" x14ac:dyDescent="0.35">
      <c r="D2342" s="2">
        <f t="shared" si="76"/>
        <v>2336</v>
      </c>
      <c r="E2342" s="6">
        <v>1.5125412758560155</v>
      </c>
      <c r="F2342" s="24"/>
      <c r="G2342" s="24"/>
      <c r="H2342" s="24"/>
      <c r="I2342" s="24"/>
      <c r="J2342" s="3"/>
      <c r="O2342" s="8"/>
      <c r="P2342" s="20"/>
      <c r="Q2342" s="20"/>
      <c r="R2342" s="20"/>
      <c r="S2342" s="8"/>
      <c r="T2342" s="8"/>
      <c r="U2342" s="8"/>
      <c r="V2342" s="8"/>
      <c r="W2342" s="8"/>
      <c r="X2342" s="8"/>
      <c r="Y2342" s="8"/>
      <c r="Z2342" s="8"/>
    </row>
    <row r="2343" spans="4:26" ht="15" thickBot="1" x14ac:dyDescent="0.35">
      <c r="D2343" s="2">
        <f t="shared" si="76"/>
        <v>2337</v>
      </c>
      <c r="E2343" s="6">
        <v>6.9946712912113558</v>
      </c>
      <c r="F2343" s="24"/>
      <c r="G2343" s="24"/>
      <c r="H2343" s="24"/>
      <c r="I2343" s="24"/>
      <c r="J2343" s="3"/>
      <c r="O2343" s="8"/>
      <c r="P2343" s="20"/>
      <c r="Q2343" s="20"/>
      <c r="R2343" s="20"/>
      <c r="S2343" s="8"/>
      <c r="T2343" s="8"/>
      <c r="U2343" s="8"/>
      <c r="V2343" s="8"/>
      <c r="W2343" s="8"/>
      <c r="X2343" s="8"/>
      <c r="Y2343" s="8"/>
      <c r="Z2343" s="8"/>
    </row>
    <row r="2344" spans="4:26" ht="15" thickBot="1" x14ac:dyDescent="0.35">
      <c r="D2344" s="2">
        <f t="shared" si="76"/>
        <v>2338</v>
      </c>
      <c r="E2344" s="6">
        <v>0.50168363907949809</v>
      </c>
      <c r="F2344" s="24"/>
      <c r="G2344" s="24"/>
      <c r="H2344" s="24"/>
      <c r="I2344" s="24"/>
      <c r="J2344" s="3"/>
      <c r="O2344" s="8"/>
      <c r="P2344" s="20"/>
      <c r="Q2344" s="20"/>
      <c r="R2344" s="20"/>
      <c r="S2344" s="8"/>
      <c r="T2344" s="8"/>
      <c r="U2344" s="8"/>
      <c r="V2344" s="8"/>
      <c r="W2344" s="8"/>
      <c r="X2344" s="8"/>
      <c r="Y2344" s="8"/>
      <c r="Z2344" s="8"/>
    </row>
    <row r="2345" spans="4:26" ht="15" thickBot="1" x14ac:dyDescent="0.35">
      <c r="D2345" s="2">
        <f t="shared" si="76"/>
        <v>2339</v>
      </c>
      <c r="E2345" s="6">
        <v>0.68216285407041621</v>
      </c>
      <c r="F2345" s="24"/>
      <c r="G2345" s="24"/>
      <c r="H2345" s="24"/>
      <c r="I2345" s="24"/>
      <c r="J2345" s="3"/>
      <c r="O2345" s="8"/>
      <c r="P2345" s="20"/>
      <c r="Q2345" s="20"/>
      <c r="R2345" s="20"/>
      <c r="S2345" s="8"/>
      <c r="T2345" s="8"/>
      <c r="U2345" s="8"/>
      <c r="V2345" s="8"/>
      <c r="W2345" s="8"/>
      <c r="X2345" s="8"/>
      <c r="Y2345" s="8"/>
      <c r="Z2345" s="8"/>
    </row>
    <row r="2346" spans="4:26" ht="15" thickBot="1" x14ac:dyDescent="0.35">
      <c r="D2346" s="2">
        <f t="shared" si="76"/>
        <v>2340</v>
      </c>
      <c r="E2346" s="6">
        <v>5.5303513751814597</v>
      </c>
      <c r="F2346" s="24"/>
      <c r="G2346" s="24"/>
      <c r="H2346" s="24"/>
      <c r="I2346" s="24"/>
      <c r="J2346" s="3"/>
      <c r="O2346" s="8"/>
      <c r="P2346" s="20"/>
      <c r="Q2346" s="20"/>
      <c r="R2346" s="20"/>
      <c r="S2346" s="8"/>
      <c r="T2346" s="8"/>
      <c r="U2346" s="8"/>
      <c r="V2346" s="8"/>
      <c r="W2346" s="8"/>
      <c r="X2346" s="8"/>
      <c r="Y2346" s="8"/>
      <c r="Z2346" s="8"/>
    </row>
    <row r="2347" spans="4:26" ht="15" thickBot="1" x14ac:dyDescent="0.35">
      <c r="D2347" s="2">
        <f t="shared" si="76"/>
        <v>2341</v>
      </c>
      <c r="E2347" s="6">
        <v>7.0204791925185415</v>
      </c>
      <c r="F2347" s="24"/>
      <c r="G2347" s="24"/>
      <c r="H2347" s="24"/>
      <c r="I2347" s="24"/>
      <c r="J2347" s="3"/>
      <c r="O2347" s="8"/>
      <c r="P2347" s="20"/>
      <c r="Q2347" s="20"/>
      <c r="R2347" s="20"/>
      <c r="S2347" s="8"/>
      <c r="T2347" s="8"/>
      <c r="U2347" s="8"/>
      <c r="V2347" s="8"/>
      <c r="W2347" s="8"/>
      <c r="X2347" s="8"/>
      <c r="Y2347" s="8"/>
      <c r="Z2347" s="8"/>
    </row>
    <row r="2348" spans="4:26" ht="15" thickBot="1" x14ac:dyDescent="0.35">
      <c r="D2348" s="2">
        <f t="shared" si="76"/>
        <v>2342</v>
      </c>
      <c r="E2348" s="6">
        <v>2.4097490564530517</v>
      </c>
      <c r="F2348" s="24"/>
      <c r="G2348" s="24"/>
      <c r="H2348" s="24"/>
      <c r="I2348" s="24"/>
      <c r="J2348" s="3"/>
      <c r="O2348" s="8"/>
      <c r="P2348" s="20"/>
      <c r="Q2348" s="20"/>
      <c r="R2348" s="20"/>
      <c r="S2348" s="8"/>
      <c r="T2348" s="8"/>
      <c r="U2348" s="8"/>
      <c r="V2348" s="8"/>
      <c r="W2348" s="8"/>
      <c r="X2348" s="8"/>
      <c r="Y2348" s="8"/>
      <c r="Z2348" s="8"/>
    </row>
    <row r="2349" spans="4:26" ht="15" thickBot="1" x14ac:dyDescent="0.35">
      <c r="D2349" s="2">
        <f t="shared" si="76"/>
        <v>2343</v>
      </c>
      <c r="E2349" s="6">
        <v>5.0496446170683615</v>
      </c>
      <c r="F2349" s="24"/>
      <c r="G2349" s="24"/>
      <c r="H2349" s="24"/>
      <c r="I2349" s="24"/>
      <c r="J2349" s="3"/>
      <c r="O2349" s="8"/>
      <c r="P2349" s="20"/>
      <c r="Q2349" s="20"/>
      <c r="R2349" s="20"/>
      <c r="S2349" s="8"/>
      <c r="T2349" s="8"/>
      <c r="U2349" s="8"/>
      <c r="V2349" s="8"/>
      <c r="W2349" s="8"/>
      <c r="X2349" s="8"/>
      <c r="Y2349" s="8"/>
      <c r="Z2349" s="8"/>
    </row>
    <row r="2350" spans="4:26" ht="15" thickBot="1" x14ac:dyDescent="0.35">
      <c r="D2350" s="2">
        <f t="shared" si="76"/>
        <v>2344</v>
      </c>
      <c r="E2350" s="6">
        <v>5.5447786285880003</v>
      </c>
      <c r="F2350" s="24"/>
      <c r="G2350" s="24"/>
      <c r="H2350" s="24"/>
      <c r="I2350" s="24"/>
      <c r="J2350" s="3"/>
      <c r="O2350" s="8"/>
      <c r="P2350" s="20"/>
      <c r="Q2350" s="20"/>
      <c r="R2350" s="20"/>
      <c r="S2350" s="8"/>
      <c r="T2350" s="8"/>
      <c r="U2350" s="8"/>
      <c r="V2350" s="8"/>
      <c r="W2350" s="8"/>
      <c r="X2350" s="8"/>
      <c r="Y2350" s="8"/>
      <c r="Z2350" s="8"/>
    </row>
    <row r="2351" spans="4:26" ht="15" thickBot="1" x14ac:dyDescent="0.35">
      <c r="D2351" s="2">
        <f t="shared" si="76"/>
        <v>2345</v>
      </c>
      <c r="E2351" s="6">
        <v>0.10378900802562598</v>
      </c>
      <c r="F2351" s="24"/>
      <c r="G2351" s="24"/>
      <c r="H2351" s="24"/>
      <c r="I2351" s="24"/>
      <c r="J2351" s="3"/>
      <c r="O2351" s="8"/>
      <c r="P2351" s="20"/>
      <c r="Q2351" s="20"/>
      <c r="R2351" s="20"/>
      <c r="S2351" s="8"/>
      <c r="T2351" s="8"/>
      <c r="U2351" s="8"/>
      <c r="V2351" s="8"/>
      <c r="W2351" s="8"/>
      <c r="X2351" s="8"/>
      <c r="Y2351" s="8"/>
      <c r="Z2351" s="8"/>
    </row>
    <row r="2352" spans="4:26" ht="15" thickBot="1" x14ac:dyDescent="0.35">
      <c r="D2352" s="2">
        <f t="shared" si="76"/>
        <v>2346</v>
      </c>
      <c r="E2352" s="6">
        <v>11.643437339672042</v>
      </c>
      <c r="F2352" s="24"/>
      <c r="G2352" s="24"/>
      <c r="H2352" s="24"/>
      <c r="I2352" s="24"/>
      <c r="J2352" s="3"/>
      <c r="O2352" s="8"/>
      <c r="P2352" s="20"/>
      <c r="Q2352" s="20"/>
      <c r="R2352" s="20"/>
      <c r="S2352" s="8"/>
      <c r="T2352" s="8"/>
      <c r="U2352" s="8"/>
      <c r="V2352" s="8"/>
      <c r="W2352" s="8"/>
      <c r="X2352" s="8"/>
      <c r="Y2352" s="8"/>
      <c r="Z2352" s="8"/>
    </row>
    <row r="2353" spans="4:26" ht="15" thickBot="1" x14ac:dyDescent="0.35">
      <c r="D2353" s="2">
        <f t="shared" si="76"/>
        <v>2347</v>
      </c>
      <c r="E2353" s="6">
        <v>2.2945770513119594</v>
      </c>
      <c r="F2353" s="24"/>
      <c r="G2353" s="24"/>
      <c r="H2353" s="24"/>
      <c r="I2353" s="24"/>
      <c r="J2353" s="3"/>
      <c r="O2353" s="8"/>
      <c r="P2353" s="20"/>
      <c r="Q2353" s="20"/>
      <c r="R2353" s="20"/>
      <c r="S2353" s="8"/>
      <c r="T2353" s="8"/>
      <c r="U2353" s="8"/>
      <c r="V2353" s="8"/>
      <c r="W2353" s="8"/>
      <c r="X2353" s="8"/>
      <c r="Y2353" s="8"/>
      <c r="Z2353" s="8"/>
    </row>
    <row r="2354" spans="4:26" ht="15" thickBot="1" x14ac:dyDescent="0.35">
      <c r="D2354" s="2">
        <f t="shared" si="76"/>
        <v>2348</v>
      </c>
      <c r="E2354" s="6">
        <v>0.20762922777441695</v>
      </c>
      <c r="F2354" s="24"/>
      <c r="G2354" s="24"/>
      <c r="H2354" s="24"/>
      <c r="I2354" s="24"/>
      <c r="J2354" s="3"/>
      <c r="O2354" s="8"/>
      <c r="P2354" s="20"/>
      <c r="Q2354" s="20"/>
      <c r="R2354" s="20"/>
      <c r="S2354" s="8"/>
      <c r="T2354" s="8"/>
      <c r="U2354" s="8"/>
      <c r="V2354" s="8"/>
      <c r="W2354" s="8"/>
      <c r="X2354" s="8"/>
      <c r="Y2354" s="8"/>
      <c r="Z2354" s="8"/>
    </row>
    <row r="2355" spans="4:26" ht="15" thickBot="1" x14ac:dyDescent="0.35">
      <c r="D2355" s="2">
        <f t="shared" si="76"/>
        <v>2349</v>
      </c>
      <c r="E2355" s="6">
        <v>2.3218271707367544</v>
      </c>
      <c r="F2355" s="24"/>
      <c r="G2355" s="24"/>
      <c r="H2355" s="24"/>
      <c r="I2355" s="24"/>
      <c r="J2355" s="3"/>
      <c r="O2355" s="8"/>
      <c r="P2355" s="20"/>
      <c r="Q2355" s="20"/>
      <c r="R2355" s="20"/>
      <c r="S2355" s="8"/>
      <c r="T2355" s="8"/>
      <c r="U2355" s="8"/>
      <c r="V2355" s="8"/>
      <c r="W2355" s="8"/>
      <c r="X2355" s="8"/>
      <c r="Y2355" s="8"/>
      <c r="Z2355" s="8"/>
    </row>
    <row r="2356" spans="4:26" ht="15" thickBot="1" x14ac:dyDescent="0.35">
      <c r="D2356" s="2">
        <f t="shared" si="76"/>
        <v>2350</v>
      </c>
      <c r="E2356" s="6">
        <v>2.5548440921231408</v>
      </c>
      <c r="F2356" s="24"/>
      <c r="G2356" s="24"/>
      <c r="H2356" s="24"/>
      <c r="I2356" s="24"/>
      <c r="J2356" s="3"/>
      <c r="O2356" s="8"/>
      <c r="P2356" s="20"/>
      <c r="Q2356" s="20"/>
      <c r="R2356" s="20"/>
      <c r="S2356" s="8"/>
      <c r="T2356" s="8"/>
      <c r="U2356" s="8"/>
      <c r="V2356" s="8"/>
      <c r="W2356" s="8"/>
      <c r="X2356" s="8"/>
      <c r="Y2356" s="8"/>
      <c r="Z2356" s="8"/>
    </row>
    <row r="2357" spans="4:26" ht="15" thickBot="1" x14ac:dyDescent="0.35">
      <c r="D2357" s="2">
        <f t="shared" si="76"/>
        <v>2351</v>
      </c>
      <c r="E2357" s="6">
        <v>8.2831659410906653</v>
      </c>
      <c r="F2357" s="24"/>
      <c r="G2357" s="24"/>
      <c r="H2357" s="24"/>
      <c r="I2357" s="24"/>
      <c r="J2357" s="3"/>
      <c r="O2357" s="8"/>
      <c r="P2357" s="20"/>
      <c r="Q2357" s="20"/>
      <c r="R2357" s="20"/>
      <c r="S2357" s="8"/>
      <c r="T2357" s="8"/>
      <c r="U2357" s="8"/>
      <c r="V2357" s="8"/>
      <c r="W2357" s="8"/>
      <c r="X2357" s="8"/>
      <c r="Y2357" s="8"/>
      <c r="Z2357" s="8"/>
    </row>
    <row r="2358" spans="4:26" ht="15" thickBot="1" x14ac:dyDescent="0.35">
      <c r="D2358" s="2">
        <f t="shared" si="76"/>
        <v>2352</v>
      </c>
      <c r="E2358" s="6">
        <v>1.4936384611332347</v>
      </c>
      <c r="F2358" s="24"/>
      <c r="G2358" s="24"/>
      <c r="H2358" s="24"/>
      <c r="I2358" s="24"/>
      <c r="J2358" s="3"/>
      <c r="O2358" s="8"/>
      <c r="P2358" s="20"/>
      <c r="Q2358" s="20"/>
      <c r="R2358" s="20"/>
      <c r="S2358" s="8"/>
      <c r="T2358" s="8"/>
      <c r="U2358" s="8"/>
      <c r="V2358" s="8"/>
      <c r="W2358" s="8"/>
      <c r="X2358" s="8"/>
      <c r="Y2358" s="8"/>
      <c r="Z2358" s="8"/>
    </row>
    <row r="2359" spans="4:26" ht="15" thickBot="1" x14ac:dyDescent="0.35">
      <c r="D2359" s="2">
        <f t="shared" si="76"/>
        <v>2353</v>
      </c>
      <c r="E2359" s="6">
        <v>1.11203499056745</v>
      </c>
      <c r="F2359" s="24"/>
      <c r="G2359" s="24"/>
      <c r="H2359" s="24"/>
      <c r="I2359" s="24"/>
      <c r="J2359" s="3"/>
      <c r="O2359" s="8"/>
      <c r="P2359" s="20"/>
      <c r="Q2359" s="20"/>
      <c r="R2359" s="20"/>
      <c r="S2359" s="8"/>
      <c r="T2359" s="8"/>
      <c r="U2359" s="8"/>
      <c r="V2359" s="8"/>
      <c r="W2359" s="8"/>
      <c r="X2359" s="8"/>
      <c r="Y2359" s="8"/>
      <c r="Z2359" s="8"/>
    </row>
    <row r="2360" spans="4:26" ht="15" thickBot="1" x14ac:dyDescent="0.35">
      <c r="D2360" s="2">
        <f t="shared" si="76"/>
        <v>2354</v>
      </c>
      <c r="E2360" s="6">
        <v>2.0849470657724636</v>
      </c>
      <c r="F2360" s="24"/>
      <c r="G2360" s="24"/>
      <c r="H2360" s="24"/>
      <c r="I2360" s="24"/>
      <c r="J2360" s="3"/>
      <c r="O2360" s="8"/>
      <c r="P2360" s="20"/>
      <c r="Q2360" s="20"/>
      <c r="R2360" s="20"/>
      <c r="S2360" s="8"/>
      <c r="T2360" s="8"/>
      <c r="U2360" s="8"/>
      <c r="V2360" s="8"/>
      <c r="W2360" s="8"/>
      <c r="X2360" s="8"/>
      <c r="Y2360" s="8"/>
      <c r="Z2360" s="8"/>
    </row>
    <row r="2361" spans="4:26" ht="15" thickBot="1" x14ac:dyDescent="0.35">
      <c r="D2361" s="2">
        <f t="shared" si="76"/>
        <v>2355</v>
      </c>
      <c r="E2361" s="6">
        <v>3.2987152472707426</v>
      </c>
      <c r="F2361" s="24"/>
      <c r="G2361" s="24"/>
      <c r="H2361" s="24"/>
      <c r="I2361" s="24"/>
      <c r="J2361" s="3"/>
      <c r="O2361" s="8"/>
      <c r="P2361" s="20"/>
      <c r="Q2361" s="20"/>
      <c r="R2361" s="20"/>
      <c r="S2361" s="8"/>
      <c r="T2361" s="8"/>
      <c r="U2361" s="8"/>
      <c r="V2361" s="8"/>
      <c r="W2361" s="8"/>
      <c r="X2361" s="8"/>
      <c r="Y2361" s="8"/>
      <c r="Z2361" s="8"/>
    </row>
    <row r="2362" spans="4:26" ht="15" thickBot="1" x14ac:dyDescent="0.35">
      <c r="D2362" s="2">
        <f t="shared" si="76"/>
        <v>2356</v>
      </c>
      <c r="E2362" s="6">
        <v>1.7157146525195115</v>
      </c>
      <c r="F2362" s="24"/>
      <c r="G2362" s="24"/>
      <c r="H2362" s="24"/>
      <c r="I2362" s="24"/>
      <c r="J2362" s="3"/>
      <c r="O2362" s="8"/>
      <c r="P2362" s="20"/>
      <c r="Q2362" s="20"/>
      <c r="R2362" s="20"/>
      <c r="S2362" s="8"/>
      <c r="T2362" s="8"/>
      <c r="U2362" s="8"/>
      <c r="V2362" s="8"/>
      <c r="W2362" s="8"/>
      <c r="X2362" s="8"/>
      <c r="Y2362" s="8"/>
      <c r="Z2362" s="8"/>
    </row>
    <row r="2363" spans="4:26" ht="15" thickBot="1" x14ac:dyDescent="0.35">
      <c r="D2363" s="2">
        <f t="shared" si="76"/>
        <v>2357</v>
      </c>
      <c r="E2363" s="6">
        <v>0.69887021049074904</v>
      </c>
      <c r="F2363" s="24"/>
      <c r="G2363" s="24"/>
      <c r="H2363" s="24"/>
      <c r="I2363" s="24"/>
      <c r="J2363" s="3"/>
      <c r="O2363" s="8"/>
      <c r="P2363" s="20"/>
      <c r="Q2363" s="20"/>
      <c r="R2363" s="20"/>
      <c r="S2363" s="8"/>
      <c r="T2363" s="8"/>
      <c r="U2363" s="8"/>
      <c r="V2363" s="8"/>
      <c r="W2363" s="8"/>
      <c r="X2363" s="8"/>
      <c r="Y2363" s="8"/>
      <c r="Z2363" s="8"/>
    </row>
    <row r="2364" spans="4:26" ht="15" thickBot="1" x14ac:dyDescent="0.35">
      <c r="D2364" s="2">
        <f t="shared" si="76"/>
        <v>2358</v>
      </c>
      <c r="E2364" s="6">
        <v>2.5613400938204123</v>
      </c>
      <c r="F2364" s="24"/>
      <c r="G2364" s="24"/>
      <c r="H2364" s="24"/>
      <c r="I2364" s="24"/>
      <c r="J2364" s="3"/>
      <c r="O2364" s="8"/>
      <c r="P2364" s="20"/>
      <c r="Q2364" s="20"/>
      <c r="R2364" s="20"/>
      <c r="S2364" s="8"/>
      <c r="T2364" s="8"/>
      <c r="U2364" s="8"/>
      <c r="V2364" s="8"/>
      <c r="W2364" s="8"/>
      <c r="X2364" s="8"/>
      <c r="Y2364" s="8"/>
      <c r="Z2364" s="8"/>
    </row>
    <row r="2365" spans="4:26" ht="15" thickBot="1" x14ac:dyDescent="0.35">
      <c r="D2365" s="2">
        <f t="shared" si="76"/>
        <v>2359</v>
      </c>
      <c r="E2365" s="6">
        <v>1.1646133417620417</v>
      </c>
      <c r="F2365" s="24"/>
      <c r="G2365" s="24"/>
      <c r="H2365" s="24"/>
      <c r="I2365" s="24"/>
      <c r="J2365" s="3"/>
      <c r="O2365" s="8"/>
      <c r="P2365" s="20"/>
      <c r="Q2365" s="20"/>
      <c r="R2365" s="20"/>
      <c r="S2365" s="8"/>
      <c r="T2365" s="8"/>
      <c r="U2365" s="8"/>
      <c r="V2365" s="8"/>
      <c r="W2365" s="8"/>
      <c r="X2365" s="8"/>
      <c r="Y2365" s="8"/>
      <c r="Z2365" s="8"/>
    </row>
    <row r="2366" spans="4:26" ht="15" thickBot="1" x14ac:dyDescent="0.35">
      <c r="D2366" s="2">
        <f t="shared" si="76"/>
        <v>2360</v>
      </c>
      <c r="E2366" s="6">
        <v>13.179932167624848</v>
      </c>
      <c r="F2366" s="24"/>
      <c r="G2366" s="24"/>
      <c r="H2366" s="24"/>
      <c r="I2366" s="24"/>
      <c r="J2366" s="3"/>
      <c r="O2366" s="8"/>
      <c r="P2366" s="20"/>
      <c r="Q2366" s="20"/>
      <c r="R2366" s="20"/>
      <c r="S2366" s="8"/>
      <c r="T2366" s="8"/>
      <c r="U2366" s="8"/>
      <c r="V2366" s="8"/>
      <c r="W2366" s="8"/>
      <c r="X2366" s="8"/>
      <c r="Y2366" s="8"/>
      <c r="Z2366" s="8"/>
    </row>
    <row r="2367" spans="4:26" ht="15" thickBot="1" x14ac:dyDescent="0.35">
      <c r="D2367" s="2">
        <f t="shared" si="76"/>
        <v>2361</v>
      </c>
      <c r="E2367" s="6">
        <v>4.6291067500896057</v>
      </c>
      <c r="F2367" s="24"/>
      <c r="G2367" s="24"/>
      <c r="H2367" s="24"/>
      <c r="I2367" s="24"/>
      <c r="J2367" s="3"/>
      <c r="O2367" s="8"/>
      <c r="P2367" s="20"/>
      <c r="Q2367" s="20"/>
      <c r="R2367" s="20"/>
      <c r="S2367" s="8"/>
      <c r="T2367" s="8"/>
      <c r="U2367" s="8"/>
      <c r="V2367" s="8"/>
      <c r="W2367" s="8"/>
      <c r="X2367" s="8"/>
      <c r="Y2367" s="8"/>
      <c r="Z2367" s="8"/>
    </row>
    <row r="2368" spans="4:26" ht="15" thickBot="1" x14ac:dyDescent="0.35">
      <c r="D2368" s="2">
        <f t="shared" si="76"/>
        <v>2362</v>
      </c>
      <c r="E2368" s="6">
        <v>3.1756907120038265</v>
      </c>
      <c r="F2368" s="24"/>
      <c r="G2368" s="24"/>
      <c r="H2368" s="24"/>
      <c r="I2368" s="24"/>
      <c r="J2368" s="3"/>
      <c r="O2368" s="8"/>
      <c r="P2368" s="20"/>
      <c r="Q2368" s="20"/>
      <c r="R2368" s="20"/>
      <c r="S2368" s="8"/>
      <c r="T2368" s="8"/>
      <c r="U2368" s="8"/>
      <c r="V2368" s="8"/>
      <c r="W2368" s="8"/>
      <c r="X2368" s="8"/>
      <c r="Y2368" s="8"/>
      <c r="Z2368" s="8"/>
    </row>
    <row r="2369" spans="4:26" ht="15" thickBot="1" x14ac:dyDescent="0.35">
      <c r="D2369" s="2">
        <f t="shared" si="76"/>
        <v>2363</v>
      </c>
      <c r="E2369" s="6">
        <v>1.454429613375807</v>
      </c>
      <c r="F2369" s="24"/>
      <c r="G2369" s="24"/>
      <c r="H2369" s="24"/>
      <c r="I2369" s="24"/>
      <c r="J2369" s="3"/>
      <c r="O2369" s="8"/>
      <c r="P2369" s="20"/>
      <c r="Q2369" s="20"/>
      <c r="R2369" s="20"/>
      <c r="S2369" s="8"/>
      <c r="T2369" s="8"/>
      <c r="U2369" s="8"/>
      <c r="V2369" s="8"/>
      <c r="W2369" s="8"/>
      <c r="X2369" s="8"/>
      <c r="Y2369" s="8"/>
      <c r="Z2369" s="8"/>
    </row>
    <row r="2370" spans="4:26" ht="15" thickBot="1" x14ac:dyDescent="0.35">
      <c r="D2370" s="2">
        <f t="shared" si="76"/>
        <v>2364</v>
      </c>
      <c r="E2370" s="6">
        <v>1.0939387409638808</v>
      </c>
      <c r="F2370" s="24"/>
      <c r="G2370" s="24"/>
      <c r="H2370" s="24"/>
      <c r="I2370" s="24"/>
      <c r="J2370" s="3"/>
      <c r="O2370" s="8"/>
      <c r="P2370" s="20"/>
      <c r="Q2370" s="20"/>
      <c r="R2370" s="20"/>
      <c r="S2370" s="8"/>
      <c r="T2370" s="8"/>
      <c r="U2370" s="8"/>
      <c r="V2370" s="8"/>
      <c r="W2370" s="8"/>
      <c r="X2370" s="8"/>
      <c r="Y2370" s="8"/>
      <c r="Z2370" s="8"/>
    </row>
    <row r="2371" spans="4:26" ht="15" thickBot="1" x14ac:dyDescent="0.35">
      <c r="D2371" s="2">
        <f t="shared" si="76"/>
        <v>2365</v>
      </c>
      <c r="E2371" s="6">
        <v>2.6760154245359544</v>
      </c>
      <c r="F2371" s="24"/>
      <c r="G2371" s="24"/>
      <c r="H2371" s="24"/>
      <c r="I2371" s="24"/>
      <c r="J2371" s="3"/>
      <c r="O2371" s="8"/>
      <c r="P2371" s="20"/>
      <c r="Q2371" s="20"/>
      <c r="R2371" s="20"/>
      <c r="S2371" s="8"/>
      <c r="T2371" s="8"/>
      <c r="U2371" s="8"/>
      <c r="V2371" s="8"/>
      <c r="W2371" s="8"/>
      <c r="X2371" s="8"/>
      <c r="Y2371" s="8"/>
      <c r="Z2371" s="8"/>
    </row>
    <row r="2372" spans="4:26" ht="15" thickBot="1" x14ac:dyDescent="0.35">
      <c r="D2372" s="2">
        <f t="shared" si="76"/>
        <v>2366</v>
      </c>
      <c r="E2372" s="6">
        <v>1.1127877972829221</v>
      </c>
      <c r="F2372" s="24"/>
      <c r="G2372" s="24"/>
      <c r="H2372" s="24"/>
      <c r="I2372" s="24"/>
      <c r="J2372" s="3"/>
      <c r="O2372" s="8"/>
      <c r="P2372" s="20"/>
      <c r="Q2372" s="20"/>
      <c r="R2372" s="20"/>
      <c r="S2372" s="8"/>
      <c r="T2372" s="8"/>
      <c r="U2372" s="8"/>
      <c r="V2372" s="8"/>
      <c r="W2372" s="8"/>
      <c r="X2372" s="8"/>
      <c r="Y2372" s="8"/>
      <c r="Z2372" s="8"/>
    </row>
    <row r="2373" spans="4:26" ht="15" thickBot="1" x14ac:dyDescent="0.35">
      <c r="D2373" s="2">
        <f t="shared" si="76"/>
        <v>2367</v>
      </c>
      <c r="E2373" s="6">
        <v>5.6687873891315297</v>
      </c>
      <c r="F2373" s="24"/>
      <c r="G2373" s="24"/>
      <c r="H2373" s="24"/>
      <c r="I2373" s="24"/>
      <c r="J2373" s="3"/>
      <c r="O2373" s="8"/>
      <c r="P2373" s="20"/>
      <c r="Q2373" s="20"/>
      <c r="R2373" s="20"/>
      <c r="S2373" s="8"/>
      <c r="T2373" s="8"/>
      <c r="U2373" s="8"/>
      <c r="V2373" s="8"/>
      <c r="W2373" s="8"/>
      <c r="X2373" s="8"/>
      <c r="Y2373" s="8"/>
      <c r="Z2373" s="8"/>
    </row>
    <row r="2374" spans="4:26" ht="15" thickBot="1" x14ac:dyDescent="0.35">
      <c r="D2374" s="2">
        <f t="shared" si="76"/>
        <v>2368</v>
      </c>
      <c r="E2374" s="6">
        <v>3.1434035671459375</v>
      </c>
      <c r="F2374" s="24"/>
      <c r="G2374" s="24"/>
      <c r="H2374" s="24"/>
      <c r="I2374" s="24"/>
      <c r="J2374" s="3"/>
      <c r="O2374" s="8"/>
      <c r="P2374" s="20"/>
      <c r="Q2374" s="20"/>
      <c r="R2374" s="20"/>
      <c r="S2374" s="8"/>
      <c r="T2374" s="8"/>
      <c r="U2374" s="8"/>
      <c r="V2374" s="8"/>
      <c r="W2374" s="8"/>
      <c r="X2374" s="8"/>
      <c r="Y2374" s="8"/>
      <c r="Z2374" s="8"/>
    </row>
    <row r="2375" spans="4:26" ht="15" thickBot="1" x14ac:dyDescent="0.35">
      <c r="D2375" s="2">
        <f t="shared" ref="D2375:D2438" si="77">ROW()-6</f>
        <v>2369</v>
      </c>
      <c r="E2375" s="6">
        <v>2.529088567177264</v>
      </c>
      <c r="F2375" s="24"/>
      <c r="G2375" s="24"/>
      <c r="H2375" s="24"/>
      <c r="I2375" s="24"/>
      <c r="J2375" s="3"/>
      <c r="O2375" s="8"/>
      <c r="P2375" s="20"/>
      <c r="Q2375" s="20"/>
      <c r="R2375" s="20"/>
      <c r="S2375" s="8"/>
      <c r="T2375" s="8"/>
      <c r="U2375" s="8"/>
      <c r="V2375" s="8"/>
      <c r="W2375" s="8"/>
      <c r="X2375" s="8"/>
      <c r="Y2375" s="8"/>
      <c r="Z2375" s="8"/>
    </row>
    <row r="2376" spans="4:26" ht="15" thickBot="1" x14ac:dyDescent="0.35">
      <c r="D2376" s="2">
        <f t="shared" si="77"/>
        <v>2370</v>
      </c>
      <c r="E2376" s="6">
        <v>2.7198357087487088</v>
      </c>
      <c r="F2376" s="24"/>
      <c r="G2376" s="24"/>
      <c r="H2376" s="24"/>
      <c r="I2376" s="24"/>
      <c r="J2376" s="3"/>
      <c r="O2376" s="8"/>
      <c r="P2376" s="20"/>
      <c r="Q2376" s="20"/>
      <c r="R2376" s="20"/>
      <c r="S2376" s="8"/>
      <c r="T2376" s="8"/>
      <c r="U2376" s="8"/>
      <c r="V2376" s="8"/>
      <c r="W2376" s="8"/>
      <c r="X2376" s="8"/>
      <c r="Y2376" s="8"/>
      <c r="Z2376" s="8"/>
    </row>
    <row r="2377" spans="4:26" ht="15" thickBot="1" x14ac:dyDescent="0.35">
      <c r="D2377" s="2">
        <f t="shared" si="77"/>
        <v>2371</v>
      </c>
      <c r="E2377" s="6">
        <v>7.2092392926431206</v>
      </c>
      <c r="F2377" s="24"/>
      <c r="G2377" s="24"/>
      <c r="H2377" s="24"/>
      <c r="I2377" s="24"/>
      <c r="J2377" s="3"/>
      <c r="O2377" s="8"/>
      <c r="P2377" s="20"/>
      <c r="Q2377" s="20"/>
      <c r="R2377" s="20"/>
      <c r="S2377" s="8"/>
      <c r="T2377" s="8"/>
      <c r="U2377" s="8"/>
      <c r="V2377" s="8"/>
      <c r="W2377" s="8"/>
      <c r="X2377" s="8"/>
      <c r="Y2377" s="8"/>
      <c r="Z2377" s="8"/>
    </row>
    <row r="2378" spans="4:26" ht="15" thickBot="1" x14ac:dyDescent="0.35">
      <c r="D2378" s="2">
        <f t="shared" si="77"/>
        <v>2372</v>
      </c>
      <c r="E2378" s="6">
        <v>9.763813055393511</v>
      </c>
      <c r="F2378" s="24"/>
      <c r="G2378" s="24"/>
      <c r="H2378" s="24"/>
      <c r="I2378" s="24"/>
      <c r="J2378" s="3"/>
      <c r="O2378" s="8"/>
      <c r="P2378" s="20"/>
      <c r="Q2378" s="20"/>
      <c r="R2378" s="20"/>
      <c r="S2378" s="8"/>
      <c r="T2378" s="8"/>
      <c r="U2378" s="8"/>
      <c r="V2378" s="8"/>
      <c r="W2378" s="8"/>
      <c r="X2378" s="8"/>
      <c r="Y2378" s="8"/>
      <c r="Z2378" s="8"/>
    </row>
    <row r="2379" spans="4:26" ht="15" thickBot="1" x14ac:dyDescent="0.35">
      <c r="D2379" s="2">
        <f t="shared" si="77"/>
        <v>2373</v>
      </c>
      <c r="E2379" s="6">
        <v>0.66301195897115572</v>
      </c>
      <c r="F2379" s="24"/>
      <c r="G2379" s="24"/>
      <c r="H2379" s="24"/>
      <c r="I2379" s="24"/>
      <c r="J2379" s="3"/>
      <c r="O2379" s="8"/>
      <c r="P2379" s="20"/>
      <c r="Q2379" s="20"/>
      <c r="R2379" s="20"/>
      <c r="S2379" s="8"/>
      <c r="T2379" s="8"/>
      <c r="U2379" s="8"/>
      <c r="V2379" s="8"/>
      <c r="W2379" s="8"/>
      <c r="X2379" s="8"/>
      <c r="Y2379" s="8"/>
      <c r="Z2379" s="8"/>
    </row>
    <row r="2380" spans="4:26" ht="15" thickBot="1" x14ac:dyDescent="0.35">
      <c r="D2380" s="2">
        <f t="shared" si="77"/>
        <v>2374</v>
      </c>
      <c r="E2380" s="6">
        <v>0.26481973560804994</v>
      </c>
      <c r="F2380" s="24"/>
      <c r="G2380" s="24"/>
      <c r="H2380" s="24"/>
      <c r="I2380" s="24"/>
      <c r="J2380" s="3"/>
      <c r="O2380" s="8"/>
      <c r="P2380" s="20"/>
      <c r="Q2380" s="20"/>
      <c r="R2380" s="20"/>
      <c r="S2380" s="8"/>
      <c r="T2380" s="8"/>
      <c r="U2380" s="8"/>
      <c r="V2380" s="8"/>
      <c r="W2380" s="8"/>
      <c r="X2380" s="8"/>
      <c r="Y2380" s="8"/>
      <c r="Z2380" s="8"/>
    </row>
    <row r="2381" spans="4:26" ht="15" thickBot="1" x14ac:dyDescent="0.35">
      <c r="D2381" s="2">
        <f t="shared" si="77"/>
        <v>2375</v>
      </c>
      <c r="E2381" s="6">
        <v>1.8244913040360016</v>
      </c>
      <c r="F2381" s="24"/>
      <c r="G2381" s="24"/>
      <c r="H2381" s="24"/>
      <c r="I2381" s="24"/>
      <c r="J2381" s="3"/>
      <c r="O2381" s="8"/>
      <c r="P2381" s="20"/>
      <c r="Q2381" s="20"/>
      <c r="R2381" s="20"/>
      <c r="S2381" s="8"/>
      <c r="T2381" s="8"/>
      <c r="U2381" s="8"/>
      <c r="V2381" s="8"/>
      <c r="W2381" s="8"/>
      <c r="X2381" s="8"/>
      <c r="Y2381" s="8"/>
      <c r="Z2381" s="8"/>
    </row>
    <row r="2382" spans="4:26" ht="15" thickBot="1" x14ac:dyDescent="0.35">
      <c r="D2382" s="2">
        <f t="shared" si="77"/>
        <v>2376</v>
      </c>
      <c r="E2382" s="6">
        <v>6.4101375718777236</v>
      </c>
      <c r="F2382" s="24"/>
      <c r="G2382" s="24"/>
      <c r="H2382" s="24"/>
      <c r="I2382" s="24"/>
      <c r="J2382" s="3"/>
      <c r="O2382" s="8"/>
      <c r="P2382" s="20"/>
      <c r="Q2382" s="20"/>
      <c r="R2382" s="20"/>
      <c r="S2382" s="8"/>
      <c r="T2382" s="8"/>
      <c r="U2382" s="8"/>
      <c r="V2382" s="8"/>
      <c r="W2382" s="8"/>
      <c r="X2382" s="8"/>
      <c r="Y2382" s="8"/>
      <c r="Z2382" s="8"/>
    </row>
    <row r="2383" spans="4:26" ht="15" thickBot="1" x14ac:dyDescent="0.35">
      <c r="D2383" s="2">
        <f t="shared" si="77"/>
        <v>2377</v>
      </c>
      <c r="E2383" s="6">
        <v>7.0678925614432329</v>
      </c>
      <c r="F2383" s="24"/>
      <c r="G2383" s="24"/>
      <c r="H2383" s="24"/>
      <c r="I2383" s="24"/>
      <c r="J2383" s="3"/>
      <c r="O2383" s="8"/>
      <c r="P2383" s="20"/>
      <c r="Q2383" s="20"/>
      <c r="R2383" s="20"/>
      <c r="S2383" s="8"/>
      <c r="T2383" s="8"/>
      <c r="U2383" s="8"/>
      <c r="V2383" s="8"/>
      <c r="W2383" s="8"/>
      <c r="X2383" s="8"/>
      <c r="Y2383" s="8"/>
      <c r="Z2383" s="8"/>
    </row>
    <row r="2384" spans="4:26" ht="15" thickBot="1" x14ac:dyDescent="0.35">
      <c r="D2384" s="2">
        <f t="shared" si="77"/>
        <v>2378</v>
      </c>
      <c r="E2384" s="6">
        <v>7.1794639764831331E-2</v>
      </c>
      <c r="F2384" s="24"/>
      <c r="G2384" s="24"/>
      <c r="H2384" s="24"/>
      <c r="I2384" s="24"/>
      <c r="J2384" s="3"/>
      <c r="O2384" s="8"/>
      <c r="P2384" s="20"/>
      <c r="Q2384" s="20"/>
      <c r="R2384" s="20"/>
      <c r="S2384" s="8"/>
      <c r="T2384" s="8"/>
      <c r="U2384" s="8"/>
      <c r="V2384" s="8"/>
      <c r="W2384" s="8"/>
      <c r="X2384" s="8"/>
      <c r="Y2384" s="8"/>
      <c r="Z2384" s="8"/>
    </row>
    <row r="2385" spans="4:26" ht="15" thickBot="1" x14ac:dyDescent="0.35">
      <c r="D2385" s="2">
        <f t="shared" si="77"/>
        <v>2379</v>
      </c>
      <c r="E2385" s="6">
        <v>0.22419471692118981</v>
      </c>
      <c r="F2385" s="24"/>
      <c r="G2385" s="24"/>
      <c r="H2385" s="24"/>
      <c r="I2385" s="24"/>
      <c r="J2385" s="3"/>
      <c r="O2385" s="8"/>
      <c r="P2385" s="20"/>
      <c r="Q2385" s="20"/>
      <c r="R2385" s="20"/>
      <c r="S2385" s="8"/>
      <c r="T2385" s="8"/>
      <c r="U2385" s="8"/>
      <c r="V2385" s="8"/>
      <c r="W2385" s="8"/>
      <c r="X2385" s="8"/>
      <c r="Y2385" s="8"/>
      <c r="Z2385" s="8"/>
    </row>
    <row r="2386" spans="4:26" ht="15" thickBot="1" x14ac:dyDescent="0.35">
      <c r="D2386" s="2">
        <f t="shared" si="77"/>
        <v>2380</v>
      </c>
      <c r="E2386" s="6">
        <v>3.7719348242007542</v>
      </c>
      <c r="F2386" s="24"/>
      <c r="G2386" s="24"/>
      <c r="H2386" s="24"/>
      <c r="I2386" s="24"/>
      <c r="J2386" s="3"/>
      <c r="O2386" s="8"/>
      <c r="P2386" s="20"/>
      <c r="Q2386" s="20"/>
      <c r="R2386" s="20"/>
      <c r="S2386" s="8"/>
      <c r="T2386" s="8"/>
      <c r="U2386" s="8"/>
      <c r="V2386" s="8"/>
      <c r="W2386" s="8"/>
      <c r="X2386" s="8"/>
      <c r="Y2386" s="8"/>
      <c r="Z2386" s="8"/>
    </row>
    <row r="2387" spans="4:26" ht="15" thickBot="1" x14ac:dyDescent="0.35">
      <c r="D2387" s="2">
        <f t="shared" si="77"/>
        <v>2381</v>
      </c>
      <c r="E2387" s="6">
        <v>6.9425100022158155</v>
      </c>
      <c r="F2387" s="24"/>
      <c r="G2387" s="24"/>
      <c r="H2387" s="24"/>
      <c r="I2387" s="24"/>
      <c r="J2387" s="3"/>
      <c r="O2387" s="8"/>
      <c r="P2387" s="20"/>
      <c r="Q2387" s="20"/>
      <c r="R2387" s="20"/>
      <c r="S2387" s="8"/>
      <c r="T2387" s="8"/>
      <c r="U2387" s="8"/>
      <c r="V2387" s="8"/>
      <c r="W2387" s="8"/>
      <c r="X2387" s="8"/>
      <c r="Y2387" s="8"/>
      <c r="Z2387" s="8"/>
    </row>
    <row r="2388" spans="4:26" ht="15" thickBot="1" x14ac:dyDescent="0.35">
      <c r="D2388" s="2">
        <f t="shared" si="77"/>
        <v>2382</v>
      </c>
      <c r="E2388" s="6">
        <v>8.2341844357123481E-2</v>
      </c>
      <c r="F2388" s="24"/>
      <c r="G2388" s="24"/>
      <c r="H2388" s="24"/>
      <c r="I2388" s="24"/>
      <c r="J2388" s="3"/>
      <c r="O2388" s="8"/>
      <c r="P2388" s="20"/>
      <c r="Q2388" s="20"/>
      <c r="R2388" s="20"/>
      <c r="S2388" s="8"/>
      <c r="T2388" s="8"/>
      <c r="U2388" s="8"/>
      <c r="V2388" s="8"/>
      <c r="W2388" s="8"/>
      <c r="X2388" s="8"/>
      <c r="Y2388" s="8"/>
      <c r="Z2388" s="8"/>
    </row>
    <row r="2389" spans="4:26" ht="15" thickBot="1" x14ac:dyDescent="0.35">
      <c r="D2389" s="2">
        <f t="shared" si="77"/>
        <v>2383</v>
      </c>
      <c r="E2389" s="6">
        <v>1.4785944677019516</v>
      </c>
      <c r="F2389" s="24"/>
      <c r="G2389" s="24"/>
      <c r="H2389" s="24"/>
      <c r="I2389" s="24"/>
      <c r="J2389" s="3"/>
      <c r="O2389" s="8"/>
      <c r="P2389" s="20"/>
      <c r="Q2389" s="20"/>
      <c r="R2389" s="20"/>
      <c r="S2389" s="8"/>
      <c r="T2389" s="8"/>
      <c r="U2389" s="8"/>
      <c r="V2389" s="8"/>
      <c r="W2389" s="8"/>
      <c r="X2389" s="8"/>
      <c r="Y2389" s="8"/>
      <c r="Z2389" s="8"/>
    </row>
    <row r="2390" spans="4:26" ht="15" thickBot="1" x14ac:dyDescent="0.35">
      <c r="D2390" s="2">
        <f t="shared" si="77"/>
        <v>2384</v>
      </c>
      <c r="E2390" s="6">
        <v>1.4190760623644532</v>
      </c>
      <c r="F2390" s="24"/>
      <c r="G2390" s="24"/>
      <c r="H2390" s="24"/>
      <c r="I2390" s="24"/>
      <c r="J2390" s="3"/>
      <c r="O2390" s="8"/>
      <c r="P2390" s="20"/>
      <c r="Q2390" s="20"/>
      <c r="R2390" s="20"/>
      <c r="S2390" s="8"/>
      <c r="T2390" s="8"/>
      <c r="U2390" s="8"/>
      <c r="V2390" s="8"/>
      <c r="W2390" s="8"/>
      <c r="X2390" s="8"/>
      <c r="Y2390" s="8"/>
      <c r="Z2390" s="8"/>
    </row>
    <row r="2391" spans="4:26" ht="15" thickBot="1" x14ac:dyDescent="0.35">
      <c r="D2391" s="2">
        <f t="shared" si="77"/>
        <v>2385</v>
      </c>
      <c r="E2391" s="6">
        <v>6.4461693498193249</v>
      </c>
      <c r="F2391" s="24"/>
      <c r="G2391" s="24"/>
      <c r="H2391" s="24"/>
      <c r="I2391" s="24"/>
      <c r="J2391" s="3"/>
      <c r="O2391" s="8"/>
      <c r="P2391" s="20"/>
      <c r="Q2391" s="20"/>
      <c r="R2391" s="20"/>
      <c r="S2391" s="8"/>
      <c r="T2391" s="8"/>
      <c r="U2391" s="8"/>
      <c r="V2391" s="8"/>
      <c r="W2391" s="8"/>
      <c r="X2391" s="8"/>
      <c r="Y2391" s="8"/>
      <c r="Z2391" s="8"/>
    </row>
    <row r="2392" spans="4:26" ht="15" thickBot="1" x14ac:dyDescent="0.35">
      <c r="D2392" s="2">
        <f t="shared" si="77"/>
        <v>2386</v>
      </c>
      <c r="E2392" s="6">
        <v>0.20389038003358037</v>
      </c>
      <c r="F2392" s="24"/>
      <c r="G2392" s="24"/>
      <c r="H2392" s="24"/>
      <c r="I2392" s="24"/>
      <c r="J2392" s="3"/>
      <c r="O2392" s="8"/>
      <c r="P2392" s="20"/>
      <c r="Q2392" s="20"/>
      <c r="R2392" s="20"/>
      <c r="S2392" s="8"/>
      <c r="T2392" s="8"/>
      <c r="U2392" s="8"/>
      <c r="V2392" s="8"/>
      <c r="W2392" s="8"/>
      <c r="X2392" s="8"/>
      <c r="Y2392" s="8"/>
      <c r="Z2392" s="8"/>
    </row>
    <row r="2393" spans="4:26" ht="15" thickBot="1" x14ac:dyDescent="0.35">
      <c r="D2393" s="2">
        <f t="shared" si="77"/>
        <v>2387</v>
      </c>
      <c r="E2393" s="6">
        <v>1.9650056746804099</v>
      </c>
      <c r="F2393" s="24"/>
      <c r="G2393" s="24"/>
      <c r="H2393" s="24"/>
      <c r="I2393" s="24"/>
      <c r="J2393" s="3"/>
      <c r="O2393" s="8"/>
      <c r="P2393" s="20"/>
      <c r="Q2393" s="20"/>
      <c r="R2393" s="20"/>
      <c r="S2393" s="8"/>
      <c r="T2393" s="8"/>
      <c r="U2393" s="8"/>
      <c r="V2393" s="8"/>
      <c r="W2393" s="8"/>
      <c r="X2393" s="8"/>
      <c r="Y2393" s="8"/>
      <c r="Z2393" s="8"/>
    </row>
    <row r="2394" spans="4:26" ht="15" thickBot="1" x14ac:dyDescent="0.35">
      <c r="D2394" s="2">
        <f t="shared" si="77"/>
        <v>2388</v>
      </c>
      <c r="E2394" s="6">
        <v>4.7442346721065984</v>
      </c>
      <c r="F2394" s="24"/>
      <c r="G2394" s="24"/>
      <c r="H2394" s="24"/>
      <c r="I2394" s="24"/>
      <c r="J2394" s="3"/>
      <c r="O2394" s="8"/>
      <c r="P2394" s="20"/>
      <c r="Q2394" s="20"/>
      <c r="R2394" s="20"/>
      <c r="S2394" s="8"/>
      <c r="T2394" s="8"/>
      <c r="U2394" s="8"/>
      <c r="V2394" s="8"/>
      <c r="W2394" s="8"/>
      <c r="X2394" s="8"/>
      <c r="Y2394" s="8"/>
      <c r="Z2394" s="8"/>
    </row>
    <row r="2395" spans="4:26" ht="15" thickBot="1" x14ac:dyDescent="0.35">
      <c r="D2395" s="2">
        <f t="shared" si="77"/>
        <v>2389</v>
      </c>
      <c r="E2395" s="6">
        <v>11.782629488716536</v>
      </c>
      <c r="F2395" s="24"/>
      <c r="G2395" s="24"/>
      <c r="H2395" s="24"/>
      <c r="I2395" s="24"/>
      <c r="J2395" s="3"/>
      <c r="O2395" s="8"/>
      <c r="P2395" s="20"/>
      <c r="Q2395" s="20"/>
      <c r="R2395" s="20"/>
      <c r="S2395" s="8"/>
      <c r="T2395" s="8"/>
      <c r="U2395" s="8"/>
      <c r="V2395" s="8"/>
      <c r="W2395" s="8"/>
      <c r="X2395" s="8"/>
      <c r="Y2395" s="8"/>
      <c r="Z2395" s="8"/>
    </row>
    <row r="2396" spans="4:26" ht="15" thickBot="1" x14ac:dyDescent="0.35">
      <c r="D2396" s="2">
        <f t="shared" si="77"/>
        <v>2390</v>
      </c>
      <c r="E2396" s="6">
        <v>3.2800888067333447</v>
      </c>
      <c r="F2396" s="24"/>
      <c r="G2396" s="24"/>
      <c r="H2396" s="24"/>
      <c r="I2396" s="24"/>
      <c r="J2396" s="3"/>
      <c r="O2396" s="8"/>
      <c r="P2396" s="20"/>
      <c r="Q2396" s="20"/>
      <c r="R2396" s="20"/>
      <c r="S2396" s="8"/>
      <c r="T2396" s="8"/>
      <c r="U2396" s="8"/>
      <c r="V2396" s="8"/>
      <c r="W2396" s="8"/>
      <c r="X2396" s="8"/>
      <c r="Y2396" s="8"/>
      <c r="Z2396" s="8"/>
    </row>
    <row r="2397" spans="4:26" ht="15" thickBot="1" x14ac:dyDescent="0.35">
      <c r="D2397" s="2">
        <f t="shared" si="77"/>
        <v>2391</v>
      </c>
      <c r="E2397" s="6">
        <v>1.9337440952604423</v>
      </c>
      <c r="F2397" s="24"/>
      <c r="G2397" s="24"/>
      <c r="H2397" s="24"/>
      <c r="I2397" s="24"/>
      <c r="J2397" s="3"/>
      <c r="O2397" s="8"/>
      <c r="P2397" s="20"/>
      <c r="Q2397" s="20"/>
      <c r="R2397" s="20"/>
      <c r="S2397" s="8"/>
      <c r="T2397" s="8"/>
      <c r="U2397" s="8"/>
      <c r="V2397" s="8"/>
      <c r="W2397" s="8"/>
      <c r="X2397" s="8"/>
      <c r="Y2397" s="8"/>
      <c r="Z2397" s="8"/>
    </row>
    <row r="2398" spans="4:26" ht="15" thickBot="1" x14ac:dyDescent="0.35">
      <c r="D2398" s="2">
        <f t="shared" si="77"/>
        <v>2392</v>
      </c>
      <c r="E2398" s="6">
        <v>3.6646184975391041</v>
      </c>
      <c r="F2398" s="24"/>
      <c r="G2398" s="24"/>
      <c r="H2398" s="24"/>
      <c r="I2398" s="24"/>
      <c r="J2398" s="3"/>
      <c r="O2398" s="8"/>
      <c r="P2398" s="20"/>
      <c r="Q2398" s="20"/>
      <c r="R2398" s="20"/>
      <c r="S2398" s="8"/>
      <c r="T2398" s="8"/>
      <c r="U2398" s="8"/>
      <c r="V2398" s="8"/>
      <c r="W2398" s="8"/>
      <c r="X2398" s="8"/>
      <c r="Y2398" s="8"/>
      <c r="Z2398" s="8"/>
    </row>
    <row r="2399" spans="4:26" ht="15" thickBot="1" x14ac:dyDescent="0.35">
      <c r="D2399" s="2">
        <f t="shared" si="77"/>
        <v>2393</v>
      </c>
      <c r="E2399" s="6">
        <v>0.21051785475054477</v>
      </c>
      <c r="F2399" s="24"/>
      <c r="G2399" s="24"/>
      <c r="H2399" s="24"/>
      <c r="I2399" s="24"/>
      <c r="J2399" s="3"/>
      <c r="O2399" s="8"/>
      <c r="P2399" s="20"/>
      <c r="Q2399" s="20"/>
      <c r="R2399" s="20"/>
      <c r="S2399" s="8"/>
      <c r="T2399" s="8"/>
      <c r="U2399" s="8"/>
      <c r="V2399" s="8"/>
      <c r="W2399" s="8"/>
      <c r="X2399" s="8"/>
      <c r="Y2399" s="8"/>
      <c r="Z2399" s="8"/>
    </row>
    <row r="2400" spans="4:26" ht="15" thickBot="1" x14ac:dyDescent="0.35">
      <c r="D2400" s="2">
        <f t="shared" si="77"/>
        <v>2394</v>
      </c>
      <c r="E2400" s="6">
        <v>1.4280346967117501</v>
      </c>
      <c r="F2400" s="24"/>
      <c r="G2400" s="24"/>
      <c r="H2400" s="24"/>
      <c r="I2400" s="24"/>
      <c r="J2400" s="3"/>
      <c r="O2400" s="8"/>
      <c r="P2400" s="20"/>
      <c r="Q2400" s="20"/>
      <c r="R2400" s="20"/>
      <c r="S2400" s="8"/>
      <c r="T2400" s="8"/>
      <c r="U2400" s="8"/>
      <c r="V2400" s="8"/>
      <c r="W2400" s="8"/>
      <c r="X2400" s="8"/>
      <c r="Y2400" s="8"/>
      <c r="Z2400" s="8"/>
    </row>
    <row r="2401" spans="4:26" ht="15" thickBot="1" x14ac:dyDescent="0.35">
      <c r="D2401" s="2">
        <f t="shared" si="77"/>
        <v>2395</v>
      </c>
      <c r="E2401" s="6">
        <v>0.38136199323579389</v>
      </c>
      <c r="F2401" s="24"/>
      <c r="G2401" s="24"/>
      <c r="H2401" s="24"/>
      <c r="I2401" s="24"/>
      <c r="J2401" s="3"/>
      <c r="O2401" s="8"/>
      <c r="P2401" s="20"/>
      <c r="Q2401" s="20"/>
      <c r="R2401" s="20"/>
      <c r="S2401" s="8"/>
      <c r="T2401" s="8"/>
      <c r="U2401" s="8"/>
      <c r="V2401" s="8"/>
      <c r="W2401" s="8"/>
      <c r="X2401" s="8"/>
      <c r="Y2401" s="8"/>
      <c r="Z2401" s="8"/>
    </row>
    <row r="2402" spans="4:26" ht="15" thickBot="1" x14ac:dyDescent="0.35">
      <c r="D2402" s="2">
        <f t="shared" si="77"/>
        <v>2396</v>
      </c>
      <c r="E2402" s="6">
        <v>2.0068900869879385</v>
      </c>
      <c r="F2402" s="24"/>
      <c r="G2402" s="24"/>
      <c r="H2402" s="24"/>
      <c r="I2402" s="24"/>
      <c r="J2402" s="3"/>
      <c r="O2402" s="8"/>
      <c r="P2402" s="20"/>
      <c r="Q2402" s="20"/>
      <c r="R2402" s="20"/>
      <c r="S2402" s="8"/>
      <c r="T2402" s="8"/>
      <c r="U2402" s="8"/>
      <c r="V2402" s="8"/>
      <c r="W2402" s="8"/>
      <c r="X2402" s="8"/>
      <c r="Y2402" s="8"/>
      <c r="Z2402" s="8"/>
    </row>
    <row r="2403" spans="4:26" ht="15" thickBot="1" x14ac:dyDescent="0.35">
      <c r="D2403" s="2">
        <f t="shared" si="77"/>
        <v>2397</v>
      </c>
      <c r="E2403" s="6">
        <v>1.336316437159798</v>
      </c>
      <c r="F2403" s="24"/>
      <c r="G2403" s="24"/>
      <c r="H2403" s="24"/>
      <c r="I2403" s="24"/>
      <c r="J2403" s="3"/>
      <c r="O2403" s="8"/>
      <c r="P2403" s="20"/>
      <c r="Q2403" s="20"/>
      <c r="R2403" s="20"/>
      <c r="S2403" s="8"/>
      <c r="T2403" s="8"/>
      <c r="U2403" s="8"/>
      <c r="V2403" s="8"/>
      <c r="W2403" s="8"/>
      <c r="X2403" s="8"/>
      <c r="Y2403" s="8"/>
      <c r="Z2403" s="8"/>
    </row>
    <row r="2404" spans="4:26" ht="15" thickBot="1" x14ac:dyDescent="0.35">
      <c r="D2404" s="2">
        <f t="shared" si="77"/>
        <v>2398</v>
      </c>
      <c r="E2404" s="6">
        <v>2.5421350924530497</v>
      </c>
      <c r="F2404" s="24"/>
      <c r="G2404" s="24"/>
      <c r="H2404" s="24"/>
      <c r="I2404" s="24"/>
      <c r="J2404" s="3"/>
      <c r="O2404" s="8"/>
      <c r="P2404" s="20"/>
      <c r="Q2404" s="20"/>
      <c r="R2404" s="20"/>
      <c r="S2404" s="8"/>
      <c r="T2404" s="8"/>
      <c r="U2404" s="8"/>
      <c r="V2404" s="8"/>
      <c r="W2404" s="8"/>
      <c r="X2404" s="8"/>
      <c r="Y2404" s="8"/>
      <c r="Z2404" s="8"/>
    </row>
    <row r="2405" spans="4:26" ht="15" thickBot="1" x14ac:dyDescent="0.35">
      <c r="D2405" s="2">
        <f t="shared" si="77"/>
        <v>2399</v>
      </c>
      <c r="E2405" s="6">
        <v>3.3026437827140138</v>
      </c>
      <c r="F2405" s="24"/>
      <c r="G2405" s="24"/>
      <c r="H2405" s="24"/>
      <c r="I2405" s="24"/>
      <c r="J2405" s="3"/>
      <c r="O2405" s="8"/>
      <c r="P2405" s="20"/>
      <c r="Q2405" s="20"/>
      <c r="R2405" s="20"/>
      <c r="S2405" s="8"/>
      <c r="T2405" s="8"/>
      <c r="U2405" s="8"/>
      <c r="V2405" s="8"/>
      <c r="W2405" s="8"/>
      <c r="X2405" s="8"/>
      <c r="Y2405" s="8"/>
      <c r="Z2405" s="8"/>
    </row>
    <row r="2406" spans="4:26" ht="15" thickBot="1" x14ac:dyDescent="0.35">
      <c r="D2406" s="2">
        <f t="shared" si="77"/>
        <v>2400</v>
      </c>
      <c r="E2406" s="6">
        <v>1.6703677048881826</v>
      </c>
      <c r="F2406" s="24"/>
      <c r="G2406" s="24"/>
      <c r="H2406" s="24"/>
      <c r="I2406" s="24"/>
      <c r="J2406" s="3"/>
      <c r="O2406" s="8"/>
      <c r="P2406" s="20"/>
      <c r="Q2406" s="20"/>
      <c r="R2406" s="20"/>
      <c r="S2406" s="8"/>
      <c r="T2406" s="8"/>
      <c r="U2406" s="8"/>
      <c r="V2406" s="8"/>
      <c r="W2406" s="8"/>
      <c r="X2406" s="8"/>
      <c r="Y2406" s="8"/>
      <c r="Z2406" s="8"/>
    </row>
    <row r="2407" spans="4:26" ht="15" thickBot="1" x14ac:dyDescent="0.35">
      <c r="D2407" s="2">
        <f t="shared" si="77"/>
        <v>2401</v>
      </c>
      <c r="E2407" s="6">
        <v>4.1560689557265498</v>
      </c>
      <c r="F2407" s="24"/>
      <c r="G2407" s="24"/>
      <c r="H2407" s="24"/>
      <c r="I2407" s="24"/>
      <c r="J2407" s="3"/>
      <c r="O2407" s="8"/>
      <c r="P2407" s="20"/>
      <c r="Q2407" s="20"/>
      <c r="R2407" s="20"/>
      <c r="S2407" s="8"/>
      <c r="T2407" s="8"/>
      <c r="U2407" s="8"/>
      <c r="V2407" s="8"/>
      <c r="W2407" s="8"/>
      <c r="X2407" s="8"/>
      <c r="Y2407" s="8"/>
      <c r="Z2407" s="8"/>
    </row>
    <row r="2408" spans="4:26" ht="15" thickBot="1" x14ac:dyDescent="0.35">
      <c r="D2408" s="2">
        <f t="shared" si="77"/>
        <v>2402</v>
      </c>
      <c r="E2408" s="6">
        <v>5.0972839697494887</v>
      </c>
      <c r="F2408" s="24"/>
      <c r="G2408" s="24"/>
      <c r="H2408" s="24"/>
      <c r="I2408" s="24"/>
      <c r="J2408" s="3"/>
      <c r="O2408" s="8"/>
      <c r="P2408" s="20"/>
      <c r="Q2408" s="20"/>
      <c r="R2408" s="20"/>
      <c r="S2408" s="8"/>
      <c r="T2408" s="8"/>
      <c r="U2408" s="8"/>
      <c r="V2408" s="8"/>
      <c r="W2408" s="8"/>
      <c r="X2408" s="8"/>
      <c r="Y2408" s="8"/>
      <c r="Z2408" s="8"/>
    </row>
    <row r="2409" spans="4:26" ht="15" thickBot="1" x14ac:dyDescent="0.35">
      <c r="D2409" s="2">
        <f t="shared" si="77"/>
        <v>2403</v>
      </c>
      <c r="E2409" s="6">
        <v>12.082746689371628</v>
      </c>
      <c r="F2409" s="24"/>
      <c r="G2409" s="24"/>
      <c r="H2409" s="24"/>
      <c r="I2409" s="24"/>
      <c r="J2409" s="3"/>
      <c r="O2409" s="8"/>
      <c r="P2409" s="20"/>
      <c r="Q2409" s="20"/>
      <c r="R2409" s="20"/>
      <c r="S2409" s="8"/>
      <c r="T2409" s="8"/>
      <c r="U2409" s="8"/>
      <c r="V2409" s="8"/>
      <c r="W2409" s="8"/>
      <c r="X2409" s="8"/>
      <c r="Y2409" s="8"/>
      <c r="Z2409" s="8"/>
    </row>
    <row r="2410" spans="4:26" ht="15" thickBot="1" x14ac:dyDescent="0.35">
      <c r="D2410" s="2">
        <f t="shared" si="77"/>
        <v>2404</v>
      </c>
      <c r="E2410" s="6">
        <v>1.2544617863034893</v>
      </c>
      <c r="F2410" s="24"/>
      <c r="G2410" s="24"/>
      <c r="H2410" s="24"/>
      <c r="I2410" s="24"/>
      <c r="J2410" s="3"/>
      <c r="O2410" s="8"/>
      <c r="P2410" s="20"/>
      <c r="Q2410" s="20"/>
      <c r="R2410" s="20"/>
      <c r="S2410" s="8"/>
      <c r="T2410" s="8"/>
      <c r="U2410" s="8"/>
      <c r="V2410" s="8"/>
      <c r="W2410" s="8"/>
      <c r="X2410" s="8"/>
      <c r="Y2410" s="8"/>
      <c r="Z2410" s="8"/>
    </row>
    <row r="2411" spans="4:26" ht="15" thickBot="1" x14ac:dyDescent="0.35">
      <c r="D2411" s="2">
        <f t="shared" si="77"/>
        <v>2405</v>
      </c>
      <c r="E2411" s="6">
        <v>3.0788758231433571</v>
      </c>
      <c r="F2411" s="24"/>
      <c r="G2411" s="24"/>
      <c r="H2411" s="24"/>
      <c r="I2411" s="24"/>
      <c r="J2411" s="3"/>
      <c r="O2411" s="8"/>
      <c r="P2411" s="20"/>
      <c r="Q2411" s="20"/>
      <c r="R2411" s="20"/>
      <c r="S2411" s="8"/>
      <c r="T2411" s="8"/>
      <c r="U2411" s="8"/>
      <c r="V2411" s="8"/>
      <c r="W2411" s="8"/>
      <c r="X2411" s="8"/>
      <c r="Y2411" s="8"/>
      <c r="Z2411" s="8"/>
    </row>
    <row r="2412" spans="4:26" ht="15" thickBot="1" x14ac:dyDescent="0.35">
      <c r="D2412" s="2">
        <f t="shared" si="77"/>
        <v>2406</v>
      </c>
      <c r="E2412" s="6">
        <v>5.215542271060337</v>
      </c>
      <c r="F2412" s="24"/>
      <c r="G2412" s="24"/>
      <c r="H2412" s="24"/>
      <c r="I2412" s="24"/>
      <c r="J2412" s="3"/>
      <c r="O2412" s="8"/>
      <c r="P2412" s="20"/>
      <c r="Q2412" s="20"/>
      <c r="R2412" s="20"/>
      <c r="S2412" s="8"/>
      <c r="T2412" s="8"/>
      <c r="U2412" s="8"/>
      <c r="V2412" s="8"/>
      <c r="W2412" s="8"/>
      <c r="X2412" s="8"/>
      <c r="Y2412" s="8"/>
      <c r="Z2412" s="8"/>
    </row>
    <row r="2413" spans="4:26" ht="15" thickBot="1" x14ac:dyDescent="0.35">
      <c r="D2413" s="2">
        <f t="shared" si="77"/>
        <v>2407</v>
      </c>
      <c r="E2413" s="6">
        <v>7.6212431267881895</v>
      </c>
      <c r="F2413" s="24"/>
      <c r="G2413" s="24"/>
      <c r="H2413" s="24"/>
      <c r="I2413" s="24"/>
      <c r="J2413" s="3"/>
      <c r="O2413" s="8"/>
      <c r="P2413" s="20"/>
      <c r="Q2413" s="20"/>
      <c r="R2413" s="20"/>
      <c r="S2413" s="8"/>
      <c r="T2413" s="8"/>
      <c r="U2413" s="8"/>
      <c r="V2413" s="8"/>
      <c r="W2413" s="8"/>
      <c r="X2413" s="8"/>
      <c r="Y2413" s="8"/>
      <c r="Z2413" s="8"/>
    </row>
    <row r="2414" spans="4:26" ht="15" thickBot="1" x14ac:dyDescent="0.35">
      <c r="D2414" s="2">
        <f t="shared" si="77"/>
        <v>2408</v>
      </c>
      <c r="E2414" s="6">
        <v>6.2244450087010765</v>
      </c>
      <c r="F2414" s="24"/>
      <c r="G2414" s="24"/>
      <c r="H2414" s="24"/>
      <c r="I2414" s="24"/>
      <c r="J2414" s="3"/>
      <c r="O2414" s="8"/>
      <c r="P2414" s="20"/>
      <c r="Q2414" s="20"/>
      <c r="R2414" s="20"/>
      <c r="S2414" s="8"/>
      <c r="T2414" s="8"/>
      <c r="U2414" s="8"/>
      <c r="V2414" s="8"/>
      <c r="W2414" s="8"/>
      <c r="X2414" s="8"/>
      <c r="Y2414" s="8"/>
      <c r="Z2414" s="8"/>
    </row>
    <row r="2415" spans="4:26" ht="15" thickBot="1" x14ac:dyDescent="0.35">
      <c r="D2415" s="2">
        <f t="shared" si="77"/>
        <v>2409</v>
      </c>
      <c r="E2415" s="6">
        <v>4.3041917981137079</v>
      </c>
      <c r="F2415" s="24"/>
      <c r="G2415" s="24"/>
      <c r="H2415" s="24"/>
      <c r="I2415" s="24"/>
      <c r="J2415" s="3"/>
      <c r="O2415" s="8"/>
      <c r="P2415" s="20"/>
      <c r="Q2415" s="20"/>
      <c r="R2415" s="20"/>
      <c r="S2415" s="8"/>
      <c r="T2415" s="8"/>
      <c r="U2415" s="8"/>
      <c r="V2415" s="8"/>
      <c r="W2415" s="8"/>
      <c r="X2415" s="8"/>
      <c r="Y2415" s="8"/>
      <c r="Z2415" s="8"/>
    </row>
    <row r="2416" spans="4:26" ht="15" thickBot="1" x14ac:dyDescent="0.35">
      <c r="D2416" s="2">
        <f t="shared" si="77"/>
        <v>2410</v>
      </c>
      <c r="E2416" s="6">
        <v>2.7985569270697734</v>
      </c>
      <c r="F2416" s="24"/>
      <c r="G2416" s="24"/>
      <c r="H2416" s="24"/>
      <c r="I2416" s="24"/>
      <c r="J2416" s="3"/>
      <c r="O2416" s="8"/>
      <c r="P2416" s="20"/>
      <c r="Q2416" s="20"/>
      <c r="R2416" s="20"/>
      <c r="S2416" s="8"/>
      <c r="T2416" s="8"/>
      <c r="U2416" s="8"/>
      <c r="V2416" s="8"/>
      <c r="W2416" s="8"/>
      <c r="X2416" s="8"/>
      <c r="Y2416" s="8"/>
      <c r="Z2416" s="8"/>
    </row>
    <row r="2417" spans="4:26" ht="15" thickBot="1" x14ac:dyDescent="0.35">
      <c r="D2417" s="2">
        <f t="shared" si="77"/>
        <v>2411</v>
      </c>
      <c r="E2417" s="6">
        <v>1.2219709702022961</v>
      </c>
      <c r="F2417" s="24"/>
      <c r="G2417" s="24"/>
      <c r="H2417" s="24"/>
      <c r="I2417" s="24"/>
      <c r="J2417" s="3"/>
      <c r="O2417" s="8"/>
      <c r="P2417" s="20"/>
      <c r="Q2417" s="20"/>
      <c r="R2417" s="20"/>
      <c r="S2417" s="8"/>
      <c r="T2417" s="8"/>
      <c r="U2417" s="8"/>
      <c r="V2417" s="8"/>
      <c r="W2417" s="8"/>
      <c r="X2417" s="8"/>
      <c r="Y2417" s="8"/>
      <c r="Z2417" s="8"/>
    </row>
    <row r="2418" spans="4:26" ht="15" thickBot="1" x14ac:dyDescent="0.35">
      <c r="D2418" s="2">
        <f t="shared" si="77"/>
        <v>2412</v>
      </c>
      <c r="E2418" s="6">
        <v>3.1842950177053808</v>
      </c>
      <c r="F2418" s="24"/>
      <c r="G2418" s="24"/>
      <c r="H2418" s="24"/>
      <c r="I2418" s="24"/>
      <c r="J2418" s="3"/>
      <c r="O2418" s="8"/>
      <c r="P2418" s="20"/>
      <c r="Q2418" s="20"/>
      <c r="R2418" s="20"/>
      <c r="S2418" s="8"/>
      <c r="T2418" s="8"/>
      <c r="U2418" s="8"/>
      <c r="V2418" s="8"/>
      <c r="W2418" s="8"/>
      <c r="X2418" s="8"/>
      <c r="Y2418" s="8"/>
      <c r="Z2418" s="8"/>
    </row>
    <row r="2419" spans="4:26" ht="15" thickBot="1" x14ac:dyDescent="0.35">
      <c r="D2419" s="2">
        <f t="shared" si="77"/>
        <v>2413</v>
      </c>
      <c r="E2419" s="6">
        <v>10.755444327564263</v>
      </c>
      <c r="F2419" s="24"/>
      <c r="G2419" s="24"/>
      <c r="H2419" s="24"/>
      <c r="I2419" s="24"/>
      <c r="J2419" s="3"/>
      <c r="O2419" s="8"/>
      <c r="P2419" s="20"/>
      <c r="Q2419" s="20"/>
      <c r="R2419" s="20"/>
      <c r="S2419" s="8"/>
      <c r="T2419" s="8"/>
      <c r="U2419" s="8"/>
      <c r="V2419" s="8"/>
      <c r="W2419" s="8"/>
      <c r="X2419" s="8"/>
      <c r="Y2419" s="8"/>
      <c r="Z2419" s="8"/>
    </row>
    <row r="2420" spans="4:26" ht="15" thickBot="1" x14ac:dyDescent="0.35">
      <c r="D2420" s="2">
        <f t="shared" si="77"/>
        <v>2414</v>
      </c>
      <c r="E2420" s="6">
        <v>16.0163535091759</v>
      </c>
      <c r="F2420" s="24"/>
      <c r="G2420" s="24"/>
      <c r="H2420" s="24"/>
      <c r="I2420" s="24"/>
      <c r="J2420" s="3"/>
      <c r="O2420" s="8"/>
      <c r="P2420" s="20"/>
      <c r="Q2420" s="20"/>
      <c r="R2420" s="20"/>
      <c r="S2420" s="8"/>
      <c r="T2420" s="8"/>
      <c r="U2420" s="8"/>
      <c r="V2420" s="8"/>
      <c r="W2420" s="8"/>
      <c r="X2420" s="8"/>
      <c r="Y2420" s="8"/>
      <c r="Z2420" s="8"/>
    </row>
    <row r="2421" spans="4:26" ht="15" thickBot="1" x14ac:dyDescent="0.35">
      <c r="D2421" s="2">
        <f t="shared" si="77"/>
        <v>2415</v>
      </c>
      <c r="E2421" s="6">
        <v>0.18560617881536115</v>
      </c>
      <c r="F2421" s="24"/>
      <c r="G2421" s="24"/>
      <c r="H2421" s="24"/>
      <c r="I2421" s="24"/>
      <c r="J2421" s="3"/>
      <c r="O2421" s="8"/>
      <c r="P2421" s="20"/>
      <c r="Q2421" s="20"/>
      <c r="R2421" s="20"/>
      <c r="S2421" s="8"/>
      <c r="T2421" s="8"/>
      <c r="U2421" s="8"/>
      <c r="V2421" s="8"/>
      <c r="W2421" s="8"/>
      <c r="X2421" s="8"/>
      <c r="Y2421" s="8"/>
      <c r="Z2421" s="8"/>
    </row>
    <row r="2422" spans="4:26" ht="15" thickBot="1" x14ac:dyDescent="0.35">
      <c r="D2422" s="2">
        <f t="shared" si="77"/>
        <v>2416</v>
      </c>
      <c r="E2422" s="6">
        <v>0.62191107545951096</v>
      </c>
      <c r="F2422" s="24"/>
      <c r="G2422" s="24"/>
      <c r="H2422" s="24"/>
      <c r="I2422" s="24"/>
      <c r="J2422" s="3"/>
      <c r="O2422" s="8"/>
      <c r="P2422" s="20"/>
      <c r="Q2422" s="20"/>
      <c r="R2422" s="20"/>
      <c r="S2422" s="8"/>
      <c r="T2422" s="8"/>
      <c r="U2422" s="8"/>
      <c r="V2422" s="8"/>
      <c r="W2422" s="8"/>
      <c r="X2422" s="8"/>
      <c r="Y2422" s="8"/>
      <c r="Z2422" s="8"/>
    </row>
    <row r="2423" spans="4:26" ht="15" thickBot="1" x14ac:dyDescent="0.35">
      <c r="D2423" s="2">
        <f t="shared" si="77"/>
        <v>2417</v>
      </c>
      <c r="E2423" s="6">
        <v>31.144030329041783</v>
      </c>
      <c r="F2423" s="24"/>
      <c r="G2423" s="24"/>
      <c r="H2423" s="24"/>
      <c r="I2423" s="24"/>
      <c r="J2423" s="3"/>
      <c r="O2423" s="8"/>
      <c r="P2423" s="20"/>
      <c r="Q2423" s="20"/>
      <c r="R2423" s="20"/>
      <c r="S2423" s="8"/>
      <c r="T2423" s="8"/>
      <c r="U2423" s="8"/>
      <c r="V2423" s="8"/>
      <c r="W2423" s="8"/>
      <c r="X2423" s="8"/>
      <c r="Y2423" s="8"/>
      <c r="Z2423" s="8"/>
    </row>
    <row r="2424" spans="4:26" ht="15" thickBot="1" x14ac:dyDescent="0.35">
      <c r="D2424" s="2">
        <f t="shared" si="77"/>
        <v>2418</v>
      </c>
      <c r="E2424" s="6">
        <v>0.63357256981772281</v>
      </c>
      <c r="F2424" s="24"/>
      <c r="G2424" s="24"/>
      <c r="H2424" s="24"/>
      <c r="I2424" s="24"/>
      <c r="J2424" s="3"/>
      <c r="O2424" s="8"/>
      <c r="P2424" s="20"/>
      <c r="Q2424" s="20"/>
      <c r="R2424" s="20"/>
      <c r="S2424" s="8"/>
      <c r="T2424" s="8"/>
      <c r="U2424" s="8"/>
      <c r="V2424" s="8"/>
      <c r="W2424" s="8"/>
      <c r="X2424" s="8"/>
      <c r="Y2424" s="8"/>
      <c r="Z2424" s="8"/>
    </row>
    <row r="2425" spans="4:26" ht="15" thickBot="1" x14ac:dyDescent="0.35">
      <c r="D2425" s="2">
        <f t="shared" si="77"/>
        <v>2419</v>
      </c>
      <c r="E2425" s="6">
        <v>2.7013879132842784</v>
      </c>
      <c r="F2425" s="24"/>
      <c r="G2425" s="24"/>
      <c r="H2425" s="24"/>
      <c r="I2425" s="24"/>
      <c r="J2425" s="3"/>
      <c r="O2425" s="8"/>
      <c r="P2425" s="20"/>
      <c r="Q2425" s="20"/>
      <c r="R2425" s="20"/>
      <c r="S2425" s="8"/>
      <c r="T2425" s="8"/>
      <c r="U2425" s="8"/>
      <c r="V2425" s="8"/>
      <c r="W2425" s="8"/>
      <c r="X2425" s="8"/>
      <c r="Y2425" s="8"/>
      <c r="Z2425" s="8"/>
    </row>
    <row r="2426" spans="4:26" ht="15" thickBot="1" x14ac:dyDescent="0.35">
      <c r="D2426" s="2">
        <f t="shared" si="77"/>
        <v>2420</v>
      </c>
      <c r="E2426" s="6">
        <v>4.5771570774726635</v>
      </c>
      <c r="F2426" s="24"/>
      <c r="G2426" s="24"/>
      <c r="H2426" s="24"/>
      <c r="I2426" s="24"/>
      <c r="J2426" s="3"/>
      <c r="O2426" s="8"/>
      <c r="P2426" s="20"/>
      <c r="Q2426" s="20"/>
      <c r="R2426" s="20"/>
      <c r="S2426" s="8"/>
      <c r="T2426" s="8"/>
      <c r="U2426" s="8"/>
      <c r="V2426" s="8"/>
      <c r="W2426" s="8"/>
      <c r="X2426" s="8"/>
      <c r="Y2426" s="8"/>
      <c r="Z2426" s="8"/>
    </row>
    <row r="2427" spans="4:26" ht="15" thickBot="1" x14ac:dyDescent="0.35">
      <c r="D2427" s="2">
        <f t="shared" si="77"/>
        <v>2421</v>
      </c>
      <c r="E2427" s="6">
        <v>2.0657311080648322</v>
      </c>
      <c r="F2427" s="24"/>
      <c r="G2427" s="24"/>
      <c r="H2427" s="24"/>
      <c r="I2427" s="24"/>
      <c r="J2427" s="3"/>
      <c r="O2427" s="8"/>
      <c r="P2427" s="20"/>
      <c r="Q2427" s="20"/>
      <c r="R2427" s="20"/>
      <c r="S2427" s="8"/>
      <c r="T2427" s="8"/>
      <c r="U2427" s="8"/>
      <c r="V2427" s="8"/>
      <c r="W2427" s="8"/>
      <c r="X2427" s="8"/>
      <c r="Y2427" s="8"/>
      <c r="Z2427" s="8"/>
    </row>
    <row r="2428" spans="4:26" ht="15" thickBot="1" x14ac:dyDescent="0.35">
      <c r="D2428" s="2">
        <f t="shared" si="77"/>
        <v>2422</v>
      </c>
      <c r="E2428" s="6">
        <v>4.7869053375715538</v>
      </c>
      <c r="F2428" s="24"/>
      <c r="G2428" s="24"/>
      <c r="H2428" s="24"/>
      <c r="I2428" s="24"/>
      <c r="J2428" s="3"/>
      <c r="O2428" s="8"/>
      <c r="P2428" s="20"/>
      <c r="Q2428" s="20"/>
      <c r="R2428" s="20"/>
      <c r="S2428" s="8"/>
      <c r="T2428" s="8"/>
      <c r="U2428" s="8"/>
      <c r="V2428" s="8"/>
      <c r="W2428" s="8"/>
      <c r="X2428" s="8"/>
      <c r="Y2428" s="8"/>
      <c r="Z2428" s="8"/>
    </row>
    <row r="2429" spans="4:26" ht="15" thickBot="1" x14ac:dyDescent="0.35">
      <c r="D2429" s="2">
        <f t="shared" si="77"/>
        <v>2423</v>
      </c>
      <c r="E2429" s="6">
        <v>4.6345069382216719</v>
      </c>
      <c r="F2429" s="24"/>
      <c r="G2429" s="24"/>
      <c r="H2429" s="24"/>
      <c r="I2429" s="24"/>
      <c r="J2429" s="3"/>
      <c r="O2429" s="8"/>
      <c r="P2429" s="20"/>
      <c r="Q2429" s="20"/>
      <c r="R2429" s="20"/>
      <c r="S2429" s="8"/>
      <c r="T2429" s="8"/>
      <c r="U2429" s="8"/>
      <c r="V2429" s="8"/>
      <c r="W2429" s="8"/>
      <c r="X2429" s="8"/>
      <c r="Y2429" s="8"/>
      <c r="Z2429" s="8"/>
    </row>
    <row r="2430" spans="4:26" ht="15" thickBot="1" x14ac:dyDescent="0.35">
      <c r="D2430" s="2">
        <f t="shared" si="77"/>
        <v>2424</v>
      </c>
      <c r="E2430" s="6">
        <v>3.7741218062313298</v>
      </c>
      <c r="F2430" s="24"/>
      <c r="G2430" s="24"/>
      <c r="H2430" s="24"/>
      <c r="I2430" s="24"/>
      <c r="J2430" s="3"/>
      <c r="O2430" s="8"/>
      <c r="P2430" s="20"/>
      <c r="Q2430" s="20"/>
      <c r="R2430" s="20"/>
      <c r="S2430" s="8"/>
      <c r="T2430" s="8"/>
      <c r="U2430" s="8"/>
      <c r="V2430" s="8"/>
      <c r="W2430" s="8"/>
      <c r="X2430" s="8"/>
      <c r="Y2430" s="8"/>
      <c r="Z2430" s="8"/>
    </row>
    <row r="2431" spans="4:26" ht="15" thickBot="1" x14ac:dyDescent="0.35">
      <c r="D2431" s="2">
        <f t="shared" si="77"/>
        <v>2425</v>
      </c>
      <c r="E2431" s="6">
        <v>1.0107690057117396</v>
      </c>
      <c r="F2431" s="24"/>
      <c r="G2431" s="24"/>
      <c r="H2431" s="24"/>
      <c r="I2431" s="24"/>
      <c r="J2431" s="3"/>
      <c r="O2431" s="8"/>
      <c r="P2431" s="20"/>
      <c r="Q2431" s="20"/>
      <c r="R2431" s="20"/>
      <c r="S2431" s="8"/>
      <c r="T2431" s="8"/>
      <c r="U2431" s="8"/>
      <c r="V2431" s="8"/>
      <c r="W2431" s="8"/>
      <c r="X2431" s="8"/>
      <c r="Y2431" s="8"/>
      <c r="Z2431" s="8"/>
    </row>
    <row r="2432" spans="4:26" ht="15" thickBot="1" x14ac:dyDescent="0.35">
      <c r="D2432" s="2">
        <f t="shared" si="77"/>
        <v>2426</v>
      </c>
      <c r="E2432" s="6">
        <v>10.525544189494443</v>
      </c>
      <c r="F2432" s="24"/>
      <c r="G2432" s="24"/>
      <c r="H2432" s="24"/>
      <c r="I2432" s="24"/>
      <c r="J2432" s="3"/>
      <c r="O2432" s="8"/>
      <c r="P2432" s="20"/>
      <c r="Q2432" s="20"/>
      <c r="R2432" s="20"/>
      <c r="S2432" s="8"/>
      <c r="T2432" s="8"/>
      <c r="U2432" s="8"/>
      <c r="V2432" s="8"/>
      <c r="W2432" s="8"/>
      <c r="X2432" s="8"/>
      <c r="Y2432" s="8"/>
      <c r="Z2432" s="8"/>
    </row>
    <row r="2433" spans="4:26" ht="15" thickBot="1" x14ac:dyDescent="0.35">
      <c r="D2433" s="2">
        <f t="shared" si="77"/>
        <v>2427</v>
      </c>
      <c r="E2433" s="6">
        <v>2.1127481706014342</v>
      </c>
      <c r="F2433" s="24"/>
      <c r="G2433" s="24"/>
      <c r="H2433" s="24"/>
      <c r="I2433" s="24"/>
      <c r="J2433" s="3"/>
      <c r="O2433" s="8"/>
      <c r="P2433" s="20"/>
      <c r="Q2433" s="20"/>
      <c r="R2433" s="20"/>
      <c r="S2433" s="8"/>
      <c r="T2433" s="8"/>
      <c r="U2433" s="8"/>
      <c r="V2433" s="8"/>
      <c r="W2433" s="8"/>
      <c r="X2433" s="8"/>
      <c r="Y2433" s="8"/>
      <c r="Z2433" s="8"/>
    </row>
    <row r="2434" spans="4:26" ht="15" thickBot="1" x14ac:dyDescent="0.35">
      <c r="D2434" s="2">
        <f t="shared" si="77"/>
        <v>2428</v>
      </c>
      <c r="E2434" s="6">
        <v>0.87212630237198596</v>
      </c>
      <c r="F2434" s="24"/>
      <c r="G2434" s="24"/>
      <c r="H2434" s="24"/>
      <c r="I2434" s="24"/>
      <c r="J2434" s="3"/>
      <c r="O2434" s="8"/>
      <c r="P2434" s="20"/>
      <c r="Q2434" s="20"/>
      <c r="R2434" s="20"/>
      <c r="S2434" s="8"/>
      <c r="T2434" s="8"/>
      <c r="U2434" s="8"/>
      <c r="V2434" s="8"/>
      <c r="W2434" s="8"/>
      <c r="X2434" s="8"/>
      <c r="Y2434" s="8"/>
      <c r="Z2434" s="8"/>
    </row>
    <row r="2435" spans="4:26" ht="15" thickBot="1" x14ac:dyDescent="0.35">
      <c r="D2435" s="2">
        <f t="shared" si="77"/>
        <v>2429</v>
      </c>
      <c r="E2435" s="6">
        <v>0.28927329860585227</v>
      </c>
      <c r="F2435" s="24"/>
      <c r="G2435" s="24"/>
      <c r="H2435" s="24"/>
      <c r="I2435" s="24"/>
      <c r="J2435" s="3"/>
      <c r="O2435" s="8"/>
      <c r="P2435" s="20"/>
      <c r="Q2435" s="20"/>
      <c r="R2435" s="20"/>
      <c r="S2435" s="8"/>
      <c r="T2435" s="8"/>
      <c r="U2435" s="8"/>
      <c r="V2435" s="8"/>
      <c r="W2435" s="8"/>
      <c r="X2435" s="8"/>
      <c r="Y2435" s="8"/>
      <c r="Z2435" s="8"/>
    </row>
    <row r="2436" spans="4:26" ht="15" thickBot="1" x14ac:dyDescent="0.35">
      <c r="D2436" s="2">
        <f t="shared" si="77"/>
        <v>2430</v>
      </c>
      <c r="E2436" s="6">
        <v>3.6759153712618375</v>
      </c>
      <c r="F2436" s="24"/>
      <c r="G2436" s="24"/>
      <c r="H2436" s="24"/>
      <c r="I2436" s="24"/>
      <c r="J2436" s="3"/>
      <c r="O2436" s="8"/>
      <c r="P2436" s="20"/>
      <c r="Q2436" s="20"/>
      <c r="R2436" s="20"/>
      <c r="S2436" s="8"/>
      <c r="T2436" s="8"/>
      <c r="U2436" s="8"/>
      <c r="V2436" s="8"/>
      <c r="W2436" s="8"/>
      <c r="X2436" s="8"/>
      <c r="Y2436" s="8"/>
      <c r="Z2436" s="8"/>
    </row>
    <row r="2437" spans="4:26" ht="15" thickBot="1" x14ac:dyDescent="0.35">
      <c r="D2437" s="2">
        <f t="shared" si="77"/>
        <v>2431</v>
      </c>
      <c r="E2437" s="6">
        <v>3.5024129791361509</v>
      </c>
      <c r="F2437" s="24"/>
      <c r="G2437" s="24"/>
      <c r="H2437" s="24"/>
      <c r="I2437" s="24"/>
      <c r="J2437" s="3"/>
      <c r="O2437" s="8"/>
      <c r="P2437" s="20"/>
      <c r="Q2437" s="20"/>
      <c r="R2437" s="20"/>
      <c r="S2437" s="8"/>
      <c r="T2437" s="8"/>
      <c r="U2437" s="8"/>
      <c r="V2437" s="8"/>
      <c r="W2437" s="8"/>
      <c r="X2437" s="8"/>
      <c r="Y2437" s="8"/>
      <c r="Z2437" s="8"/>
    </row>
    <row r="2438" spans="4:26" ht="15" thickBot="1" x14ac:dyDescent="0.35">
      <c r="D2438" s="2">
        <f t="shared" si="77"/>
        <v>2432</v>
      </c>
      <c r="E2438" s="6">
        <v>11.539571157120267</v>
      </c>
      <c r="F2438" s="24"/>
      <c r="G2438" s="24"/>
      <c r="H2438" s="24"/>
      <c r="I2438" s="24"/>
      <c r="J2438" s="3"/>
      <c r="O2438" s="8"/>
      <c r="P2438" s="20"/>
      <c r="Q2438" s="20"/>
      <c r="R2438" s="20"/>
      <c r="S2438" s="8"/>
      <c r="T2438" s="8"/>
      <c r="U2438" s="8"/>
      <c r="V2438" s="8"/>
      <c r="W2438" s="8"/>
      <c r="X2438" s="8"/>
      <c r="Y2438" s="8"/>
      <c r="Z2438" s="8"/>
    </row>
    <row r="2439" spans="4:26" ht="15" thickBot="1" x14ac:dyDescent="0.35">
      <c r="D2439" s="2">
        <f t="shared" ref="D2439:D2502" si="78">ROW()-6</f>
        <v>2433</v>
      </c>
      <c r="E2439" s="6">
        <v>0.74743740793076596</v>
      </c>
      <c r="F2439" s="24"/>
      <c r="G2439" s="24"/>
      <c r="H2439" s="24"/>
      <c r="I2439" s="24"/>
      <c r="J2439" s="3"/>
      <c r="O2439" s="8"/>
      <c r="P2439" s="20"/>
      <c r="Q2439" s="20"/>
      <c r="R2439" s="20"/>
      <c r="S2439" s="8"/>
      <c r="T2439" s="8"/>
      <c r="U2439" s="8"/>
      <c r="V2439" s="8"/>
      <c r="W2439" s="8"/>
      <c r="X2439" s="8"/>
      <c r="Y2439" s="8"/>
      <c r="Z2439" s="8"/>
    </row>
    <row r="2440" spans="4:26" ht="15" thickBot="1" x14ac:dyDescent="0.35">
      <c r="D2440" s="2">
        <f t="shared" si="78"/>
        <v>2434</v>
      </c>
      <c r="E2440" s="6">
        <v>1.5940500079935431</v>
      </c>
      <c r="F2440" s="24"/>
      <c r="G2440" s="24"/>
      <c r="H2440" s="24"/>
      <c r="I2440" s="24"/>
      <c r="J2440" s="3"/>
      <c r="O2440" s="8"/>
      <c r="P2440" s="20"/>
      <c r="Q2440" s="20"/>
      <c r="R2440" s="20"/>
      <c r="S2440" s="8"/>
      <c r="T2440" s="8"/>
      <c r="U2440" s="8"/>
      <c r="V2440" s="8"/>
      <c r="W2440" s="8"/>
      <c r="X2440" s="8"/>
      <c r="Y2440" s="8"/>
      <c r="Z2440" s="8"/>
    </row>
    <row r="2441" spans="4:26" ht="15" thickBot="1" x14ac:dyDescent="0.35">
      <c r="D2441" s="2">
        <f t="shared" si="78"/>
        <v>2435</v>
      </c>
      <c r="E2441" s="6">
        <v>10.335382098520029</v>
      </c>
      <c r="F2441" s="24"/>
      <c r="G2441" s="24"/>
      <c r="H2441" s="24"/>
      <c r="I2441" s="24"/>
      <c r="J2441" s="3"/>
      <c r="O2441" s="8"/>
      <c r="P2441" s="20"/>
      <c r="Q2441" s="20"/>
      <c r="R2441" s="20"/>
      <c r="S2441" s="8"/>
      <c r="T2441" s="8"/>
      <c r="U2441" s="8"/>
      <c r="V2441" s="8"/>
      <c r="W2441" s="8"/>
      <c r="X2441" s="8"/>
      <c r="Y2441" s="8"/>
      <c r="Z2441" s="8"/>
    </row>
    <row r="2442" spans="4:26" ht="15" thickBot="1" x14ac:dyDescent="0.35">
      <c r="D2442" s="2">
        <f t="shared" si="78"/>
        <v>2436</v>
      </c>
      <c r="E2442" s="6">
        <v>6.7917359631680725</v>
      </c>
      <c r="F2442" s="24"/>
      <c r="G2442" s="24"/>
      <c r="H2442" s="24"/>
      <c r="I2442" s="24"/>
      <c r="J2442" s="3"/>
      <c r="O2442" s="8"/>
      <c r="P2442" s="20"/>
      <c r="Q2442" s="20"/>
      <c r="R2442" s="20"/>
      <c r="S2442" s="8"/>
      <c r="T2442" s="8"/>
      <c r="U2442" s="8"/>
      <c r="V2442" s="8"/>
      <c r="W2442" s="8"/>
      <c r="X2442" s="8"/>
      <c r="Y2442" s="8"/>
      <c r="Z2442" s="8"/>
    </row>
    <row r="2443" spans="4:26" ht="15" thickBot="1" x14ac:dyDescent="0.35">
      <c r="D2443" s="2">
        <f t="shared" si="78"/>
        <v>2437</v>
      </c>
      <c r="E2443" s="6">
        <v>1.0103260094518283</v>
      </c>
      <c r="F2443" s="24"/>
      <c r="G2443" s="24"/>
      <c r="H2443" s="24"/>
      <c r="I2443" s="24"/>
      <c r="J2443" s="3"/>
      <c r="O2443" s="8"/>
      <c r="P2443" s="20"/>
      <c r="Q2443" s="20"/>
      <c r="R2443" s="20"/>
      <c r="S2443" s="8"/>
      <c r="T2443" s="8"/>
      <c r="U2443" s="8"/>
      <c r="V2443" s="8"/>
      <c r="W2443" s="8"/>
      <c r="X2443" s="8"/>
      <c r="Y2443" s="8"/>
      <c r="Z2443" s="8"/>
    </row>
    <row r="2444" spans="4:26" ht="15" thickBot="1" x14ac:dyDescent="0.35">
      <c r="D2444" s="2">
        <f t="shared" si="78"/>
        <v>2438</v>
      </c>
      <c r="E2444" s="6">
        <v>3.3587746246540471</v>
      </c>
      <c r="F2444" s="24"/>
      <c r="G2444" s="24"/>
      <c r="H2444" s="24"/>
      <c r="I2444" s="24"/>
      <c r="J2444" s="3"/>
      <c r="O2444" s="8"/>
      <c r="P2444" s="20"/>
      <c r="Q2444" s="20"/>
      <c r="R2444" s="20"/>
      <c r="S2444" s="8"/>
      <c r="T2444" s="8"/>
      <c r="U2444" s="8"/>
      <c r="V2444" s="8"/>
      <c r="W2444" s="8"/>
      <c r="X2444" s="8"/>
      <c r="Y2444" s="8"/>
      <c r="Z2444" s="8"/>
    </row>
    <row r="2445" spans="4:26" ht="15" thickBot="1" x14ac:dyDescent="0.35">
      <c r="D2445" s="2">
        <f t="shared" si="78"/>
        <v>2439</v>
      </c>
      <c r="E2445" s="6">
        <v>0.92599832533200932</v>
      </c>
      <c r="F2445" s="24"/>
      <c r="G2445" s="24"/>
      <c r="H2445" s="24"/>
      <c r="I2445" s="24"/>
      <c r="J2445" s="3"/>
      <c r="O2445" s="8"/>
      <c r="P2445" s="20"/>
      <c r="Q2445" s="20"/>
      <c r="R2445" s="20"/>
      <c r="S2445" s="8"/>
      <c r="T2445" s="8"/>
      <c r="U2445" s="8"/>
      <c r="V2445" s="8"/>
      <c r="W2445" s="8"/>
      <c r="X2445" s="8"/>
      <c r="Y2445" s="8"/>
      <c r="Z2445" s="8"/>
    </row>
    <row r="2446" spans="4:26" ht="15" thickBot="1" x14ac:dyDescent="0.35">
      <c r="D2446" s="2">
        <f t="shared" si="78"/>
        <v>2440</v>
      </c>
      <c r="E2446" s="6">
        <v>6.1058537533019424</v>
      </c>
      <c r="F2446" s="24"/>
      <c r="G2446" s="24"/>
      <c r="H2446" s="24"/>
      <c r="I2446" s="24"/>
      <c r="J2446" s="3"/>
      <c r="O2446" s="8"/>
      <c r="P2446" s="20"/>
      <c r="Q2446" s="20"/>
      <c r="R2446" s="20"/>
      <c r="S2446" s="8"/>
      <c r="T2446" s="8"/>
      <c r="U2446" s="8"/>
      <c r="V2446" s="8"/>
      <c r="W2446" s="8"/>
      <c r="X2446" s="8"/>
      <c r="Y2446" s="8"/>
      <c r="Z2446" s="8"/>
    </row>
    <row r="2447" spans="4:26" ht="15" thickBot="1" x14ac:dyDescent="0.35">
      <c r="D2447" s="2">
        <f t="shared" si="78"/>
        <v>2441</v>
      </c>
      <c r="E2447" s="6">
        <v>3.3455426773764554</v>
      </c>
      <c r="F2447" s="24"/>
      <c r="G2447" s="24"/>
      <c r="H2447" s="24"/>
      <c r="I2447" s="24"/>
      <c r="J2447" s="3"/>
      <c r="O2447" s="8"/>
      <c r="P2447" s="20"/>
      <c r="Q2447" s="20"/>
      <c r="R2447" s="20"/>
      <c r="S2447" s="8"/>
      <c r="T2447" s="8"/>
      <c r="U2447" s="8"/>
      <c r="V2447" s="8"/>
      <c r="W2447" s="8"/>
      <c r="X2447" s="8"/>
      <c r="Y2447" s="8"/>
      <c r="Z2447" s="8"/>
    </row>
    <row r="2448" spans="4:26" ht="15" thickBot="1" x14ac:dyDescent="0.35">
      <c r="D2448" s="2">
        <f t="shared" si="78"/>
        <v>2442</v>
      </c>
      <c r="E2448" s="6">
        <v>3.7085811945302445</v>
      </c>
      <c r="F2448" s="24"/>
      <c r="G2448" s="24"/>
      <c r="H2448" s="24"/>
      <c r="I2448" s="24"/>
      <c r="J2448" s="3"/>
      <c r="O2448" s="8"/>
      <c r="P2448" s="20"/>
      <c r="Q2448" s="20"/>
      <c r="R2448" s="20"/>
      <c r="S2448" s="8"/>
      <c r="T2448" s="8"/>
      <c r="U2448" s="8"/>
      <c r="V2448" s="8"/>
      <c r="W2448" s="8"/>
      <c r="X2448" s="8"/>
      <c r="Y2448" s="8"/>
      <c r="Z2448" s="8"/>
    </row>
    <row r="2449" spans="4:26" ht="15" thickBot="1" x14ac:dyDescent="0.35">
      <c r="D2449" s="2">
        <f t="shared" si="78"/>
        <v>2443</v>
      </c>
      <c r="E2449" s="6">
        <v>0.14954808254261173</v>
      </c>
      <c r="F2449" s="24"/>
      <c r="G2449" s="24"/>
      <c r="H2449" s="24"/>
      <c r="I2449" s="24"/>
      <c r="J2449" s="3"/>
      <c r="O2449" s="8"/>
      <c r="P2449" s="20"/>
      <c r="Q2449" s="20"/>
      <c r="R2449" s="20"/>
      <c r="S2449" s="8"/>
      <c r="T2449" s="8"/>
      <c r="U2449" s="8"/>
      <c r="V2449" s="8"/>
      <c r="W2449" s="8"/>
      <c r="X2449" s="8"/>
      <c r="Y2449" s="8"/>
      <c r="Z2449" s="8"/>
    </row>
    <row r="2450" spans="4:26" ht="15" thickBot="1" x14ac:dyDescent="0.35">
      <c r="D2450" s="2">
        <f t="shared" si="78"/>
        <v>2444</v>
      </c>
      <c r="E2450" s="6">
        <v>0.31181998048277676</v>
      </c>
      <c r="F2450" s="24"/>
      <c r="G2450" s="24"/>
      <c r="H2450" s="24"/>
      <c r="I2450" s="24"/>
      <c r="J2450" s="3"/>
      <c r="O2450" s="8"/>
      <c r="P2450" s="20"/>
      <c r="Q2450" s="20"/>
      <c r="R2450" s="20"/>
      <c r="S2450" s="8"/>
      <c r="T2450" s="8"/>
      <c r="U2450" s="8"/>
      <c r="V2450" s="8"/>
      <c r="W2450" s="8"/>
      <c r="X2450" s="8"/>
      <c r="Y2450" s="8"/>
      <c r="Z2450" s="8"/>
    </row>
    <row r="2451" spans="4:26" ht="15" thickBot="1" x14ac:dyDescent="0.35">
      <c r="D2451" s="2">
        <f t="shared" si="78"/>
        <v>2445</v>
      </c>
      <c r="E2451" s="6">
        <v>8.7612752916221767E-2</v>
      </c>
      <c r="F2451" s="24"/>
      <c r="G2451" s="24"/>
      <c r="H2451" s="24"/>
      <c r="I2451" s="24"/>
      <c r="J2451" s="3"/>
      <c r="O2451" s="8"/>
      <c r="P2451" s="20"/>
      <c r="Q2451" s="20"/>
      <c r="R2451" s="20"/>
      <c r="S2451" s="8"/>
      <c r="T2451" s="8"/>
      <c r="U2451" s="8"/>
      <c r="V2451" s="8"/>
      <c r="W2451" s="8"/>
      <c r="X2451" s="8"/>
      <c r="Y2451" s="8"/>
      <c r="Z2451" s="8"/>
    </row>
    <row r="2452" spans="4:26" ht="15" thickBot="1" x14ac:dyDescent="0.35">
      <c r="D2452" s="2">
        <f t="shared" si="78"/>
        <v>2446</v>
      </c>
      <c r="E2452" s="6">
        <v>11.150239753672922</v>
      </c>
      <c r="F2452" s="24"/>
      <c r="G2452" s="24"/>
      <c r="H2452" s="24"/>
      <c r="I2452" s="24"/>
      <c r="J2452" s="3"/>
      <c r="O2452" s="8"/>
      <c r="P2452" s="20"/>
      <c r="Q2452" s="20"/>
      <c r="R2452" s="20"/>
      <c r="S2452" s="8"/>
      <c r="T2452" s="8"/>
      <c r="U2452" s="8"/>
      <c r="V2452" s="8"/>
      <c r="W2452" s="8"/>
      <c r="X2452" s="8"/>
      <c r="Y2452" s="8"/>
      <c r="Z2452" s="8"/>
    </row>
    <row r="2453" spans="4:26" ht="15" thickBot="1" x14ac:dyDescent="0.35">
      <c r="D2453" s="2">
        <f t="shared" si="78"/>
        <v>2447</v>
      </c>
      <c r="E2453" s="6">
        <v>0.22987522541100749</v>
      </c>
      <c r="F2453" s="24"/>
      <c r="G2453" s="24"/>
      <c r="H2453" s="24"/>
      <c r="I2453" s="24"/>
      <c r="J2453" s="3"/>
      <c r="O2453" s="8"/>
      <c r="P2453" s="20"/>
      <c r="Q2453" s="20"/>
      <c r="R2453" s="20"/>
      <c r="S2453" s="8"/>
      <c r="T2453" s="8"/>
      <c r="U2453" s="8"/>
      <c r="V2453" s="8"/>
      <c r="W2453" s="8"/>
      <c r="X2453" s="8"/>
      <c r="Y2453" s="8"/>
      <c r="Z2453" s="8"/>
    </row>
    <row r="2454" spans="4:26" ht="15" thickBot="1" x14ac:dyDescent="0.35">
      <c r="D2454" s="2">
        <f t="shared" si="78"/>
        <v>2448</v>
      </c>
      <c r="E2454" s="6">
        <v>1.0800763212817976</v>
      </c>
      <c r="F2454" s="24"/>
      <c r="G2454" s="24"/>
      <c r="H2454" s="24"/>
      <c r="I2454" s="24"/>
      <c r="J2454" s="3"/>
      <c r="O2454" s="8"/>
      <c r="P2454" s="20"/>
      <c r="Q2454" s="20"/>
      <c r="R2454" s="20"/>
      <c r="S2454" s="8"/>
      <c r="T2454" s="8"/>
      <c r="U2454" s="8"/>
      <c r="V2454" s="8"/>
      <c r="W2454" s="8"/>
      <c r="X2454" s="8"/>
      <c r="Y2454" s="8"/>
      <c r="Z2454" s="8"/>
    </row>
    <row r="2455" spans="4:26" ht="15" thickBot="1" x14ac:dyDescent="0.35">
      <c r="D2455" s="2">
        <f t="shared" si="78"/>
        <v>2449</v>
      </c>
      <c r="E2455" s="6">
        <v>0.81462884439656258</v>
      </c>
      <c r="F2455" s="24"/>
      <c r="G2455" s="24"/>
      <c r="H2455" s="24"/>
      <c r="I2455" s="24"/>
      <c r="J2455" s="3"/>
      <c r="O2455" s="8"/>
      <c r="P2455" s="20"/>
      <c r="Q2455" s="20"/>
      <c r="R2455" s="20"/>
      <c r="S2455" s="8"/>
      <c r="T2455" s="8"/>
      <c r="U2455" s="8"/>
      <c r="V2455" s="8"/>
      <c r="W2455" s="8"/>
      <c r="X2455" s="8"/>
      <c r="Y2455" s="8"/>
      <c r="Z2455" s="8"/>
    </row>
    <row r="2456" spans="4:26" ht="15" thickBot="1" x14ac:dyDescent="0.35">
      <c r="D2456" s="2">
        <f t="shared" si="78"/>
        <v>2450</v>
      </c>
      <c r="E2456" s="6">
        <v>9.9107855364163591</v>
      </c>
      <c r="F2456" s="24"/>
      <c r="G2456" s="24"/>
      <c r="H2456" s="24"/>
      <c r="I2456" s="24"/>
      <c r="J2456" s="3"/>
      <c r="O2456" s="8"/>
      <c r="P2456" s="20"/>
      <c r="Q2456" s="20"/>
      <c r="R2456" s="20"/>
      <c r="S2456" s="8"/>
      <c r="T2456" s="8"/>
      <c r="U2456" s="8"/>
      <c r="V2456" s="8"/>
      <c r="W2456" s="8"/>
      <c r="X2456" s="8"/>
      <c r="Y2456" s="8"/>
      <c r="Z2456" s="8"/>
    </row>
    <row r="2457" spans="4:26" ht="15" thickBot="1" x14ac:dyDescent="0.35">
      <c r="D2457" s="2">
        <f t="shared" si="78"/>
        <v>2451</v>
      </c>
      <c r="E2457" s="6">
        <v>3.6613653315031973</v>
      </c>
      <c r="F2457" s="24"/>
      <c r="G2457" s="24"/>
      <c r="H2457" s="24"/>
      <c r="I2457" s="24"/>
      <c r="J2457" s="3"/>
      <c r="O2457" s="8"/>
      <c r="P2457" s="20"/>
      <c r="Q2457" s="20"/>
      <c r="R2457" s="20"/>
      <c r="S2457" s="8"/>
      <c r="T2457" s="8"/>
      <c r="U2457" s="8"/>
      <c r="V2457" s="8"/>
      <c r="W2457" s="8"/>
      <c r="X2457" s="8"/>
      <c r="Y2457" s="8"/>
      <c r="Z2457" s="8"/>
    </row>
    <row r="2458" spans="4:26" ht="15" thickBot="1" x14ac:dyDescent="0.35">
      <c r="D2458" s="2">
        <f t="shared" si="78"/>
        <v>2452</v>
      </c>
      <c r="E2458" s="6">
        <v>7.426461205229332</v>
      </c>
      <c r="F2458" s="24"/>
      <c r="G2458" s="24"/>
      <c r="H2458" s="24"/>
      <c r="I2458" s="24"/>
      <c r="J2458" s="3"/>
      <c r="O2458" s="8"/>
      <c r="P2458" s="20"/>
      <c r="Q2458" s="20"/>
      <c r="R2458" s="20"/>
      <c r="S2458" s="8"/>
      <c r="T2458" s="8"/>
      <c r="U2458" s="8"/>
      <c r="V2458" s="8"/>
      <c r="W2458" s="8"/>
      <c r="X2458" s="8"/>
      <c r="Y2458" s="8"/>
      <c r="Z2458" s="8"/>
    </row>
    <row r="2459" spans="4:26" ht="15" thickBot="1" x14ac:dyDescent="0.35">
      <c r="D2459" s="2">
        <f t="shared" si="78"/>
        <v>2453</v>
      </c>
      <c r="E2459" s="6">
        <v>3.4520425341283425</v>
      </c>
      <c r="F2459" s="24"/>
      <c r="G2459" s="24"/>
      <c r="H2459" s="24"/>
      <c r="I2459" s="24"/>
      <c r="J2459" s="3"/>
      <c r="O2459" s="8"/>
      <c r="P2459" s="20"/>
      <c r="Q2459" s="20"/>
      <c r="R2459" s="20"/>
      <c r="S2459" s="8"/>
      <c r="T2459" s="8"/>
      <c r="U2459" s="8"/>
      <c r="V2459" s="8"/>
      <c r="W2459" s="8"/>
      <c r="X2459" s="8"/>
      <c r="Y2459" s="8"/>
      <c r="Z2459" s="8"/>
    </row>
    <row r="2460" spans="4:26" ht="15" thickBot="1" x14ac:dyDescent="0.35">
      <c r="D2460" s="2">
        <f t="shared" si="78"/>
        <v>2454</v>
      </c>
      <c r="E2460" s="6">
        <v>6.7129059891612135</v>
      </c>
      <c r="F2460" s="24"/>
      <c r="G2460" s="24"/>
      <c r="H2460" s="24"/>
      <c r="I2460" s="24"/>
      <c r="J2460" s="3"/>
      <c r="O2460" s="8"/>
      <c r="P2460" s="20"/>
      <c r="Q2460" s="20"/>
      <c r="R2460" s="20"/>
      <c r="S2460" s="8"/>
      <c r="T2460" s="8"/>
      <c r="U2460" s="8"/>
      <c r="V2460" s="8"/>
      <c r="W2460" s="8"/>
      <c r="X2460" s="8"/>
      <c r="Y2460" s="8"/>
      <c r="Z2460" s="8"/>
    </row>
    <row r="2461" spans="4:26" ht="15" thickBot="1" x14ac:dyDescent="0.35">
      <c r="D2461" s="2">
        <f t="shared" si="78"/>
        <v>2455</v>
      </c>
      <c r="E2461" s="6">
        <v>0.60731960626203518</v>
      </c>
      <c r="F2461" s="24"/>
      <c r="G2461" s="24"/>
      <c r="H2461" s="24"/>
      <c r="I2461" s="24"/>
      <c r="J2461" s="3"/>
      <c r="O2461" s="8"/>
      <c r="P2461" s="20"/>
      <c r="Q2461" s="20"/>
      <c r="R2461" s="20"/>
      <c r="S2461" s="8"/>
      <c r="T2461" s="8"/>
      <c r="U2461" s="8"/>
      <c r="V2461" s="8"/>
      <c r="W2461" s="8"/>
      <c r="X2461" s="8"/>
      <c r="Y2461" s="8"/>
      <c r="Z2461" s="8"/>
    </row>
    <row r="2462" spans="4:26" ht="15" thickBot="1" x14ac:dyDescent="0.35">
      <c r="D2462" s="2">
        <f t="shared" si="78"/>
        <v>2456</v>
      </c>
      <c r="E2462" s="6">
        <v>1.6658308710991823</v>
      </c>
      <c r="F2462" s="24"/>
      <c r="G2462" s="24"/>
      <c r="H2462" s="24"/>
      <c r="I2462" s="24"/>
      <c r="J2462" s="3"/>
      <c r="O2462" s="8"/>
      <c r="P2462" s="20"/>
      <c r="Q2462" s="20"/>
      <c r="R2462" s="20"/>
      <c r="S2462" s="8"/>
      <c r="T2462" s="8"/>
      <c r="U2462" s="8"/>
      <c r="V2462" s="8"/>
      <c r="W2462" s="8"/>
      <c r="X2462" s="8"/>
      <c r="Y2462" s="8"/>
      <c r="Z2462" s="8"/>
    </row>
    <row r="2463" spans="4:26" ht="15" thickBot="1" x14ac:dyDescent="0.35">
      <c r="D2463" s="2">
        <f t="shared" si="78"/>
        <v>2457</v>
      </c>
      <c r="E2463" s="6">
        <v>1.3084390864023467</v>
      </c>
      <c r="F2463" s="24"/>
      <c r="G2463" s="24"/>
      <c r="H2463" s="24"/>
      <c r="I2463" s="24"/>
      <c r="J2463" s="3"/>
      <c r="O2463" s="8"/>
      <c r="P2463" s="20"/>
      <c r="Q2463" s="20"/>
      <c r="R2463" s="20"/>
      <c r="S2463" s="8"/>
      <c r="T2463" s="8"/>
      <c r="U2463" s="8"/>
      <c r="V2463" s="8"/>
      <c r="W2463" s="8"/>
      <c r="X2463" s="8"/>
      <c r="Y2463" s="8"/>
      <c r="Z2463" s="8"/>
    </row>
    <row r="2464" spans="4:26" ht="15" thickBot="1" x14ac:dyDescent="0.35">
      <c r="D2464" s="2">
        <f t="shared" si="78"/>
        <v>2458</v>
      </c>
      <c r="E2464" s="6">
        <v>4.2243747176206252</v>
      </c>
      <c r="F2464" s="24"/>
      <c r="G2464" s="24"/>
      <c r="H2464" s="24"/>
      <c r="I2464" s="24"/>
      <c r="J2464" s="3"/>
      <c r="O2464" s="8"/>
      <c r="P2464" s="20"/>
      <c r="Q2464" s="20"/>
      <c r="R2464" s="20"/>
      <c r="S2464" s="8"/>
      <c r="T2464" s="8"/>
      <c r="U2464" s="8"/>
      <c r="V2464" s="8"/>
      <c r="W2464" s="8"/>
      <c r="X2464" s="8"/>
      <c r="Y2464" s="8"/>
      <c r="Z2464" s="8"/>
    </row>
    <row r="2465" spans="4:26" ht="15" thickBot="1" x14ac:dyDescent="0.35">
      <c r="D2465" s="2">
        <f t="shared" si="78"/>
        <v>2459</v>
      </c>
      <c r="E2465" s="6">
        <v>1.1426725466188683</v>
      </c>
      <c r="F2465" s="24"/>
      <c r="G2465" s="24"/>
      <c r="H2465" s="24"/>
      <c r="I2465" s="24"/>
      <c r="J2465" s="3"/>
      <c r="O2465" s="8"/>
      <c r="P2465" s="20"/>
      <c r="Q2465" s="20"/>
      <c r="R2465" s="20"/>
      <c r="S2465" s="8"/>
      <c r="T2465" s="8"/>
      <c r="U2465" s="8"/>
      <c r="V2465" s="8"/>
      <c r="W2465" s="8"/>
      <c r="X2465" s="8"/>
      <c r="Y2465" s="8"/>
      <c r="Z2465" s="8"/>
    </row>
    <row r="2466" spans="4:26" ht="15" thickBot="1" x14ac:dyDescent="0.35">
      <c r="D2466" s="2">
        <f t="shared" si="78"/>
        <v>2460</v>
      </c>
      <c r="E2466" s="6">
        <v>1.0000294366595066</v>
      </c>
      <c r="F2466" s="24"/>
      <c r="G2466" s="24"/>
      <c r="H2466" s="24"/>
      <c r="I2466" s="24"/>
      <c r="J2466" s="3"/>
      <c r="O2466" s="8"/>
      <c r="P2466" s="20"/>
      <c r="Q2466" s="20"/>
      <c r="R2466" s="20"/>
      <c r="S2466" s="8"/>
      <c r="T2466" s="8"/>
      <c r="U2466" s="8"/>
      <c r="V2466" s="8"/>
      <c r="W2466" s="8"/>
      <c r="X2466" s="8"/>
      <c r="Y2466" s="8"/>
      <c r="Z2466" s="8"/>
    </row>
    <row r="2467" spans="4:26" ht="15" thickBot="1" x14ac:dyDescent="0.35">
      <c r="D2467" s="2">
        <f t="shared" si="78"/>
        <v>2461</v>
      </c>
      <c r="E2467" s="6">
        <v>0.10362149078697518</v>
      </c>
      <c r="F2467" s="24"/>
      <c r="G2467" s="24"/>
      <c r="H2467" s="24"/>
      <c r="I2467" s="24"/>
      <c r="J2467" s="3"/>
      <c r="O2467" s="8"/>
      <c r="P2467" s="20"/>
      <c r="Q2467" s="20"/>
      <c r="R2467" s="20"/>
      <c r="S2467" s="8"/>
      <c r="T2467" s="8"/>
      <c r="U2467" s="8"/>
      <c r="V2467" s="8"/>
      <c r="W2467" s="8"/>
      <c r="X2467" s="8"/>
      <c r="Y2467" s="8"/>
      <c r="Z2467" s="8"/>
    </row>
    <row r="2468" spans="4:26" ht="15" thickBot="1" x14ac:dyDescent="0.35">
      <c r="D2468" s="2">
        <f t="shared" si="78"/>
        <v>2462</v>
      </c>
      <c r="E2468" s="6">
        <v>5.1461885793997819</v>
      </c>
      <c r="F2468" s="24"/>
      <c r="G2468" s="24"/>
      <c r="H2468" s="24"/>
      <c r="I2468" s="24"/>
      <c r="J2468" s="3"/>
      <c r="O2468" s="8"/>
      <c r="P2468" s="20"/>
      <c r="Q2468" s="20"/>
      <c r="R2468" s="20"/>
      <c r="S2468" s="8"/>
      <c r="T2468" s="8"/>
      <c r="U2468" s="8"/>
      <c r="V2468" s="8"/>
      <c r="W2468" s="8"/>
      <c r="X2468" s="8"/>
      <c r="Y2468" s="8"/>
      <c r="Z2468" s="8"/>
    </row>
    <row r="2469" spans="4:26" ht="15" thickBot="1" x14ac:dyDescent="0.35">
      <c r="D2469" s="2">
        <f t="shared" si="78"/>
        <v>2463</v>
      </c>
      <c r="E2469" s="6">
        <v>21.629837423149322</v>
      </c>
      <c r="F2469" s="24"/>
      <c r="G2469" s="24"/>
      <c r="H2469" s="24"/>
      <c r="I2469" s="24"/>
      <c r="J2469" s="3"/>
      <c r="O2469" s="8"/>
      <c r="P2469" s="20"/>
      <c r="Q2469" s="20"/>
      <c r="R2469" s="20"/>
      <c r="S2469" s="8"/>
      <c r="T2469" s="8"/>
      <c r="U2469" s="8"/>
      <c r="V2469" s="8"/>
      <c r="W2469" s="8"/>
      <c r="X2469" s="8"/>
      <c r="Y2469" s="8"/>
      <c r="Z2469" s="8"/>
    </row>
    <row r="2470" spans="4:26" ht="15" thickBot="1" x14ac:dyDescent="0.35">
      <c r="D2470" s="2">
        <f t="shared" si="78"/>
        <v>2464</v>
      </c>
      <c r="E2470" s="6">
        <v>2.4710599738471317</v>
      </c>
      <c r="F2470" s="24"/>
      <c r="G2470" s="24"/>
      <c r="H2470" s="24"/>
      <c r="I2470" s="24"/>
      <c r="J2470" s="3"/>
      <c r="O2470" s="8"/>
      <c r="P2470" s="20"/>
      <c r="Q2470" s="20"/>
      <c r="R2470" s="20"/>
      <c r="S2470" s="8"/>
      <c r="T2470" s="8"/>
      <c r="U2470" s="8"/>
      <c r="V2470" s="8"/>
      <c r="W2470" s="8"/>
      <c r="X2470" s="8"/>
      <c r="Y2470" s="8"/>
      <c r="Z2470" s="8"/>
    </row>
    <row r="2471" spans="4:26" ht="15" thickBot="1" x14ac:dyDescent="0.35">
      <c r="D2471" s="2">
        <f t="shared" si="78"/>
        <v>2465</v>
      </c>
      <c r="E2471" s="6">
        <v>3.4020980463732378</v>
      </c>
      <c r="F2471" s="24"/>
      <c r="G2471" s="24"/>
      <c r="H2471" s="24"/>
      <c r="I2471" s="24"/>
      <c r="J2471" s="3"/>
      <c r="O2471" s="8"/>
      <c r="P2471" s="20"/>
      <c r="Q2471" s="20"/>
      <c r="R2471" s="20"/>
      <c r="S2471" s="8"/>
      <c r="T2471" s="8"/>
      <c r="U2471" s="8"/>
      <c r="V2471" s="8"/>
      <c r="W2471" s="8"/>
      <c r="X2471" s="8"/>
      <c r="Y2471" s="8"/>
      <c r="Z2471" s="8"/>
    </row>
    <row r="2472" spans="4:26" ht="15" thickBot="1" x14ac:dyDescent="0.35">
      <c r="D2472" s="2">
        <f t="shared" si="78"/>
        <v>2466</v>
      </c>
      <c r="E2472" s="6">
        <v>3.5255536753501007</v>
      </c>
      <c r="F2472" s="24"/>
      <c r="G2472" s="24"/>
      <c r="H2472" s="24"/>
      <c r="I2472" s="24"/>
      <c r="J2472" s="3"/>
      <c r="O2472" s="8"/>
      <c r="P2472" s="20"/>
      <c r="Q2472" s="20"/>
      <c r="R2472" s="20"/>
      <c r="S2472" s="8"/>
      <c r="T2472" s="8"/>
      <c r="U2472" s="8"/>
      <c r="V2472" s="8"/>
      <c r="W2472" s="8"/>
      <c r="X2472" s="8"/>
      <c r="Y2472" s="8"/>
      <c r="Z2472" s="8"/>
    </row>
    <row r="2473" spans="4:26" ht="15" thickBot="1" x14ac:dyDescent="0.35">
      <c r="D2473" s="2">
        <f t="shared" si="78"/>
        <v>2467</v>
      </c>
      <c r="E2473" s="6">
        <v>1.757097261390703</v>
      </c>
      <c r="F2473" s="24"/>
      <c r="G2473" s="24"/>
      <c r="H2473" s="24"/>
      <c r="I2473" s="24"/>
      <c r="J2473" s="3"/>
      <c r="O2473" s="8"/>
      <c r="P2473" s="20"/>
      <c r="Q2473" s="20"/>
      <c r="R2473" s="20"/>
      <c r="S2473" s="8"/>
      <c r="T2473" s="8"/>
      <c r="U2473" s="8"/>
      <c r="V2473" s="8"/>
      <c r="W2473" s="8"/>
      <c r="X2473" s="8"/>
      <c r="Y2473" s="8"/>
      <c r="Z2473" s="8"/>
    </row>
    <row r="2474" spans="4:26" ht="15" thickBot="1" x14ac:dyDescent="0.35">
      <c r="D2474" s="2">
        <f t="shared" si="78"/>
        <v>2468</v>
      </c>
      <c r="E2474" s="6">
        <v>0.1819026275608378</v>
      </c>
      <c r="F2474" s="24"/>
      <c r="G2474" s="24"/>
      <c r="H2474" s="24"/>
      <c r="I2474" s="24"/>
      <c r="J2474" s="3"/>
      <c r="O2474" s="8"/>
      <c r="P2474" s="20"/>
      <c r="Q2474" s="20"/>
      <c r="R2474" s="20"/>
      <c r="S2474" s="8"/>
      <c r="T2474" s="8"/>
      <c r="U2474" s="8"/>
      <c r="V2474" s="8"/>
      <c r="W2474" s="8"/>
      <c r="X2474" s="8"/>
      <c r="Y2474" s="8"/>
      <c r="Z2474" s="8"/>
    </row>
    <row r="2475" spans="4:26" ht="15" thickBot="1" x14ac:dyDescent="0.35">
      <c r="D2475" s="2">
        <f t="shared" si="78"/>
        <v>2469</v>
      </c>
      <c r="E2475" s="6">
        <v>3.1264619481536107</v>
      </c>
      <c r="F2475" s="24"/>
      <c r="G2475" s="24"/>
      <c r="H2475" s="24"/>
      <c r="I2475" s="24"/>
      <c r="J2475" s="3"/>
      <c r="O2475" s="8"/>
      <c r="P2475" s="20"/>
      <c r="Q2475" s="20"/>
      <c r="R2475" s="20"/>
      <c r="S2475" s="8"/>
      <c r="T2475" s="8"/>
      <c r="U2475" s="8"/>
      <c r="V2475" s="8"/>
      <c r="W2475" s="8"/>
      <c r="X2475" s="8"/>
      <c r="Y2475" s="8"/>
      <c r="Z2475" s="8"/>
    </row>
    <row r="2476" spans="4:26" ht="15" thickBot="1" x14ac:dyDescent="0.35">
      <c r="D2476" s="2">
        <f t="shared" si="78"/>
        <v>2470</v>
      </c>
      <c r="E2476" s="6">
        <v>10.252423719119397</v>
      </c>
      <c r="F2476" s="24"/>
      <c r="G2476" s="24"/>
      <c r="H2476" s="24"/>
      <c r="I2476" s="24"/>
      <c r="J2476" s="3"/>
      <c r="O2476" s="8"/>
      <c r="P2476" s="20"/>
      <c r="Q2476" s="20"/>
      <c r="R2476" s="20"/>
      <c r="S2476" s="8"/>
      <c r="T2476" s="8"/>
      <c r="U2476" s="8"/>
      <c r="V2476" s="8"/>
      <c r="W2476" s="8"/>
      <c r="X2476" s="8"/>
      <c r="Y2476" s="8"/>
      <c r="Z2476" s="8"/>
    </row>
    <row r="2477" spans="4:26" ht="15" thickBot="1" x14ac:dyDescent="0.35">
      <c r="D2477" s="2">
        <f t="shared" si="78"/>
        <v>2471</v>
      </c>
      <c r="E2477" s="6">
        <v>0.61168858758687583</v>
      </c>
      <c r="F2477" s="24"/>
      <c r="G2477" s="24"/>
      <c r="H2477" s="24"/>
      <c r="I2477" s="24"/>
      <c r="J2477" s="3"/>
      <c r="O2477" s="8"/>
      <c r="P2477" s="20"/>
      <c r="Q2477" s="20"/>
      <c r="R2477" s="20"/>
      <c r="S2477" s="8"/>
      <c r="T2477" s="8"/>
      <c r="U2477" s="8"/>
      <c r="V2477" s="8"/>
      <c r="W2477" s="8"/>
      <c r="X2477" s="8"/>
      <c r="Y2477" s="8"/>
      <c r="Z2477" s="8"/>
    </row>
    <row r="2478" spans="4:26" ht="15" thickBot="1" x14ac:dyDescent="0.35">
      <c r="D2478" s="2">
        <f t="shared" si="78"/>
        <v>2472</v>
      </c>
      <c r="E2478" s="6">
        <v>6.1063035030285704</v>
      </c>
      <c r="F2478" s="24"/>
      <c r="G2478" s="24"/>
      <c r="H2478" s="24"/>
      <c r="I2478" s="24"/>
      <c r="J2478" s="3"/>
      <c r="O2478" s="8"/>
      <c r="P2478" s="20"/>
      <c r="Q2478" s="20"/>
      <c r="R2478" s="20"/>
      <c r="S2478" s="8"/>
      <c r="T2478" s="8"/>
      <c r="U2478" s="8"/>
      <c r="V2478" s="8"/>
      <c r="W2478" s="8"/>
      <c r="X2478" s="8"/>
      <c r="Y2478" s="8"/>
      <c r="Z2478" s="8"/>
    </row>
    <row r="2479" spans="4:26" ht="15" thickBot="1" x14ac:dyDescent="0.35">
      <c r="D2479" s="2">
        <f t="shared" si="78"/>
        <v>2473</v>
      </c>
      <c r="E2479" s="6">
        <v>6.7154908107820734</v>
      </c>
      <c r="F2479" s="24"/>
      <c r="G2479" s="24"/>
      <c r="H2479" s="24"/>
      <c r="I2479" s="24"/>
      <c r="J2479" s="3"/>
      <c r="O2479" s="8"/>
      <c r="P2479" s="20"/>
      <c r="Q2479" s="20"/>
      <c r="R2479" s="20"/>
      <c r="S2479" s="8"/>
      <c r="T2479" s="8"/>
      <c r="U2479" s="8"/>
      <c r="V2479" s="8"/>
      <c r="W2479" s="8"/>
      <c r="X2479" s="8"/>
      <c r="Y2479" s="8"/>
      <c r="Z2479" s="8"/>
    </row>
    <row r="2480" spans="4:26" ht="15" thickBot="1" x14ac:dyDescent="0.35">
      <c r="D2480" s="2">
        <f t="shared" si="78"/>
        <v>2474</v>
      </c>
      <c r="E2480" s="6">
        <v>3.1330547727805453</v>
      </c>
      <c r="F2480" s="24"/>
      <c r="G2480" s="24"/>
      <c r="H2480" s="24"/>
      <c r="I2480" s="24"/>
      <c r="J2480" s="3"/>
      <c r="O2480" s="8"/>
      <c r="P2480" s="20"/>
      <c r="Q2480" s="20"/>
      <c r="R2480" s="20"/>
      <c r="S2480" s="8"/>
      <c r="T2480" s="8"/>
      <c r="U2480" s="8"/>
      <c r="V2480" s="8"/>
      <c r="W2480" s="8"/>
      <c r="X2480" s="8"/>
      <c r="Y2480" s="8"/>
      <c r="Z2480" s="8"/>
    </row>
    <row r="2481" spans="4:26" ht="15" thickBot="1" x14ac:dyDescent="0.35">
      <c r="D2481" s="2">
        <f t="shared" si="78"/>
        <v>2475</v>
      </c>
      <c r="E2481" s="6">
        <v>6.7726506813497753</v>
      </c>
      <c r="F2481" s="24"/>
      <c r="G2481" s="24"/>
      <c r="H2481" s="24"/>
      <c r="I2481" s="24"/>
      <c r="J2481" s="3"/>
      <c r="O2481" s="8"/>
      <c r="P2481" s="20"/>
      <c r="Q2481" s="20"/>
      <c r="R2481" s="20"/>
      <c r="S2481" s="8"/>
      <c r="T2481" s="8"/>
      <c r="U2481" s="8"/>
      <c r="V2481" s="8"/>
      <c r="W2481" s="8"/>
      <c r="X2481" s="8"/>
      <c r="Y2481" s="8"/>
      <c r="Z2481" s="8"/>
    </row>
    <row r="2482" spans="4:26" ht="15" thickBot="1" x14ac:dyDescent="0.35">
      <c r="D2482" s="2">
        <f t="shared" si="78"/>
        <v>2476</v>
      </c>
      <c r="E2482" s="6">
        <v>5.4585114886298101</v>
      </c>
      <c r="F2482" s="24"/>
      <c r="G2482" s="24"/>
      <c r="H2482" s="24"/>
      <c r="I2482" s="24"/>
      <c r="J2482" s="3"/>
      <c r="O2482" s="8"/>
      <c r="P2482" s="20"/>
      <c r="Q2482" s="20"/>
      <c r="R2482" s="20"/>
      <c r="S2482" s="8"/>
      <c r="T2482" s="8"/>
      <c r="U2482" s="8"/>
      <c r="V2482" s="8"/>
      <c r="W2482" s="8"/>
      <c r="X2482" s="8"/>
      <c r="Y2482" s="8"/>
      <c r="Z2482" s="8"/>
    </row>
    <row r="2483" spans="4:26" ht="15" thickBot="1" x14ac:dyDescent="0.35">
      <c r="D2483" s="2">
        <f t="shared" si="78"/>
        <v>2477</v>
      </c>
      <c r="E2483" s="6">
        <v>0.20100065005449413</v>
      </c>
      <c r="F2483" s="24"/>
      <c r="G2483" s="24"/>
      <c r="H2483" s="24"/>
      <c r="I2483" s="24"/>
      <c r="J2483" s="3"/>
      <c r="O2483" s="8"/>
      <c r="P2483" s="20"/>
      <c r="Q2483" s="20"/>
      <c r="R2483" s="20"/>
      <c r="S2483" s="8"/>
      <c r="T2483" s="8"/>
      <c r="U2483" s="8"/>
      <c r="V2483" s="8"/>
      <c r="W2483" s="8"/>
      <c r="X2483" s="8"/>
      <c r="Y2483" s="8"/>
      <c r="Z2483" s="8"/>
    </row>
    <row r="2484" spans="4:26" ht="15" thickBot="1" x14ac:dyDescent="0.35">
      <c r="D2484" s="2">
        <f t="shared" si="78"/>
        <v>2478</v>
      </c>
      <c r="E2484" s="6">
        <v>1.6671438632243623</v>
      </c>
      <c r="F2484" s="24"/>
      <c r="G2484" s="24"/>
      <c r="H2484" s="24"/>
      <c r="I2484" s="24"/>
      <c r="J2484" s="3"/>
      <c r="O2484" s="8"/>
      <c r="P2484" s="20"/>
      <c r="Q2484" s="20"/>
      <c r="R2484" s="20"/>
      <c r="S2484" s="8"/>
      <c r="T2484" s="8"/>
      <c r="U2484" s="8"/>
      <c r="V2484" s="8"/>
      <c r="W2484" s="8"/>
      <c r="X2484" s="8"/>
      <c r="Y2484" s="8"/>
      <c r="Z2484" s="8"/>
    </row>
    <row r="2485" spans="4:26" ht="15" thickBot="1" x14ac:dyDescent="0.35">
      <c r="D2485" s="2">
        <f t="shared" si="78"/>
        <v>2479</v>
      </c>
      <c r="E2485" s="6">
        <v>1.9731064782259549</v>
      </c>
      <c r="F2485" s="24"/>
      <c r="G2485" s="24"/>
      <c r="H2485" s="24"/>
      <c r="I2485" s="24"/>
      <c r="J2485" s="3"/>
      <c r="O2485" s="8"/>
      <c r="P2485" s="20"/>
      <c r="Q2485" s="20"/>
      <c r="R2485" s="20"/>
      <c r="S2485" s="8"/>
      <c r="T2485" s="8"/>
      <c r="U2485" s="8"/>
      <c r="V2485" s="8"/>
      <c r="W2485" s="8"/>
      <c r="X2485" s="8"/>
      <c r="Y2485" s="8"/>
      <c r="Z2485" s="8"/>
    </row>
    <row r="2486" spans="4:26" ht="15" thickBot="1" x14ac:dyDescent="0.35">
      <c r="D2486" s="2">
        <f t="shared" si="78"/>
        <v>2480</v>
      </c>
      <c r="E2486" s="6">
        <v>1.2240324243805794</v>
      </c>
      <c r="F2486" s="24"/>
      <c r="G2486" s="24"/>
      <c r="H2486" s="24"/>
      <c r="I2486" s="24"/>
      <c r="J2486" s="3"/>
      <c r="O2486" s="8"/>
      <c r="P2486" s="20"/>
      <c r="Q2486" s="20"/>
      <c r="R2486" s="20"/>
      <c r="S2486" s="8"/>
      <c r="T2486" s="8"/>
      <c r="U2486" s="8"/>
      <c r="V2486" s="8"/>
      <c r="W2486" s="8"/>
      <c r="X2486" s="8"/>
      <c r="Y2486" s="8"/>
      <c r="Z2486" s="8"/>
    </row>
    <row r="2487" spans="4:26" ht="15" thickBot="1" x14ac:dyDescent="0.35">
      <c r="D2487" s="2">
        <f t="shared" si="78"/>
        <v>2481</v>
      </c>
      <c r="E2487" s="6">
        <v>1.7883728096862443</v>
      </c>
      <c r="F2487" s="24"/>
      <c r="G2487" s="24"/>
      <c r="H2487" s="24"/>
      <c r="I2487" s="24"/>
      <c r="J2487" s="3"/>
      <c r="O2487" s="8"/>
      <c r="P2487" s="20"/>
      <c r="Q2487" s="20"/>
      <c r="R2487" s="20"/>
      <c r="S2487" s="8"/>
      <c r="T2487" s="8"/>
      <c r="U2487" s="8"/>
      <c r="V2487" s="8"/>
      <c r="W2487" s="8"/>
      <c r="X2487" s="8"/>
      <c r="Y2487" s="8"/>
      <c r="Z2487" s="8"/>
    </row>
    <row r="2488" spans="4:26" ht="15" thickBot="1" x14ac:dyDescent="0.35">
      <c r="D2488" s="2">
        <f t="shared" si="78"/>
        <v>2482</v>
      </c>
      <c r="E2488" s="6">
        <v>4.1427462282248442</v>
      </c>
      <c r="F2488" s="24"/>
      <c r="G2488" s="24"/>
      <c r="H2488" s="24"/>
      <c r="I2488" s="24"/>
      <c r="J2488" s="3"/>
      <c r="O2488" s="8"/>
      <c r="P2488" s="20"/>
      <c r="Q2488" s="20"/>
      <c r="R2488" s="20"/>
      <c r="S2488" s="8"/>
      <c r="T2488" s="8"/>
      <c r="U2488" s="8"/>
      <c r="V2488" s="8"/>
      <c r="W2488" s="8"/>
      <c r="X2488" s="8"/>
      <c r="Y2488" s="8"/>
      <c r="Z2488" s="8"/>
    </row>
    <row r="2489" spans="4:26" ht="15" thickBot="1" x14ac:dyDescent="0.35">
      <c r="D2489" s="2">
        <f t="shared" si="78"/>
        <v>2483</v>
      </c>
      <c r="E2489" s="6">
        <v>1.6957529160865785</v>
      </c>
      <c r="F2489" s="24"/>
      <c r="G2489" s="24"/>
      <c r="H2489" s="24"/>
      <c r="I2489" s="24"/>
      <c r="J2489" s="3"/>
      <c r="O2489" s="8"/>
      <c r="P2489" s="20"/>
      <c r="Q2489" s="20"/>
      <c r="R2489" s="20"/>
      <c r="S2489" s="8"/>
      <c r="T2489" s="8"/>
      <c r="U2489" s="8"/>
      <c r="V2489" s="8"/>
      <c r="W2489" s="8"/>
      <c r="X2489" s="8"/>
      <c r="Y2489" s="8"/>
      <c r="Z2489" s="8"/>
    </row>
    <row r="2490" spans="4:26" ht="15" thickBot="1" x14ac:dyDescent="0.35">
      <c r="D2490" s="2">
        <f t="shared" si="78"/>
        <v>2484</v>
      </c>
      <c r="E2490" s="6">
        <v>1.036690104947847</v>
      </c>
      <c r="F2490" s="24"/>
      <c r="G2490" s="24"/>
      <c r="H2490" s="24"/>
      <c r="I2490" s="24"/>
      <c r="J2490" s="3"/>
      <c r="O2490" s="8"/>
      <c r="P2490" s="20"/>
      <c r="Q2490" s="20"/>
      <c r="R2490" s="20"/>
      <c r="S2490" s="8"/>
      <c r="T2490" s="8"/>
      <c r="U2490" s="8"/>
      <c r="V2490" s="8"/>
      <c r="W2490" s="8"/>
      <c r="X2490" s="8"/>
      <c r="Y2490" s="8"/>
      <c r="Z2490" s="8"/>
    </row>
    <row r="2491" spans="4:26" ht="15" thickBot="1" x14ac:dyDescent="0.35">
      <c r="D2491" s="2">
        <f t="shared" si="78"/>
        <v>2485</v>
      </c>
      <c r="E2491" s="6">
        <v>23.844978600804758</v>
      </c>
      <c r="F2491" s="24"/>
      <c r="G2491" s="24"/>
      <c r="H2491" s="24"/>
      <c r="I2491" s="24"/>
      <c r="J2491" s="3"/>
      <c r="O2491" s="8"/>
      <c r="P2491" s="20"/>
      <c r="Q2491" s="20"/>
      <c r="R2491" s="20"/>
      <c r="S2491" s="8"/>
      <c r="T2491" s="8"/>
      <c r="U2491" s="8"/>
      <c r="V2491" s="8"/>
      <c r="W2491" s="8"/>
      <c r="X2491" s="8"/>
      <c r="Y2491" s="8"/>
      <c r="Z2491" s="8"/>
    </row>
    <row r="2492" spans="4:26" ht="15" thickBot="1" x14ac:dyDescent="0.35">
      <c r="D2492" s="2">
        <f t="shared" si="78"/>
        <v>2486</v>
      </c>
      <c r="E2492" s="6">
        <v>4.2845816307054472</v>
      </c>
      <c r="F2492" s="24"/>
      <c r="G2492" s="24"/>
      <c r="H2492" s="24"/>
      <c r="I2492" s="24"/>
      <c r="J2492" s="3"/>
      <c r="O2492" s="8"/>
      <c r="P2492" s="20"/>
      <c r="Q2492" s="20"/>
      <c r="R2492" s="20"/>
      <c r="S2492" s="8"/>
      <c r="T2492" s="8"/>
      <c r="U2492" s="8"/>
      <c r="V2492" s="8"/>
      <c r="W2492" s="8"/>
      <c r="X2492" s="8"/>
      <c r="Y2492" s="8"/>
      <c r="Z2492" s="8"/>
    </row>
    <row r="2493" spans="4:26" ht="15" thickBot="1" x14ac:dyDescent="0.35">
      <c r="D2493" s="2">
        <f t="shared" si="78"/>
        <v>2487</v>
      </c>
      <c r="E2493" s="6">
        <v>2.7638592850839507</v>
      </c>
      <c r="F2493" s="24"/>
      <c r="G2493" s="24"/>
      <c r="H2493" s="24"/>
      <c r="I2493" s="24"/>
      <c r="J2493" s="3"/>
      <c r="O2493" s="8"/>
      <c r="P2493" s="20"/>
      <c r="Q2493" s="20"/>
      <c r="R2493" s="20"/>
      <c r="S2493" s="8"/>
      <c r="T2493" s="8"/>
      <c r="U2493" s="8"/>
      <c r="V2493" s="8"/>
      <c r="W2493" s="8"/>
      <c r="X2493" s="8"/>
      <c r="Y2493" s="8"/>
      <c r="Z2493" s="8"/>
    </row>
    <row r="2494" spans="4:26" ht="15" thickBot="1" x14ac:dyDescent="0.35">
      <c r="D2494" s="2">
        <f t="shared" si="78"/>
        <v>2488</v>
      </c>
      <c r="E2494" s="6">
        <v>4.1853393386241713</v>
      </c>
      <c r="F2494" s="24"/>
      <c r="G2494" s="24"/>
      <c r="H2494" s="24"/>
      <c r="I2494" s="24"/>
      <c r="J2494" s="3"/>
      <c r="O2494" s="8"/>
      <c r="P2494" s="20"/>
      <c r="Q2494" s="20"/>
      <c r="R2494" s="20"/>
      <c r="S2494" s="8"/>
      <c r="T2494" s="8"/>
      <c r="U2494" s="8"/>
      <c r="V2494" s="8"/>
      <c r="W2494" s="8"/>
      <c r="X2494" s="8"/>
      <c r="Y2494" s="8"/>
      <c r="Z2494" s="8"/>
    </row>
    <row r="2495" spans="4:26" ht="15" thickBot="1" x14ac:dyDescent="0.35">
      <c r="D2495" s="2">
        <f t="shared" si="78"/>
        <v>2489</v>
      </c>
      <c r="E2495" s="6">
        <v>1.448625626582783</v>
      </c>
      <c r="F2495" s="24"/>
      <c r="G2495" s="24"/>
      <c r="H2495" s="24"/>
      <c r="I2495" s="24"/>
      <c r="J2495" s="3"/>
      <c r="O2495" s="8"/>
      <c r="P2495" s="20"/>
      <c r="Q2495" s="20"/>
      <c r="R2495" s="20"/>
      <c r="S2495" s="8"/>
      <c r="T2495" s="8"/>
      <c r="U2495" s="8"/>
      <c r="V2495" s="8"/>
      <c r="W2495" s="8"/>
      <c r="X2495" s="8"/>
      <c r="Y2495" s="8"/>
      <c r="Z2495" s="8"/>
    </row>
    <row r="2496" spans="4:26" ht="15" thickBot="1" x14ac:dyDescent="0.35">
      <c r="D2496" s="2">
        <f t="shared" si="78"/>
        <v>2490</v>
      </c>
      <c r="E2496" s="6">
        <v>1.5320850726959938</v>
      </c>
      <c r="F2496" s="24"/>
      <c r="G2496" s="24"/>
      <c r="H2496" s="24"/>
      <c r="I2496" s="24"/>
      <c r="J2496" s="3"/>
      <c r="O2496" s="8"/>
      <c r="P2496" s="20"/>
      <c r="Q2496" s="20"/>
      <c r="R2496" s="20"/>
      <c r="S2496" s="8"/>
      <c r="T2496" s="8"/>
      <c r="U2496" s="8"/>
      <c r="V2496" s="8"/>
      <c r="W2496" s="8"/>
      <c r="X2496" s="8"/>
      <c r="Y2496" s="8"/>
      <c r="Z2496" s="8"/>
    </row>
    <row r="2497" spans="4:26" ht="15" thickBot="1" x14ac:dyDescent="0.35">
      <c r="D2497" s="2">
        <f t="shared" si="78"/>
        <v>2491</v>
      </c>
      <c r="E2497" s="6">
        <v>2.8734800933158517</v>
      </c>
      <c r="F2497" s="24"/>
      <c r="G2497" s="24"/>
      <c r="H2497" s="24"/>
      <c r="I2497" s="24"/>
      <c r="J2497" s="3"/>
      <c r="O2497" s="8"/>
      <c r="P2497" s="20"/>
      <c r="Q2497" s="20"/>
      <c r="R2497" s="20"/>
      <c r="S2497" s="8"/>
      <c r="T2497" s="8"/>
      <c r="U2497" s="8"/>
      <c r="V2497" s="8"/>
      <c r="W2497" s="8"/>
      <c r="X2497" s="8"/>
      <c r="Y2497" s="8"/>
      <c r="Z2497" s="8"/>
    </row>
    <row r="2498" spans="4:26" ht="15" thickBot="1" x14ac:dyDescent="0.35">
      <c r="D2498" s="2">
        <f t="shared" si="78"/>
        <v>2492</v>
      </c>
      <c r="E2498" s="6">
        <v>8.8724421774097806</v>
      </c>
      <c r="F2498" s="24"/>
      <c r="G2498" s="24"/>
      <c r="H2498" s="24"/>
      <c r="I2498" s="24"/>
      <c r="J2498" s="3"/>
      <c r="O2498" s="8"/>
      <c r="P2498" s="20"/>
      <c r="Q2498" s="20"/>
      <c r="R2498" s="20"/>
      <c r="S2498" s="8"/>
      <c r="T2498" s="8"/>
      <c r="U2498" s="8"/>
      <c r="V2498" s="8"/>
      <c r="W2498" s="8"/>
      <c r="X2498" s="8"/>
      <c r="Y2498" s="8"/>
      <c r="Z2498" s="8"/>
    </row>
    <row r="2499" spans="4:26" ht="15" thickBot="1" x14ac:dyDescent="0.35">
      <c r="D2499" s="2">
        <f t="shared" si="78"/>
        <v>2493</v>
      </c>
      <c r="E2499" s="6">
        <v>2.598400237148959</v>
      </c>
      <c r="F2499" s="24"/>
      <c r="G2499" s="24"/>
      <c r="H2499" s="24"/>
      <c r="I2499" s="24"/>
      <c r="J2499" s="3"/>
      <c r="O2499" s="8"/>
      <c r="P2499" s="20"/>
      <c r="Q2499" s="20"/>
      <c r="R2499" s="20"/>
      <c r="S2499" s="8"/>
      <c r="T2499" s="8"/>
      <c r="U2499" s="8"/>
      <c r="V2499" s="8"/>
      <c r="W2499" s="8"/>
      <c r="X2499" s="8"/>
      <c r="Y2499" s="8"/>
      <c r="Z2499" s="8"/>
    </row>
    <row r="2500" spans="4:26" ht="15" thickBot="1" x14ac:dyDescent="0.35">
      <c r="D2500" s="2">
        <f t="shared" si="78"/>
        <v>2494</v>
      </c>
      <c r="E2500" s="6">
        <v>2.6882138976250296</v>
      </c>
      <c r="F2500" s="24"/>
      <c r="G2500" s="24"/>
      <c r="H2500" s="24"/>
      <c r="I2500" s="24"/>
      <c r="J2500" s="3"/>
      <c r="O2500" s="8"/>
      <c r="P2500" s="20"/>
      <c r="Q2500" s="20"/>
      <c r="R2500" s="20"/>
      <c r="S2500" s="8"/>
      <c r="T2500" s="8"/>
      <c r="U2500" s="8"/>
      <c r="V2500" s="8"/>
      <c r="W2500" s="8"/>
      <c r="X2500" s="8"/>
      <c r="Y2500" s="8"/>
      <c r="Z2500" s="8"/>
    </row>
    <row r="2501" spans="4:26" ht="15" thickBot="1" x14ac:dyDescent="0.35">
      <c r="D2501" s="2">
        <f t="shared" si="78"/>
        <v>2495</v>
      </c>
      <c r="E2501" s="6">
        <v>10.802797620516387</v>
      </c>
      <c r="F2501" s="24"/>
      <c r="G2501" s="24"/>
      <c r="H2501" s="24"/>
      <c r="I2501" s="24"/>
      <c r="J2501" s="3"/>
      <c r="O2501" s="8"/>
      <c r="P2501" s="20"/>
      <c r="Q2501" s="20"/>
      <c r="R2501" s="20"/>
      <c r="S2501" s="8"/>
      <c r="T2501" s="8"/>
      <c r="U2501" s="8"/>
      <c r="V2501" s="8"/>
      <c r="W2501" s="8"/>
      <c r="X2501" s="8"/>
      <c r="Y2501" s="8"/>
      <c r="Z2501" s="8"/>
    </row>
    <row r="2502" spans="4:26" ht="15" thickBot="1" x14ac:dyDescent="0.35">
      <c r="D2502" s="2">
        <f t="shared" si="78"/>
        <v>2496</v>
      </c>
      <c r="E2502" s="6">
        <v>0.62731500001810436</v>
      </c>
      <c r="F2502" s="24"/>
      <c r="G2502" s="24"/>
      <c r="H2502" s="24"/>
      <c r="I2502" s="24"/>
      <c r="J2502" s="3"/>
      <c r="O2502" s="8"/>
      <c r="P2502" s="20"/>
      <c r="Q2502" s="20"/>
      <c r="R2502" s="20"/>
      <c r="S2502" s="8"/>
      <c r="T2502" s="8"/>
      <c r="U2502" s="8"/>
      <c r="V2502" s="8"/>
      <c r="W2502" s="8"/>
      <c r="X2502" s="8"/>
      <c r="Y2502" s="8"/>
      <c r="Z2502" s="8"/>
    </row>
    <row r="2503" spans="4:26" ht="15" thickBot="1" x14ac:dyDescent="0.35">
      <c r="D2503" s="2">
        <f t="shared" ref="D2503:D2566" si="79">ROW()-6</f>
        <v>2497</v>
      </c>
      <c r="E2503" s="6">
        <v>4.0701884267621304</v>
      </c>
      <c r="F2503" s="24"/>
      <c r="G2503" s="24"/>
      <c r="H2503" s="24"/>
      <c r="I2503" s="24"/>
      <c r="J2503" s="3"/>
      <c r="O2503" s="8"/>
      <c r="P2503" s="20"/>
      <c r="Q2503" s="20"/>
      <c r="R2503" s="20"/>
      <c r="S2503" s="8"/>
      <c r="T2503" s="8"/>
      <c r="U2503" s="8"/>
      <c r="V2503" s="8"/>
      <c r="W2503" s="8"/>
      <c r="X2503" s="8"/>
      <c r="Y2503" s="8"/>
      <c r="Z2503" s="8"/>
    </row>
    <row r="2504" spans="4:26" ht="15" thickBot="1" x14ac:dyDescent="0.35">
      <c r="D2504" s="2">
        <f t="shared" si="79"/>
        <v>2498</v>
      </c>
      <c r="E2504" s="6">
        <v>3.7703248552453261</v>
      </c>
      <c r="F2504" s="24"/>
      <c r="G2504" s="24"/>
      <c r="H2504" s="24"/>
      <c r="I2504" s="24"/>
      <c r="J2504" s="3"/>
      <c r="O2504" s="8"/>
      <c r="P2504" s="20"/>
      <c r="Q2504" s="20"/>
      <c r="R2504" s="20"/>
      <c r="S2504" s="8"/>
      <c r="T2504" s="8"/>
      <c r="U2504" s="8"/>
      <c r="V2504" s="8"/>
      <c r="W2504" s="8"/>
      <c r="X2504" s="8"/>
      <c r="Y2504" s="8"/>
      <c r="Z2504" s="8"/>
    </row>
    <row r="2505" spans="4:26" ht="15" thickBot="1" x14ac:dyDescent="0.35">
      <c r="D2505" s="2">
        <f t="shared" si="79"/>
        <v>2499</v>
      </c>
      <c r="E2505" s="6">
        <v>1.5397681144512059</v>
      </c>
      <c r="F2505" s="24"/>
      <c r="G2505" s="24"/>
      <c r="H2505" s="24"/>
      <c r="I2505" s="24"/>
      <c r="J2505" s="3"/>
      <c r="O2505" s="8"/>
      <c r="P2505" s="20"/>
      <c r="Q2505" s="20"/>
      <c r="R2505" s="20"/>
      <c r="S2505" s="8"/>
      <c r="T2505" s="8"/>
      <c r="U2505" s="8"/>
      <c r="V2505" s="8"/>
      <c r="W2505" s="8"/>
      <c r="X2505" s="8"/>
      <c r="Y2505" s="8"/>
      <c r="Z2505" s="8"/>
    </row>
    <row r="2506" spans="4:26" ht="15" thickBot="1" x14ac:dyDescent="0.35">
      <c r="D2506" s="2">
        <f t="shared" si="79"/>
        <v>2500</v>
      </c>
      <c r="E2506" s="6">
        <v>6.3045855434926263</v>
      </c>
      <c r="F2506" s="24"/>
      <c r="G2506" s="24"/>
      <c r="H2506" s="24"/>
      <c r="I2506" s="24"/>
      <c r="J2506" s="3"/>
      <c r="O2506" s="8"/>
      <c r="P2506" s="20"/>
      <c r="Q2506" s="20"/>
      <c r="R2506" s="20"/>
      <c r="S2506" s="8"/>
      <c r="T2506" s="8"/>
      <c r="U2506" s="8"/>
      <c r="V2506" s="8"/>
      <c r="W2506" s="8"/>
      <c r="X2506" s="8"/>
      <c r="Y2506" s="8"/>
      <c r="Z2506" s="8"/>
    </row>
    <row r="2507" spans="4:26" ht="15" thickBot="1" x14ac:dyDescent="0.35">
      <c r="D2507" s="2">
        <f t="shared" si="79"/>
        <v>2501</v>
      </c>
      <c r="E2507" s="6">
        <v>0.30225920276658064</v>
      </c>
      <c r="F2507" s="24"/>
      <c r="G2507" s="24"/>
      <c r="H2507" s="24"/>
      <c r="I2507" s="24"/>
      <c r="J2507" s="3"/>
      <c r="O2507" s="8"/>
      <c r="P2507" s="20"/>
      <c r="Q2507" s="20"/>
      <c r="R2507" s="20"/>
      <c r="S2507" s="8"/>
      <c r="T2507" s="8"/>
      <c r="U2507" s="8"/>
      <c r="V2507" s="8"/>
      <c r="W2507" s="8"/>
      <c r="X2507" s="8"/>
      <c r="Y2507" s="8"/>
      <c r="Z2507" s="8"/>
    </row>
    <row r="2508" spans="4:26" ht="15" thickBot="1" x14ac:dyDescent="0.35">
      <c r="D2508" s="2">
        <f t="shared" si="79"/>
        <v>2502</v>
      </c>
      <c r="E2508" s="6">
        <v>2.4046385474508223</v>
      </c>
      <c r="F2508" s="24"/>
      <c r="G2508" s="24"/>
      <c r="H2508" s="24"/>
      <c r="I2508" s="24"/>
      <c r="J2508" s="3"/>
      <c r="O2508" s="8"/>
      <c r="P2508" s="20"/>
      <c r="Q2508" s="20"/>
      <c r="R2508" s="20"/>
      <c r="S2508" s="8"/>
      <c r="T2508" s="8"/>
      <c r="U2508" s="8"/>
      <c r="V2508" s="8"/>
      <c r="W2508" s="8"/>
      <c r="X2508" s="8"/>
      <c r="Y2508" s="8"/>
      <c r="Z2508" s="8"/>
    </row>
    <row r="2509" spans="4:26" ht="15" thickBot="1" x14ac:dyDescent="0.35">
      <c r="D2509" s="2">
        <f t="shared" si="79"/>
        <v>2503</v>
      </c>
      <c r="E2509" s="6">
        <v>0.16647670474139237</v>
      </c>
      <c r="F2509" s="24"/>
      <c r="G2509" s="24"/>
      <c r="H2509" s="24"/>
      <c r="I2509" s="24"/>
      <c r="J2509" s="3"/>
      <c r="O2509" s="8"/>
      <c r="P2509" s="20"/>
      <c r="Q2509" s="20"/>
      <c r="R2509" s="20"/>
      <c r="S2509" s="8"/>
      <c r="T2509" s="8"/>
      <c r="U2509" s="8"/>
      <c r="V2509" s="8"/>
      <c r="W2509" s="8"/>
      <c r="X2509" s="8"/>
      <c r="Y2509" s="8"/>
      <c r="Z2509" s="8"/>
    </row>
    <row r="2510" spans="4:26" ht="15" thickBot="1" x14ac:dyDescent="0.35">
      <c r="D2510" s="2">
        <f t="shared" si="79"/>
        <v>2504</v>
      </c>
      <c r="E2510" s="6">
        <v>4.6037942795432159</v>
      </c>
      <c r="F2510" s="24"/>
      <c r="G2510" s="24"/>
      <c r="H2510" s="24"/>
      <c r="I2510" s="24"/>
      <c r="J2510" s="3"/>
      <c r="O2510" s="8"/>
      <c r="P2510" s="20"/>
      <c r="Q2510" s="20"/>
      <c r="R2510" s="20"/>
      <c r="S2510" s="8"/>
      <c r="T2510" s="8"/>
      <c r="U2510" s="8"/>
      <c r="V2510" s="8"/>
      <c r="W2510" s="8"/>
      <c r="X2510" s="8"/>
      <c r="Y2510" s="8"/>
      <c r="Z2510" s="8"/>
    </row>
    <row r="2511" spans="4:26" ht="15" thickBot="1" x14ac:dyDescent="0.35">
      <c r="D2511" s="2">
        <f t="shared" si="79"/>
        <v>2505</v>
      </c>
      <c r="E2511" s="6">
        <v>8.5403113859303392</v>
      </c>
      <c r="F2511" s="24"/>
      <c r="G2511" s="24"/>
      <c r="H2511" s="24"/>
      <c r="I2511" s="24"/>
      <c r="J2511" s="3"/>
      <c r="O2511" s="8"/>
      <c r="P2511" s="20"/>
      <c r="Q2511" s="20"/>
      <c r="R2511" s="20"/>
      <c r="S2511" s="8"/>
      <c r="T2511" s="8"/>
      <c r="U2511" s="8"/>
      <c r="V2511" s="8"/>
      <c r="W2511" s="8"/>
      <c r="X2511" s="8"/>
      <c r="Y2511" s="8"/>
      <c r="Z2511" s="8"/>
    </row>
    <row r="2512" spans="4:26" ht="15" thickBot="1" x14ac:dyDescent="0.35">
      <c r="D2512" s="2">
        <f t="shared" si="79"/>
        <v>2506</v>
      </c>
      <c r="E2512" s="6">
        <v>4.6782125327072037E-2</v>
      </c>
      <c r="F2512" s="24"/>
      <c r="G2512" s="24"/>
      <c r="H2512" s="24"/>
      <c r="I2512" s="24"/>
      <c r="J2512" s="3"/>
      <c r="O2512" s="8"/>
      <c r="P2512" s="20"/>
      <c r="Q2512" s="20"/>
      <c r="R2512" s="20"/>
      <c r="S2512" s="8"/>
      <c r="T2512" s="8"/>
      <c r="U2512" s="8"/>
      <c r="V2512" s="8"/>
      <c r="W2512" s="8"/>
      <c r="X2512" s="8"/>
      <c r="Y2512" s="8"/>
      <c r="Z2512" s="8"/>
    </row>
    <row r="2513" spans="4:26" ht="15" thickBot="1" x14ac:dyDescent="0.35">
      <c r="D2513" s="2">
        <f t="shared" si="79"/>
        <v>2507</v>
      </c>
      <c r="E2513" s="6">
        <v>2.7816712360906899</v>
      </c>
      <c r="F2513" s="24"/>
      <c r="G2513" s="24"/>
      <c r="H2513" s="24"/>
      <c r="I2513" s="24"/>
      <c r="J2513" s="3"/>
      <c r="O2513" s="8"/>
      <c r="P2513" s="20"/>
      <c r="Q2513" s="20"/>
      <c r="R2513" s="20"/>
      <c r="S2513" s="8"/>
      <c r="T2513" s="8"/>
      <c r="U2513" s="8"/>
      <c r="V2513" s="8"/>
      <c r="W2513" s="8"/>
      <c r="X2513" s="8"/>
      <c r="Y2513" s="8"/>
      <c r="Z2513" s="8"/>
    </row>
    <row r="2514" spans="4:26" ht="15" thickBot="1" x14ac:dyDescent="0.35">
      <c r="D2514" s="2">
        <f t="shared" si="79"/>
        <v>2508</v>
      </c>
      <c r="E2514" s="6">
        <v>0.28927367443212687</v>
      </c>
      <c r="F2514" s="24"/>
      <c r="G2514" s="24"/>
      <c r="H2514" s="24"/>
      <c r="I2514" s="24"/>
      <c r="J2514" s="3"/>
      <c r="O2514" s="8"/>
      <c r="P2514" s="20"/>
      <c r="Q2514" s="20"/>
      <c r="R2514" s="20"/>
      <c r="S2514" s="8"/>
      <c r="T2514" s="8"/>
      <c r="U2514" s="8"/>
      <c r="V2514" s="8"/>
      <c r="W2514" s="8"/>
      <c r="X2514" s="8"/>
      <c r="Y2514" s="8"/>
      <c r="Z2514" s="8"/>
    </row>
    <row r="2515" spans="4:26" ht="15" thickBot="1" x14ac:dyDescent="0.35">
      <c r="D2515" s="2">
        <f t="shared" si="79"/>
        <v>2509</v>
      </c>
      <c r="E2515" s="6">
        <v>1.6022910030619855</v>
      </c>
      <c r="F2515" s="24"/>
      <c r="G2515" s="24"/>
      <c r="H2515" s="24"/>
      <c r="I2515" s="24"/>
      <c r="J2515" s="3"/>
      <c r="O2515" s="8"/>
      <c r="P2515" s="20"/>
      <c r="Q2515" s="20"/>
      <c r="R2515" s="20"/>
      <c r="S2515" s="8"/>
      <c r="T2515" s="8"/>
      <c r="U2515" s="8"/>
      <c r="V2515" s="8"/>
      <c r="W2515" s="8"/>
      <c r="X2515" s="8"/>
      <c r="Y2515" s="8"/>
      <c r="Z2515" s="8"/>
    </row>
    <row r="2516" spans="4:26" ht="15" thickBot="1" x14ac:dyDescent="0.35">
      <c r="D2516" s="2">
        <f t="shared" si="79"/>
        <v>2510</v>
      </c>
      <c r="E2516" s="6">
        <v>0.76342675655077219</v>
      </c>
      <c r="F2516" s="24"/>
      <c r="G2516" s="24"/>
      <c r="H2516" s="24"/>
      <c r="I2516" s="24"/>
      <c r="J2516" s="3"/>
      <c r="O2516" s="8"/>
      <c r="P2516" s="20"/>
      <c r="Q2516" s="20"/>
      <c r="R2516" s="20"/>
      <c r="S2516" s="8"/>
      <c r="T2516" s="8"/>
      <c r="U2516" s="8"/>
      <c r="V2516" s="8"/>
      <c r="W2516" s="8"/>
      <c r="X2516" s="8"/>
      <c r="Y2516" s="8"/>
      <c r="Z2516" s="8"/>
    </row>
    <row r="2517" spans="4:26" ht="15" thickBot="1" x14ac:dyDescent="0.35">
      <c r="D2517" s="2">
        <f t="shared" si="79"/>
        <v>2511</v>
      </c>
      <c r="E2517" s="6">
        <v>1.0451592247637076</v>
      </c>
      <c r="F2517" s="24"/>
      <c r="G2517" s="24"/>
      <c r="H2517" s="24"/>
      <c r="I2517" s="24"/>
      <c r="J2517" s="3"/>
      <c r="O2517" s="8"/>
      <c r="P2517" s="20"/>
      <c r="Q2517" s="20"/>
      <c r="R2517" s="20"/>
      <c r="S2517" s="8"/>
      <c r="T2517" s="8"/>
      <c r="U2517" s="8"/>
      <c r="V2517" s="8"/>
      <c r="W2517" s="8"/>
      <c r="X2517" s="8"/>
      <c r="Y2517" s="8"/>
      <c r="Z2517" s="8"/>
    </row>
    <row r="2518" spans="4:26" ht="15" thickBot="1" x14ac:dyDescent="0.35">
      <c r="D2518" s="2">
        <f t="shared" si="79"/>
        <v>2512</v>
      </c>
      <c r="E2518" s="6">
        <v>1.2526099409727673</v>
      </c>
      <c r="F2518" s="24"/>
      <c r="G2518" s="24"/>
      <c r="H2518" s="24"/>
      <c r="I2518" s="24"/>
      <c r="J2518" s="3"/>
      <c r="O2518" s="8"/>
      <c r="P2518" s="20"/>
      <c r="Q2518" s="20"/>
      <c r="R2518" s="20"/>
      <c r="S2518" s="8"/>
      <c r="T2518" s="8"/>
      <c r="U2518" s="8"/>
      <c r="V2518" s="8"/>
      <c r="W2518" s="8"/>
      <c r="X2518" s="8"/>
      <c r="Y2518" s="8"/>
      <c r="Z2518" s="8"/>
    </row>
    <row r="2519" spans="4:26" ht="15" thickBot="1" x14ac:dyDescent="0.35">
      <c r="D2519" s="2">
        <f t="shared" si="79"/>
        <v>2513</v>
      </c>
      <c r="E2519" s="6">
        <v>3.5871595741464213</v>
      </c>
      <c r="F2519" s="24"/>
      <c r="G2519" s="24"/>
      <c r="H2519" s="24"/>
      <c r="I2519" s="24"/>
      <c r="J2519" s="3"/>
      <c r="O2519" s="8"/>
      <c r="P2519" s="20"/>
      <c r="Q2519" s="20"/>
      <c r="R2519" s="20"/>
      <c r="S2519" s="8"/>
      <c r="T2519" s="8"/>
      <c r="U2519" s="8"/>
      <c r="V2519" s="8"/>
      <c r="W2519" s="8"/>
      <c r="X2519" s="8"/>
      <c r="Y2519" s="8"/>
      <c r="Z2519" s="8"/>
    </row>
    <row r="2520" spans="4:26" ht="15" thickBot="1" x14ac:dyDescent="0.35">
      <c r="D2520" s="2">
        <f t="shared" si="79"/>
        <v>2514</v>
      </c>
      <c r="E2520" s="6">
        <v>1.2483497894145503</v>
      </c>
      <c r="F2520" s="24"/>
      <c r="G2520" s="24"/>
      <c r="H2520" s="24"/>
      <c r="I2520" s="24"/>
      <c r="J2520" s="3"/>
      <c r="O2520" s="8"/>
      <c r="P2520" s="20"/>
      <c r="Q2520" s="20"/>
      <c r="R2520" s="20"/>
      <c r="S2520" s="8"/>
      <c r="T2520" s="8"/>
      <c r="U2520" s="8"/>
      <c r="V2520" s="8"/>
      <c r="W2520" s="8"/>
      <c r="X2520" s="8"/>
      <c r="Y2520" s="8"/>
      <c r="Z2520" s="8"/>
    </row>
    <row r="2521" spans="4:26" ht="15" thickBot="1" x14ac:dyDescent="0.35">
      <c r="D2521" s="2">
        <f t="shared" si="79"/>
        <v>2515</v>
      </c>
      <c r="E2521" s="6">
        <v>4.443366058615676</v>
      </c>
      <c r="F2521" s="24"/>
      <c r="G2521" s="24"/>
      <c r="H2521" s="24"/>
      <c r="I2521" s="24"/>
      <c r="J2521" s="3"/>
      <c r="O2521" s="8"/>
      <c r="P2521" s="20"/>
      <c r="Q2521" s="20"/>
      <c r="R2521" s="20"/>
      <c r="S2521" s="8"/>
      <c r="T2521" s="8"/>
      <c r="U2521" s="8"/>
      <c r="V2521" s="8"/>
      <c r="W2521" s="8"/>
      <c r="X2521" s="8"/>
      <c r="Y2521" s="8"/>
      <c r="Z2521" s="8"/>
    </row>
    <row r="2522" spans="4:26" ht="15" thickBot="1" x14ac:dyDescent="0.35">
      <c r="D2522" s="2">
        <f t="shared" si="79"/>
        <v>2516</v>
      </c>
      <c r="E2522" s="6">
        <v>1.0487162274112773</v>
      </c>
      <c r="F2522" s="24"/>
      <c r="G2522" s="24"/>
      <c r="H2522" s="24"/>
      <c r="I2522" s="24"/>
      <c r="J2522" s="3"/>
      <c r="O2522" s="8"/>
      <c r="P2522" s="20"/>
      <c r="Q2522" s="20"/>
      <c r="R2522" s="20"/>
      <c r="S2522" s="8"/>
      <c r="T2522" s="8"/>
      <c r="U2522" s="8"/>
      <c r="V2522" s="8"/>
      <c r="W2522" s="8"/>
      <c r="X2522" s="8"/>
      <c r="Y2522" s="8"/>
      <c r="Z2522" s="8"/>
    </row>
    <row r="2523" spans="4:26" ht="15" thickBot="1" x14ac:dyDescent="0.35">
      <c r="D2523" s="2">
        <f t="shared" si="79"/>
        <v>2517</v>
      </c>
      <c r="E2523" s="6">
        <v>5.653288594406578</v>
      </c>
      <c r="F2523" s="24"/>
      <c r="G2523" s="24"/>
      <c r="H2523" s="24"/>
      <c r="I2523" s="24"/>
      <c r="J2523" s="3"/>
      <c r="O2523" s="8"/>
      <c r="P2523" s="20"/>
      <c r="Q2523" s="20"/>
      <c r="R2523" s="20"/>
      <c r="S2523" s="8"/>
      <c r="T2523" s="8"/>
      <c r="U2523" s="8"/>
      <c r="V2523" s="8"/>
      <c r="W2523" s="8"/>
      <c r="X2523" s="8"/>
      <c r="Y2523" s="8"/>
      <c r="Z2523" s="8"/>
    </row>
    <row r="2524" spans="4:26" ht="15" thickBot="1" x14ac:dyDescent="0.35">
      <c r="D2524" s="2">
        <f t="shared" si="79"/>
        <v>2518</v>
      </c>
      <c r="E2524" s="6">
        <v>0.65189693603037546</v>
      </c>
      <c r="F2524" s="24"/>
      <c r="G2524" s="24"/>
      <c r="H2524" s="24"/>
      <c r="I2524" s="24"/>
      <c r="J2524" s="3"/>
      <c r="O2524" s="8"/>
      <c r="P2524" s="20"/>
      <c r="Q2524" s="20"/>
      <c r="R2524" s="20"/>
      <c r="S2524" s="8"/>
      <c r="T2524" s="8"/>
      <c r="U2524" s="8"/>
      <c r="V2524" s="8"/>
      <c r="W2524" s="8"/>
      <c r="X2524" s="8"/>
      <c r="Y2524" s="8"/>
      <c r="Z2524" s="8"/>
    </row>
    <row r="2525" spans="4:26" ht="15" thickBot="1" x14ac:dyDescent="0.35">
      <c r="D2525" s="2">
        <f t="shared" si="79"/>
        <v>2519</v>
      </c>
      <c r="E2525" s="6">
        <v>3.3293489071421489</v>
      </c>
      <c r="F2525" s="24"/>
      <c r="G2525" s="24"/>
      <c r="H2525" s="24"/>
      <c r="I2525" s="24"/>
      <c r="J2525" s="3"/>
      <c r="O2525" s="8"/>
      <c r="P2525" s="20"/>
      <c r="Q2525" s="20"/>
      <c r="R2525" s="20"/>
      <c r="S2525" s="8"/>
      <c r="T2525" s="8"/>
      <c r="U2525" s="8"/>
      <c r="V2525" s="8"/>
      <c r="W2525" s="8"/>
      <c r="X2525" s="8"/>
      <c r="Y2525" s="8"/>
      <c r="Z2525" s="8"/>
    </row>
    <row r="2526" spans="4:26" ht="15" thickBot="1" x14ac:dyDescent="0.35">
      <c r="D2526" s="2">
        <f t="shared" si="79"/>
        <v>2520</v>
      </c>
      <c r="E2526" s="6">
        <v>3.5980941584615206E-2</v>
      </c>
      <c r="F2526" s="24"/>
      <c r="G2526" s="24"/>
      <c r="H2526" s="24"/>
      <c r="I2526" s="24"/>
      <c r="J2526" s="3"/>
      <c r="O2526" s="8"/>
      <c r="P2526" s="20"/>
      <c r="Q2526" s="20"/>
      <c r="R2526" s="20"/>
      <c r="S2526" s="8"/>
      <c r="T2526" s="8"/>
      <c r="U2526" s="8"/>
      <c r="V2526" s="8"/>
      <c r="W2526" s="8"/>
      <c r="X2526" s="8"/>
      <c r="Y2526" s="8"/>
      <c r="Z2526" s="8"/>
    </row>
    <row r="2527" spans="4:26" ht="15" thickBot="1" x14ac:dyDescent="0.35">
      <c r="D2527" s="2">
        <f t="shared" si="79"/>
        <v>2521</v>
      </c>
      <c r="E2527" s="6">
        <v>8.3953379528575081</v>
      </c>
      <c r="F2527" s="24"/>
      <c r="G2527" s="24"/>
      <c r="H2527" s="24"/>
      <c r="I2527" s="24"/>
      <c r="J2527" s="3"/>
      <c r="O2527" s="8"/>
      <c r="P2527" s="20"/>
      <c r="Q2527" s="20"/>
      <c r="R2527" s="20"/>
      <c r="S2527" s="8"/>
      <c r="T2527" s="8"/>
      <c r="U2527" s="8"/>
      <c r="V2527" s="8"/>
      <c r="W2527" s="8"/>
      <c r="X2527" s="8"/>
      <c r="Y2527" s="8"/>
      <c r="Z2527" s="8"/>
    </row>
    <row r="2528" spans="4:26" ht="15" thickBot="1" x14ac:dyDescent="0.35">
      <c r="D2528" s="2">
        <f t="shared" si="79"/>
        <v>2522</v>
      </c>
      <c r="E2528" s="6">
        <v>0.50262448346597022</v>
      </c>
      <c r="F2528" s="24"/>
      <c r="G2528" s="24"/>
      <c r="H2528" s="24"/>
      <c r="I2528" s="24"/>
      <c r="J2528" s="3"/>
      <c r="O2528" s="8"/>
      <c r="P2528" s="20"/>
      <c r="Q2528" s="20"/>
      <c r="R2528" s="20"/>
      <c r="S2528" s="8"/>
      <c r="T2528" s="8"/>
      <c r="U2528" s="8"/>
      <c r="V2528" s="8"/>
      <c r="W2528" s="8"/>
      <c r="X2528" s="8"/>
      <c r="Y2528" s="8"/>
      <c r="Z2528" s="8"/>
    </row>
    <row r="2529" spans="4:26" ht="15" thickBot="1" x14ac:dyDescent="0.35">
      <c r="D2529" s="2">
        <f t="shared" si="79"/>
        <v>2523</v>
      </c>
      <c r="E2529" s="6">
        <v>1.5346234546638211</v>
      </c>
      <c r="F2529" s="24"/>
      <c r="G2529" s="24"/>
      <c r="H2529" s="24"/>
      <c r="I2529" s="24"/>
      <c r="J2529" s="3"/>
      <c r="O2529" s="8"/>
      <c r="P2529" s="20"/>
      <c r="Q2529" s="20"/>
      <c r="R2529" s="20"/>
      <c r="S2529" s="8"/>
      <c r="T2529" s="8"/>
      <c r="U2529" s="8"/>
      <c r="V2529" s="8"/>
      <c r="W2529" s="8"/>
      <c r="X2529" s="8"/>
      <c r="Y2529" s="8"/>
      <c r="Z2529" s="8"/>
    </row>
    <row r="2530" spans="4:26" ht="15" thickBot="1" x14ac:dyDescent="0.35">
      <c r="D2530" s="2">
        <f t="shared" si="79"/>
        <v>2524</v>
      </c>
      <c r="E2530" s="6">
        <v>9.960299978834436E-2</v>
      </c>
      <c r="F2530" s="24"/>
      <c r="G2530" s="24"/>
      <c r="H2530" s="24"/>
      <c r="I2530" s="24"/>
      <c r="J2530" s="3"/>
      <c r="O2530" s="8"/>
      <c r="P2530" s="20"/>
      <c r="Q2530" s="20"/>
      <c r="R2530" s="20"/>
      <c r="S2530" s="8"/>
      <c r="T2530" s="8"/>
      <c r="U2530" s="8"/>
      <c r="V2530" s="8"/>
      <c r="W2530" s="8"/>
      <c r="X2530" s="8"/>
      <c r="Y2530" s="8"/>
      <c r="Z2530" s="8"/>
    </row>
    <row r="2531" spans="4:26" ht="15" thickBot="1" x14ac:dyDescent="0.35">
      <c r="D2531" s="2">
        <f t="shared" si="79"/>
        <v>2525</v>
      </c>
      <c r="E2531" s="6">
        <v>12.017094733445328</v>
      </c>
      <c r="F2531" s="24"/>
      <c r="G2531" s="24"/>
      <c r="H2531" s="24"/>
      <c r="I2531" s="24"/>
      <c r="J2531" s="3"/>
      <c r="O2531" s="8"/>
      <c r="P2531" s="20"/>
      <c r="Q2531" s="20"/>
      <c r="R2531" s="20"/>
      <c r="S2531" s="8"/>
      <c r="T2531" s="8"/>
      <c r="U2531" s="8"/>
      <c r="V2531" s="8"/>
      <c r="W2531" s="8"/>
      <c r="X2531" s="8"/>
      <c r="Y2531" s="8"/>
      <c r="Z2531" s="8"/>
    </row>
    <row r="2532" spans="4:26" ht="15" thickBot="1" x14ac:dyDescent="0.35">
      <c r="D2532" s="2">
        <f t="shared" si="79"/>
        <v>2526</v>
      </c>
      <c r="E2532" s="6">
        <v>3.1710112455574158</v>
      </c>
      <c r="F2532" s="24"/>
      <c r="G2532" s="24"/>
      <c r="H2532" s="24"/>
      <c r="I2532" s="24"/>
      <c r="J2532" s="3"/>
      <c r="O2532" s="8"/>
      <c r="P2532" s="20"/>
      <c r="Q2532" s="20"/>
      <c r="R2532" s="20"/>
      <c r="S2532" s="8"/>
      <c r="T2532" s="8"/>
      <c r="U2532" s="8"/>
      <c r="V2532" s="8"/>
      <c r="W2532" s="8"/>
      <c r="X2532" s="8"/>
      <c r="Y2532" s="8"/>
      <c r="Z2532" s="8"/>
    </row>
    <row r="2533" spans="4:26" ht="15" thickBot="1" x14ac:dyDescent="0.35">
      <c r="D2533" s="2">
        <f t="shared" si="79"/>
        <v>2527</v>
      </c>
      <c r="E2533" s="6">
        <v>0.87075547480855187</v>
      </c>
      <c r="F2533" s="24"/>
      <c r="G2533" s="24"/>
      <c r="H2533" s="24"/>
      <c r="I2533" s="24"/>
      <c r="J2533" s="3"/>
      <c r="O2533" s="8"/>
      <c r="P2533" s="20"/>
      <c r="Q2533" s="20"/>
      <c r="R2533" s="20"/>
      <c r="S2533" s="8"/>
      <c r="T2533" s="8"/>
      <c r="U2533" s="8"/>
      <c r="V2533" s="8"/>
      <c r="W2533" s="8"/>
      <c r="X2533" s="8"/>
      <c r="Y2533" s="8"/>
      <c r="Z2533" s="8"/>
    </row>
    <row r="2534" spans="4:26" ht="15" thickBot="1" x14ac:dyDescent="0.35">
      <c r="D2534" s="2">
        <f t="shared" si="79"/>
        <v>2528</v>
      </c>
      <c r="E2534" s="6">
        <v>0.26724504622471085</v>
      </c>
      <c r="F2534" s="24"/>
      <c r="G2534" s="24"/>
      <c r="H2534" s="24"/>
      <c r="I2534" s="24"/>
      <c r="J2534" s="3"/>
      <c r="O2534" s="8"/>
      <c r="P2534" s="20"/>
      <c r="Q2534" s="20"/>
      <c r="R2534" s="20"/>
      <c r="S2534" s="8"/>
      <c r="T2534" s="8"/>
      <c r="U2534" s="8"/>
      <c r="V2534" s="8"/>
      <c r="W2534" s="8"/>
      <c r="X2534" s="8"/>
      <c r="Y2534" s="8"/>
      <c r="Z2534" s="8"/>
    </row>
    <row r="2535" spans="4:26" ht="15" thickBot="1" x14ac:dyDescent="0.35">
      <c r="D2535" s="2">
        <f t="shared" si="79"/>
        <v>2529</v>
      </c>
      <c r="E2535" s="6">
        <v>0.33358909925915048</v>
      </c>
      <c r="F2535" s="24"/>
      <c r="G2535" s="24"/>
      <c r="H2535" s="24"/>
      <c r="I2535" s="24"/>
      <c r="J2535" s="3"/>
      <c r="O2535" s="8"/>
      <c r="P2535" s="20"/>
      <c r="Q2535" s="20"/>
      <c r="R2535" s="20"/>
      <c r="S2535" s="8"/>
      <c r="T2535" s="8"/>
      <c r="U2535" s="8"/>
      <c r="V2535" s="8"/>
      <c r="W2535" s="8"/>
      <c r="X2535" s="8"/>
      <c r="Y2535" s="8"/>
      <c r="Z2535" s="8"/>
    </row>
    <row r="2536" spans="4:26" ht="15" thickBot="1" x14ac:dyDescent="0.35">
      <c r="D2536" s="2">
        <f t="shared" si="79"/>
        <v>2530</v>
      </c>
      <c r="E2536" s="6">
        <v>1.131359638406666</v>
      </c>
      <c r="F2536" s="24"/>
      <c r="G2536" s="24"/>
      <c r="H2536" s="24"/>
      <c r="I2536" s="24"/>
      <c r="J2536" s="3"/>
      <c r="O2536" s="8"/>
      <c r="P2536" s="20"/>
      <c r="Q2536" s="20"/>
      <c r="R2536" s="20"/>
      <c r="S2536" s="8"/>
      <c r="T2536" s="8"/>
      <c r="U2536" s="8"/>
      <c r="V2536" s="8"/>
      <c r="W2536" s="8"/>
      <c r="X2536" s="8"/>
      <c r="Y2536" s="8"/>
      <c r="Z2536" s="8"/>
    </row>
    <row r="2537" spans="4:26" ht="15" thickBot="1" x14ac:dyDescent="0.35">
      <c r="D2537" s="2">
        <f t="shared" si="79"/>
        <v>2531</v>
      </c>
      <c r="E2537" s="6">
        <v>0.76030290326511851</v>
      </c>
      <c r="F2537" s="24"/>
      <c r="G2537" s="24"/>
      <c r="H2537" s="24"/>
      <c r="I2537" s="24"/>
      <c r="J2537" s="3"/>
      <c r="O2537" s="8"/>
      <c r="P2537" s="20"/>
      <c r="Q2537" s="20"/>
      <c r="R2537" s="20"/>
      <c r="S2537" s="8"/>
      <c r="T2537" s="8"/>
      <c r="U2537" s="8"/>
      <c r="V2537" s="8"/>
      <c r="W2537" s="8"/>
      <c r="X2537" s="8"/>
      <c r="Y2537" s="8"/>
      <c r="Z2537" s="8"/>
    </row>
    <row r="2538" spans="4:26" ht="15" thickBot="1" x14ac:dyDescent="0.35">
      <c r="D2538" s="2">
        <f t="shared" si="79"/>
        <v>2532</v>
      </c>
      <c r="E2538" s="6">
        <v>13.791742929626773</v>
      </c>
      <c r="F2538" s="24"/>
      <c r="G2538" s="24"/>
      <c r="H2538" s="24"/>
      <c r="I2538" s="24"/>
      <c r="J2538" s="3"/>
      <c r="O2538" s="8"/>
      <c r="P2538" s="20"/>
      <c r="Q2538" s="20"/>
      <c r="R2538" s="20"/>
      <c r="S2538" s="8"/>
      <c r="T2538" s="8"/>
      <c r="U2538" s="8"/>
      <c r="V2538" s="8"/>
      <c r="W2538" s="8"/>
      <c r="X2538" s="8"/>
      <c r="Y2538" s="8"/>
      <c r="Z2538" s="8"/>
    </row>
    <row r="2539" spans="4:26" ht="15" thickBot="1" x14ac:dyDescent="0.35">
      <c r="D2539" s="2">
        <f t="shared" si="79"/>
        <v>2533</v>
      </c>
      <c r="E2539" s="6">
        <v>0.71827849738998362</v>
      </c>
      <c r="F2539" s="24"/>
      <c r="G2539" s="24"/>
      <c r="H2539" s="24"/>
      <c r="I2539" s="24"/>
      <c r="J2539" s="3"/>
      <c r="O2539" s="8"/>
      <c r="P2539" s="20"/>
      <c r="Q2539" s="20"/>
      <c r="R2539" s="20"/>
      <c r="S2539" s="8"/>
      <c r="T2539" s="8"/>
      <c r="U2539" s="8"/>
      <c r="V2539" s="8"/>
      <c r="W2539" s="8"/>
      <c r="X2539" s="8"/>
      <c r="Y2539" s="8"/>
      <c r="Z2539" s="8"/>
    </row>
    <row r="2540" spans="4:26" ht="15" thickBot="1" x14ac:dyDescent="0.35">
      <c r="D2540" s="2">
        <f t="shared" si="79"/>
        <v>2534</v>
      </c>
      <c r="E2540" s="6">
        <v>2.915539621411265</v>
      </c>
      <c r="F2540" s="24"/>
      <c r="G2540" s="24"/>
      <c r="H2540" s="24"/>
      <c r="I2540" s="24"/>
      <c r="J2540" s="3"/>
      <c r="O2540" s="8"/>
      <c r="P2540" s="20"/>
      <c r="Q2540" s="20"/>
      <c r="R2540" s="20"/>
      <c r="S2540" s="8"/>
      <c r="T2540" s="8"/>
      <c r="U2540" s="8"/>
      <c r="V2540" s="8"/>
      <c r="W2540" s="8"/>
      <c r="X2540" s="8"/>
      <c r="Y2540" s="8"/>
      <c r="Z2540" s="8"/>
    </row>
    <row r="2541" spans="4:26" ht="15" thickBot="1" x14ac:dyDescent="0.35">
      <c r="D2541" s="2">
        <f t="shared" si="79"/>
        <v>2535</v>
      </c>
      <c r="E2541" s="6">
        <v>1.3754001406338068</v>
      </c>
      <c r="F2541" s="24"/>
      <c r="G2541" s="24"/>
      <c r="H2541" s="24"/>
      <c r="I2541" s="24"/>
      <c r="J2541" s="3"/>
      <c r="O2541" s="8"/>
      <c r="P2541" s="20"/>
      <c r="Q2541" s="20"/>
      <c r="R2541" s="20"/>
      <c r="S2541" s="8"/>
      <c r="T2541" s="8"/>
      <c r="U2541" s="8"/>
      <c r="V2541" s="8"/>
      <c r="W2541" s="8"/>
      <c r="X2541" s="8"/>
      <c r="Y2541" s="8"/>
      <c r="Z2541" s="8"/>
    </row>
    <row r="2542" spans="4:26" ht="15" thickBot="1" x14ac:dyDescent="0.35">
      <c r="D2542" s="2">
        <f t="shared" si="79"/>
        <v>2536</v>
      </c>
      <c r="E2542" s="6">
        <v>0.48278069744204061</v>
      </c>
      <c r="F2542" s="24"/>
      <c r="G2542" s="24"/>
      <c r="H2542" s="24"/>
      <c r="I2542" s="24"/>
      <c r="J2542" s="3"/>
      <c r="O2542" s="8"/>
      <c r="P2542" s="20"/>
      <c r="Q2542" s="20"/>
      <c r="R2542" s="20"/>
      <c r="S2542" s="8"/>
      <c r="T2542" s="8"/>
      <c r="U2542" s="8"/>
      <c r="V2542" s="8"/>
      <c r="W2542" s="8"/>
      <c r="X2542" s="8"/>
      <c r="Y2542" s="8"/>
      <c r="Z2542" s="8"/>
    </row>
    <row r="2543" spans="4:26" ht="15" thickBot="1" x14ac:dyDescent="0.35">
      <c r="D2543" s="2">
        <f t="shared" si="79"/>
        <v>2537</v>
      </c>
      <c r="E2543" s="6">
        <v>1.401620762249409</v>
      </c>
      <c r="F2543" s="24"/>
      <c r="G2543" s="24"/>
      <c r="H2543" s="24"/>
      <c r="I2543" s="24"/>
      <c r="J2543" s="3"/>
      <c r="O2543" s="8"/>
      <c r="P2543" s="20"/>
      <c r="Q2543" s="20"/>
      <c r="R2543" s="20"/>
      <c r="S2543" s="8"/>
      <c r="T2543" s="8"/>
      <c r="U2543" s="8"/>
      <c r="V2543" s="8"/>
      <c r="W2543" s="8"/>
      <c r="X2543" s="8"/>
      <c r="Y2543" s="8"/>
      <c r="Z2543" s="8"/>
    </row>
    <row r="2544" spans="4:26" ht="15" thickBot="1" x14ac:dyDescent="0.35">
      <c r="D2544" s="2">
        <f t="shared" si="79"/>
        <v>2538</v>
      </c>
      <c r="E2544" s="6">
        <v>8.7683854927160443</v>
      </c>
      <c r="F2544" s="24"/>
      <c r="G2544" s="24"/>
      <c r="H2544" s="24"/>
      <c r="I2544" s="24"/>
      <c r="J2544" s="3"/>
      <c r="O2544" s="8"/>
      <c r="P2544" s="20"/>
      <c r="Q2544" s="20"/>
      <c r="R2544" s="20"/>
      <c r="S2544" s="8"/>
      <c r="T2544" s="8"/>
      <c r="U2544" s="8"/>
      <c r="V2544" s="8"/>
      <c r="W2544" s="8"/>
      <c r="X2544" s="8"/>
      <c r="Y2544" s="8"/>
      <c r="Z2544" s="8"/>
    </row>
    <row r="2545" spans="4:26" ht="15" thickBot="1" x14ac:dyDescent="0.35">
      <c r="D2545" s="2">
        <f t="shared" si="79"/>
        <v>2539</v>
      </c>
      <c r="E2545" s="6">
        <v>2.7786083514925966</v>
      </c>
      <c r="F2545" s="24"/>
      <c r="G2545" s="24"/>
      <c r="H2545" s="24"/>
      <c r="I2545" s="24"/>
      <c r="J2545" s="3"/>
      <c r="O2545" s="8"/>
      <c r="P2545" s="20"/>
      <c r="Q2545" s="20"/>
      <c r="R2545" s="20"/>
      <c r="S2545" s="8"/>
      <c r="T2545" s="8"/>
      <c r="U2545" s="8"/>
      <c r="V2545" s="8"/>
      <c r="W2545" s="8"/>
      <c r="X2545" s="8"/>
      <c r="Y2545" s="8"/>
      <c r="Z2545" s="8"/>
    </row>
    <row r="2546" spans="4:26" ht="15" thickBot="1" x14ac:dyDescent="0.35">
      <c r="D2546" s="2">
        <f t="shared" si="79"/>
        <v>2540</v>
      </c>
      <c r="E2546" s="6">
        <v>4.8393249573893913</v>
      </c>
      <c r="F2546" s="24"/>
      <c r="G2546" s="24"/>
      <c r="H2546" s="24"/>
      <c r="I2546" s="24"/>
      <c r="J2546" s="3"/>
      <c r="O2546" s="8"/>
      <c r="P2546" s="20"/>
      <c r="Q2546" s="20"/>
      <c r="R2546" s="20"/>
      <c r="S2546" s="8"/>
      <c r="T2546" s="8"/>
      <c r="U2546" s="8"/>
      <c r="V2546" s="8"/>
      <c r="W2546" s="8"/>
      <c r="X2546" s="8"/>
      <c r="Y2546" s="8"/>
      <c r="Z2546" s="8"/>
    </row>
    <row r="2547" spans="4:26" ht="15" thickBot="1" x14ac:dyDescent="0.35">
      <c r="D2547" s="2">
        <f t="shared" si="79"/>
        <v>2541</v>
      </c>
      <c r="E2547" s="6">
        <v>3.2515837736354394</v>
      </c>
      <c r="F2547" s="24"/>
      <c r="G2547" s="24"/>
      <c r="H2547" s="24"/>
      <c r="I2547" s="24"/>
      <c r="J2547" s="3"/>
      <c r="O2547" s="8"/>
      <c r="P2547" s="20"/>
      <c r="Q2547" s="20"/>
      <c r="R2547" s="20"/>
      <c r="S2547" s="8"/>
      <c r="T2547" s="8"/>
      <c r="U2547" s="8"/>
      <c r="V2547" s="8"/>
      <c r="W2547" s="8"/>
      <c r="X2547" s="8"/>
      <c r="Y2547" s="8"/>
      <c r="Z2547" s="8"/>
    </row>
    <row r="2548" spans="4:26" ht="15" thickBot="1" x14ac:dyDescent="0.35">
      <c r="D2548" s="2">
        <f t="shared" si="79"/>
        <v>2542</v>
      </c>
      <c r="E2548" s="6">
        <v>4.6214779033663849</v>
      </c>
      <c r="F2548" s="24"/>
      <c r="G2548" s="24"/>
      <c r="H2548" s="24"/>
      <c r="I2548" s="24"/>
      <c r="J2548" s="3"/>
      <c r="O2548" s="8"/>
      <c r="P2548" s="20"/>
      <c r="Q2548" s="20"/>
      <c r="R2548" s="20"/>
      <c r="S2548" s="8"/>
      <c r="T2548" s="8"/>
      <c r="U2548" s="8"/>
      <c r="V2548" s="8"/>
      <c r="W2548" s="8"/>
      <c r="X2548" s="8"/>
      <c r="Y2548" s="8"/>
      <c r="Z2548" s="8"/>
    </row>
    <row r="2549" spans="4:26" ht="15" thickBot="1" x14ac:dyDescent="0.35">
      <c r="D2549" s="2">
        <f t="shared" si="79"/>
        <v>2543</v>
      </c>
      <c r="E2549" s="6">
        <v>0.47263339187736991</v>
      </c>
      <c r="F2549" s="24"/>
      <c r="G2549" s="24"/>
      <c r="H2549" s="24"/>
      <c r="I2549" s="24"/>
      <c r="J2549" s="3"/>
      <c r="O2549" s="8"/>
      <c r="P2549" s="20"/>
      <c r="Q2549" s="20"/>
      <c r="R2549" s="20"/>
      <c r="S2549" s="8"/>
      <c r="T2549" s="8"/>
      <c r="U2549" s="8"/>
      <c r="V2549" s="8"/>
      <c r="W2549" s="8"/>
      <c r="X2549" s="8"/>
      <c r="Y2549" s="8"/>
      <c r="Z2549" s="8"/>
    </row>
    <row r="2550" spans="4:26" ht="15" thickBot="1" x14ac:dyDescent="0.35">
      <c r="D2550" s="2">
        <f t="shared" si="79"/>
        <v>2544</v>
      </c>
      <c r="E2550" s="6">
        <v>6.4889138019029888E-2</v>
      </c>
      <c r="F2550" s="24"/>
      <c r="G2550" s="24"/>
      <c r="H2550" s="24"/>
      <c r="I2550" s="24"/>
      <c r="J2550" s="3"/>
      <c r="O2550" s="8"/>
      <c r="P2550" s="20"/>
      <c r="Q2550" s="20"/>
      <c r="R2550" s="20"/>
      <c r="S2550" s="8"/>
      <c r="T2550" s="8"/>
      <c r="U2550" s="8"/>
      <c r="V2550" s="8"/>
      <c r="W2550" s="8"/>
      <c r="X2550" s="8"/>
      <c r="Y2550" s="8"/>
      <c r="Z2550" s="8"/>
    </row>
    <row r="2551" spans="4:26" ht="15" thickBot="1" x14ac:dyDescent="0.35">
      <c r="D2551" s="2">
        <f t="shared" si="79"/>
        <v>2545</v>
      </c>
      <c r="E2551" s="6">
        <v>3.9431393073786793</v>
      </c>
      <c r="F2551" s="24"/>
      <c r="G2551" s="24"/>
      <c r="H2551" s="24"/>
      <c r="I2551" s="24"/>
      <c r="J2551" s="3"/>
      <c r="O2551" s="8"/>
      <c r="P2551" s="20"/>
      <c r="Q2551" s="20"/>
      <c r="R2551" s="20"/>
      <c r="S2551" s="8"/>
      <c r="T2551" s="8"/>
      <c r="U2551" s="8"/>
      <c r="V2551" s="8"/>
      <c r="W2551" s="8"/>
      <c r="X2551" s="8"/>
      <c r="Y2551" s="8"/>
      <c r="Z2551" s="8"/>
    </row>
    <row r="2552" spans="4:26" ht="15" thickBot="1" x14ac:dyDescent="0.35">
      <c r="D2552" s="2">
        <f t="shared" si="79"/>
        <v>2546</v>
      </c>
      <c r="E2552" s="6">
        <v>0.37864370650583762</v>
      </c>
      <c r="F2552" s="24"/>
      <c r="G2552" s="24"/>
      <c r="H2552" s="24"/>
      <c r="I2552" s="24"/>
      <c r="J2552" s="3"/>
      <c r="O2552" s="8"/>
      <c r="P2552" s="20"/>
      <c r="Q2552" s="20"/>
      <c r="R2552" s="20"/>
      <c r="S2552" s="8"/>
      <c r="T2552" s="8"/>
      <c r="U2552" s="8"/>
      <c r="V2552" s="8"/>
      <c r="W2552" s="8"/>
      <c r="X2552" s="8"/>
      <c r="Y2552" s="8"/>
      <c r="Z2552" s="8"/>
    </row>
    <row r="2553" spans="4:26" ht="15" thickBot="1" x14ac:dyDescent="0.35">
      <c r="D2553" s="2">
        <f t="shared" si="79"/>
        <v>2547</v>
      </c>
      <c r="E2553" s="6">
        <v>2.4368907099387767</v>
      </c>
      <c r="F2553" s="24"/>
      <c r="G2553" s="24"/>
      <c r="H2553" s="24"/>
      <c r="I2553" s="24"/>
      <c r="J2553" s="3"/>
      <c r="O2553" s="8"/>
      <c r="P2553" s="20"/>
      <c r="Q2553" s="20"/>
      <c r="R2553" s="20"/>
      <c r="S2553" s="8"/>
      <c r="T2553" s="8"/>
      <c r="U2553" s="8"/>
      <c r="V2553" s="8"/>
      <c r="W2553" s="8"/>
      <c r="X2553" s="8"/>
      <c r="Y2553" s="8"/>
      <c r="Z2553" s="8"/>
    </row>
    <row r="2554" spans="4:26" ht="15" thickBot="1" x14ac:dyDescent="0.35">
      <c r="D2554" s="2">
        <f t="shared" si="79"/>
        <v>2548</v>
      </c>
      <c r="E2554" s="6">
        <v>9.4485862717023021</v>
      </c>
      <c r="F2554" s="24"/>
      <c r="G2554" s="24"/>
      <c r="H2554" s="24"/>
      <c r="I2554" s="24"/>
      <c r="J2554" s="3"/>
      <c r="O2554" s="8"/>
      <c r="P2554" s="20"/>
      <c r="Q2554" s="20"/>
      <c r="R2554" s="20"/>
      <c r="S2554" s="8"/>
      <c r="T2554" s="8"/>
      <c r="U2554" s="8"/>
      <c r="V2554" s="8"/>
      <c r="W2554" s="8"/>
      <c r="X2554" s="8"/>
      <c r="Y2554" s="8"/>
      <c r="Z2554" s="8"/>
    </row>
    <row r="2555" spans="4:26" ht="15" thickBot="1" x14ac:dyDescent="0.35">
      <c r="D2555" s="2">
        <f t="shared" si="79"/>
        <v>2549</v>
      </c>
      <c r="E2555" s="6">
        <v>1.9755611465065526</v>
      </c>
      <c r="F2555" s="24"/>
      <c r="G2555" s="24"/>
      <c r="H2555" s="24"/>
      <c r="I2555" s="24"/>
      <c r="J2555" s="3"/>
      <c r="O2555" s="8"/>
      <c r="P2555" s="20"/>
      <c r="Q2555" s="20"/>
      <c r="R2555" s="20"/>
      <c r="S2555" s="8"/>
      <c r="T2555" s="8"/>
      <c r="U2555" s="8"/>
      <c r="V2555" s="8"/>
      <c r="W2555" s="8"/>
      <c r="X2555" s="8"/>
      <c r="Y2555" s="8"/>
      <c r="Z2555" s="8"/>
    </row>
    <row r="2556" spans="4:26" ht="15" thickBot="1" x14ac:dyDescent="0.35">
      <c r="D2556" s="2">
        <f t="shared" si="79"/>
        <v>2550</v>
      </c>
      <c r="E2556" s="6">
        <v>0.1794099412881254</v>
      </c>
      <c r="F2556" s="24"/>
      <c r="G2556" s="24"/>
      <c r="H2556" s="24"/>
      <c r="I2556" s="24"/>
      <c r="J2556" s="3"/>
      <c r="O2556" s="8"/>
      <c r="P2556" s="20"/>
      <c r="Q2556" s="20"/>
      <c r="R2556" s="20"/>
      <c r="S2556" s="8"/>
      <c r="T2556" s="8"/>
      <c r="U2556" s="8"/>
      <c r="V2556" s="8"/>
      <c r="W2556" s="8"/>
      <c r="X2556" s="8"/>
      <c r="Y2556" s="8"/>
      <c r="Z2556" s="8"/>
    </row>
    <row r="2557" spans="4:26" ht="15" thickBot="1" x14ac:dyDescent="0.35">
      <c r="D2557" s="2">
        <f t="shared" si="79"/>
        <v>2551</v>
      </c>
      <c r="E2557" s="6">
        <v>3.4948701362711305</v>
      </c>
      <c r="F2557" s="24"/>
      <c r="G2557" s="24"/>
      <c r="H2557" s="24"/>
      <c r="I2557" s="24"/>
      <c r="J2557" s="3"/>
      <c r="O2557" s="8"/>
      <c r="P2557" s="20"/>
      <c r="Q2557" s="20"/>
      <c r="R2557" s="20"/>
      <c r="S2557" s="8"/>
      <c r="T2557" s="8"/>
      <c r="U2557" s="8"/>
      <c r="V2557" s="8"/>
      <c r="W2557" s="8"/>
      <c r="X2557" s="8"/>
      <c r="Y2557" s="8"/>
      <c r="Z2557" s="8"/>
    </row>
    <row r="2558" spans="4:26" ht="15" thickBot="1" x14ac:dyDescent="0.35">
      <c r="D2558" s="2">
        <f t="shared" si="79"/>
        <v>2552</v>
      </c>
      <c r="E2558" s="6">
        <v>1.8191379785247535</v>
      </c>
      <c r="F2558" s="24"/>
      <c r="G2558" s="24"/>
      <c r="H2558" s="24"/>
      <c r="I2558" s="24"/>
      <c r="J2558" s="3"/>
      <c r="O2558" s="8"/>
      <c r="P2558" s="20"/>
      <c r="Q2558" s="20"/>
      <c r="R2558" s="20"/>
      <c r="S2558" s="8"/>
      <c r="T2558" s="8"/>
      <c r="U2558" s="8"/>
      <c r="V2558" s="8"/>
      <c r="W2558" s="8"/>
      <c r="X2558" s="8"/>
      <c r="Y2558" s="8"/>
      <c r="Z2558" s="8"/>
    </row>
    <row r="2559" spans="4:26" ht="15" thickBot="1" x14ac:dyDescent="0.35">
      <c r="D2559" s="2">
        <f t="shared" si="79"/>
        <v>2553</v>
      </c>
      <c r="E2559" s="6">
        <v>0.24783474856488158</v>
      </c>
      <c r="F2559" s="24"/>
      <c r="G2559" s="24"/>
      <c r="H2559" s="24"/>
      <c r="I2559" s="24"/>
      <c r="J2559" s="3"/>
      <c r="O2559" s="8"/>
      <c r="P2559" s="20"/>
      <c r="Q2559" s="20"/>
      <c r="R2559" s="20"/>
      <c r="S2559" s="8"/>
      <c r="T2559" s="8"/>
      <c r="U2559" s="8"/>
      <c r="V2559" s="8"/>
      <c r="W2559" s="8"/>
      <c r="X2559" s="8"/>
      <c r="Y2559" s="8"/>
      <c r="Z2559" s="8"/>
    </row>
    <row r="2560" spans="4:26" ht="15" thickBot="1" x14ac:dyDescent="0.35">
      <c r="D2560" s="2">
        <f t="shared" si="79"/>
        <v>2554</v>
      </c>
      <c r="E2560" s="6">
        <v>14.122962428984541</v>
      </c>
      <c r="F2560" s="24"/>
      <c r="G2560" s="24"/>
      <c r="H2560" s="24"/>
      <c r="I2560" s="24"/>
      <c r="J2560" s="3"/>
      <c r="O2560" s="8"/>
      <c r="P2560" s="20"/>
      <c r="Q2560" s="20"/>
      <c r="R2560" s="20"/>
      <c r="S2560" s="8"/>
      <c r="T2560" s="8"/>
      <c r="U2560" s="8"/>
      <c r="V2560" s="8"/>
      <c r="W2560" s="8"/>
      <c r="X2560" s="8"/>
      <c r="Y2560" s="8"/>
      <c r="Z2560" s="8"/>
    </row>
    <row r="2561" spans="4:26" ht="15" thickBot="1" x14ac:dyDescent="0.35">
      <c r="D2561" s="2">
        <f t="shared" si="79"/>
        <v>2555</v>
      </c>
      <c r="E2561" s="6">
        <v>3.7165369310522243</v>
      </c>
      <c r="F2561" s="24"/>
      <c r="G2561" s="24"/>
      <c r="H2561" s="24"/>
      <c r="I2561" s="24"/>
      <c r="J2561" s="3"/>
      <c r="O2561" s="8"/>
      <c r="P2561" s="20"/>
      <c r="Q2561" s="20"/>
      <c r="R2561" s="20"/>
      <c r="S2561" s="8"/>
      <c r="T2561" s="8"/>
      <c r="U2561" s="8"/>
      <c r="V2561" s="8"/>
      <c r="W2561" s="8"/>
      <c r="X2561" s="8"/>
      <c r="Y2561" s="8"/>
      <c r="Z2561" s="8"/>
    </row>
    <row r="2562" spans="4:26" ht="15" thickBot="1" x14ac:dyDescent="0.35">
      <c r="D2562" s="2">
        <f t="shared" si="79"/>
        <v>2556</v>
      </c>
      <c r="E2562" s="6">
        <v>7.1340174830016831</v>
      </c>
      <c r="F2562" s="24"/>
      <c r="G2562" s="24"/>
      <c r="H2562" s="24"/>
      <c r="I2562" s="24"/>
      <c r="J2562" s="3"/>
      <c r="O2562" s="8"/>
      <c r="P2562" s="20"/>
      <c r="Q2562" s="20"/>
      <c r="R2562" s="20"/>
      <c r="S2562" s="8"/>
      <c r="T2562" s="8"/>
      <c r="U2562" s="8"/>
      <c r="V2562" s="8"/>
      <c r="W2562" s="8"/>
      <c r="X2562" s="8"/>
      <c r="Y2562" s="8"/>
      <c r="Z2562" s="8"/>
    </row>
    <row r="2563" spans="4:26" ht="15" thickBot="1" x14ac:dyDescent="0.35">
      <c r="D2563" s="2">
        <f t="shared" si="79"/>
        <v>2557</v>
      </c>
      <c r="E2563" s="6">
        <v>8.533320052013714</v>
      </c>
      <c r="F2563" s="24"/>
      <c r="G2563" s="24"/>
      <c r="H2563" s="24"/>
      <c r="I2563" s="24"/>
      <c r="J2563" s="3"/>
      <c r="O2563" s="8"/>
      <c r="P2563" s="20"/>
      <c r="Q2563" s="20"/>
      <c r="R2563" s="20"/>
      <c r="S2563" s="8"/>
      <c r="T2563" s="8"/>
      <c r="U2563" s="8"/>
      <c r="V2563" s="8"/>
      <c r="W2563" s="8"/>
      <c r="X2563" s="8"/>
      <c r="Y2563" s="8"/>
      <c r="Z2563" s="8"/>
    </row>
    <row r="2564" spans="4:26" ht="15" thickBot="1" x14ac:dyDescent="0.35">
      <c r="D2564" s="2">
        <f t="shared" si="79"/>
        <v>2558</v>
      </c>
      <c r="E2564" s="6">
        <v>11.316177723584305</v>
      </c>
      <c r="F2564" s="24"/>
      <c r="G2564" s="24"/>
      <c r="H2564" s="24"/>
      <c r="I2564" s="24"/>
      <c r="J2564" s="3"/>
      <c r="O2564" s="8"/>
      <c r="P2564" s="20"/>
      <c r="Q2564" s="20"/>
      <c r="R2564" s="20"/>
      <c r="S2564" s="8"/>
      <c r="T2564" s="8"/>
      <c r="U2564" s="8"/>
      <c r="V2564" s="8"/>
      <c r="W2564" s="8"/>
      <c r="X2564" s="8"/>
      <c r="Y2564" s="8"/>
      <c r="Z2564" s="8"/>
    </row>
    <row r="2565" spans="4:26" ht="15" thickBot="1" x14ac:dyDescent="0.35">
      <c r="D2565" s="2">
        <f t="shared" si="79"/>
        <v>2559</v>
      </c>
      <c r="E2565" s="6">
        <v>10.945930092330398</v>
      </c>
      <c r="F2565" s="24"/>
      <c r="G2565" s="24"/>
      <c r="H2565" s="24"/>
      <c r="I2565" s="24"/>
      <c r="J2565" s="3"/>
      <c r="O2565" s="8"/>
      <c r="P2565" s="20"/>
      <c r="Q2565" s="20"/>
      <c r="R2565" s="20"/>
      <c r="S2565" s="8"/>
      <c r="T2565" s="8"/>
      <c r="U2565" s="8"/>
      <c r="V2565" s="8"/>
      <c r="W2565" s="8"/>
      <c r="X2565" s="8"/>
      <c r="Y2565" s="8"/>
      <c r="Z2565" s="8"/>
    </row>
    <row r="2566" spans="4:26" ht="15" thickBot="1" x14ac:dyDescent="0.35">
      <c r="D2566" s="2">
        <f t="shared" si="79"/>
        <v>2560</v>
      </c>
      <c r="E2566" s="6">
        <v>3.6981611615416838</v>
      </c>
      <c r="F2566" s="24"/>
      <c r="G2566" s="24"/>
      <c r="H2566" s="24"/>
      <c r="I2566" s="24"/>
      <c r="J2566" s="3"/>
      <c r="O2566" s="8"/>
      <c r="P2566" s="20"/>
      <c r="Q2566" s="20"/>
      <c r="R2566" s="20"/>
      <c r="S2566" s="8"/>
      <c r="T2566" s="8"/>
      <c r="U2566" s="8"/>
      <c r="V2566" s="8"/>
      <c r="W2566" s="8"/>
      <c r="X2566" s="8"/>
      <c r="Y2566" s="8"/>
      <c r="Z2566" s="8"/>
    </row>
    <row r="2567" spans="4:26" ht="15" thickBot="1" x14ac:dyDescent="0.35">
      <c r="D2567" s="2">
        <f t="shared" ref="D2567:D2630" si="80">ROW()-6</f>
        <v>2561</v>
      </c>
      <c r="E2567" s="6">
        <v>1.3096982414874749</v>
      </c>
      <c r="F2567" s="24"/>
      <c r="G2567" s="24"/>
      <c r="H2567" s="24"/>
      <c r="I2567" s="24"/>
      <c r="J2567" s="3"/>
      <c r="O2567" s="8"/>
      <c r="P2567" s="20"/>
      <c r="Q2567" s="20"/>
      <c r="R2567" s="20"/>
      <c r="S2567" s="8"/>
      <c r="T2567" s="8"/>
      <c r="U2567" s="8"/>
      <c r="V2567" s="8"/>
      <c r="W2567" s="8"/>
      <c r="X2567" s="8"/>
      <c r="Y2567" s="8"/>
      <c r="Z2567" s="8"/>
    </row>
    <row r="2568" spans="4:26" ht="15" thickBot="1" x14ac:dyDescent="0.35">
      <c r="D2568" s="2">
        <f t="shared" si="80"/>
        <v>2562</v>
      </c>
      <c r="E2568" s="6">
        <v>5.9843723497923307</v>
      </c>
      <c r="F2568" s="24"/>
      <c r="G2568" s="24"/>
      <c r="H2568" s="24"/>
      <c r="I2568" s="24"/>
      <c r="J2568" s="3"/>
      <c r="O2568" s="8"/>
      <c r="P2568" s="20"/>
      <c r="Q2568" s="20"/>
      <c r="R2568" s="20"/>
      <c r="S2568" s="8"/>
      <c r="T2568" s="8"/>
      <c r="U2568" s="8"/>
      <c r="V2568" s="8"/>
      <c r="W2568" s="8"/>
      <c r="X2568" s="8"/>
      <c r="Y2568" s="8"/>
      <c r="Z2568" s="8"/>
    </row>
    <row r="2569" spans="4:26" ht="15" thickBot="1" x14ac:dyDescent="0.35">
      <c r="D2569" s="2">
        <f t="shared" si="80"/>
        <v>2563</v>
      </c>
      <c r="E2569" s="6">
        <v>3.6946866076277001</v>
      </c>
      <c r="F2569" s="24"/>
      <c r="G2569" s="24"/>
      <c r="H2569" s="24"/>
      <c r="I2569" s="24"/>
      <c r="J2569" s="3"/>
      <c r="O2569" s="8"/>
      <c r="P2569" s="20"/>
      <c r="Q2569" s="20"/>
      <c r="R2569" s="20"/>
      <c r="S2569" s="8"/>
      <c r="T2569" s="8"/>
      <c r="U2569" s="8"/>
      <c r="V2569" s="8"/>
      <c r="W2569" s="8"/>
      <c r="X2569" s="8"/>
      <c r="Y2569" s="8"/>
      <c r="Z2569" s="8"/>
    </row>
    <row r="2570" spans="4:26" ht="15" thickBot="1" x14ac:dyDescent="0.35">
      <c r="D2570" s="2">
        <f t="shared" si="80"/>
        <v>2564</v>
      </c>
      <c r="E2570" s="6">
        <v>0.3537673758677683</v>
      </c>
      <c r="F2570" s="24"/>
      <c r="G2570" s="24"/>
      <c r="H2570" s="24"/>
      <c r="I2570" s="24"/>
      <c r="J2570" s="3"/>
      <c r="O2570" s="8"/>
      <c r="P2570" s="20"/>
      <c r="Q2570" s="20"/>
      <c r="R2570" s="20"/>
      <c r="S2570" s="8"/>
      <c r="T2570" s="8"/>
      <c r="U2570" s="8"/>
      <c r="V2570" s="8"/>
      <c r="W2570" s="8"/>
      <c r="X2570" s="8"/>
      <c r="Y2570" s="8"/>
      <c r="Z2570" s="8"/>
    </row>
    <row r="2571" spans="4:26" ht="15" thickBot="1" x14ac:dyDescent="0.35">
      <c r="D2571" s="2">
        <f t="shared" si="80"/>
        <v>2565</v>
      </c>
      <c r="E2571" s="6">
        <v>2.1962197011201456</v>
      </c>
      <c r="F2571" s="24"/>
      <c r="G2571" s="24"/>
      <c r="H2571" s="24"/>
      <c r="I2571" s="24"/>
      <c r="J2571" s="3"/>
      <c r="O2571" s="8"/>
      <c r="P2571" s="20"/>
      <c r="Q2571" s="20"/>
      <c r="R2571" s="20"/>
      <c r="S2571" s="8"/>
      <c r="T2571" s="8"/>
      <c r="U2571" s="8"/>
      <c r="V2571" s="8"/>
      <c r="W2571" s="8"/>
      <c r="X2571" s="8"/>
      <c r="Y2571" s="8"/>
      <c r="Z2571" s="8"/>
    </row>
    <row r="2572" spans="4:26" ht="15" thickBot="1" x14ac:dyDescent="0.35">
      <c r="D2572" s="2">
        <f t="shared" si="80"/>
        <v>2566</v>
      </c>
      <c r="E2572" s="6">
        <v>1.7818897541440513</v>
      </c>
      <c r="F2572" s="24"/>
      <c r="G2572" s="24"/>
      <c r="H2572" s="24"/>
      <c r="I2572" s="24"/>
      <c r="J2572" s="3"/>
      <c r="O2572" s="8"/>
      <c r="P2572" s="20"/>
      <c r="Q2572" s="20"/>
      <c r="R2572" s="20"/>
      <c r="S2572" s="8"/>
      <c r="T2572" s="8"/>
      <c r="U2572" s="8"/>
      <c r="V2572" s="8"/>
      <c r="W2572" s="8"/>
      <c r="X2572" s="8"/>
      <c r="Y2572" s="8"/>
      <c r="Z2572" s="8"/>
    </row>
    <row r="2573" spans="4:26" ht="15" thickBot="1" x14ac:dyDescent="0.35">
      <c r="D2573" s="2">
        <f t="shared" si="80"/>
        <v>2567</v>
      </c>
      <c r="E2573" s="6">
        <v>3.3136516314557105</v>
      </c>
      <c r="F2573" s="24"/>
      <c r="G2573" s="24"/>
      <c r="H2573" s="24"/>
      <c r="I2573" s="24"/>
      <c r="J2573" s="3"/>
      <c r="O2573" s="8"/>
      <c r="P2573" s="20"/>
      <c r="Q2573" s="20"/>
      <c r="R2573" s="20"/>
      <c r="S2573" s="8"/>
      <c r="T2573" s="8"/>
      <c r="U2573" s="8"/>
      <c r="V2573" s="8"/>
      <c r="W2573" s="8"/>
      <c r="X2573" s="8"/>
      <c r="Y2573" s="8"/>
      <c r="Z2573" s="8"/>
    </row>
    <row r="2574" spans="4:26" ht="15" thickBot="1" x14ac:dyDescent="0.35">
      <c r="D2574" s="2">
        <f t="shared" si="80"/>
        <v>2568</v>
      </c>
      <c r="E2574" s="6">
        <v>7.2587871941383888</v>
      </c>
      <c r="F2574" s="24"/>
      <c r="G2574" s="24"/>
      <c r="H2574" s="24"/>
      <c r="I2574" s="24"/>
      <c r="J2574" s="3"/>
      <c r="O2574" s="8"/>
      <c r="P2574" s="20"/>
      <c r="Q2574" s="20"/>
      <c r="R2574" s="20"/>
      <c r="S2574" s="8"/>
      <c r="T2574" s="8"/>
      <c r="U2574" s="8"/>
      <c r="V2574" s="8"/>
      <c r="W2574" s="8"/>
      <c r="X2574" s="8"/>
      <c r="Y2574" s="8"/>
      <c r="Z2574" s="8"/>
    </row>
    <row r="2575" spans="4:26" ht="15" thickBot="1" x14ac:dyDescent="0.35">
      <c r="D2575" s="2">
        <f t="shared" si="80"/>
        <v>2569</v>
      </c>
      <c r="E2575" s="6">
        <v>4.0212222913305808</v>
      </c>
      <c r="F2575" s="24"/>
      <c r="G2575" s="24"/>
      <c r="H2575" s="24"/>
      <c r="I2575" s="24"/>
      <c r="J2575" s="3"/>
      <c r="O2575" s="8"/>
      <c r="P2575" s="20"/>
      <c r="Q2575" s="20"/>
      <c r="R2575" s="20"/>
      <c r="S2575" s="8"/>
      <c r="T2575" s="8"/>
      <c r="U2575" s="8"/>
      <c r="V2575" s="8"/>
      <c r="W2575" s="8"/>
      <c r="X2575" s="8"/>
      <c r="Y2575" s="8"/>
      <c r="Z2575" s="8"/>
    </row>
    <row r="2576" spans="4:26" ht="15" thickBot="1" x14ac:dyDescent="0.35">
      <c r="D2576" s="2">
        <f t="shared" si="80"/>
        <v>2570</v>
      </c>
      <c r="E2576" s="6">
        <v>3.99444938897734</v>
      </c>
      <c r="F2576" s="24"/>
      <c r="G2576" s="24"/>
      <c r="H2576" s="24"/>
      <c r="I2576" s="24"/>
      <c r="J2576" s="3"/>
      <c r="O2576" s="8"/>
      <c r="P2576" s="20"/>
      <c r="Q2576" s="20"/>
      <c r="R2576" s="20"/>
      <c r="S2576" s="8"/>
      <c r="T2576" s="8"/>
      <c r="U2576" s="8"/>
      <c r="V2576" s="8"/>
      <c r="W2576" s="8"/>
      <c r="X2576" s="8"/>
      <c r="Y2576" s="8"/>
      <c r="Z2576" s="8"/>
    </row>
    <row r="2577" spans="4:26" ht="15" thickBot="1" x14ac:dyDescent="0.35">
      <c r="D2577" s="2">
        <f t="shared" si="80"/>
        <v>2571</v>
      </c>
      <c r="E2577" s="6">
        <v>4.6893388606462478</v>
      </c>
      <c r="F2577" s="24"/>
      <c r="G2577" s="24"/>
      <c r="H2577" s="24"/>
      <c r="I2577" s="24"/>
      <c r="J2577" s="3"/>
      <c r="O2577" s="8"/>
      <c r="P2577" s="20"/>
      <c r="Q2577" s="20"/>
      <c r="R2577" s="20"/>
      <c r="S2577" s="8"/>
      <c r="T2577" s="8"/>
      <c r="U2577" s="8"/>
      <c r="V2577" s="8"/>
      <c r="W2577" s="8"/>
      <c r="X2577" s="8"/>
      <c r="Y2577" s="8"/>
      <c r="Z2577" s="8"/>
    </row>
    <row r="2578" spans="4:26" ht="15" thickBot="1" x14ac:dyDescent="0.35">
      <c r="D2578" s="2">
        <f t="shared" si="80"/>
        <v>2572</v>
      </c>
      <c r="E2578" s="6">
        <v>3.8603520695181275</v>
      </c>
      <c r="F2578" s="24"/>
      <c r="G2578" s="24"/>
      <c r="H2578" s="24"/>
      <c r="I2578" s="24"/>
      <c r="J2578" s="3"/>
      <c r="O2578" s="8"/>
      <c r="P2578" s="20"/>
      <c r="Q2578" s="20"/>
      <c r="R2578" s="20"/>
      <c r="S2578" s="8"/>
      <c r="T2578" s="8"/>
      <c r="U2578" s="8"/>
      <c r="V2578" s="8"/>
      <c r="W2578" s="8"/>
      <c r="X2578" s="8"/>
      <c r="Y2578" s="8"/>
      <c r="Z2578" s="8"/>
    </row>
    <row r="2579" spans="4:26" ht="15" thickBot="1" x14ac:dyDescent="0.35">
      <c r="D2579" s="2">
        <f t="shared" si="80"/>
        <v>2573</v>
      </c>
      <c r="E2579" s="6">
        <v>1.3570905135928852</v>
      </c>
      <c r="F2579" s="24"/>
      <c r="G2579" s="24"/>
      <c r="H2579" s="24"/>
      <c r="I2579" s="24"/>
      <c r="J2579" s="3"/>
      <c r="O2579" s="8"/>
      <c r="P2579" s="20"/>
      <c r="Q2579" s="20"/>
      <c r="R2579" s="20"/>
      <c r="S2579" s="8"/>
      <c r="T2579" s="8"/>
      <c r="U2579" s="8"/>
      <c r="V2579" s="8"/>
      <c r="W2579" s="8"/>
      <c r="X2579" s="8"/>
      <c r="Y2579" s="8"/>
      <c r="Z2579" s="8"/>
    </row>
    <row r="2580" spans="4:26" ht="15" thickBot="1" x14ac:dyDescent="0.35">
      <c r="D2580" s="2">
        <f t="shared" si="80"/>
        <v>2574</v>
      </c>
      <c r="E2580" s="6">
        <v>5.5280931920276846</v>
      </c>
      <c r="F2580" s="24"/>
      <c r="G2580" s="24"/>
      <c r="H2580" s="24"/>
      <c r="I2580" s="24"/>
      <c r="J2580" s="3"/>
      <c r="O2580" s="8"/>
      <c r="P2580" s="20"/>
      <c r="Q2580" s="20"/>
      <c r="R2580" s="20"/>
      <c r="S2580" s="8"/>
      <c r="T2580" s="8"/>
      <c r="U2580" s="8"/>
      <c r="V2580" s="8"/>
      <c r="W2580" s="8"/>
      <c r="X2580" s="8"/>
      <c r="Y2580" s="8"/>
      <c r="Z2580" s="8"/>
    </row>
    <row r="2581" spans="4:26" ht="15" thickBot="1" x14ac:dyDescent="0.35">
      <c r="D2581" s="2">
        <f t="shared" si="80"/>
        <v>2575</v>
      </c>
      <c r="E2581" s="6">
        <v>10.821078551111361</v>
      </c>
      <c r="F2581" s="24"/>
      <c r="G2581" s="24"/>
      <c r="H2581" s="24"/>
      <c r="I2581" s="24"/>
      <c r="J2581" s="3"/>
      <c r="O2581" s="8"/>
      <c r="P2581" s="20"/>
      <c r="Q2581" s="20"/>
      <c r="R2581" s="20"/>
      <c r="S2581" s="8"/>
      <c r="T2581" s="8"/>
      <c r="U2581" s="8"/>
      <c r="V2581" s="8"/>
      <c r="W2581" s="8"/>
      <c r="X2581" s="8"/>
      <c r="Y2581" s="8"/>
      <c r="Z2581" s="8"/>
    </row>
    <row r="2582" spans="4:26" ht="15" thickBot="1" x14ac:dyDescent="0.35">
      <c r="D2582" s="2">
        <f t="shared" si="80"/>
        <v>2576</v>
      </c>
      <c r="E2582" s="6">
        <v>0.46564407718634721</v>
      </c>
      <c r="F2582" s="24"/>
      <c r="G2582" s="24"/>
      <c r="H2582" s="24"/>
      <c r="I2582" s="24"/>
      <c r="J2582" s="3"/>
      <c r="O2582" s="8"/>
      <c r="P2582" s="20"/>
      <c r="Q2582" s="20"/>
      <c r="R2582" s="20"/>
      <c r="S2582" s="8"/>
      <c r="T2582" s="8"/>
      <c r="U2582" s="8"/>
      <c r="V2582" s="8"/>
      <c r="W2582" s="8"/>
      <c r="X2582" s="8"/>
      <c r="Y2582" s="8"/>
      <c r="Z2582" s="8"/>
    </row>
    <row r="2583" spans="4:26" ht="15" thickBot="1" x14ac:dyDescent="0.35">
      <c r="D2583" s="2">
        <f t="shared" si="80"/>
        <v>2577</v>
      </c>
      <c r="E2583" s="6">
        <v>1.8594993437026808</v>
      </c>
      <c r="F2583" s="24"/>
      <c r="G2583" s="24"/>
      <c r="H2583" s="24"/>
      <c r="I2583" s="24"/>
      <c r="J2583" s="3"/>
      <c r="O2583" s="8"/>
      <c r="P2583" s="20"/>
      <c r="Q2583" s="20"/>
      <c r="R2583" s="20"/>
      <c r="S2583" s="8"/>
      <c r="T2583" s="8"/>
      <c r="U2583" s="8"/>
      <c r="V2583" s="8"/>
      <c r="W2583" s="8"/>
      <c r="X2583" s="8"/>
      <c r="Y2583" s="8"/>
      <c r="Z2583" s="8"/>
    </row>
    <row r="2584" spans="4:26" ht="15" thickBot="1" x14ac:dyDescent="0.35">
      <c r="D2584" s="2">
        <f t="shared" si="80"/>
        <v>2578</v>
      </c>
      <c r="E2584" s="6">
        <v>13.323316250495445</v>
      </c>
      <c r="F2584" s="24"/>
      <c r="G2584" s="24"/>
      <c r="H2584" s="24"/>
      <c r="I2584" s="24"/>
      <c r="J2584" s="3"/>
      <c r="O2584" s="8"/>
      <c r="P2584" s="20"/>
      <c r="Q2584" s="20"/>
      <c r="R2584" s="20"/>
      <c r="S2584" s="8"/>
      <c r="T2584" s="8"/>
      <c r="U2584" s="8"/>
      <c r="V2584" s="8"/>
      <c r="W2584" s="8"/>
      <c r="X2584" s="8"/>
      <c r="Y2584" s="8"/>
      <c r="Z2584" s="8"/>
    </row>
    <row r="2585" spans="4:26" ht="15" thickBot="1" x14ac:dyDescent="0.35">
      <c r="D2585" s="2">
        <f t="shared" si="80"/>
        <v>2579</v>
      </c>
      <c r="E2585" s="6">
        <v>0.49680717646470113</v>
      </c>
      <c r="F2585" s="24"/>
      <c r="G2585" s="24"/>
      <c r="H2585" s="24"/>
      <c r="I2585" s="24"/>
      <c r="J2585" s="3"/>
      <c r="O2585" s="8"/>
      <c r="P2585" s="20"/>
      <c r="Q2585" s="20"/>
      <c r="R2585" s="20"/>
      <c r="S2585" s="8"/>
      <c r="T2585" s="8"/>
      <c r="U2585" s="8"/>
      <c r="V2585" s="8"/>
      <c r="W2585" s="8"/>
      <c r="X2585" s="8"/>
      <c r="Y2585" s="8"/>
      <c r="Z2585" s="8"/>
    </row>
    <row r="2586" spans="4:26" ht="15" thickBot="1" x14ac:dyDescent="0.35">
      <c r="D2586" s="2">
        <f t="shared" si="80"/>
        <v>2580</v>
      </c>
      <c r="E2586" s="6">
        <v>11.733965695026091</v>
      </c>
      <c r="F2586" s="24"/>
      <c r="G2586" s="24"/>
      <c r="H2586" s="24"/>
      <c r="I2586" s="24"/>
      <c r="J2586" s="3"/>
      <c r="O2586" s="8"/>
      <c r="P2586" s="20"/>
      <c r="Q2586" s="20"/>
      <c r="R2586" s="20"/>
      <c r="S2586" s="8"/>
      <c r="T2586" s="8"/>
      <c r="U2586" s="8"/>
      <c r="V2586" s="8"/>
      <c r="W2586" s="8"/>
      <c r="X2586" s="8"/>
      <c r="Y2586" s="8"/>
      <c r="Z2586" s="8"/>
    </row>
    <row r="2587" spans="4:26" ht="15" thickBot="1" x14ac:dyDescent="0.35">
      <c r="D2587" s="2">
        <f t="shared" si="80"/>
        <v>2581</v>
      </c>
      <c r="E2587" s="6">
        <v>1.6237616623618547</v>
      </c>
      <c r="F2587" s="24"/>
      <c r="G2587" s="24"/>
      <c r="H2587" s="24"/>
      <c r="I2587" s="24"/>
      <c r="J2587" s="3"/>
      <c r="O2587" s="8"/>
      <c r="P2587" s="20"/>
      <c r="Q2587" s="20"/>
      <c r="R2587" s="20"/>
      <c r="S2587" s="8"/>
      <c r="T2587" s="8"/>
      <c r="U2587" s="8"/>
      <c r="V2587" s="8"/>
      <c r="W2587" s="8"/>
      <c r="X2587" s="8"/>
      <c r="Y2587" s="8"/>
      <c r="Z2587" s="8"/>
    </row>
    <row r="2588" spans="4:26" ht="15" thickBot="1" x14ac:dyDescent="0.35">
      <c r="D2588" s="2">
        <f t="shared" si="80"/>
        <v>2582</v>
      </c>
      <c r="E2588" s="6">
        <v>0.98549722758589209</v>
      </c>
      <c r="F2588" s="24"/>
      <c r="G2588" s="24"/>
      <c r="H2588" s="24"/>
      <c r="I2588" s="24"/>
      <c r="J2588" s="3"/>
      <c r="O2588" s="8"/>
      <c r="P2588" s="20"/>
      <c r="Q2588" s="20"/>
      <c r="R2588" s="20"/>
      <c r="S2588" s="8"/>
      <c r="T2588" s="8"/>
      <c r="U2588" s="8"/>
      <c r="V2588" s="8"/>
      <c r="W2588" s="8"/>
      <c r="X2588" s="8"/>
      <c r="Y2588" s="8"/>
      <c r="Z2588" s="8"/>
    </row>
    <row r="2589" spans="4:26" ht="15" thickBot="1" x14ac:dyDescent="0.35">
      <c r="D2589" s="2">
        <f t="shared" si="80"/>
        <v>2583</v>
      </c>
      <c r="E2589" s="6">
        <v>4.742519884090254</v>
      </c>
      <c r="F2589" s="24"/>
      <c r="G2589" s="24"/>
      <c r="H2589" s="24"/>
      <c r="I2589" s="24"/>
      <c r="J2589" s="3"/>
      <c r="O2589" s="8"/>
      <c r="P2589" s="20"/>
      <c r="Q2589" s="20"/>
      <c r="R2589" s="20"/>
      <c r="S2589" s="8"/>
      <c r="T2589" s="8"/>
      <c r="U2589" s="8"/>
      <c r="V2589" s="8"/>
      <c r="W2589" s="8"/>
      <c r="X2589" s="8"/>
      <c r="Y2589" s="8"/>
      <c r="Z2589" s="8"/>
    </row>
    <row r="2590" spans="4:26" ht="15" thickBot="1" x14ac:dyDescent="0.35">
      <c r="D2590" s="2">
        <f t="shared" si="80"/>
        <v>2584</v>
      </c>
      <c r="E2590" s="6">
        <v>1.149082638843727</v>
      </c>
      <c r="F2590" s="24"/>
      <c r="G2590" s="24"/>
      <c r="H2590" s="24"/>
      <c r="I2590" s="24"/>
      <c r="J2590" s="3"/>
      <c r="O2590" s="8"/>
      <c r="P2590" s="20"/>
      <c r="Q2590" s="20"/>
      <c r="R2590" s="20"/>
      <c r="S2590" s="8"/>
      <c r="T2590" s="8"/>
      <c r="U2590" s="8"/>
      <c r="V2590" s="8"/>
      <c r="W2590" s="8"/>
      <c r="X2590" s="8"/>
      <c r="Y2590" s="8"/>
      <c r="Z2590" s="8"/>
    </row>
    <row r="2591" spans="4:26" ht="15" thickBot="1" x14ac:dyDescent="0.35">
      <c r="D2591" s="2">
        <f t="shared" si="80"/>
        <v>2585</v>
      </c>
      <c r="E2591" s="6">
        <v>2.8958053296041992</v>
      </c>
      <c r="F2591" s="24"/>
      <c r="G2591" s="24"/>
      <c r="H2591" s="24"/>
      <c r="I2591" s="24"/>
      <c r="J2591" s="3"/>
      <c r="O2591" s="8"/>
      <c r="P2591" s="20"/>
      <c r="Q2591" s="20"/>
      <c r="R2591" s="20"/>
      <c r="S2591" s="8"/>
      <c r="T2591" s="8"/>
      <c r="U2591" s="8"/>
      <c r="V2591" s="8"/>
      <c r="W2591" s="8"/>
      <c r="X2591" s="8"/>
      <c r="Y2591" s="8"/>
      <c r="Z2591" s="8"/>
    </row>
    <row r="2592" spans="4:26" ht="15" thickBot="1" x14ac:dyDescent="0.35">
      <c r="D2592" s="2">
        <f t="shared" si="80"/>
        <v>2586</v>
      </c>
      <c r="E2592" s="6">
        <v>2.7097594110159431</v>
      </c>
      <c r="F2592" s="24"/>
      <c r="G2592" s="24"/>
      <c r="H2592" s="24"/>
      <c r="I2592" s="24"/>
      <c r="J2592" s="3"/>
      <c r="O2592" s="8"/>
      <c r="P2592" s="20"/>
      <c r="Q2592" s="20"/>
      <c r="R2592" s="20"/>
      <c r="S2592" s="8"/>
      <c r="T2592" s="8"/>
      <c r="U2592" s="8"/>
      <c r="V2592" s="8"/>
      <c r="W2592" s="8"/>
      <c r="X2592" s="8"/>
      <c r="Y2592" s="8"/>
      <c r="Z2592" s="8"/>
    </row>
    <row r="2593" spans="4:26" ht="15" thickBot="1" x14ac:dyDescent="0.35">
      <c r="D2593" s="2">
        <f t="shared" si="80"/>
        <v>2587</v>
      </c>
      <c r="E2593" s="6">
        <v>13.941460577296269</v>
      </c>
      <c r="F2593" s="24"/>
      <c r="G2593" s="24"/>
      <c r="H2593" s="24"/>
      <c r="I2593" s="24"/>
      <c r="J2593" s="3"/>
      <c r="O2593" s="8"/>
      <c r="P2593" s="20"/>
      <c r="Q2593" s="20"/>
      <c r="R2593" s="20"/>
      <c r="S2593" s="8"/>
      <c r="T2593" s="8"/>
      <c r="U2593" s="8"/>
      <c r="V2593" s="8"/>
      <c r="W2593" s="8"/>
      <c r="X2593" s="8"/>
      <c r="Y2593" s="8"/>
      <c r="Z2593" s="8"/>
    </row>
    <row r="2594" spans="4:26" ht="15" thickBot="1" x14ac:dyDescent="0.35">
      <c r="D2594" s="2">
        <f t="shared" si="80"/>
        <v>2588</v>
      </c>
      <c r="E2594" s="6">
        <v>3.8417615450161153</v>
      </c>
      <c r="F2594" s="24"/>
      <c r="G2594" s="24"/>
      <c r="H2594" s="24"/>
      <c r="I2594" s="24"/>
      <c r="J2594" s="3"/>
      <c r="O2594" s="8"/>
      <c r="P2594" s="20"/>
      <c r="Q2594" s="20"/>
      <c r="R2594" s="20"/>
      <c r="S2594" s="8"/>
      <c r="T2594" s="8"/>
      <c r="U2594" s="8"/>
      <c r="V2594" s="8"/>
      <c r="W2594" s="8"/>
      <c r="X2594" s="8"/>
      <c r="Y2594" s="8"/>
      <c r="Z2594" s="8"/>
    </row>
    <row r="2595" spans="4:26" ht="15" thickBot="1" x14ac:dyDescent="0.35">
      <c r="D2595" s="2">
        <f t="shared" si="80"/>
        <v>2589</v>
      </c>
      <c r="E2595" s="6">
        <v>6.3550855647298397</v>
      </c>
      <c r="F2595" s="24"/>
      <c r="G2595" s="24"/>
      <c r="H2595" s="24"/>
      <c r="I2595" s="24"/>
      <c r="J2595" s="3"/>
      <c r="O2595" s="8"/>
      <c r="P2595" s="20"/>
      <c r="Q2595" s="20"/>
      <c r="R2595" s="20"/>
      <c r="S2595" s="8"/>
      <c r="T2595" s="8"/>
      <c r="U2595" s="8"/>
      <c r="V2595" s="8"/>
      <c r="W2595" s="8"/>
      <c r="X2595" s="8"/>
      <c r="Y2595" s="8"/>
      <c r="Z2595" s="8"/>
    </row>
    <row r="2596" spans="4:26" ht="15" thickBot="1" x14ac:dyDescent="0.35">
      <c r="D2596" s="2">
        <f t="shared" si="80"/>
        <v>2590</v>
      </c>
      <c r="E2596" s="6">
        <v>4.5054200083023606</v>
      </c>
      <c r="F2596" s="24"/>
      <c r="G2596" s="24"/>
      <c r="H2596" s="24"/>
      <c r="I2596" s="24"/>
      <c r="J2596" s="3"/>
      <c r="O2596" s="8"/>
      <c r="P2596" s="20"/>
      <c r="Q2596" s="20"/>
      <c r="R2596" s="20"/>
      <c r="S2596" s="8"/>
      <c r="T2596" s="8"/>
      <c r="U2596" s="8"/>
      <c r="V2596" s="8"/>
      <c r="W2596" s="8"/>
      <c r="X2596" s="8"/>
      <c r="Y2596" s="8"/>
      <c r="Z2596" s="8"/>
    </row>
    <row r="2597" spans="4:26" ht="15" thickBot="1" x14ac:dyDescent="0.35">
      <c r="D2597" s="2">
        <f t="shared" si="80"/>
        <v>2591</v>
      </c>
      <c r="E2597" s="6">
        <v>0.88335326108490775</v>
      </c>
      <c r="F2597" s="24"/>
      <c r="G2597" s="24"/>
      <c r="H2597" s="24"/>
      <c r="I2597" s="24"/>
      <c r="J2597" s="3"/>
      <c r="O2597" s="8"/>
      <c r="P2597" s="20"/>
      <c r="Q2597" s="20"/>
      <c r="R2597" s="20"/>
      <c r="S2597" s="8"/>
      <c r="T2597" s="8"/>
      <c r="U2597" s="8"/>
      <c r="V2597" s="8"/>
      <c r="W2597" s="8"/>
      <c r="X2597" s="8"/>
      <c r="Y2597" s="8"/>
      <c r="Z2597" s="8"/>
    </row>
    <row r="2598" spans="4:26" ht="15" thickBot="1" x14ac:dyDescent="0.35">
      <c r="D2598" s="2">
        <f t="shared" si="80"/>
        <v>2592</v>
      </c>
      <c r="E2598" s="6">
        <v>1.0614681600256912</v>
      </c>
      <c r="F2598" s="24"/>
      <c r="G2598" s="24"/>
      <c r="H2598" s="24"/>
      <c r="I2598" s="24"/>
      <c r="J2598" s="3"/>
      <c r="O2598" s="8"/>
      <c r="P2598" s="20"/>
      <c r="Q2598" s="20"/>
      <c r="R2598" s="20"/>
      <c r="S2598" s="8"/>
      <c r="T2598" s="8"/>
      <c r="U2598" s="8"/>
      <c r="V2598" s="8"/>
      <c r="W2598" s="8"/>
      <c r="X2598" s="8"/>
      <c r="Y2598" s="8"/>
      <c r="Z2598" s="8"/>
    </row>
    <row r="2599" spans="4:26" ht="15" thickBot="1" x14ac:dyDescent="0.35">
      <c r="D2599" s="2">
        <f t="shared" si="80"/>
        <v>2593</v>
      </c>
      <c r="E2599" s="6">
        <v>9.6109434673090828</v>
      </c>
      <c r="F2599" s="24"/>
      <c r="G2599" s="24"/>
      <c r="H2599" s="24"/>
      <c r="I2599" s="24"/>
      <c r="J2599" s="3"/>
      <c r="O2599" s="8"/>
      <c r="P2599" s="20"/>
      <c r="Q2599" s="20"/>
      <c r="R2599" s="20"/>
      <c r="S2599" s="8"/>
      <c r="T2599" s="8"/>
      <c r="U2599" s="8"/>
      <c r="V2599" s="8"/>
      <c r="W2599" s="8"/>
      <c r="X2599" s="8"/>
      <c r="Y2599" s="8"/>
      <c r="Z2599" s="8"/>
    </row>
    <row r="2600" spans="4:26" ht="15" thickBot="1" x14ac:dyDescent="0.35">
      <c r="D2600" s="2">
        <f t="shared" si="80"/>
        <v>2594</v>
      </c>
      <c r="E2600" s="6">
        <v>0.70659238891008525</v>
      </c>
      <c r="F2600" s="24"/>
      <c r="G2600" s="24"/>
      <c r="H2600" s="24"/>
      <c r="I2600" s="24"/>
      <c r="J2600" s="3"/>
      <c r="O2600" s="8"/>
      <c r="P2600" s="20"/>
      <c r="Q2600" s="20"/>
      <c r="R2600" s="20"/>
      <c r="S2600" s="8"/>
      <c r="T2600" s="8"/>
      <c r="U2600" s="8"/>
      <c r="V2600" s="8"/>
      <c r="W2600" s="8"/>
      <c r="X2600" s="8"/>
      <c r="Y2600" s="8"/>
      <c r="Z2600" s="8"/>
    </row>
    <row r="2601" spans="4:26" ht="15" thickBot="1" x14ac:dyDescent="0.35">
      <c r="D2601" s="2">
        <f t="shared" si="80"/>
        <v>2595</v>
      </c>
      <c r="E2601" s="6">
        <v>11.027918222998441</v>
      </c>
      <c r="F2601" s="24"/>
      <c r="G2601" s="24"/>
      <c r="H2601" s="24"/>
      <c r="I2601" s="24"/>
      <c r="J2601" s="3"/>
      <c r="O2601" s="8"/>
      <c r="P2601" s="20"/>
      <c r="Q2601" s="20"/>
      <c r="R2601" s="20"/>
      <c r="S2601" s="8"/>
      <c r="T2601" s="8"/>
      <c r="U2601" s="8"/>
      <c r="V2601" s="8"/>
      <c r="W2601" s="8"/>
      <c r="X2601" s="8"/>
      <c r="Y2601" s="8"/>
      <c r="Z2601" s="8"/>
    </row>
    <row r="2602" spans="4:26" ht="15" thickBot="1" x14ac:dyDescent="0.35">
      <c r="D2602" s="2">
        <f t="shared" si="80"/>
        <v>2596</v>
      </c>
      <c r="E2602" s="6">
        <v>9.7515097322719058</v>
      </c>
      <c r="F2602" s="24"/>
      <c r="G2602" s="24"/>
      <c r="H2602" s="24"/>
      <c r="I2602" s="24"/>
      <c r="J2602" s="3"/>
      <c r="O2602" s="8"/>
      <c r="P2602" s="20"/>
      <c r="Q2602" s="20"/>
      <c r="R2602" s="20"/>
      <c r="S2602" s="8"/>
      <c r="T2602" s="8"/>
      <c r="U2602" s="8"/>
      <c r="V2602" s="8"/>
      <c r="W2602" s="8"/>
      <c r="X2602" s="8"/>
      <c r="Y2602" s="8"/>
      <c r="Z2602" s="8"/>
    </row>
    <row r="2603" spans="4:26" ht="15" thickBot="1" x14ac:dyDescent="0.35">
      <c r="D2603" s="2">
        <f t="shared" si="80"/>
        <v>2597</v>
      </c>
      <c r="E2603" s="6">
        <v>3.0397432713511785</v>
      </c>
      <c r="F2603" s="24"/>
      <c r="G2603" s="24"/>
      <c r="H2603" s="24"/>
      <c r="I2603" s="24"/>
      <c r="J2603" s="3"/>
      <c r="O2603" s="8"/>
      <c r="P2603" s="20"/>
      <c r="Q2603" s="20"/>
      <c r="R2603" s="20"/>
      <c r="S2603" s="8"/>
      <c r="T2603" s="8"/>
      <c r="U2603" s="8"/>
      <c r="V2603" s="8"/>
      <c r="W2603" s="8"/>
      <c r="X2603" s="8"/>
      <c r="Y2603" s="8"/>
      <c r="Z2603" s="8"/>
    </row>
    <row r="2604" spans="4:26" ht="15" thickBot="1" x14ac:dyDescent="0.35">
      <c r="D2604" s="2">
        <f t="shared" si="80"/>
        <v>2598</v>
      </c>
      <c r="E2604" s="6">
        <v>2.9746088594411049</v>
      </c>
      <c r="F2604" s="24"/>
      <c r="G2604" s="24"/>
      <c r="H2604" s="24"/>
      <c r="I2604" s="24"/>
      <c r="J2604" s="3"/>
      <c r="O2604" s="8"/>
      <c r="P2604" s="20"/>
      <c r="Q2604" s="20"/>
      <c r="R2604" s="20"/>
      <c r="S2604" s="8"/>
      <c r="T2604" s="8"/>
      <c r="U2604" s="8"/>
      <c r="V2604" s="8"/>
      <c r="W2604" s="8"/>
      <c r="X2604" s="8"/>
      <c r="Y2604" s="8"/>
      <c r="Z2604" s="8"/>
    </row>
    <row r="2605" spans="4:26" ht="15" thickBot="1" x14ac:dyDescent="0.35">
      <c r="D2605" s="2">
        <f t="shared" si="80"/>
        <v>2599</v>
      </c>
      <c r="E2605" s="6">
        <v>2.4647734026022592</v>
      </c>
      <c r="F2605" s="24"/>
      <c r="G2605" s="24"/>
      <c r="H2605" s="24"/>
      <c r="I2605" s="24"/>
      <c r="J2605" s="3"/>
      <c r="O2605" s="8"/>
      <c r="P2605" s="20"/>
      <c r="Q2605" s="20"/>
      <c r="R2605" s="20"/>
      <c r="S2605" s="8"/>
      <c r="T2605" s="8"/>
      <c r="U2605" s="8"/>
      <c r="V2605" s="8"/>
      <c r="W2605" s="8"/>
      <c r="X2605" s="8"/>
      <c r="Y2605" s="8"/>
      <c r="Z2605" s="8"/>
    </row>
    <row r="2606" spans="4:26" ht="15" thickBot="1" x14ac:dyDescent="0.35">
      <c r="D2606" s="2">
        <f t="shared" si="80"/>
        <v>2600</v>
      </c>
      <c r="E2606" s="6">
        <v>1.3862563944477295</v>
      </c>
      <c r="F2606" s="24"/>
      <c r="G2606" s="24"/>
      <c r="H2606" s="24"/>
      <c r="I2606" s="24"/>
      <c r="J2606" s="3"/>
      <c r="O2606" s="8"/>
      <c r="P2606" s="20"/>
      <c r="Q2606" s="20"/>
      <c r="R2606" s="20"/>
      <c r="S2606" s="8"/>
      <c r="T2606" s="8"/>
      <c r="U2606" s="8"/>
      <c r="V2606" s="8"/>
      <c r="W2606" s="8"/>
      <c r="X2606" s="8"/>
      <c r="Y2606" s="8"/>
      <c r="Z2606" s="8"/>
    </row>
    <row r="2607" spans="4:26" ht="15" thickBot="1" x14ac:dyDescent="0.35">
      <c r="D2607" s="2">
        <f t="shared" si="80"/>
        <v>2601</v>
      </c>
      <c r="E2607" s="6">
        <v>0.50255344098733612</v>
      </c>
      <c r="F2607" s="24"/>
      <c r="G2607" s="24"/>
      <c r="H2607" s="24"/>
      <c r="I2607" s="24"/>
      <c r="J2607" s="3"/>
      <c r="O2607" s="8"/>
      <c r="P2607" s="20"/>
      <c r="Q2607" s="20"/>
      <c r="R2607" s="20"/>
      <c r="S2607" s="8"/>
      <c r="T2607" s="8"/>
      <c r="U2607" s="8"/>
      <c r="V2607" s="8"/>
      <c r="W2607" s="8"/>
      <c r="X2607" s="8"/>
      <c r="Y2607" s="8"/>
      <c r="Z2607" s="8"/>
    </row>
    <row r="2608" spans="4:26" ht="15" thickBot="1" x14ac:dyDescent="0.35">
      <c r="D2608" s="2">
        <f t="shared" si="80"/>
        <v>2602</v>
      </c>
      <c r="E2608" s="6">
        <v>0.42723875898243951</v>
      </c>
      <c r="F2608" s="24"/>
      <c r="G2608" s="24"/>
      <c r="H2608" s="24"/>
      <c r="I2608" s="24"/>
      <c r="J2608" s="3"/>
      <c r="O2608" s="8"/>
      <c r="P2608" s="20"/>
      <c r="Q2608" s="20"/>
      <c r="R2608" s="20"/>
      <c r="S2608" s="8"/>
      <c r="T2608" s="8"/>
      <c r="U2608" s="8"/>
      <c r="V2608" s="8"/>
      <c r="W2608" s="8"/>
      <c r="X2608" s="8"/>
      <c r="Y2608" s="8"/>
      <c r="Z2608" s="8"/>
    </row>
    <row r="2609" spans="4:26" ht="15" thickBot="1" x14ac:dyDescent="0.35">
      <c r="D2609" s="2">
        <f t="shared" si="80"/>
        <v>2603</v>
      </c>
      <c r="E2609" s="6">
        <v>1.9958089834503159</v>
      </c>
      <c r="F2609" s="24"/>
      <c r="G2609" s="24"/>
      <c r="H2609" s="24"/>
      <c r="I2609" s="24"/>
      <c r="J2609" s="3"/>
      <c r="O2609" s="8"/>
      <c r="P2609" s="20"/>
      <c r="Q2609" s="20"/>
      <c r="R2609" s="20"/>
      <c r="S2609" s="8"/>
      <c r="T2609" s="8"/>
      <c r="U2609" s="8"/>
      <c r="V2609" s="8"/>
      <c r="W2609" s="8"/>
      <c r="X2609" s="8"/>
      <c r="Y2609" s="8"/>
      <c r="Z2609" s="8"/>
    </row>
    <row r="2610" spans="4:26" ht="15" thickBot="1" x14ac:dyDescent="0.35">
      <c r="D2610" s="2">
        <f t="shared" si="80"/>
        <v>2604</v>
      </c>
      <c r="E2610" s="6">
        <v>1.3682756696410316</v>
      </c>
      <c r="F2610" s="24"/>
      <c r="G2610" s="24"/>
      <c r="H2610" s="24"/>
      <c r="I2610" s="24"/>
      <c r="J2610" s="3"/>
      <c r="O2610" s="8"/>
      <c r="P2610" s="20"/>
      <c r="Q2610" s="20"/>
      <c r="R2610" s="20"/>
      <c r="S2610" s="8"/>
      <c r="T2610" s="8"/>
      <c r="U2610" s="8"/>
      <c r="V2610" s="8"/>
      <c r="W2610" s="8"/>
      <c r="X2610" s="8"/>
      <c r="Y2610" s="8"/>
      <c r="Z2610" s="8"/>
    </row>
    <row r="2611" spans="4:26" ht="15" thickBot="1" x14ac:dyDescent="0.35">
      <c r="D2611" s="2">
        <f t="shared" si="80"/>
        <v>2605</v>
      </c>
      <c r="E2611" s="6">
        <v>9.5443709834176644</v>
      </c>
      <c r="F2611" s="24"/>
      <c r="G2611" s="24"/>
      <c r="H2611" s="24"/>
      <c r="I2611" s="24"/>
      <c r="J2611" s="3"/>
      <c r="O2611" s="8"/>
      <c r="P2611" s="20"/>
      <c r="Q2611" s="20"/>
      <c r="R2611" s="20"/>
      <c r="S2611" s="8"/>
      <c r="T2611" s="8"/>
      <c r="U2611" s="8"/>
      <c r="V2611" s="8"/>
      <c r="W2611" s="8"/>
      <c r="X2611" s="8"/>
      <c r="Y2611" s="8"/>
      <c r="Z2611" s="8"/>
    </row>
    <row r="2612" spans="4:26" ht="15" thickBot="1" x14ac:dyDescent="0.35">
      <c r="D2612" s="2">
        <f t="shared" si="80"/>
        <v>2606</v>
      </c>
      <c r="E2612" s="6">
        <v>0.50386527873485765</v>
      </c>
      <c r="F2612" s="24"/>
      <c r="G2612" s="24"/>
      <c r="H2612" s="24"/>
      <c r="I2612" s="24"/>
      <c r="J2612" s="3"/>
      <c r="O2612" s="8"/>
      <c r="P2612" s="20"/>
      <c r="Q2612" s="20"/>
      <c r="R2612" s="20"/>
      <c r="S2612" s="8"/>
      <c r="T2612" s="8"/>
      <c r="U2612" s="8"/>
      <c r="V2612" s="8"/>
      <c r="W2612" s="8"/>
      <c r="X2612" s="8"/>
      <c r="Y2612" s="8"/>
      <c r="Z2612" s="8"/>
    </row>
    <row r="2613" spans="4:26" ht="15" thickBot="1" x14ac:dyDescent="0.35">
      <c r="D2613" s="2">
        <f t="shared" si="80"/>
        <v>2607</v>
      </c>
      <c r="E2613" s="6">
        <v>5.6280897429341954E-2</v>
      </c>
      <c r="F2613" s="24"/>
      <c r="G2613" s="24"/>
      <c r="H2613" s="24"/>
      <c r="I2613" s="24"/>
      <c r="J2613" s="3"/>
      <c r="O2613" s="8"/>
      <c r="P2613" s="20"/>
      <c r="Q2613" s="20"/>
      <c r="R2613" s="20"/>
      <c r="S2613" s="8"/>
      <c r="T2613" s="8"/>
      <c r="U2613" s="8"/>
      <c r="V2613" s="8"/>
      <c r="W2613" s="8"/>
      <c r="X2613" s="8"/>
      <c r="Y2613" s="8"/>
      <c r="Z2613" s="8"/>
    </row>
    <row r="2614" spans="4:26" ht="15" thickBot="1" x14ac:dyDescent="0.35">
      <c r="D2614" s="2">
        <f t="shared" si="80"/>
        <v>2608</v>
      </c>
      <c r="E2614" s="6">
        <v>0.10922980481279096</v>
      </c>
      <c r="F2614" s="24"/>
      <c r="G2614" s="24"/>
      <c r="H2614" s="24"/>
      <c r="I2614" s="24"/>
      <c r="J2614" s="3"/>
      <c r="O2614" s="8"/>
      <c r="P2614" s="20"/>
      <c r="Q2614" s="20"/>
      <c r="R2614" s="20"/>
      <c r="S2614" s="8"/>
      <c r="T2614" s="8"/>
      <c r="U2614" s="8"/>
      <c r="V2614" s="8"/>
      <c r="W2614" s="8"/>
      <c r="X2614" s="8"/>
      <c r="Y2614" s="8"/>
      <c r="Z2614" s="8"/>
    </row>
    <row r="2615" spans="4:26" ht="15" thickBot="1" x14ac:dyDescent="0.35">
      <c r="D2615" s="2">
        <f t="shared" si="80"/>
        <v>2609</v>
      </c>
      <c r="E2615" s="6">
        <v>12.316451844578202</v>
      </c>
      <c r="F2615" s="24"/>
      <c r="G2615" s="24"/>
      <c r="H2615" s="24"/>
      <c r="I2615" s="24"/>
      <c r="J2615" s="3"/>
      <c r="O2615" s="8"/>
      <c r="P2615" s="20"/>
      <c r="Q2615" s="20"/>
      <c r="R2615" s="20"/>
      <c r="S2615" s="8"/>
      <c r="T2615" s="8"/>
      <c r="U2615" s="8"/>
      <c r="V2615" s="8"/>
      <c r="W2615" s="8"/>
      <c r="X2615" s="8"/>
      <c r="Y2615" s="8"/>
      <c r="Z2615" s="8"/>
    </row>
    <row r="2616" spans="4:26" ht="15" thickBot="1" x14ac:dyDescent="0.35">
      <c r="D2616" s="2">
        <f t="shared" si="80"/>
        <v>2610</v>
      </c>
      <c r="E2616" s="6">
        <v>5.6992699831835747</v>
      </c>
      <c r="F2616" s="24"/>
      <c r="G2616" s="24"/>
      <c r="H2616" s="24"/>
      <c r="I2616" s="24"/>
      <c r="J2616" s="3"/>
      <c r="O2616" s="8"/>
      <c r="P2616" s="20"/>
      <c r="Q2616" s="20"/>
      <c r="R2616" s="20"/>
      <c r="S2616" s="8"/>
      <c r="T2616" s="8"/>
      <c r="U2616" s="8"/>
      <c r="V2616" s="8"/>
      <c r="W2616" s="8"/>
      <c r="X2616" s="8"/>
      <c r="Y2616" s="8"/>
      <c r="Z2616" s="8"/>
    </row>
    <row r="2617" spans="4:26" ht="15" thickBot="1" x14ac:dyDescent="0.35">
      <c r="D2617" s="2">
        <f t="shared" si="80"/>
        <v>2611</v>
      </c>
      <c r="E2617" s="6">
        <v>2.8436610047279256</v>
      </c>
      <c r="F2617" s="24"/>
      <c r="G2617" s="24"/>
      <c r="H2617" s="24"/>
      <c r="I2617" s="24"/>
      <c r="J2617" s="3"/>
      <c r="O2617" s="8"/>
      <c r="P2617" s="20"/>
      <c r="Q2617" s="20"/>
      <c r="R2617" s="20"/>
      <c r="S2617" s="8"/>
      <c r="T2617" s="8"/>
      <c r="U2617" s="8"/>
      <c r="V2617" s="8"/>
      <c r="W2617" s="8"/>
      <c r="X2617" s="8"/>
      <c r="Y2617" s="8"/>
      <c r="Z2617" s="8"/>
    </row>
    <row r="2618" spans="4:26" ht="15" thickBot="1" x14ac:dyDescent="0.35">
      <c r="D2618" s="2">
        <f t="shared" si="80"/>
        <v>2612</v>
      </c>
      <c r="E2618" s="6">
        <v>0.13751898891349609</v>
      </c>
      <c r="F2618" s="24"/>
      <c r="G2618" s="24"/>
      <c r="H2618" s="24"/>
      <c r="I2618" s="24"/>
      <c r="J2618" s="3"/>
      <c r="O2618" s="8"/>
      <c r="P2618" s="20"/>
      <c r="Q2618" s="20"/>
      <c r="R2618" s="20"/>
      <c r="S2618" s="8"/>
      <c r="T2618" s="8"/>
      <c r="U2618" s="8"/>
      <c r="V2618" s="8"/>
      <c r="W2618" s="8"/>
      <c r="X2618" s="8"/>
      <c r="Y2618" s="8"/>
      <c r="Z2618" s="8"/>
    </row>
    <row r="2619" spans="4:26" ht="15" thickBot="1" x14ac:dyDescent="0.35">
      <c r="D2619" s="2">
        <f t="shared" si="80"/>
        <v>2613</v>
      </c>
      <c r="E2619" s="6">
        <v>9.2985640816895341</v>
      </c>
      <c r="F2619" s="24"/>
      <c r="G2619" s="24"/>
      <c r="H2619" s="24"/>
      <c r="I2619" s="24"/>
      <c r="J2619" s="3"/>
      <c r="O2619" s="8"/>
      <c r="P2619" s="20"/>
      <c r="Q2619" s="20"/>
      <c r="R2619" s="20"/>
      <c r="S2619" s="8"/>
      <c r="T2619" s="8"/>
      <c r="U2619" s="8"/>
      <c r="V2619" s="8"/>
      <c r="W2619" s="8"/>
      <c r="X2619" s="8"/>
      <c r="Y2619" s="8"/>
      <c r="Z2619" s="8"/>
    </row>
    <row r="2620" spans="4:26" ht="15" thickBot="1" x14ac:dyDescent="0.35">
      <c r="D2620" s="2">
        <f t="shared" si="80"/>
        <v>2614</v>
      </c>
      <c r="E2620" s="6">
        <v>0.55245443832535024</v>
      </c>
      <c r="F2620" s="24"/>
      <c r="G2620" s="24"/>
      <c r="H2620" s="24"/>
      <c r="I2620" s="24"/>
      <c r="J2620" s="3"/>
      <c r="O2620" s="8"/>
      <c r="P2620" s="20"/>
      <c r="Q2620" s="20"/>
      <c r="R2620" s="20"/>
      <c r="S2620" s="8"/>
      <c r="T2620" s="8"/>
      <c r="U2620" s="8"/>
      <c r="V2620" s="8"/>
      <c r="W2620" s="8"/>
      <c r="X2620" s="8"/>
      <c r="Y2620" s="8"/>
      <c r="Z2620" s="8"/>
    </row>
    <row r="2621" spans="4:26" ht="15" thickBot="1" x14ac:dyDescent="0.35">
      <c r="D2621" s="2">
        <f t="shared" si="80"/>
        <v>2615</v>
      </c>
      <c r="E2621" s="6">
        <v>10.09843981686635</v>
      </c>
      <c r="F2621" s="24"/>
      <c r="G2621" s="24"/>
      <c r="H2621" s="24"/>
      <c r="I2621" s="24"/>
      <c r="J2621" s="3"/>
      <c r="O2621" s="8"/>
      <c r="P2621" s="20"/>
      <c r="Q2621" s="20"/>
      <c r="R2621" s="20"/>
      <c r="S2621" s="8"/>
      <c r="T2621" s="8"/>
      <c r="U2621" s="8"/>
      <c r="V2621" s="8"/>
      <c r="W2621" s="8"/>
      <c r="X2621" s="8"/>
      <c r="Y2621" s="8"/>
      <c r="Z2621" s="8"/>
    </row>
    <row r="2622" spans="4:26" ht="15" thickBot="1" x14ac:dyDescent="0.35">
      <c r="D2622" s="2">
        <f t="shared" si="80"/>
        <v>2616</v>
      </c>
      <c r="E2622" s="6">
        <v>12.280907106699679</v>
      </c>
      <c r="F2622" s="24"/>
      <c r="G2622" s="24"/>
      <c r="H2622" s="24"/>
      <c r="I2622" s="24"/>
      <c r="J2622" s="3"/>
      <c r="O2622" s="8"/>
      <c r="P2622" s="20"/>
      <c r="Q2622" s="20"/>
      <c r="R2622" s="20"/>
      <c r="S2622" s="8"/>
      <c r="T2622" s="8"/>
      <c r="U2622" s="8"/>
      <c r="V2622" s="8"/>
      <c r="W2622" s="8"/>
      <c r="X2622" s="8"/>
      <c r="Y2622" s="8"/>
      <c r="Z2622" s="8"/>
    </row>
    <row r="2623" spans="4:26" ht="15" thickBot="1" x14ac:dyDescent="0.35">
      <c r="D2623" s="2">
        <f t="shared" si="80"/>
        <v>2617</v>
      </c>
      <c r="E2623" s="6">
        <v>3.6140916098238258</v>
      </c>
      <c r="F2623" s="24"/>
      <c r="G2623" s="24"/>
      <c r="H2623" s="24"/>
      <c r="I2623" s="24"/>
      <c r="J2623" s="3"/>
      <c r="O2623" s="8"/>
      <c r="P2623" s="20"/>
      <c r="Q2623" s="20"/>
      <c r="R2623" s="20"/>
      <c r="S2623" s="8"/>
      <c r="T2623" s="8"/>
      <c r="U2623" s="8"/>
      <c r="V2623" s="8"/>
      <c r="W2623" s="8"/>
      <c r="X2623" s="8"/>
      <c r="Y2623" s="8"/>
      <c r="Z2623" s="8"/>
    </row>
    <row r="2624" spans="4:26" ht="15" thickBot="1" x14ac:dyDescent="0.35">
      <c r="D2624" s="2">
        <f t="shared" si="80"/>
        <v>2618</v>
      </c>
      <c r="E2624" s="6">
        <v>2.8858185222111574</v>
      </c>
      <c r="F2624" s="24"/>
      <c r="G2624" s="24"/>
      <c r="H2624" s="24"/>
      <c r="I2624" s="24"/>
      <c r="J2624" s="3"/>
      <c r="O2624" s="8"/>
      <c r="P2624" s="20"/>
      <c r="Q2624" s="20"/>
      <c r="R2624" s="20"/>
      <c r="S2624" s="8"/>
      <c r="T2624" s="8"/>
      <c r="U2624" s="8"/>
      <c r="V2624" s="8"/>
      <c r="W2624" s="8"/>
      <c r="X2624" s="8"/>
      <c r="Y2624" s="8"/>
      <c r="Z2624" s="8"/>
    </row>
    <row r="2625" spans="4:26" ht="15" thickBot="1" x14ac:dyDescent="0.35">
      <c r="D2625" s="2">
        <f t="shared" si="80"/>
        <v>2619</v>
      </c>
      <c r="E2625" s="6">
        <v>3.4469549704393585</v>
      </c>
      <c r="F2625" s="24"/>
      <c r="G2625" s="24"/>
      <c r="H2625" s="24"/>
      <c r="I2625" s="24"/>
      <c r="J2625" s="3"/>
      <c r="O2625" s="8"/>
      <c r="P2625" s="20"/>
      <c r="Q2625" s="20"/>
      <c r="R2625" s="20"/>
      <c r="S2625" s="8"/>
      <c r="T2625" s="8"/>
      <c r="U2625" s="8"/>
      <c r="V2625" s="8"/>
      <c r="W2625" s="8"/>
      <c r="X2625" s="8"/>
      <c r="Y2625" s="8"/>
      <c r="Z2625" s="8"/>
    </row>
    <row r="2626" spans="4:26" ht="15" thickBot="1" x14ac:dyDescent="0.35">
      <c r="D2626" s="2">
        <f t="shared" si="80"/>
        <v>2620</v>
      </c>
      <c r="E2626" s="6">
        <v>3.9992710824955142</v>
      </c>
      <c r="F2626" s="24"/>
      <c r="G2626" s="24"/>
      <c r="H2626" s="24"/>
      <c r="I2626" s="24"/>
      <c r="J2626" s="3"/>
      <c r="O2626" s="8"/>
      <c r="P2626" s="20"/>
      <c r="Q2626" s="20"/>
      <c r="R2626" s="20"/>
      <c r="S2626" s="8"/>
      <c r="T2626" s="8"/>
      <c r="U2626" s="8"/>
      <c r="V2626" s="8"/>
      <c r="W2626" s="8"/>
      <c r="X2626" s="8"/>
      <c r="Y2626" s="8"/>
      <c r="Z2626" s="8"/>
    </row>
    <row r="2627" spans="4:26" ht="15" thickBot="1" x14ac:dyDescent="0.35">
      <c r="D2627" s="2">
        <f t="shared" si="80"/>
        <v>2621</v>
      </c>
      <c r="E2627" s="6">
        <v>1.8213563004329614</v>
      </c>
      <c r="F2627" s="24"/>
      <c r="G2627" s="24"/>
      <c r="H2627" s="24"/>
      <c r="I2627" s="24"/>
      <c r="J2627" s="3"/>
      <c r="O2627" s="8"/>
      <c r="P2627" s="20"/>
      <c r="Q2627" s="20"/>
      <c r="R2627" s="20"/>
      <c r="S2627" s="8"/>
      <c r="T2627" s="8"/>
      <c r="U2627" s="8"/>
      <c r="V2627" s="8"/>
      <c r="W2627" s="8"/>
      <c r="X2627" s="8"/>
      <c r="Y2627" s="8"/>
      <c r="Z2627" s="8"/>
    </row>
    <row r="2628" spans="4:26" ht="15" thickBot="1" x14ac:dyDescent="0.35">
      <c r="D2628" s="2">
        <f t="shared" si="80"/>
        <v>2622</v>
      </c>
      <c r="E2628" s="6">
        <v>4.9485772415615887</v>
      </c>
      <c r="F2628" s="24"/>
      <c r="G2628" s="24"/>
      <c r="H2628" s="24"/>
      <c r="I2628" s="24"/>
      <c r="J2628" s="3"/>
      <c r="O2628" s="8"/>
      <c r="P2628" s="20"/>
      <c r="Q2628" s="20"/>
      <c r="R2628" s="20"/>
      <c r="S2628" s="8"/>
      <c r="T2628" s="8"/>
      <c r="U2628" s="8"/>
      <c r="V2628" s="8"/>
      <c r="W2628" s="8"/>
      <c r="X2628" s="8"/>
      <c r="Y2628" s="8"/>
      <c r="Z2628" s="8"/>
    </row>
    <row r="2629" spans="4:26" ht="15" thickBot="1" x14ac:dyDescent="0.35">
      <c r="D2629" s="2">
        <f t="shared" si="80"/>
        <v>2623</v>
      </c>
      <c r="E2629" s="6">
        <v>5.2604567334731467</v>
      </c>
      <c r="F2629" s="24"/>
      <c r="G2629" s="24"/>
      <c r="H2629" s="24"/>
      <c r="I2629" s="24"/>
      <c r="J2629" s="3"/>
      <c r="O2629" s="8"/>
      <c r="P2629" s="20"/>
      <c r="Q2629" s="20"/>
      <c r="R2629" s="20"/>
      <c r="S2629" s="8"/>
      <c r="T2629" s="8"/>
      <c r="U2629" s="8"/>
      <c r="V2629" s="8"/>
      <c r="W2629" s="8"/>
      <c r="X2629" s="8"/>
      <c r="Y2629" s="8"/>
      <c r="Z2629" s="8"/>
    </row>
    <row r="2630" spans="4:26" ht="15" thickBot="1" x14ac:dyDescent="0.35">
      <c r="D2630" s="2">
        <f t="shared" si="80"/>
        <v>2624</v>
      </c>
      <c r="E2630" s="6">
        <v>0.28042041246709487</v>
      </c>
      <c r="F2630" s="24"/>
      <c r="G2630" s="24"/>
      <c r="H2630" s="24"/>
      <c r="I2630" s="24"/>
      <c r="J2630" s="3"/>
      <c r="O2630" s="8"/>
      <c r="P2630" s="20"/>
      <c r="Q2630" s="20"/>
      <c r="R2630" s="20"/>
      <c r="S2630" s="8"/>
      <c r="T2630" s="8"/>
      <c r="U2630" s="8"/>
      <c r="V2630" s="8"/>
      <c r="W2630" s="8"/>
      <c r="X2630" s="8"/>
      <c r="Y2630" s="8"/>
      <c r="Z2630" s="8"/>
    </row>
    <row r="2631" spans="4:26" ht="15" thickBot="1" x14ac:dyDescent="0.35">
      <c r="D2631" s="2">
        <f t="shared" ref="D2631:D2694" si="81">ROW()-6</f>
        <v>2625</v>
      </c>
      <c r="E2631" s="6">
        <v>0.15395306903893327</v>
      </c>
      <c r="F2631" s="24"/>
      <c r="G2631" s="24"/>
      <c r="H2631" s="24"/>
      <c r="I2631" s="24"/>
      <c r="J2631" s="3"/>
      <c r="O2631" s="8"/>
      <c r="P2631" s="20"/>
      <c r="Q2631" s="20"/>
      <c r="R2631" s="20"/>
      <c r="S2631" s="8"/>
      <c r="T2631" s="8"/>
      <c r="U2631" s="8"/>
      <c r="V2631" s="8"/>
      <c r="W2631" s="8"/>
      <c r="X2631" s="8"/>
      <c r="Y2631" s="8"/>
      <c r="Z2631" s="8"/>
    </row>
    <row r="2632" spans="4:26" ht="15" thickBot="1" x14ac:dyDescent="0.35">
      <c r="D2632" s="2">
        <f t="shared" si="81"/>
        <v>2626</v>
      </c>
      <c r="E2632" s="6">
        <v>3.3620017087251939</v>
      </c>
      <c r="F2632" s="24"/>
      <c r="G2632" s="24"/>
      <c r="H2632" s="24"/>
      <c r="I2632" s="24"/>
      <c r="J2632" s="3"/>
      <c r="O2632" s="8"/>
      <c r="P2632" s="20"/>
      <c r="Q2632" s="20"/>
      <c r="R2632" s="20"/>
      <c r="S2632" s="8"/>
      <c r="T2632" s="8"/>
      <c r="U2632" s="8"/>
      <c r="V2632" s="8"/>
      <c r="W2632" s="8"/>
      <c r="X2632" s="8"/>
      <c r="Y2632" s="8"/>
      <c r="Z2632" s="8"/>
    </row>
    <row r="2633" spans="4:26" ht="15" thickBot="1" x14ac:dyDescent="0.35">
      <c r="D2633" s="2">
        <f t="shared" si="81"/>
        <v>2627</v>
      </c>
      <c r="E2633" s="6">
        <v>11.041401527537335</v>
      </c>
      <c r="F2633" s="24"/>
      <c r="G2633" s="24"/>
      <c r="H2633" s="24"/>
      <c r="I2633" s="24"/>
      <c r="J2633" s="3"/>
      <c r="O2633" s="8"/>
      <c r="P2633" s="20"/>
      <c r="Q2633" s="20"/>
      <c r="R2633" s="20"/>
      <c r="S2633" s="8"/>
      <c r="T2633" s="8"/>
      <c r="U2633" s="8"/>
      <c r="V2633" s="8"/>
      <c r="W2633" s="8"/>
      <c r="X2633" s="8"/>
      <c r="Y2633" s="8"/>
      <c r="Z2633" s="8"/>
    </row>
    <row r="2634" spans="4:26" ht="15" thickBot="1" x14ac:dyDescent="0.35">
      <c r="D2634" s="2">
        <f t="shared" si="81"/>
        <v>2628</v>
      </c>
      <c r="E2634" s="6">
        <v>9.0749017387930593</v>
      </c>
      <c r="F2634" s="24"/>
      <c r="G2634" s="24"/>
      <c r="H2634" s="24"/>
      <c r="I2634" s="24"/>
      <c r="J2634" s="3"/>
      <c r="O2634" s="8"/>
      <c r="P2634" s="20"/>
      <c r="Q2634" s="20"/>
      <c r="R2634" s="20"/>
      <c r="S2634" s="8"/>
      <c r="T2634" s="8"/>
      <c r="U2634" s="8"/>
      <c r="V2634" s="8"/>
      <c r="W2634" s="8"/>
      <c r="X2634" s="8"/>
      <c r="Y2634" s="8"/>
      <c r="Z2634" s="8"/>
    </row>
    <row r="2635" spans="4:26" ht="15" thickBot="1" x14ac:dyDescent="0.35">
      <c r="D2635" s="2">
        <f t="shared" si="81"/>
        <v>2629</v>
      </c>
      <c r="E2635" s="6">
        <v>7.2393985114947776</v>
      </c>
      <c r="F2635" s="24"/>
      <c r="G2635" s="24"/>
      <c r="H2635" s="24"/>
      <c r="I2635" s="24"/>
      <c r="J2635" s="3"/>
      <c r="O2635" s="8"/>
      <c r="P2635" s="20"/>
      <c r="Q2635" s="20"/>
      <c r="R2635" s="20"/>
      <c r="S2635" s="8"/>
      <c r="T2635" s="8"/>
      <c r="U2635" s="8"/>
      <c r="V2635" s="8"/>
      <c r="W2635" s="8"/>
      <c r="X2635" s="8"/>
      <c r="Y2635" s="8"/>
      <c r="Z2635" s="8"/>
    </row>
    <row r="2636" spans="4:26" ht="15" thickBot="1" x14ac:dyDescent="0.35">
      <c r="D2636" s="2">
        <f t="shared" si="81"/>
        <v>2630</v>
      </c>
      <c r="E2636" s="6">
        <v>2.098289977324026</v>
      </c>
      <c r="F2636" s="24"/>
      <c r="G2636" s="24"/>
      <c r="H2636" s="24"/>
      <c r="I2636" s="24"/>
      <c r="J2636" s="3"/>
      <c r="O2636" s="8"/>
      <c r="P2636" s="20"/>
      <c r="Q2636" s="20"/>
      <c r="R2636" s="20"/>
      <c r="S2636" s="8"/>
      <c r="T2636" s="8"/>
      <c r="U2636" s="8"/>
      <c r="V2636" s="8"/>
      <c r="W2636" s="8"/>
      <c r="X2636" s="8"/>
      <c r="Y2636" s="8"/>
      <c r="Z2636" s="8"/>
    </row>
    <row r="2637" spans="4:26" ht="15" thickBot="1" x14ac:dyDescent="0.35">
      <c r="D2637" s="2">
        <f t="shared" si="81"/>
        <v>2631</v>
      </c>
      <c r="E2637" s="6">
        <v>0.13227057342702964</v>
      </c>
      <c r="F2637" s="24"/>
      <c r="G2637" s="24"/>
      <c r="H2637" s="24"/>
      <c r="I2637" s="24"/>
      <c r="J2637" s="3"/>
      <c r="O2637" s="8"/>
      <c r="P2637" s="20"/>
      <c r="Q2637" s="20"/>
      <c r="R2637" s="20"/>
      <c r="S2637" s="8"/>
      <c r="T2637" s="8"/>
      <c r="U2637" s="8"/>
      <c r="V2637" s="8"/>
      <c r="W2637" s="8"/>
      <c r="X2637" s="8"/>
      <c r="Y2637" s="8"/>
      <c r="Z2637" s="8"/>
    </row>
    <row r="2638" spans="4:26" ht="15" thickBot="1" x14ac:dyDescent="0.35">
      <c r="D2638" s="2">
        <f t="shared" si="81"/>
        <v>2632</v>
      </c>
      <c r="E2638" s="6">
        <v>4.0689559847959087</v>
      </c>
      <c r="F2638" s="24"/>
      <c r="G2638" s="24"/>
      <c r="H2638" s="24"/>
      <c r="I2638" s="24"/>
      <c r="J2638" s="3"/>
      <c r="O2638" s="8"/>
      <c r="P2638" s="20"/>
      <c r="Q2638" s="20"/>
      <c r="R2638" s="20"/>
      <c r="S2638" s="8"/>
      <c r="T2638" s="8"/>
      <c r="U2638" s="8"/>
      <c r="V2638" s="8"/>
      <c r="W2638" s="8"/>
      <c r="X2638" s="8"/>
      <c r="Y2638" s="8"/>
      <c r="Z2638" s="8"/>
    </row>
    <row r="2639" spans="4:26" ht="15" thickBot="1" x14ac:dyDescent="0.35">
      <c r="D2639" s="2">
        <f t="shared" si="81"/>
        <v>2633</v>
      </c>
      <c r="E2639" s="6">
        <v>3.3178552749643202E-2</v>
      </c>
      <c r="F2639" s="24"/>
      <c r="G2639" s="24"/>
      <c r="H2639" s="24"/>
      <c r="I2639" s="24"/>
      <c r="J2639" s="3"/>
      <c r="O2639" s="8"/>
      <c r="P2639" s="20"/>
      <c r="Q2639" s="20"/>
      <c r="R2639" s="20"/>
      <c r="S2639" s="8"/>
      <c r="T2639" s="8"/>
      <c r="U2639" s="8"/>
      <c r="V2639" s="8"/>
      <c r="W2639" s="8"/>
      <c r="X2639" s="8"/>
      <c r="Y2639" s="8"/>
      <c r="Z2639" s="8"/>
    </row>
    <row r="2640" spans="4:26" ht="15" thickBot="1" x14ac:dyDescent="0.35">
      <c r="D2640" s="2">
        <f t="shared" si="81"/>
        <v>2634</v>
      </c>
      <c r="E2640" s="6">
        <v>1.974754178577381</v>
      </c>
      <c r="F2640" s="24"/>
      <c r="G2640" s="24"/>
      <c r="H2640" s="24"/>
      <c r="I2640" s="24"/>
      <c r="J2640" s="3"/>
      <c r="O2640" s="8"/>
      <c r="P2640" s="20"/>
      <c r="Q2640" s="20"/>
      <c r="R2640" s="20"/>
      <c r="S2640" s="8"/>
      <c r="T2640" s="8"/>
      <c r="U2640" s="8"/>
      <c r="V2640" s="8"/>
      <c r="W2640" s="8"/>
      <c r="X2640" s="8"/>
      <c r="Y2640" s="8"/>
      <c r="Z2640" s="8"/>
    </row>
    <row r="2641" spans="4:26" ht="15" thickBot="1" x14ac:dyDescent="0.35">
      <c r="D2641" s="2">
        <f t="shared" si="81"/>
        <v>2635</v>
      </c>
      <c r="E2641" s="6">
        <v>0.78407394206348402</v>
      </c>
      <c r="F2641" s="24"/>
      <c r="G2641" s="24"/>
      <c r="H2641" s="24"/>
      <c r="I2641" s="24"/>
      <c r="J2641" s="3"/>
      <c r="O2641" s="8"/>
      <c r="P2641" s="20"/>
      <c r="Q2641" s="20"/>
      <c r="R2641" s="20"/>
      <c r="S2641" s="8"/>
      <c r="T2641" s="8"/>
      <c r="U2641" s="8"/>
      <c r="V2641" s="8"/>
      <c r="W2641" s="8"/>
      <c r="X2641" s="8"/>
      <c r="Y2641" s="8"/>
      <c r="Z2641" s="8"/>
    </row>
    <row r="2642" spans="4:26" ht="15" thickBot="1" x14ac:dyDescent="0.35">
      <c r="D2642" s="2">
        <f t="shared" si="81"/>
        <v>2636</v>
      </c>
      <c r="E2642" s="6">
        <v>1.0851454687510493</v>
      </c>
      <c r="F2642" s="24"/>
      <c r="G2642" s="24"/>
      <c r="H2642" s="24"/>
      <c r="I2642" s="24"/>
      <c r="J2642" s="3"/>
      <c r="O2642" s="8"/>
      <c r="P2642" s="20"/>
      <c r="Q2642" s="20"/>
      <c r="R2642" s="20"/>
      <c r="S2642" s="8"/>
      <c r="T2642" s="8"/>
      <c r="U2642" s="8"/>
      <c r="V2642" s="8"/>
      <c r="W2642" s="8"/>
      <c r="X2642" s="8"/>
      <c r="Y2642" s="8"/>
      <c r="Z2642" s="8"/>
    </row>
    <row r="2643" spans="4:26" ht="15" thickBot="1" x14ac:dyDescent="0.35">
      <c r="D2643" s="2">
        <f t="shared" si="81"/>
        <v>2637</v>
      </c>
      <c r="E2643" s="6">
        <v>2.3839136371054166</v>
      </c>
      <c r="F2643" s="24"/>
      <c r="G2643" s="24"/>
      <c r="H2643" s="24"/>
      <c r="I2643" s="24"/>
      <c r="J2643" s="3"/>
      <c r="O2643" s="8"/>
      <c r="P2643" s="20"/>
      <c r="Q2643" s="20"/>
      <c r="R2643" s="20"/>
      <c r="S2643" s="8"/>
      <c r="T2643" s="8"/>
      <c r="U2643" s="8"/>
      <c r="V2643" s="8"/>
      <c r="W2643" s="8"/>
      <c r="X2643" s="8"/>
      <c r="Y2643" s="8"/>
      <c r="Z2643" s="8"/>
    </row>
    <row r="2644" spans="4:26" ht="15" thickBot="1" x14ac:dyDescent="0.35">
      <c r="D2644" s="2">
        <f t="shared" si="81"/>
        <v>2638</v>
      </c>
      <c r="E2644" s="6">
        <v>0.83044698651763083</v>
      </c>
      <c r="F2644" s="24"/>
      <c r="G2644" s="24"/>
      <c r="H2644" s="24"/>
      <c r="I2644" s="24"/>
      <c r="J2644" s="3"/>
      <c r="O2644" s="8"/>
      <c r="P2644" s="20"/>
      <c r="Q2644" s="20"/>
      <c r="R2644" s="20"/>
      <c r="S2644" s="8"/>
      <c r="T2644" s="8"/>
      <c r="U2644" s="8"/>
      <c r="V2644" s="8"/>
      <c r="W2644" s="8"/>
      <c r="X2644" s="8"/>
      <c r="Y2644" s="8"/>
      <c r="Z2644" s="8"/>
    </row>
    <row r="2645" spans="4:26" ht="15" thickBot="1" x14ac:dyDescent="0.35">
      <c r="D2645" s="2">
        <f t="shared" si="81"/>
        <v>2639</v>
      </c>
      <c r="E2645" s="6">
        <v>1.9696209693260114</v>
      </c>
      <c r="F2645" s="24"/>
      <c r="G2645" s="24"/>
      <c r="H2645" s="24"/>
      <c r="I2645" s="24"/>
      <c r="J2645" s="3"/>
      <c r="O2645" s="8"/>
      <c r="P2645" s="20"/>
      <c r="Q2645" s="20"/>
      <c r="R2645" s="20"/>
      <c r="S2645" s="8"/>
      <c r="T2645" s="8"/>
      <c r="U2645" s="8"/>
      <c r="V2645" s="8"/>
      <c r="W2645" s="8"/>
      <c r="X2645" s="8"/>
      <c r="Y2645" s="8"/>
      <c r="Z2645" s="8"/>
    </row>
    <row r="2646" spans="4:26" ht="15" thickBot="1" x14ac:dyDescent="0.35">
      <c r="D2646" s="2">
        <f t="shared" si="81"/>
        <v>2640</v>
      </c>
      <c r="E2646" s="6">
        <v>2.533570550929773</v>
      </c>
      <c r="F2646" s="24"/>
      <c r="G2646" s="24"/>
      <c r="H2646" s="24"/>
      <c r="I2646" s="24"/>
      <c r="J2646" s="3"/>
      <c r="O2646" s="8"/>
      <c r="P2646" s="20"/>
      <c r="Q2646" s="20"/>
      <c r="R2646" s="20"/>
      <c r="S2646" s="8"/>
      <c r="T2646" s="8"/>
      <c r="U2646" s="8"/>
      <c r="V2646" s="8"/>
      <c r="W2646" s="8"/>
      <c r="X2646" s="8"/>
      <c r="Y2646" s="8"/>
      <c r="Z2646" s="8"/>
    </row>
    <row r="2647" spans="4:26" ht="15" thickBot="1" x14ac:dyDescent="0.35">
      <c r="D2647" s="2">
        <f t="shared" si="81"/>
        <v>2641</v>
      </c>
      <c r="E2647" s="6">
        <v>1.0949794960481629</v>
      </c>
      <c r="F2647" s="24"/>
      <c r="G2647" s="24"/>
      <c r="H2647" s="24"/>
      <c r="I2647" s="24"/>
      <c r="J2647" s="3"/>
      <c r="O2647" s="8"/>
      <c r="P2647" s="20"/>
      <c r="Q2647" s="20"/>
      <c r="R2647" s="20"/>
      <c r="S2647" s="8"/>
      <c r="T2647" s="8"/>
      <c r="U2647" s="8"/>
      <c r="V2647" s="8"/>
      <c r="W2647" s="8"/>
      <c r="X2647" s="8"/>
      <c r="Y2647" s="8"/>
      <c r="Z2647" s="8"/>
    </row>
    <row r="2648" spans="4:26" ht="15" thickBot="1" x14ac:dyDescent="0.35">
      <c r="D2648" s="2">
        <f t="shared" si="81"/>
        <v>2642</v>
      </c>
      <c r="E2648" s="6">
        <v>0.13667158243313135</v>
      </c>
      <c r="F2648" s="24"/>
      <c r="G2648" s="24"/>
      <c r="H2648" s="24"/>
      <c r="I2648" s="24"/>
      <c r="J2648" s="3"/>
      <c r="O2648" s="8"/>
      <c r="P2648" s="20"/>
      <c r="Q2648" s="20"/>
      <c r="R2648" s="20"/>
      <c r="S2648" s="8"/>
      <c r="T2648" s="8"/>
      <c r="U2648" s="8"/>
      <c r="V2648" s="8"/>
      <c r="W2648" s="8"/>
      <c r="X2648" s="8"/>
      <c r="Y2648" s="8"/>
      <c r="Z2648" s="8"/>
    </row>
    <row r="2649" spans="4:26" ht="15" thickBot="1" x14ac:dyDescent="0.35">
      <c r="D2649" s="2">
        <f t="shared" si="81"/>
        <v>2643</v>
      </c>
      <c r="E2649" s="6">
        <v>2.1261996629682955</v>
      </c>
      <c r="F2649" s="24"/>
      <c r="G2649" s="24"/>
      <c r="H2649" s="24"/>
      <c r="I2649" s="24"/>
      <c r="J2649" s="3"/>
      <c r="O2649" s="8"/>
      <c r="P2649" s="20"/>
      <c r="Q2649" s="20"/>
      <c r="R2649" s="20"/>
      <c r="S2649" s="8"/>
      <c r="T2649" s="8"/>
      <c r="U2649" s="8"/>
      <c r="V2649" s="8"/>
      <c r="W2649" s="8"/>
      <c r="X2649" s="8"/>
      <c r="Y2649" s="8"/>
      <c r="Z2649" s="8"/>
    </row>
    <row r="2650" spans="4:26" ht="15" thickBot="1" x14ac:dyDescent="0.35">
      <c r="D2650" s="2">
        <f t="shared" si="81"/>
        <v>2644</v>
      </c>
      <c r="E2650" s="6">
        <v>0.28908743440331602</v>
      </c>
      <c r="F2650" s="24"/>
      <c r="G2650" s="24"/>
      <c r="H2650" s="24"/>
      <c r="I2650" s="24"/>
      <c r="J2650" s="3"/>
      <c r="O2650" s="8"/>
      <c r="P2650" s="20"/>
      <c r="Q2650" s="20"/>
      <c r="R2650" s="20"/>
      <c r="S2650" s="8"/>
      <c r="T2650" s="8"/>
      <c r="U2650" s="8"/>
      <c r="V2650" s="8"/>
      <c r="W2650" s="8"/>
      <c r="X2650" s="8"/>
      <c r="Y2650" s="8"/>
      <c r="Z2650" s="8"/>
    </row>
    <row r="2651" spans="4:26" ht="15" thickBot="1" x14ac:dyDescent="0.35">
      <c r="D2651" s="2">
        <f t="shared" si="81"/>
        <v>2645</v>
      </c>
      <c r="E2651" s="6">
        <v>9.0529898158335698</v>
      </c>
      <c r="F2651" s="24"/>
      <c r="G2651" s="24"/>
      <c r="H2651" s="24"/>
      <c r="I2651" s="24"/>
      <c r="J2651" s="3"/>
      <c r="O2651" s="8"/>
      <c r="P2651" s="20"/>
      <c r="Q2651" s="20"/>
      <c r="R2651" s="20"/>
      <c r="S2651" s="8"/>
      <c r="T2651" s="8"/>
      <c r="U2651" s="8"/>
      <c r="V2651" s="8"/>
      <c r="W2651" s="8"/>
      <c r="X2651" s="8"/>
      <c r="Y2651" s="8"/>
      <c r="Z2651" s="8"/>
    </row>
    <row r="2652" spans="4:26" ht="15" thickBot="1" x14ac:dyDescent="0.35">
      <c r="D2652" s="2">
        <f t="shared" si="81"/>
        <v>2646</v>
      </c>
      <c r="E2652" s="6">
        <v>1.1494358694230129</v>
      </c>
      <c r="F2652" s="24"/>
      <c r="G2652" s="24"/>
      <c r="H2652" s="24"/>
      <c r="I2652" s="24"/>
      <c r="J2652" s="3"/>
      <c r="O2652" s="8"/>
      <c r="P2652" s="20"/>
      <c r="Q2652" s="20"/>
      <c r="R2652" s="20"/>
      <c r="S2652" s="8"/>
      <c r="T2652" s="8"/>
      <c r="U2652" s="8"/>
      <c r="V2652" s="8"/>
      <c r="W2652" s="8"/>
      <c r="X2652" s="8"/>
      <c r="Y2652" s="8"/>
      <c r="Z2652" s="8"/>
    </row>
    <row r="2653" spans="4:26" ht="15" thickBot="1" x14ac:dyDescent="0.35">
      <c r="D2653" s="2">
        <f t="shared" si="81"/>
        <v>2647</v>
      </c>
      <c r="E2653" s="6">
        <v>1.9065920196052362</v>
      </c>
      <c r="F2653" s="24"/>
      <c r="G2653" s="24"/>
      <c r="H2653" s="24"/>
      <c r="I2653" s="24"/>
      <c r="J2653" s="3"/>
      <c r="O2653" s="8"/>
      <c r="P2653" s="20"/>
      <c r="Q2653" s="20"/>
      <c r="R2653" s="20"/>
      <c r="S2653" s="8"/>
      <c r="T2653" s="8"/>
      <c r="U2653" s="8"/>
      <c r="V2653" s="8"/>
      <c r="W2653" s="8"/>
      <c r="X2653" s="8"/>
      <c r="Y2653" s="8"/>
      <c r="Z2653" s="8"/>
    </row>
    <row r="2654" spans="4:26" ht="15" thickBot="1" x14ac:dyDescent="0.35">
      <c r="D2654" s="2">
        <f t="shared" si="81"/>
        <v>2648</v>
      </c>
      <c r="E2654" s="6">
        <v>2.49458373614558</v>
      </c>
      <c r="F2654" s="24"/>
      <c r="G2654" s="24"/>
      <c r="H2654" s="24"/>
      <c r="I2654" s="24"/>
      <c r="J2654" s="3"/>
      <c r="O2654" s="8"/>
      <c r="P2654" s="20"/>
      <c r="Q2654" s="20"/>
      <c r="R2654" s="20"/>
      <c r="S2654" s="8"/>
      <c r="T2654" s="8"/>
      <c r="U2654" s="8"/>
      <c r="V2654" s="8"/>
      <c r="W2654" s="8"/>
      <c r="X2654" s="8"/>
      <c r="Y2654" s="8"/>
      <c r="Z2654" s="8"/>
    </row>
    <row r="2655" spans="4:26" ht="15" thickBot="1" x14ac:dyDescent="0.35">
      <c r="D2655" s="2">
        <f t="shared" si="81"/>
        <v>2649</v>
      </c>
      <c r="E2655" s="6">
        <v>2.2220033949308373</v>
      </c>
      <c r="F2655" s="24"/>
      <c r="G2655" s="24"/>
      <c r="H2655" s="24"/>
      <c r="I2655" s="24"/>
      <c r="J2655" s="3"/>
      <c r="O2655" s="8"/>
      <c r="P2655" s="20"/>
      <c r="Q2655" s="20"/>
      <c r="R2655" s="20"/>
      <c r="S2655" s="8"/>
      <c r="T2655" s="8"/>
      <c r="U2655" s="8"/>
      <c r="V2655" s="8"/>
      <c r="W2655" s="8"/>
      <c r="X2655" s="8"/>
      <c r="Y2655" s="8"/>
      <c r="Z2655" s="8"/>
    </row>
    <row r="2656" spans="4:26" ht="15" thickBot="1" x14ac:dyDescent="0.35">
      <c r="D2656" s="2">
        <f t="shared" si="81"/>
        <v>2650</v>
      </c>
      <c r="E2656" s="6">
        <v>18.89008884414153</v>
      </c>
      <c r="F2656" s="24"/>
      <c r="G2656" s="24"/>
      <c r="H2656" s="24"/>
      <c r="I2656" s="24"/>
      <c r="J2656" s="3"/>
      <c r="O2656" s="8"/>
      <c r="P2656" s="20"/>
      <c r="Q2656" s="20"/>
      <c r="R2656" s="20"/>
      <c r="S2656" s="8"/>
      <c r="T2656" s="8"/>
      <c r="U2656" s="8"/>
      <c r="V2656" s="8"/>
      <c r="W2656" s="8"/>
      <c r="X2656" s="8"/>
      <c r="Y2656" s="8"/>
      <c r="Z2656" s="8"/>
    </row>
    <row r="2657" spans="4:26" ht="15" thickBot="1" x14ac:dyDescent="0.35">
      <c r="D2657" s="2">
        <f t="shared" si="81"/>
        <v>2651</v>
      </c>
      <c r="E2657" s="6">
        <v>12.114126051620078</v>
      </c>
      <c r="F2657" s="24"/>
      <c r="G2657" s="24"/>
      <c r="H2657" s="24"/>
      <c r="I2657" s="24"/>
      <c r="J2657" s="3"/>
      <c r="O2657" s="8"/>
      <c r="P2657" s="20"/>
      <c r="Q2657" s="20"/>
      <c r="R2657" s="20"/>
      <c r="S2657" s="8"/>
      <c r="T2657" s="8"/>
      <c r="U2657" s="8"/>
      <c r="V2657" s="8"/>
      <c r="W2657" s="8"/>
      <c r="X2657" s="8"/>
      <c r="Y2657" s="8"/>
      <c r="Z2657" s="8"/>
    </row>
    <row r="2658" spans="4:26" ht="15" thickBot="1" x14ac:dyDescent="0.35">
      <c r="D2658" s="2">
        <f t="shared" si="81"/>
        <v>2652</v>
      </c>
      <c r="E2658" s="6">
        <v>7.1559213824466621</v>
      </c>
      <c r="F2658" s="24"/>
      <c r="G2658" s="24"/>
      <c r="H2658" s="24"/>
      <c r="I2658" s="24"/>
      <c r="J2658" s="3"/>
      <c r="O2658" s="8"/>
      <c r="P2658" s="20"/>
      <c r="Q2658" s="20"/>
      <c r="R2658" s="20"/>
      <c r="S2658" s="8"/>
      <c r="T2658" s="8"/>
      <c r="U2658" s="8"/>
      <c r="V2658" s="8"/>
      <c r="W2658" s="8"/>
      <c r="X2658" s="8"/>
      <c r="Y2658" s="8"/>
      <c r="Z2658" s="8"/>
    </row>
    <row r="2659" spans="4:26" ht="15" thickBot="1" x14ac:dyDescent="0.35">
      <c r="D2659" s="2">
        <f t="shared" si="81"/>
        <v>2653</v>
      </c>
      <c r="E2659" s="6">
        <v>5.858811990654381</v>
      </c>
      <c r="F2659" s="24"/>
      <c r="G2659" s="24"/>
      <c r="H2659" s="24"/>
      <c r="I2659" s="24"/>
      <c r="J2659" s="3"/>
      <c r="O2659" s="8"/>
      <c r="P2659" s="20"/>
      <c r="Q2659" s="20"/>
      <c r="R2659" s="20"/>
      <c r="S2659" s="8"/>
      <c r="T2659" s="8"/>
      <c r="U2659" s="8"/>
      <c r="V2659" s="8"/>
      <c r="W2659" s="8"/>
      <c r="X2659" s="8"/>
      <c r="Y2659" s="8"/>
      <c r="Z2659" s="8"/>
    </row>
    <row r="2660" spans="4:26" ht="15" thickBot="1" x14ac:dyDescent="0.35">
      <c r="D2660" s="2">
        <f t="shared" si="81"/>
        <v>2654</v>
      </c>
      <c r="E2660" s="6">
        <v>2.4016516414133324</v>
      </c>
      <c r="F2660" s="24"/>
      <c r="G2660" s="24"/>
      <c r="H2660" s="24"/>
      <c r="I2660" s="24"/>
      <c r="J2660" s="3"/>
      <c r="O2660" s="8"/>
      <c r="P2660" s="20"/>
      <c r="Q2660" s="20"/>
      <c r="R2660" s="20"/>
      <c r="S2660" s="8"/>
      <c r="T2660" s="8"/>
      <c r="U2660" s="8"/>
      <c r="V2660" s="8"/>
      <c r="W2660" s="8"/>
      <c r="X2660" s="8"/>
      <c r="Y2660" s="8"/>
      <c r="Z2660" s="8"/>
    </row>
    <row r="2661" spans="4:26" ht="15" thickBot="1" x14ac:dyDescent="0.35">
      <c r="D2661" s="2">
        <f t="shared" si="81"/>
        <v>2655</v>
      </c>
      <c r="E2661" s="6">
        <v>0.57075722981106669</v>
      </c>
      <c r="F2661" s="24"/>
      <c r="G2661" s="24"/>
      <c r="H2661" s="24"/>
      <c r="I2661" s="24"/>
      <c r="J2661" s="3"/>
      <c r="O2661" s="8"/>
      <c r="P2661" s="20"/>
      <c r="Q2661" s="20"/>
      <c r="R2661" s="20"/>
      <c r="S2661" s="8"/>
      <c r="T2661" s="8"/>
      <c r="U2661" s="8"/>
      <c r="V2661" s="8"/>
      <c r="W2661" s="8"/>
      <c r="X2661" s="8"/>
      <c r="Y2661" s="8"/>
      <c r="Z2661" s="8"/>
    </row>
    <row r="2662" spans="4:26" ht="15" thickBot="1" x14ac:dyDescent="0.35">
      <c r="D2662" s="2">
        <f t="shared" si="81"/>
        <v>2656</v>
      </c>
      <c r="E2662" s="6">
        <v>5.0784524072534127</v>
      </c>
      <c r="F2662" s="24"/>
      <c r="G2662" s="24"/>
      <c r="H2662" s="24"/>
      <c r="I2662" s="24"/>
      <c r="J2662" s="3"/>
      <c r="O2662" s="8"/>
      <c r="P2662" s="20"/>
      <c r="Q2662" s="20"/>
      <c r="R2662" s="20"/>
      <c r="S2662" s="8"/>
      <c r="T2662" s="8"/>
      <c r="U2662" s="8"/>
      <c r="V2662" s="8"/>
      <c r="W2662" s="8"/>
      <c r="X2662" s="8"/>
      <c r="Y2662" s="8"/>
      <c r="Z2662" s="8"/>
    </row>
    <row r="2663" spans="4:26" ht="15" thickBot="1" x14ac:dyDescent="0.35">
      <c r="D2663" s="2">
        <f t="shared" si="81"/>
        <v>2657</v>
      </c>
      <c r="E2663" s="6">
        <v>3.1706116878718368E-2</v>
      </c>
      <c r="F2663" s="24"/>
      <c r="G2663" s="24"/>
      <c r="H2663" s="24"/>
      <c r="I2663" s="24"/>
      <c r="J2663" s="3"/>
      <c r="O2663" s="8"/>
      <c r="P2663" s="20"/>
      <c r="Q2663" s="20"/>
      <c r="R2663" s="20"/>
      <c r="S2663" s="8"/>
      <c r="T2663" s="8"/>
      <c r="U2663" s="8"/>
      <c r="V2663" s="8"/>
      <c r="W2663" s="8"/>
      <c r="X2663" s="8"/>
      <c r="Y2663" s="8"/>
      <c r="Z2663" s="8"/>
    </row>
    <row r="2664" spans="4:26" ht="15" thickBot="1" x14ac:dyDescent="0.35">
      <c r="D2664" s="2">
        <f t="shared" si="81"/>
        <v>2658</v>
      </c>
      <c r="E2664" s="6">
        <v>2.0885545911130055</v>
      </c>
      <c r="F2664" s="24"/>
      <c r="G2664" s="24"/>
      <c r="H2664" s="24"/>
      <c r="I2664" s="24"/>
      <c r="J2664" s="3"/>
      <c r="O2664" s="8"/>
      <c r="P2664" s="20"/>
      <c r="Q2664" s="20"/>
      <c r="R2664" s="20"/>
      <c r="S2664" s="8"/>
      <c r="T2664" s="8"/>
      <c r="U2664" s="8"/>
      <c r="V2664" s="8"/>
      <c r="W2664" s="8"/>
      <c r="X2664" s="8"/>
      <c r="Y2664" s="8"/>
      <c r="Z2664" s="8"/>
    </row>
    <row r="2665" spans="4:26" ht="15" thickBot="1" x14ac:dyDescent="0.35">
      <c r="D2665" s="2">
        <f t="shared" si="81"/>
        <v>2659</v>
      </c>
      <c r="E2665" s="6">
        <v>1.8629014153541157</v>
      </c>
      <c r="F2665" s="24"/>
      <c r="G2665" s="24"/>
      <c r="H2665" s="24"/>
      <c r="I2665" s="24"/>
      <c r="J2665" s="3"/>
      <c r="O2665" s="8"/>
      <c r="P2665" s="20"/>
      <c r="Q2665" s="20"/>
      <c r="R2665" s="20"/>
      <c r="S2665" s="8"/>
      <c r="T2665" s="8"/>
      <c r="U2665" s="8"/>
      <c r="V2665" s="8"/>
      <c r="W2665" s="8"/>
      <c r="X2665" s="8"/>
      <c r="Y2665" s="8"/>
      <c r="Z2665" s="8"/>
    </row>
    <row r="2666" spans="4:26" ht="15" thickBot="1" x14ac:dyDescent="0.35">
      <c r="D2666" s="2">
        <f t="shared" si="81"/>
        <v>2660</v>
      </c>
      <c r="E2666" s="6">
        <v>0.76914461980243587</v>
      </c>
      <c r="F2666" s="24"/>
      <c r="G2666" s="24"/>
      <c r="H2666" s="24"/>
      <c r="I2666" s="24"/>
      <c r="J2666" s="3"/>
      <c r="O2666" s="8"/>
      <c r="P2666" s="20"/>
      <c r="Q2666" s="20"/>
      <c r="R2666" s="20"/>
      <c r="S2666" s="8"/>
      <c r="T2666" s="8"/>
      <c r="U2666" s="8"/>
      <c r="V2666" s="8"/>
      <c r="W2666" s="8"/>
      <c r="X2666" s="8"/>
      <c r="Y2666" s="8"/>
      <c r="Z2666" s="8"/>
    </row>
    <row r="2667" spans="4:26" ht="15" thickBot="1" x14ac:dyDescent="0.35">
      <c r="D2667" s="2">
        <f t="shared" si="81"/>
        <v>2661</v>
      </c>
      <c r="E2667" s="6">
        <v>4.6744345397219851</v>
      </c>
      <c r="F2667" s="24"/>
      <c r="G2667" s="24"/>
      <c r="H2667" s="24"/>
      <c r="I2667" s="24"/>
      <c r="J2667" s="3"/>
      <c r="O2667" s="8"/>
      <c r="P2667" s="20"/>
      <c r="Q2667" s="20"/>
      <c r="R2667" s="20"/>
      <c r="S2667" s="8"/>
      <c r="T2667" s="8"/>
      <c r="U2667" s="8"/>
      <c r="V2667" s="8"/>
      <c r="W2667" s="8"/>
      <c r="X2667" s="8"/>
      <c r="Y2667" s="8"/>
      <c r="Z2667" s="8"/>
    </row>
    <row r="2668" spans="4:26" ht="15" thickBot="1" x14ac:dyDescent="0.35">
      <c r="D2668" s="2">
        <f t="shared" si="81"/>
        <v>2662</v>
      </c>
      <c r="E2668" s="6">
        <v>7.3850760378687603</v>
      </c>
      <c r="F2668" s="24"/>
      <c r="G2668" s="24"/>
      <c r="H2668" s="24"/>
      <c r="I2668" s="24"/>
      <c r="J2668" s="3"/>
      <c r="O2668" s="8"/>
      <c r="P2668" s="20"/>
      <c r="Q2668" s="20"/>
      <c r="R2668" s="20"/>
      <c r="S2668" s="8"/>
      <c r="T2668" s="8"/>
      <c r="U2668" s="8"/>
      <c r="V2668" s="8"/>
      <c r="W2668" s="8"/>
      <c r="X2668" s="8"/>
      <c r="Y2668" s="8"/>
      <c r="Z2668" s="8"/>
    </row>
    <row r="2669" spans="4:26" ht="15" thickBot="1" x14ac:dyDescent="0.35">
      <c r="D2669" s="2">
        <f t="shared" si="81"/>
        <v>2663</v>
      </c>
      <c r="E2669" s="6">
        <v>10.747394632552243</v>
      </c>
      <c r="F2669" s="24"/>
      <c r="G2669" s="24"/>
      <c r="H2669" s="24"/>
      <c r="I2669" s="24"/>
      <c r="J2669" s="3"/>
      <c r="O2669" s="8"/>
      <c r="P2669" s="20"/>
      <c r="Q2669" s="20"/>
      <c r="R2669" s="20"/>
      <c r="S2669" s="8"/>
      <c r="T2669" s="8"/>
      <c r="U2669" s="8"/>
      <c r="V2669" s="8"/>
      <c r="W2669" s="8"/>
      <c r="X2669" s="8"/>
      <c r="Y2669" s="8"/>
      <c r="Z2669" s="8"/>
    </row>
    <row r="2670" spans="4:26" ht="15" thickBot="1" x14ac:dyDescent="0.35">
      <c r="D2670" s="2">
        <f t="shared" si="81"/>
        <v>2664</v>
      </c>
      <c r="E2670" s="6">
        <v>0.64782394330181814</v>
      </c>
      <c r="F2670" s="24"/>
      <c r="G2670" s="24"/>
      <c r="H2670" s="24"/>
      <c r="I2670" s="24"/>
      <c r="J2670" s="3"/>
      <c r="O2670" s="8"/>
      <c r="P2670" s="20"/>
      <c r="Q2670" s="20"/>
      <c r="R2670" s="20"/>
      <c r="S2670" s="8"/>
      <c r="T2670" s="8"/>
      <c r="U2670" s="8"/>
      <c r="V2670" s="8"/>
      <c r="W2670" s="8"/>
      <c r="X2670" s="8"/>
      <c r="Y2670" s="8"/>
      <c r="Z2670" s="8"/>
    </row>
    <row r="2671" spans="4:26" ht="15" thickBot="1" x14ac:dyDescent="0.35">
      <c r="D2671" s="2">
        <f t="shared" si="81"/>
        <v>2665</v>
      </c>
      <c r="E2671" s="6">
        <v>6.9060172299105398</v>
      </c>
      <c r="F2671" s="24"/>
      <c r="G2671" s="24"/>
      <c r="H2671" s="24"/>
      <c r="I2671" s="24"/>
      <c r="J2671" s="3"/>
      <c r="O2671" s="8"/>
      <c r="P2671" s="20"/>
      <c r="Q2671" s="20"/>
      <c r="R2671" s="20"/>
      <c r="S2671" s="8"/>
      <c r="T2671" s="8"/>
      <c r="U2671" s="8"/>
      <c r="V2671" s="8"/>
      <c r="W2671" s="8"/>
      <c r="X2671" s="8"/>
      <c r="Y2671" s="8"/>
      <c r="Z2671" s="8"/>
    </row>
    <row r="2672" spans="4:26" ht="15" thickBot="1" x14ac:dyDescent="0.35">
      <c r="D2672" s="2">
        <f t="shared" si="81"/>
        <v>2666</v>
      </c>
      <c r="E2672" s="6">
        <v>1.5638234180099899</v>
      </c>
      <c r="F2672" s="24"/>
      <c r="G2672" s="24"/>
      <c r="H2672" s="24"/>
      <c r="I2672" s="24"/>
      <c r="J2672" s="3"/>
      <c r="O2672" s="8"/>
      <c r="P2672" s="20"/>
      <c r="Q2672" s="20"/>
      <c r="R2672" s="20"/>
      <c r="S2672" s="8"/>
      <c r="T2672" s="8"/>
      <c r="U2672" s="8"/>
      <c r="V2672" s="8"/>
      <c r="W2672" s="8"/>
      <c r="X2672" s="8"/>
      <c r="Y2672" s="8"/>
      <c r="Z2672" s="8"/>
    </row>
    <row r="2673" spans="4:26" ht="15" thickBot="1" x14ac:dyDescent="0.35">
      <c r="D2673" s="2">
        <f t="shared" si="81"/>
        <v>2667</v>
      </c>
      <c r="E2673" s="6">
        <v>14.087118005135611</v>
      </c>
      <c r="F2673" s="24"/>
      <c r="G2673" s="24"/>
      <c r="H2673" s="24"/>
      <c r="I2673" s="24"/>
      <c r="J2673" s="3"/>
      <c r="O2673" s="8"/>
      <c r="P2673" s="20"/>
      <c r="Q2673" s="20"/>
      <c r="R2673" s="20"/>
      <c r="S2673" s="8"/>
      <c r="T2673" s="8"/>
      <c r="U2673" s="8"/>
      <c r="V2673" s="8"/>
      <c r="W2673" s="8"/>
      <c r="X2673" s="8"/>
      <c r="Y2673" s="8"/>
      <c r="Z2673" s="8"/>
    </row>
    <row r="2674" spans="4:26" ht="15" thickBot="1" x14ac:dyDescent="0.35">
      <c r="D2674" s="2">
        <f t="shared" si="81"/>
        <v>2668</v>
      </c>
      <c r="E2674" s="6">
        <v>7.9509248760333104</v>
      </c>
      <c r="F2674" s="24"/>
      <c r="G2674" s="24"/>
      <c r="H2674" s="24"/>
      <c r="I2674" s="24"/>
      <c r="J2674" s="3"/>
      <c r="O2674" s="8"/>
      <c r="P2674" s="20"/>
      <c r="Q2674" s="20"/>
      <c r="R2674" s="20"/>
      <c r="S2674" s="8"/>
      <c r="T2674" s="8"/>
      <c r="U2674" s="8"/>
      <c r="V2674" s="8"/>
      <c r="W2674" s="8"/>
      <c r="X2674" s="8"/>
      <c r="Y2674" s="8"/>
      <c r="Z2674" s="8"/>
    </row>
    <row r="2675" spans="4:26" ht="15" thickBot="1" x14ac:dyDescent="0.35">
      <c r="D2675" s="2">
        <f t="shared" si="81"/>
        <v>2669</v>
      </c>
      <c r="E2675" s="6">
        <v>4.058290365186429</v>
      </c>
      <c r="F2675" s="24"/>
      <c r="G2675" s="24"/>
      <c r="H2675" s="24"/>
      <c r="I2675" s="24"/>
      <c r="J2675" s="3"/>
      <c r="O2675" s="8"/>
      <c r="P2675" s="20"/>
      <c r="Q2675" s="20"/>
      <c r="R2675" s="20"/>
      <c r="S2675" s="8"/>
      <c r="T2675" s="8"/>
      <c r="U2675" s="8"/>
      <c r="V2675" s="8"/>
      <c r="W2675" s="8"/>
      <c r="X2675" s="8"/>
      <c r="Y2675" s="8"/>
      <c r="Z2675" s="8"/>
    </row>
    <row r="2676" spans="4:26" ht="15" thickBot="1" x14ac:dyDescent="0.35">
      <c r="D2676" s="2">
        <f t="shared" si="81"/>
        <v>2670</v>
      </c>
      <c r="E2676" s="6">
        <v>10.751305353974333</v>
      </c>
      <c r="F2676" s="24"/>
      <c r="G2676" s="24"/>
      <c r="H2676" s="24"/>
      <c r="I2676" s="24"/>
      <c r="J2676" s="3"/>
      <c r="O2676" s="8"/>
      <c r="P2676" s="20"/>
      <c r="Q2676" s="20"/>
      <c r="R2676" s="20"/>
      <c r="S2676" s="8"/>
      <c r="T2676" s="8"/>
      <c r="U2676" s="8"/>
      <c r="V2676" s="8"/>
      <c r="W2676" s="8"/>
      <c r="X2676" s="8"/>
      <c r="Y2676" s="8"/>
      <c r="Z2676" s="8"/>
    </row>
    <row r="2677" spans="4:26" ht="15" thickBot="1" x14ac:dyDescent="0.35">
      <c r="D2677" s="2">
        <f t="shared" si="81"/>
        <v>2671</v>
      </c>
      <c r="E2677" s="6">
        <v>1.8778723158142658</v>
      </c>
      <c r="F2677" s="24"/>
      <c r="G2677" s="24"/>
      <c r="H2677" s="24"/>
      <c r="I2677" s="24"/>
      <c r="J2677" s="3"/>
      <c r="O2677" s="8"/>
      <c r="P2677" s="20"/>
      <c r="Q2677" s="20"/>
      <c r="R2677" s="20"/>
      <c r="S2677" s="8"/>
      <c r="T2677" s="8"/>
      <c r="U2677" s="8"/>
      <c r="V2677" s="8"/>
      <c r="W2677" s="8"/>
      <c r="X2677" s="8"/>
      <c r="Y2677" s="8"/>
      <c r="Z2677" s="8"/>
    </row>
    <row r="2678" spans="4:26" ht="15" thickBot="1" x14ac:dyDescent="0.35">
      <c r="D2678" s="2">
        <f t="shared" si="81"/>
        <v>2672</v>
      </c>
      <c r="E2678" s="6">
        <v>6.1166495122549787</v>
      </c>
      <c r="F2678" s="24"/>
      <c r="G2678" s="24"/>
      <c r="H2678" s="24"/>
      <c r="I2678" s="24"/>
      <c r="J2678" s="3"/>
      <c r="O2678" s="8"/>
      <c r="P2678" s="20"/>
      <c r="Q2678" s="20"/>
      <c r="R2678" s="20"/>
      <c r="S2678" s="8"/>
      <c r="T2678" s="8"/>
      <c r="U2678" s="8"/>
      <c r="V2678" s="8"/>
      <c r="W2678" s="8"/>
      <c r="X2678" s="8"/>
      <c r="Y2678" s="8"/>
      <c r="Z2678" s="8"/>
    </row>
    <row r="2679" spans="4:26" ht="15" thickBot="1" x14ac:dyDescent="0.35">
      <c r="D2679" s="2">
        <f t="shared" si="81"/>
        <v>2673</v>
      </c>
      <c r="E2679" s="6">
        <v>0.48314835029036091</v>
      </c>
      <c r="F2679" s="24"/>
      <c r="G2679" s="24"/>
      <c r="H2679" s="24"/>
      <c r="I2679" s="24"/>
      <c r="J2679" s="3"/>
      <c r="O2679" s="8"/>
      <c r="P2679" s="20"/>
      <c r="Q2679" s="20"/>
      <c r="R2679" s="20"/>
      <c r="S2679" s="8"/>
      <c r="T2679" s="8"/>
      <c r="U2679" s="8"/>
      <c r="V2679" s="8"/>
      <c r="W2679" s="8"/>
      <c r="X2679" s="8"/>
      <c r="Y2679" s="8"/>
      <c r="Z2679" s="8"/>
    </row>
    <row r="2680" spans="4:26" ht="15" thickBot="1" x14ac:dyDescent="0.35">
      <c r="D2680" s="2">
        <f t="shared" si="81"/>
        <v>2674</v>
      </c>
      <c r="E2680" s="6">
        <v>3.2809856611323553E-4</v>
      </c>
      <c r="F2680" s="24"/>
      <c r="G2680" s="24"/>
      <c r="H2680" s="24"/>
      <c r="I2680" s="24"/>
      <c r="J2680" s="3"/>
      <c r="O2680" s="8"/>
      <c r="P2680" s="20"/>
      <c r="Q2680" s="20"/>
      <c r="R2680" s="20"/>
      <c r="S2680" s="8"/>
      <c r="T2680" s="8"/>
      <c r="U2680" s="8"/>
      <c r="V2680" s="8"/>
      <c r="W2680" s="8"/>
      <c r="X2680" s="8"/>
      <c r="Y2680" s="8"/>
      <c r="Z2680" s="8"/>
    </row>
    <row r="2681" spans="4:26" ht="15" thickBot="1" x14ac:dyDescent="0.35">
      <c r="D2681" s="2">
        <f t="shared" si="81"/>
        <v>2675</v>
      </c>
      <c r="E2681" s="6">
        <v>6.4528781053762865</v>
      </c>
      <c r="F2681" s="24"/>
      <c r="G2681" s="24"/>
      <c r="H2681" s="24"/>
      <c r="I2681" s="24"/>
      <c r="J2681" s="3"/>
      <c r="O2681" s="8"/>
      <c r="P2681" s="20"/>
      <c r="Q2681" s="20"/>
      <c r="R2681" s="20"/>
      <c r="S2681" s="8"/>
      <c r="T2681" s="8"/>
      <c r="U2681" s="8"/>
      <c r="V2681" s="8"/>
      <c r="W2681" s="8"/>
      <c r="X2681" s="8"/>
      <c r="Y2681" s="8"/>
      <c r="Z2681" s="8"/>
    </row>
    <row r="2682" spans="4:26" ht="15" thickBot="1" x14ac:dyDescent="0.35">
      <c r="D2682" s="2">
        <f t="shared" si="81"/>
        <v>2676</v>
      </c>
      <c r="E2682" s="6">
        <v>1.0259941771388783</v>
      </c>
      <c r="F2682" s="24"/>
      <c r="G2682" s="24"/>
      <c r="H2682" s="24"/>
      <c r="I2682" s="24"/>
      <c r="J2682" s="3"/>
      <c r="O2682" s="8"/>
      <c r="P2682" s="20"/>
      <c r="Q2682" s="20"/>
      <c r="R2682" s="20"/>
      <c r="S2682" s="8"/>
      <c r="T2682" s="8"/>
      <c r="U2682" s="8"/>
      <c r="V2682" s="8"/>
      <c r="W2682" s="8"/>
      <c r="X2682" s="8"/>
      <c r="Y2682" s="8"/>
      <c r="Z2682" s="8"/>
    </row>
    <row r="2683" spans="4:26" ht="15" thickBot="1" x14ac:dyDescent="0.35">
      <c r="D2683" s="2">
        <f t="shared" si="81"/>
        <v>2677</v>
      </c>
      <c r="E2683" s="6">
        <v>1.3946939443329058</v>
      </c>
      <c r="F2683" s="24"/>
      <c r="G2683" s="24"/>
      <c r="H2683" s="24"/>
      <c r="I2683" s="24"/>
      <c r="J2683" s="3"/>
      <c r="O2683" s="8"/>
      <c r="P2683" s="20"/>
      <c r="Q2683" s="20"/>
      <c r="R2683" s="20"/>
      <c r="S2683" s="8"/>
      <c r="T2683" s="8"/>
      <c r="U2683" s="8"/>
      <c r="V2683" s="8"/>
      <c r="W2683" s="8"/>
      <c r="X2683" s="8"/>
      <c r="Y2683" s="8"/>
      <c r="Z2683" s="8"/>
    </row>
    <row r="2684" spans="4:26" ht="15" thickBot="1" x14ac:dyDescent="0.35">
      <c r="D2684" s="2">
        <f t="shared" si="81"/>
        <v>2678</v>
      </c>
      <c r="E2684" s="6">
        <v>8.5251550622144706E-2</v>
      </c>
      <c r="F2684" s="24"/>
      <c r="G2684" s="24"/>
      <c r="H2684" s="24"/>
      <c r="I2684" s="24"/>
      <c r="J2684" s="3"/>
      <c r="O2684" s="8"/>
      <c r="P2684" s="20"/>
      <c r="Q2684" s="20"/>
      <c r="R2684" s="20"/>
      <c r="S2684" s="8"/>
      <c r="T2684" s="8"/>
      <c r="U2684" s="8"/>
      <c r="V2684" s="8"/>
      <c r="W2684" s="8"/>
      <c r="X2684" s="8"/>
      <c r="Y2684" s="8"/>
      <c r="Z2684" s="8"/>
    </row>
    <row r="2685" spans="4:26" ht="15" thickBot="1" x14ac:dyDescent="0.35">
      <c r="D2685" s="2">
        <f t="shared" si="81"/>
        <v>2679</v>
      </c>
      <c r="E2685" s="6">
        <v>3.729652243109089</v>
      </c>
      <c r="F2685" s="24"/>
      <c r="G2685" s="24"/>
      <c r="H2685" s="24"/>
      <c r="I2685" s="24"/>
      <c r="J2685" s="3"/>
      <c r="O2685" s="8"/>
      <c r="P2685" s="20"/>
      <c r="Q2685" s="20"/>
      <c r="R2685" s="20"/>
      <c r="S2685" s="8"/>
      <c r="T2685" s="8"/>
      <c r="U2685" s="8"/>
      <c r="V2685" s="8"/>
      <c r="W2685" s="8"/>
      <c r="X2685" s="8"/>
      <c r="Y2685" s="8"/>
      <c r="Z2685" s="8"/>
    </row>
    <row r="2686" spans="4:26" ht="15" thickBot="1" x14ac:dyDescent="0.35">
      <c r="D2686" s="2">
        <f t="shared" si="81"/>
        <v>2680</v>
      </c>
      <c r="E2686" s="6">
        <v>23.344867124004185</v>
      </c>
      <c r="F2686" s="24"/>
      <c r="G2686" s="24"/>
      <c r="H2686" s="24"/>
      <c r="I2686" s="24"/>
      <c r="J2686" s="3"/>
      <c r="O2686" s="8"/>
      <c r="P2686" s="20"/>
      <c r="Q2686" s="20"/>
      <c r="R2686" s="20"/>
      <c r="S2686" s="8"/>
      <c r="T2686" s="8"/>
      <c r="U2686" s="8"/>
      <c r="V2686" s="8"/>
      <c r="W2686" s="8"/>
      <c r="X2686" s="8"/>
      <c r="Y2686" s="8"/>
      <c r="Z2686" s="8"/>
    </row>
    <row r="2687" spans="4:26" ht="15" thickBot="1" x14ac:dyDescent="0.35">
      <c r="D2687" s="2">
        <f t="shared" si="81"/>
        <v>2681</v>
      </c>
      <c r="E2687" s="6">
        <v>5.5002061811886955</v>
      </c>
      <c r="F2687" s="24"/>
      <c r="G2687" s="24"/>
      <c r="H2687" s="24"/>
      <c r="I2687" s="24"/>
      <c r="J2687" s="3"/>
      <c r="O2687" s="8"/>
      <c r="P2687" s="20"/>
      <c r="Q2687" s="20"/>
      <c r="R2687" s="20"/>
      <c r="S2687" s="8"/>
      <c r="T2687" s="8"/>
      <c r="U2687" s="8"/>
      <c r="V2687" s="8"/>
      <c r="W2687" s="8"/>
      <c r="X2687" s="8"/>
      <c r="Y2687" s="8"/>
      <c r="Z2687" s="8"/>
    </row>
    <row r="2688" spans="4:26" ht="15" thickBot="1" x14ac:dyDescent="0.35">
      <c r="D2688" s="2">
        <f t="shared" si="81"/>
        <v>2682</v>
      </c>
      <c r="E2688" s="6">
        <v>8.6305691852066505E-2</v>
      </c>
      <c r="F2688" s="24"/>
      <c r="G2688" s="24"/>
      <c r="H2688" s="24"/>
      <c r="I2688" s="24"/>
      <c r="J2688" s="3"/>
      <c r="O2688" s="8"/>
      <c r="P2688" s="20"/>
      <c r="Q2688" s="20"/>
      <c r="R2688" s="20"/>
      <c r="S2688" s="8"/>
      <c r="T2688" s="8"/>
      <c r="U2688" s="8"/>
      <c r="V2688" s="8"/>
      <c r="W2688" s="8"/>
      <c r="X2688" s="8"/>
      <c r="Y2688" s="8"/>
      <c r="Z2688" s="8"/>
    </row>
    <row r="2689" spans="4:26" ht="15" thickBot="1" x14ac:dyDescent="0.35">
      <c r="D2689" s="2">
        <f t="shared" si="81"/>
        <v>2683</v>
      </c>
      <c r="E2689" s="6">
        <v>3.5961465669215418</v>
      </c>
      <c r="F2689" s="24"/>
      <c r="G2689" s="24"/>
      <c r="H2689" s="24"/>
      <c r="I2689" s="24"/>
      <c r="J2689" s="3"/>
      <c r="O2689" s="8"/>
      <c r="P2689" s="20"/>
      <c r="Q2689" s="20"/>
      <c r="R2689" s="20"/>
      <c r="S2689" s="8"/>
      <c r="T2689" s="8"/>
      <c r="U2689" s="8"/>
      <c r="V2689" s="8"/>
      <c r="W2689" s="8"/>
      <c r="X2689" s="8"/>
      <c r="Y2689" s="8"/>
      <c r="Z2689" s="8"/>
    </row>
    <row r="2690" spans="4:26" ht="15" thickBot="1" x14ac:dyDescent="0.35">
      <c r="D2690" s="2">
        <f t="shared" si="81"/>
        <v>2684</v>
      </c>
      <c r="E2690" s="6">
        <v>10.166288469914889</v>
      </c>
      <c r="F2690" s="24"/>
      <c r="G2690" s="24"/>
      <c r="H2690" s="24"/>
      <c r="I2690" s="24"/>
      <c r="J2690" s="3"/>
      <c r="O2690" s="8"/>
      <c r="P2690" s="20"/>
      <c r="Q2690" s="20"/>
      <c r="R2690" s="20"/>
      <c r="S2690" s="8"/>
      <c r="T2690" s="8"/>
      <c r="U2690" s="8"/>
      <c r="V2690" s="8"/>
      <c r="W2690" s="8"/>
      <c r="X2690" s="8"/>
      <c r="Y2690" s="8"/>
      <c r="Z2690" s="8"/>
    </row>
    <row r="2691" spans="4:26" ht="15" thickBot="1" x14ac:dyDescent="0.35">
      <c r="D2691" s="2">
        <f t="shared" si="81"/>
        <v>2685</v>
      </c>
      <c r="E2691" s="6">
        <v>1.4549341096446736E-2</v>
      </c>
      <c r="F2691" s="24"/>
      <c r="G2691" s="24"/>
      <c r="H2691" s="24"/>
      <c r="I2691" s="24"/>
      <c r="J2691" s="3"/>
      <c r="O2691" s="8"/>
      <c r="P2691" s="20"/>
      <c r="Q2691" s="20"/>
      <c r="R2691" s="20"/>
      <c r="S2691" s="8"/>
      <c r="T2691" s="8"/>
      <c r="U2691" s="8"/>
      <c r="V2691" s="8"/>
      <c r="W2691" s="8"/>
      <c r="X2691" s="8"/>
      <c r="Y2691" s="8"/>
      <c r="Z2691" s="8"/>
    </row>
    <row r="2692" spans="4:26" ht="15" thickBot="1" x14ac:dyDescent="0.35">
      <c r="D2692" s="2">
        <f t="shared" si="81"/>
        <v>2686</v>
      </c>
      <c r="E2692" s="6">
        <v>3.944753406361138</v>
      </c>
      <c r="F2692" s="24"/>
      <c r="G2692" s="24"/>
      <c r="H2692" s="24"/>
      <c r="I2692" s="24"/>
      <c r="J2692" s="3"/>
      <c r="O2692" s="8"/>
      <c r="P2692" s="20"/>
      <c r="Q2692" s="20"/>
      <c r="R2692" s="20"/>
      <c r="S2692" s="8"/>
      <c r="T2692" s="8"/>
      <c r="U2692" s="8"/>
      <c r="V2692" s="8"/>
      <c r="W2692" s="8"/>
      <c r="X2692" s="8"/>
      <c r="Y2692" s="8"/>
      <c r="Z2692" s="8"/>
    </row>
    <row r="2693" spans="4:26" ht="15" thickBot="1" x14ac:dyDescent="0.35">
      <c r="D2693" s="2">
        <f t="shared" si="81"/>
        <v>2687</v>
      </c>
      <c r="E2693" s="6">
        <v>3.4337573103068091</v>
      </c>
      <c r="F2693" s="24"/>
      <c r="G2693" s="24"/>
      <c r="H2693" s="24"/>
      <c r="I2693" s="24"/>
      <c r="J2693" s="3"/>
      <c r="O2693" s="8"/>
      <c r="P2693" s="20"/>
      <c r="Q2693" s="20"/>
      <c r="R2693" s="20"/>
      <c r="S2693" s="8"/>
      <c r="T2693" s="8"/>
      <c r="U2693" s="8"/>
      <c r="V2693" s="8"/>
      <c r="W2693" s="8"/>
      <c r="X2693" s="8"/>
      <c r="Y2693" s="8"/>
      <c r="Z2693" s="8"/>
    </row>
    <row r="2694" spans="4:26" ht="15" thickBot="1" x14ac:dyDescent="0.35">
      <c r="D2694" s="2">
        <f t="shared" si="81"/>
        <v>2688</v>
      </c>
      <c r="E2694" s="6">
        <v>2.1969032466852951</v>
      </c>
      <c r="F2694" s="24"/>
      <c r="G2694" s="24"/>
      <c r="H2694" s="24"/>
      <c r="I2694" s="24"/>
      <c r="J2694" s="3"/>
      <c r="O2694" s="8"/>
      <c r="P2694" s="20"/>
      <c r="Q2694" s="20"/>
      <c r="R2694" s="20"/>
      <c r="S2694" s="8"/>
      <c r="T2694" s="8"/>
      <c r="U2694" s="8"/>
      <c r="V2694" s="8"/>
      <c r="W2694" s="8"/>
      <c r="X2694" s="8"/>
      <c r="Y2694" s="8"/>
      <c r="Z2694" s="8"/>
    </row>
    <row r="2695" spans="4:26" ht="15" thickBot="1" x14ac:dyDescent="0.35">
      <c r="D2695" s="2">
        <f t="shared" ref="D2695:D2758" si="82">ROW()-6</f>
        <v>2689</v>
      </c>
      <c r="E2695" s="6">
        <v>4.1681002337473849</v>
      </c>
      <c r="F2695" s="24"/>
      <c r="G2695" s="24"/>
      <c r="H2695" s="24"/>
      <c r="I2695" s="24"/>
      <c r="J2695" s="3"/>
      <c r="O2695" s="8"/>
      <c r="P2695" s="20"/>
      <c r="Q2695" s="20"/>
      <c r="R2695" s="20"/>
      <c r="S2695" s="8"/>
      <c r="T2695" s="8"/>
      <c r="U2695" s="8"/>
      <c r="V2695" s="8"/>
      <c r="W2695" s="8"/>
      <c r="X2695" s="8"/>
      <c r="Y2695" s="8"/>
      <c r="Z2695" s="8"/>
    </row>
    <row r="2696" spans="4:26" ht="15" thickBot="1" x14ac:dyDescent="0.35">
      <c r="D2696" s="2">
        <f t="shared" si="82"/>
        <v>2690</v>
      </c>
      <c r="E2696" s="6">
        <v>0.96320337607533113</v>
      </c>
      <c r="F2696" s="24"/>
      <c r="G2696" s="24"/>
      <c r="H2696" s="24"/>
      <c r="I2696" s="24"/>
      <c r="J2696" s="3"/>
      <c r="O2696" s="8"/>
      <c r="P2696" s="20"/>
      <c r="Q2696" s="20"/>
      <c r="R2696" s="20"/>
      <c r="S2696" s="8"/>
      <c r="T2696" s="8"/>
      <c r="U2696" s="8"/>
      <c r="V2696" s="8"/>
      <c r="W2696" s="8"/>
      <c r="X2696" s="8"/>
      <c r="Y2696" s="8"/>
      <c r="Z2696" s="8"/>
    </row>
    <row r="2697" spans="4:26" ht="15" thickBot="1" x14ac:dyDescent="0.35">
      <c r="D2697" s="2">
        <f t="shared" si="82"/>
        <v>2691</v>
      </c>
      <c r="E2697" s="6">
        <v>3.5913834572090093</v>
      </c>
      <c r="F2697" s="24"/>
      <c r="G2697" s="24"/>
      <c r="H2697" s="24"/>
      <c r="I2697" s="24"/>
      <c r="J2697" s="3"/>
      <c r="O2697" s="8"/>
      <c r="P2697" s="20"/>
      <c r="Q2697" s="20"/>
      <c r="R2697" s="20"/>
      <c r="S2697" s="8"/>
      <c r="T2697" s="8"/>
      <c r="U2697" s="8"/>
      <c r="V2697" s="8"/>
      <c r="W2697" s="8"/>
      <c r="X2697" s="8"/>
      <c r="Y2697" s="8"/>
      <c r="Z2697" s="8"/>
    </row>
    <row r="2698" spans="4:26" ht="15" thickBot="1" x14ac:dyDescent="0.35">
      <c r="D2698" s="2">
        <f t="shared" si="82"/>
        <v>2692</v>
      </c>
      <c r="E2698" s="6">
        <v>3.8668408569711508</v>
      </c>
      <c r="F2698" s="24"/>
      <c r="G2698" s="24"/>
      <c r="H2698" s="24"/>
      <c r="I2698" s="24"/>
      <c r="J2698" s="3"/>
      <c r="O2698" s="8"/>
      <c r="P2698" s="20"/>
      <c r="Q2698" s="20"/>
      <c r="R2698" s="20"/>
      <c r="S2698" s="8"/>
      <c r="T2698" s="8"/>
      <c r="U2698" s="8"/>
      <c r="V2698" s="8"/>
      <c r="W2698" s="8"/>
      <c r="X2698" s="8"/>
      <c r="Y2698" s="8"/>
      <c r="Z2698" s="8"/>
    </row>
    <row r="2699" spans="4:26" ht="15" thickBot="1" x14ac:dyDescent="0.35">
      <c r="D2699" s="2">
        <f t="shared" si="82"/>
        <v>2693</v>
      </c>
      <c r="E2699" s="6">
        <v>3.3489403168133438</v>
      </c>
      <c r="F2699" s="24"/>
      <c r="G2699" s="24"/>
      <c r="H2699" s="24"/>
      <c r="I2699" s="24"/>
      <c r="J2699" s="3"/>
      <c r="O2699" s="8"/>
      <c r="P2699" s="20"/>
      <c r="Q2699" s="20"/>
      <c r="R2699" s="20"/>
      <c r="S2699" s="8"/>
      <c r="T2699" s="8"/>
      <c r="U2699" s="8"/>
      <c r="V2699" s="8"/>
      <c r="W2699" s="8"/>
      <c r="X2699" s="8"/>
      <c r="Y2699" s="8"/>
      <c r="Z2699" s="8"/>
    </row>
    <row r="2700" spans="4:26" ht="15" thickBot="1" x14ac:dyDescent="0.35">
      <c r="D2700" s="2">
        <f t="shared" si="82"/>
        <v>2694</v>
      </c>
      <c r="E2700" s="6">
        <v>3.3915840487595723</v>
      </c>
      <c r="F2700" s="24"/>
      <c r="G2700" s="24"/>
      <c r="H2700" s="24"/>
      <c r="I2700" s="24"/>
      <c r="J2700" s="3"/>
      <c r="O2700" s="8"/>
      <c r="P2700" s="20"/>
      <c r="Q2700" s="20"/>
      <c r="R2700" s="20"/>
      <c r="S2700" s="8"/>
      <c r="T2700" s="8"/>
      <c r="U2700" s="8"/>
      <c r="V2700" s="8"/>
      <c r="W2700" s="8"/>
      <c r="X2700" s="8"/>
      <c r="Y2700" s="8"/>
      <c r="Z2700" s="8"/>
    </row>
    <row r="2701" spans="4:26" ht="15" thickBot="1" x14ac:dyDescent="0.35">
      <c r="D2701" s="2">
        <f t="shared" si="82"/>
        <v>2695</v>
      </c>
      <c r="E2701" s="6">
        <v>1.8102822021715053</v>
      </c>
      <c r="F2701" s="24"/>
      <c r="G2701" s="24"/>
      <c r="H2701" s="24"/>
      <c r="I2701" s="24"/>
      <c r="J2701" s="3"/>
      <c r="O2701" s="8"/>
      <c r="P2701" s="20"/>
      <c r="Q2701" s="20"/>
      <c r="R2701" s="20"/>
      <c r="S2701" s="8"/>
      <c r="T2701" s="8"/>
      <c r="U2701" s="8"/>
      <c r="V2701" s="8"/>
      <c r="W2701" s="8"/>
      <c r="X2701" s="8"/>
      <c r="Y2701" s="8"/>
      <c r="Z2701" s="8"/>
    </row>
    <row r="2702" spans="4:26" ht="15" thickBot="1" x14ac:dyDescent="0.35">
      <c r="D2702" s="2">
        <f t="shared" si="82"/>
        <v>2696</v>
      </c>
      <c r="E2702" s="6">
        <v>8.6622704391882728</v>
      </c>
      <c r="F2702" s="24"/>
      <c r="G2702" s="24"/>
      <c r="H2702" s="24"/>
      <c r="I2702" s="24"/>
      <c r="J2702" s="3"/>
      <c r="O2702" s="8"/>
      <c r="P2702" s="20"/>
      <c r="Q2702" s="20"/>
      <c r="R2702" s="20"/>
      <c r="S2702" s="8"/>
      <c r="T2702" s="8"/>
      <c r="U2702" s="8"/>
      <c r="V2702" s="8"/>
      <c r="W2702" s="8"/>
      <c r="X2702" s="8"/>
      <c r="Y2702" s="8"/>
      <c r="Z2702" s="8"/>
    </row>
    <row r="2703" spans="4:26" ht="15" thickBot="1" x14ac:dyDescent="0.35">
      <c r="D2703" s="2">
        <f t="shared" si="82"/>
        <v>2697</v>
      </c>
      <c r="E2703" s="6">
        <v>0.34214591244152925</v>
      </c>
      <c r="F2703" s="24"/>
      <c r="G2703" s="24"/>
      <c r="H2703" s="24"/>
      <c r="I2703" s="24"/>
      <c r="J2703" s="3"/>
      <c r="O2703" s="8"/>
      <c r="P2703" s="20"/>
      <c r="Q2703" s="20"/>
      <c r="R2703" s="20"/>
      <c r="S2703" s="8"/>
      <c r="T2703" s="8"/>
      <c r="U2703" s="8"/>
      <c r="V2703" s="8"/>
      <c r="W2703" s="8"/>
      <c r="X2703" s="8"/>
      <c r="Y2703" s="8"/>
      <c r="Z2703" s="8"/>
    </row>
    <row r="2704" spans="4:26" ht="15" thickBot="1" x14ac:dyDescent="0.35">
      <c r="D2704" s="2">
        <f t="shared" si="82"/>
        <v>2698</v>
      </c>
      <c r="E2704" s="6">
        <v>9.8521930684794548</v>
      </c>
      <c r="F2704" s="24"/>
      <c r="G2704" s="24"/>
      <c r="H2704" s="24"/>
      <c r="I2704" s="24"/>
      <c r="J2704" s="3"/>
      <c r="O2704" s="8"/>
      <c r="P2704" s="20"/>
      <c r="Q2704" s="20"/>
      <c r="R2704" s="20"/>
      <c r="S2704" s="8"/>
      <c r="T2704" s="8"/>
      <c r="U2704" s="8"/>
      <c r="V2704" s="8"/>
      <c r="W2704" s="8"/>
      <c r="X2704" s="8"/>
      <c r="Y2704" s="8"/>
      <c r="Z2704" s="8"/>
    </row>
    <row r="2705" spans="4:26" ht="15" thickBot="1" x14ac:dyDescent="0.35">
      <c r="D2705" s="2">
        <f t="shared" si="82"/>
        <v>2699</v>
      </c>
      <c r="E2705" s="6">
        <v>12.364442971283855</v>
      </c>
      <c r="F2705" s="24"/>
      <c r="G2705" s="24"/>
      <c r="H2705" s="24"/>
      <c r="I2705" s="24"/>
      <c r="J2705" s="3"/>
      <c r="O2705" s="8"/>
      <c r="P2705" s="20"/>
      <c r="Q2705" s="20"/>
      <c r="R2705" s="20"/>
      <c r="S2705" s="8"/>
      <c r="T2705" s="8"/>
      <c r="U2705" s="8"/>
      <c r="V2705" s="8"/>
      <c r="W2705" s="8"/>
      <c r="X2705" s="8"/>
      <c r="Y2705" s="8"/>
      <c r="Z2705" s="8"/>
    </row>
    <row r="2706" spans="4:26" ht="15" thickBot="1" x14ac:dyDescent="0.35">
      <c r="D2706" s="2">
        <f t="shared" si="82"/>
        <v>2700</v>
      </c>
      <c r="E2706" s="6">
        <v>3.2732178684006863</v>
      </c>
      <c r="F2706" s="24"/>
      <c r="G2706" s="24"/>
      <c r="H2706" s="24"/>
      <c r="I2706" s="24"/>
      <c r="J2706" s="3"/>
      <c r="O2706" s="8"/>
      <c r="P2706" s="20"/>
      <c r="Q2706" s="20"/>
      <c r="R2706" s="20"/>
      <c r="S2706" s="8"/>
      <c r="T2706" s="8"/>
      <c r="U2706" s="8"/>
      <c r="V2706" s="8"/>
      <c r="W2706" s="8"/>
      <c r="X2706" s="8"/>
      <c r="Y2706" s="8"/>
      <c r="Z2706" s="8"/>
    </row>
    <row r="2707" spans="4:26" ht="15" thickBot="1" x14ac:dyDescent="0.35">
      <c r="D2707" s="2">
        <f t="shared" si="82"/>
        <v>2701</v>
      </c>
      <c r="E2707" s="6">
        <v>3.180626233623292</v>
      </c>
      <c r="F2707" s="24"/>
      <c r="G2707" s="24"/>
      <c r="H2707" s="24"/>
      <c r="I2707" s="24"/>
      <c r="J2707" s="3"/>
      <c r="O2707" s="8"/>
      <c r="P2707" s="20"/>
      <c r="Q2707" s="20"/>
      <c r="R2707" s="20"/>
      <c r="S2707" s="8"/>
      <c r="T2707" s="8"/>
      <c r="U2707" s="8"/>
      <c r="V2707" s="8"/>
      <c r="W2707" s="8"/>
      <c r="X2707" s="8"/>
      <c r="Y2707" s="8"/>
      <c r="Z2707" s="8"/>
    </row>
    <row r="2708" spans="4:26" ht="15" thickBot="1" x14ac:dyDescent="0.35">
      <c r="D2708" s="2">
        <f t="shared" si="82"/>
        <v>2702</v>
      </c>
      <c r="E2708" s="6">
        <v>8.0605463513293785</v>
      </c>
      <c r="F2708" s="24"/>
      <c r="G2708" s="24"/>
      <c r="H2708" s="24"/>
      <c r="I2708" s="24"/>
      <c r="J2708" s="3"/>
      <c r="O2708" s="8"/>
      <c r="P2708" s="20"/>
      <c r="Q2708" s="20"/>
      <c r="R2708" s="20"/>
      <c r="S2708" s="8"/>
      <c r="T2708" s="8"/>
      <c r="U2708" s="8"/>
      <c r="V2708" s="8"/>
      <c r="W2708" s="8"/>
      <c r="X2708" s="8"/>
      <c r="Y2708" s="8"/>
      <c r="Z2708" s="8"/>
    </row>
    <row r="2709" spans="4:26" ht="15" thickBot="1" x14ac:dyDescent="0.35">
      <c r="D2709" s="2">
        <f t="shared" si="82"/>
        <v>2703</v>
      </c>
      <c r="E2709" s="6">
        <v>0.98056324920946236</v>
      </c>
      <c r="F2709" s="24"/>
      <c r="G2709" s="24"/>
      <c r="H2709" s="24"/>
      <c r="I2709" s="24"/>
      <c r="J2709" s="3"/>
      <c r="O2709" s="8"/>
      <c r="P2709" s="20"/>
      <c r="Q2709" s="20"/>
      <c r="R2709" s="20"/>
      <c r="S2709" s="8"/>
      <c r="T2709" s="8"/>
      <c r="U2709" s="8"/>
      <c r="V2709" s="8"/>
      <c r="W2709" s="8"/>
      <c r="X2709" s="8"/>
      <c r="Y2709" s="8"/>
      <c r="Z2709" s="8"/>
    </row>
    <row r="2710" spans="4:26" ht="15" thickBot="1" x14ac:dyDescent="0.35">
      <c r="D2710" s="2">
        <f t="shared" si="82"/>
        <v>2704</v>
      </c>
      <c r="E2710" s="6">
        <v>3.4721198267980573</v>
      </c>
      <c r="F2710" s="24"/>
      <c r="G2710" s="24"/>
      <c r="H2710" s="24"/>
      <c r="I2710" s="24"/>
      <c r="J2710" s="3"/>
      <c r="O2710" s="8"/>
      <c r="P2710" s="20"/>
      <c r="Q2710" s="20"/>
      <c r="R2710" s="20"/>
      <c r="S2710" s="8"/>
      <c r="T2710" s="8"/>
      <c r="U2710" s="8"/>
      <c r="V2710" s="8"/>
      <c r="W2710" s="8"/>
      <c r="X2710" s="8"/>
      <c r="Y2710" s="8"/>
      <c r="Z2710" s="8"/>
    </row>
    <row r="2711" spans="4:26" ht="15" thickBot="1" x14ac:dyDescent="0.35">
      <c r="D2711" s="2">
        <f t="shared" si="82"/>
        <v>2705</v>
      </c>
      <c r="E2711" s="6">
        <v>0.11383765389650359</v>
      </c>
      <c r="F2711" s="24"/>
      <c r="G2711" s="24"/>
      <c r="H2711" s="24"/>
      <c r="I2711" s="24"/>
      <c r="J2711" s="3"/>
      <c r="O2711" s="8"/>
      <c r="P2711" s="20"/>
      <c r="Q2711" s="20"/>
      <c r="R2711" s="20"/>
      <c r="S2711" s="8"/>
      <c r="T2711" s="8"/>
      <c r="U2711" s="8"/>
      <c r="V2711" s="8"/>
      <c r="W2711" s="8"/>
      <c r="X2711" s="8"/>
      <c r="Y2711" s="8"/>
      <c r="Z2711" s="8"/>
    </row>
    <row r="2712" spans="4:26" ht="15" thickBot="1" x14ac:dyDescent="0.35">
      <c r="D2712" s="2">
        <f t="shared" si="82"/>
        <v>2706</v>
      </c>
      <c r="E2712" s="6">
        <v>6.1440383844821467E-6</v>
      </c>
      <c r="F2712" s="24"/>
      <c r="G2712" s="24"/>
      <c r="H2712" s="24"/>
      <c r="I2712" s="24"/>
      <c r="J2712" s="3"/>
      <c r="O2712" s="8"/>
      <c r="P2712" s="20"/>
      <c r="Q2712" s="20"/>
      <c r="R2712" s="20"/>
      <c r="S2712" s="8"/>
      <c r="T2712" s="8"/>
      <c r="U2712" s="8"/>
      <c r="V2712" s="8"/>
      <c r="W2712" s="8"/>
      <c r="X2712" s="8"/>
      <c r="Y2712" s="8"/>
      <c r="Z2712" s="8"/>
    </row>
    <row r="2713" spans="4:26" ht="15" thickBot="1" x14ac:dyDescent="0.35">
      <c r="D2713" s="2">
        <f t="shared" si="82"/>
        <v>2707</v>
      </c>
      <c r="E2713" s="6">
        <v>13.741151037076584</v>
      </c>
      <c r="F2713" s="24"/>
      <c r="G2713" s="24"/>
      <c r="H2713" s="24"/>
      <c r="I2713" s="24"/>
      <c r="J2713" s="3"/>
      <c r="O2713" s="8"/>
      <c r="P2713" s="20"/>
      <c r="Q2713" s="20"/>
      <c r="R2713" s="20"/>
      <c r="S2713" s="8"/>
      <c r="T2713" s="8"/>
      <c r="U2713" s="8"/>
      <c r="V2713" s="8"/>
      <c r="W2713" s="8"/>
      <c r="X2713" s="8"/>
      <c r="Y2713" s="8"/>
      <c r="Z2713" s="8"/>
    </row>
    <row r="2714" spans="4:26" ht="15" thickBot="1" x14ac:dyDescent="0.35">
      <c r="D2714" s="2">
        <f t="shared" si="82"/>
        <v>2708</v>
      </c>
      <c r="E2714" s="6">
        <v>1.8073411051926427</v>
      </c>
      <c r="F2714" s="24"/>
      <c r="G2714" s="24"/>
      <c r="H2714" s="24"/>
      <c r="I2714" s="24"/>
      <c r="J2714" s="3"/>
      <c r="O2714" s="8"/>
      <c r="P2714" s="20"/>
      <c r="Q2714" s="20"/>
      <c r="R2714" s="20"/>
      <c r="S2714" s="8"/>
      <c r="T2714" s="8"/>
      <c r="U2714" s="8"/>
      <c r="V2714" s="8"/>
      <c r="W2714" s="8"/>
      <c r="X2714" s="8"/>
      <c r="Y2714" s="8"/>
      <c r="Z2714" s="8"/>
    </row>
    <row r="2715" spans="4:26" ht="15" thickBot="1" x14ac:dyDescent="0.35">
      <c r="D2715" s="2">
        <f t="shared" si="82"/>
        <v>2709</v>
      </c>
      <c r="E2715" s="6">
        <v>1.1673269442907683</v>
      </c>
      <c r="F2715" s="24"/>
      <c r="G2715" s="24"/>
      <c r="H2715" s="24"/>
      <c r="I2715" s="24"/>
      <c r="J2715" s="3"/>
      <c r="O2715" s="8"/>
      <c r="P2715" s="20"/>
      <c r="Q2715" s="20"/>
      <c r="R2715" s="20"/>
      <c r="S2715" s="8"/>
      <c r="T2715" s="8"/>
      <c r="U2715" s="8"/>
      <c r="V2715" s="8"/>
      <c r="W2715" s="8"/>
      <c r="X2715" s="8"/>
      <c r="Y2715" s="8"/>
      <c r="Z2715" s="8"/>
    </row>
    <row r="2716" spans="4:26" ht="15" thickBot="1" x14ac:dyDescent="0.35">
      <c r="D2716" s="2">
        <f t="shared" si="82"/>
        <v>2710</v>
      </c>
      <c r="E2716" s="6">
        <v>0.1865468368419235</v>
      </c>
      <c r="F2716" s="24"/>
      <c r="G2716" s="24"/>
      <c r="H2716" s="24"/>
      <c r="I2716" s="24"/>
      <c r="J2716" s="3"/>
      <c r="O2716" s="8"/>
      <c r="P2716" s="20"/>
      <c r="Q2716" s="20"/>
      <c r="R2716" s="20"/>
      <c r="S2716" s="8"/>
      <c r="T2716" s="8"/>
      <c r="U2716" s="8"/>
      <c r="V2716" s="8"/>
      <c r="W2716" s="8"/>
      <c r="X2716" s="8"/>
      <c r="Y2716" s="8"/>
      <c r="Z2716" s="8"/>
    </row>
    <row r="2717" spans="4:26" ht="15" thickBot="1" x14ac:dyDescent="0.35">
      <c r="D2717" s="2">
        <f t="shared" si="82"/>
        <v>2711</v>
      </c>
      <c r="E2717" s="6">
        <v>0.94650601092456754</v>
      </c>
      <c r="F2717" s="24"/>
      <c r="G2717" s="24"/>
      <c r="H2717" s="24"/>
      <c r="I2717" s="24"/>
      <c r="J2717" s="3"/>
      <c r="O2717" s="8"/>
      <c r="P2717" s="20"/>
      <c r="Q2717" s="20"/>
      <c r="R2717" s="20"/>
      <c r="S2717" s="8"/>
      <c r="T2717" s="8"/>
      <c r="U2717" s="8"/>
      <c r="V2717" s="8"/>
      <c r="W2717" s="8"/>
      <c r="X2717" s="8"/>
      <c r="Y2717" s="8"/>
      <c r="Z2717" s="8"/>
    </row>
    <row r="2718" spans="4:26" ht="15" thickBot="1" x14ac:dyDescent="0.35">
      <c r="D2718" s="2">
        <f t="shared" si="82"/>
        <v>2712</v>
      </c>
      <c r="E2718" s="6">
        <v>2.1028385023299103</v>
      </c>
      <c r="F2718" s="24"/>
      <c r="G2718" s="24"/>
      <c r="H2718" s="24"/>
      <c r="I2718" s="24"/>
      <c r="J2718" s="3"/>
      <c r="O2718" s="8"/>
      <c r="P2718" s="20"/>
      <c r="Q2718" s="20"/>
      <c r="R2718" s="20"/>
      <c r="S2718" s="8"/>
      <c r="T2718" s="8"/>
      <c r="U2718" s="8"/>
      <c r="V2718" s="8"/>
      <c r="W2718" s="8"/>
      <c r="X2718" s="8"/>
      <c r="Y2718" s="8"/>
      <c r="Z2718" s="8"/>
    </row>
    <row r="2719" spans="4:26" ht="15" thickBot="1" x14ac:dyDescent="0.35">
      <c r="D2719" s="2">
        <f t="shared" si="82"/>
        <v>2713</v>
      </c>
      <c r="E2719" s="6">
        <v>2.7061609328597283</v>
      </c>
      <c r="F2719" s="24"/>
      <c r="G2719" s="24"/>
      <c r="H2719" s="24"/>
      <c r="I2719" s="24"/>
      <c r="J2719" s="3"/>
      <c r="O2719" s="8"/>
      <c r="P2719" s="20"/>
      <c r="Q2719" s="20"/>
      <c r="R2719" s="20"/>
      <c r="S2719" s="8"/>
      <c r="T2719" s="8"/>
      <c r="U2719" s="8"/>
      <c r="V2719" s="8"/>
      <c r="W2719" s="8"/>
      <c r="X2719" s="8"/>
      <c r="Y2719" s="8"/>
      <c r="Z2719" s="8"/>
    </row>
    <row r="2720" spans="4:26" ht="15" thickBot="1" x14ac:dyDescent="0.35">
      <c r="D2720" s="2">
        <f t="shared" si="82"/>
        <v>2714</v>
      </c>
      <c r="E2720" s="6">
        <v>3.7399269521251934</v>
      </c>
      <c r="F2720" s="24"/>
      <c r="G2720" s="24"/>
      <c r="H2720" s="24"/>
      <c r="I2720" s="24"/>
      <c r="J2720" s="3"/>
      <c r="O2720" s="8"/>
      <c r="P2720" s="20"/>
      <c r="Q2720" s="20"/>
      <c r="R2720" s="20"/>
      <c r="S2720" s="8"/>
      <c r="T2720" s="8"/>
      <c r="U2720" s="8"/>
      <c r="V2720" s="8"/>
      <c r="W2720" s="8"/>
      <c r="X2720" s="8"/>
      <c r="Y2720" s="8"/>
      <c r="Z2720" s="8"/>
    </row>
    <row r="2721" spans="4:26" ht="15" thickBot="1" x14ac:dyDescent="0.35">
      <c r="D2721" s="2">
        <f t="shared" si="82"/>
        <v>2715</v>
      </c>
      <c r="E2721" s="6">
        <v>2.7585822167058214</v>
      </c>
      <c r="F2721" s="24"/>
      <c r="G2721" s="24"/>
      <c r="H2721" s="24"/>
      <c r="I2721" s="24"/>
      <c r="J2721" s="3"/>
      <c r="O2721" s="8"/>
      <c r="P2721" s="20"/>
      <c r="Q2721" s="20"/>
      <c r="R2721" s="20"/>
      <c r="S2721" s="8"/>
      <c r="T2721" s="8"/>
      <c r="U2721" s="8"/>
      <c r="V2721" s="8"/>
      <c r="W2721" s="8"/>
      <c r="X2721" s="8"/>
      <c r="Y2721" s="8"/>
      <c r="Z2721" s="8"/>
    </row>
    <row r="2722" spans="4:26" ht="15" thickBot="1" x14ac:dyDescent="0.35">
      <c r="D2722" s="2">
        <f t="shared" si="82"/>
        <v>2716</v>
      </c>
      <c r="E2722" s="6">
        <v>3.876539020282928</v>
      </c>
      <c r="F2722" s="24"/>
      <c r="G2722" s="24"/>
      <c r="H2722" s="24"/>
      <c r="I2722" s="24"/>
      <c r="J2722" s="3"/>
      <c r="O2722" s="8"/>
      <c r="P2722" s="20"/>
      <c r="Q2722" s="20"/>
      <c r="R2722" s="20"/>
      <c r="S2722" s="8"/>
      <c r="T2722" s="8"/>
      <c r="U2722" s="8"/>
      <c r="V2722" s="8"/>
      <c r="W2722" s="8"/>
      <c r="X2722" s="8"/>
      <c r="Y2722" s="8"/>
      <c r="Z2722" s="8"/>
    </row>
    <row r="2723" spans="4:26" ht="15" thickBot="1" x14ac:dyDescent="0.35">
      <c r="D2723" s="2">
        <f t="shared" si="82"/>
        <v>2717</v>
      </c>
      <c r="E2723" s="6">
        <v>8.2713420770945554</v>
      </c>
      <c r="F2723" s="24"/>
      <c r="G2723" s="24"/>
      <c r="H2723" s="24"/>
      <c r="I2723" s="24"/>
      <c r="J2723" s="3"/>
      <c r="O2723" s="8"/>
      <c r="P2723" s="20"/>
      <c r="Q2723" s="20"/>
      <c r="R2723" s="20"/>
      <c r="S2723" s="8"/>
      <c r="T2723" s="8"/>
      <c r="U2723" s="8"/>
      <c r="V2723" s="8"/>
      <c r="W2723" s="8"/>
      <c r="X2723" s="8"/>
      <c r="Y2723" s="8"/>
      <c r="Z2723" s="8"/>
    </row>
    <row r="2724" spans="4:26" ht="15" thickBot="1" x14ac:dyDescent="0.35">
      <c r="D2724" s="2">
        <f t="shared" si="82"/>
        <v>2718</v>
      </c>
      <c r="E2724" s="6">
        <v>10.471270417710473</v>
      </c>
      <c r="F2724" s="24"/>
      <c r="G2724" s="24"/>
      <c r="H2724" s="24"/>
      <c r="I2724" s="24"/>
      <c r="J2724" s="3"/>
      <c r="O2724" s="8"/>
      <c r="P2724" s="20"/>
      <c r="Q2724" s="20"/>
      <c r="R2724" s="20"/>
      <c r="S2724" s="8"/>
      <c r="T2724" s="8"/>
      <c r="U2724" s="8"/>
      <c r="V2724" s="8"/>
      <c r="W2724" s="8"/>
      <c r="X2724" s="8"/>
      <c r="Y2724" s="8"/>
      <c r="Z2724" s="8"/>
    </row>
    <row r="2725" spans="4:26" ht="15" thickBot="1" x14ac:dyDescent="0.35">
      <c r="D2725" s="2">
        <f t="shared" si="82"/>
        <v>2719</v>
      </c>
      <c r="E2725" s="6">
        <v>3.3870951615428697</v>
      </c>
      <c r="F2725" s="24"/>
      <c r="G2725" s="24"/>
      <c r="H2725" s="24"/>
      <c r="I2725" s="24"/>
      <c r="J2725" s="3"/>
      <c r="O2725" s="8"/>
      <c r="P2725" s="20"/>
      <c r="Q2725" s="20"/>
      <c r="R2725" s="20"/>
      <c r="S2725" s="8"/>
      <c r="T2725" s="8"/>
      <c r="U2725" s="8"/>
      <c r="V2725" s="8"/>
      <c r="W2725" s="8"/>
      <c r="X2725" s="8"/>
      <c r="Y2725" s="8"/>
      <c r="Z2725" s="8"/>
    </row>
    <row r="2726" spans="4:26" ht="15" thickBot="1" x14ac:dyDescent="0.35">
      <c r="D2726" s="2">
        <f t="shared" si="82"/>
        <v>2720</v>
      </c>
      <c r="E2726" s="6">
        <v>3.8564236795153599</v>
      </c>
      <c r="F2726" s="24"/>
      <c r="G2726" s="24"/>
      <c r="H2726" s="24"/>
      <c r="I2726" s="24"/>
      <c r="J2726" s="3"/>
      <c r="O2726" s="8"/>
      <c r="P2726" s="20"/>
      <c r="Q2726" s="20"/>
      <c r="R2726" s="20"/>
      <c r="S2726" s="8"/>
      <c r="T2726" s="8"/>
      <c r="U2726" s="8"/>
      <c r="V2726" s="8"/>
      <c r="W2726" s="8"/>
      <c r="X2726" s="8"/>
      <c r="Y2726" s="8"/>
      <c r="Z2726" s="8"/>
    </row>
    <row r="2727" spans="4:26" ht="15" thickBot="1" x14ac:dyDescent="0.35">
      <c r="D2727" s="2">
        <f t="shared" si="82"/>
        <v>2721</v>
      </c>
      <c r="E2727" s="6">
        <v>3.121964185653765</v>
      </c>
      <c r="F2727" s="24"/>
      <c r="G2727" s="24"/>
      <c r="H2727" s="24"/>
      <c r="I2727" s="24"/>
      <c r="J2727" s="3"/>
      <c r="O2727" s="8"/>
      <c r="P2727" s="20"/>
      <c r="Q2727" s="20"/>
      <c r="R2727" s="20"/>
      <c r="S2727" s="8"/>
      <c r="T2727" s="8"/>
      <c r="U2727" s="8"/>
      <c r="V2727" s="8"/>
      <c r="W2727" s="8"/>
      <c r="X2727" s="8"/>
      <c r="Y2727" s="8"/>
      <c r="Z2727" s="8"/>
    </row>
    <row r="2728" spans="4:26" ht="15" thickBot="1" x14ac:dyDescent="0.35">
      <c r="D2728" s="2">
        <f t="shared" si="82"/>
        <v>2722</v>
      </c>
      <c r="E2728" s="6">
        <v>2.0342094395658057</v>
      </c>
      <c r="F2728" s="24"/>
      <c r="G2728" s="24"/>
      <c r="H2728" s="24"/>
      <c r="I2728" s="24"/>
      <c r="J2728" s="3"/>
      <c r="O2728" s="8"/>
      <c r="P2728" s="20"/>
      <c r="Q2728" s="20"/>
      <c r="R2728" s="20"/>
      <c r="S2728" s="8"/>
      <c r="T2728" s="8"/>
      <c r="U2728" s="8"/>
      <c r="V2728" s="8"/>
      <c r="W2728" s="8"/>
      <c r="X2728" s="8"/>
      <c r="Y2728" s="8"/>
      <c r="Z2728" s="8"/>
    </row>
    <row r="2729" spans="4:26" ht="15" thickBot="1" x14ac:dyDescent="0.35">
      <c r="D2729" s="2">
        <f t="shared" si="82"/>
        <v>2723</v>
      </c>
      <c r="E2729" s="6">
        <v>11.650482877208301</v>
      </c>
      <c r="F2729" s="24"/>
      <c r="G2729" s="24"/>
      <c r="H2729" s="24"/>
      <c r="I2729" s="24"/>
      <c r="J2729" s="3"/>
      <c r="O2729" s="8"/>
      <c r="P2729" s="20"/>
      <c r="Q2729" s="20"/>
      <c r="R2729" s="20"/>
      <c r="S2729" s="8"/>
      <c r="T2729" s="8"/>
      <c r="U2729" s="8"/>
      <c r="V2729" s="8"/>
      <c r="W2729" s="8"/>
      <c r="X2729" s="8"/>
      <c r="Y2729" s="8"/>
      <c r="Z2729" s="8"/>
    </row>
    <row r="2730" spans="4:26" ht="15" thickBot="1" x14ac:dyDescent="0.35">
      <c r="D2730" s="2">
        <f t="shared" si="82"/>
        <v>2724</v>
      </c>
      <c r="E2730" s="6">
        <v>6.0424546611595717</v>
      </c>
      <c r="F2730" s="24"/>
      <c r="G2730" s="24"/>
      <c r="H2730" s="24"/>
      <c r="I2730" s="24"/>
      <c r="J2730" s="3"/>
      <c r="O2730" s="8"/>
      <c r="P2730" s="20"/>
      <c r="Q2730" s="20"/>
      <c r="R2730" s="20"/>
      <c r="S2730" s="8"/>
      <c r="T2730" s="8"/>
      <c r="U2730" s="8"/>
      <c r="V2730" s="8"/>
      <c r="W2730" s="8"/>
      <c r="X2730" s="8"/>
      <c r="Y2730" s="8"/>
      <c r="Z2730" s="8"/>
    </row>
    <row r="2731" spans="4:26" ht="15" thickBot="1" x14ac:dyDescent="0.35">
      <c r="D2731" s="2">
        <f t="shared" si="82"/>
        <v>2725</v>
      </c>
      <c r="E2731" s="6">
        <v>2.8497316897747189</v>
      </c>
      <c r="F2731" s="24"/>
      <c r="G2731" s="24"/>
      <c r="H2731" s="24"/>
      <c r="I2731" s="24"/>
      <c r="J2731" s="3"/>
      <c r="O2731" s="8"/>
      <c r="P2731" s="20"/>
      <c r="Q2731" s="20"/>
      <c r="R2731" s="20"/>
      <c r="S2731" s="8"/>
      <c r="T2731" s="8"/>
      <c r="U2731" s="8"/>
      <c r="V2731" s="8"/>
      <c r="W2731" s="8"/>
      <c r="X2731" s="8"/>
      <c r="Y2731" s="8"/>
      <c r="Z2731" s="8"/>
    </row>
    <row r="2732" spans="4:26" ht="15" thickBot="1" x14ac:dyDescent="0.35">
      <c r="D2732" s="2">
        <f t="shared" si="82"/>
        <v>2726</v>
      </c>
      <c r="E2732" s="6">
        <v>1.6318018221031829</v>
      </c>
      <c r="F2732" s="24"/>
      <c r="G2732" s="24"/>
      <c r="H2732" s="24"/>
      <c r="I2732" s="24"/>
      <c r="J2732" s="3"/>
      <c r="O2732" s="8"/>
      <c r="P2732" s="20"/>
      <c r="Q2732" s="20"/>
      <c r="R2732" s="20"/>
      <c r="S2732" s="8"/>
      <c r="T2732" s="8"/>
      <c r="U2732" s="8"/>
      <c r="V2732" s="8"/>
      <c r="W2732" s="8"/>
      <c r="X2732" s="8"/>
      <c r="Y2732" s="8"/>
      <c r="Z2732" s="8"/>
    </row>
    <row r="2733" spans="4:26" ht="15" thickBot="1" x14ac:dyDescent="0.35">
      <c r="D2733" s="2">
        <f t="shared" si="82"/>
        <v>2727</v>
      </c>
      <c r="E2733" s="6">
        <v>7.3285099255811925</v>
      </c>
      <c r="F2733" s="24"/>
      <c r="G2733" s="24"/>
      <c r="H2733" s="24"/>
      <c r="I2733" s="24"/>
      <c r="J2733" s="3"/>
      <c r="O2733" s="8"/>
      <c r="P2733" s="20"/>
      <c r="Q2733" s="20"/>
      <c r="R2733" s="20"/>
      <c r="S2733" s="8"/>
      <c r="T2733" s="8"/>
      <c r="U2733" s="8"/>
      <c r="V2733" s="8"/>
      <c r="W2733" s="8"/>
      <c r="X2733" s="8"/>
      <c r="Y2733" s="8"/>
      <c r="Z2733" s="8"/>
    </row>
    <row r="2734" spans="4:26" ht="15" thickBot="1" x14ac:dyDescent="0.35">
      <c r="D2734" s="2">
        <f t="shared" si="82"/>
        <v>2728</v>
      </c>
      <c r="E2734" s="6">
        <v>1.1983424779165706</v>
      </c>
      <c r="F2734" s="24"/>
      <c r="G2734" s="24"/>
      <c r="H2734" s="24"/>
      <c r="I2734" s="24"/>
      <c r="J2734" s="3"/>
      <c r="O2734" s="8"/>
      <c r="P2734" s="20"/>
      <c r="Q2734" s="20"/>
      <c r="R2734" s="20"/>
      <c r="S2734" s="8"/>
      <c r="T2734" s="8"/>
      <c r="U2734" s="8"/>
      <c r="V2734" s="8"/>
      <c r="W2734" s="8"/>
      <c r="X2734" s="8"/>
      <c r="Y2734" s="8"/>
      <c r="Z2734" s="8"/>
    </row>
    <row r="2735" spans="4:26" ht="15" thickBot="1" x14ac:dyDescent="0.35">
      <c r="D2735" s="2">
        <f t="shared" si="82"/>
        <v>2729</v>
      </c>
      <c r="E2735" s="6">
        <v>0.58556923173141695</v>
      </c>
      <c r="F2735" s="24"/>
      <c r="G2735" s="24"/>
      <c r="H2735" s="24"/>
      <c r="I2735" s="24"/>
      <c r="J2735" s="3"/>
      <c r="O2735" s="8"/>
      <c r="P2735" s="20"/>
      <c r="Q2735" s="20"/>
      <c r="R2735" s="20"/>
      <c r="S2735" s="8"/>
      <c r="T2735" s="8"/>
      <c r="U2735" s="8"/>
      <c r="V2735" s="8"/>
      <c r="W2735" s="8"/>
      <c r="X2735" s="8"/>
      <c r="Y2735" s="8"/>
      <c r="Z2735" s="8"/>
    </row>
    <row r="2736" spans="4:26" ht="15" thickBot="1" x14ac:dyDescent="0.35">
      <c r="D2736" s="2">
        <f t="shared" si="82"/>
        <v>2730</v>
      </c>
      <c r="E2736" s="6">
        <v>5.9298164325026583</v>
      </c>
      <c r="F2736" s="24"/>
      <c r="G2736" s="24"/>
      <c r="H2736" s="24"/>
      <c r="I2736" s="24"/>
      <c r="J2736" s="3"/>
      <c r="O2736" s="8"/>
      <c r="P2736" s="20"/>
      <c r="Q2736" s="20"/>
      <c r="R2736" s="20"/>
      <c r="S2736" s="8"/>
      <c r="T2736" s="8"/>
      <c r="U2736" s="8"/>
      <c r="V2736" s="8"/>
      <c r="W2736" s="8"/>
      <c r="X2736" s="8"/>
      <c r="Y2736" s="8"/>
      <c r="Z2736" s="8"/>
    </row>
    <row r="2737" spans="4:26" ht="15" thickBot="1" x14ac:dyDescent="0.35">
      <c r="D2737" s="2">
        <f t="shared" si="82"/>
        <v>2731</v>
      </c>
      <c r="E2737" s="6">
        <v>1.3129826328870111</v>
      </c>
      <c r="F2737" s="24"/>
      <c r="G2737" s="24"/>
      <c r="H2737" s="24"/>
      <c r="I2737" s="24"/>
      <c r="J2737" s="3"/>
      <c r="O2737" s="8"/>
      <c r="P2737" s="20"/>
      <c r="Q2737" s="20"/>
      <c r="R2737" s="20"/>
      <c r="S2737" s="8"/>
      <c r="T2737" s="8"/>
      <c r="U2737" s="8"/>
      <c r="V2737" s="8"/>
      <c r="W2737" s="8"/>
      <c r="X2737" s="8"/>
      <c r="Y2737" s="8"/>
      <c r="Z2737" s="8"/>
    </row>
    <row r="2738" spans="4:26" ht="15" thickBot="1" x14ac:dyDescent="0.35">
      <c r="D2738" s="2">
        <f t="shared" si="82"/>
        <v>2732</v>
      </c>
      <c r="E2738" s="6">
        <v>3.7462821430490916</v>
      </c>
      <c r="F2738" s="24"/>
      <c r="G2738" s="24"/>
      <c r="H2738" s="24"/>
      <c r="I2738" s="24"/>
      <c r="J2738" s="3"/>
      <c r="O2738" s="8"/>
      <c r="P2738" s="20"/>
      <c r="Q2738" s="20"/>
      <c r="R2738" s="20"/>
      <c r="S2738" s="8"/>
      <c r="T2738" s="8"/>
      <c r="U2738" s="8"/>
      <c r="V2738" s="8"/>
      <c r="W2738" s="8"/>
      <c r="X2738" s="8"/>
      <c r="Y2738" s="8"/>
      <c r="Z2738" s="8"/>
    </row>
    <row r="2739" spans="4:26" ht="15" thickBot="1" x14ac:dyDescent="0.35">
      <c r="D2739" s="2">
        <f t="shared" si="82"/>
        <v>2733</v>
      </c>
      <c r="E2739" s="6">
        <v>1.4111251004284691</v>
      </c>
      <c r="F2739" s="24"/>
      <c r="G2739" s="24"/>
      <c r="H2739" s="24"/>
      <c r="I2739" s="24"/>
      <c r="J2739" s="3"/>
      <c r="O2739" s="8"/>
      <c r="P2739" s="20"/>
      <c r="Q2739" s="20"/>
      <c r="R2739" s="20"/>
      <c r="S2739" s="8"/>
      <c r="T2739" s="8"/>
      <c r="U2739" s="8"/>
      <c r="V2739" s="8"/>
      <c r="W2739" s="8"/>
      <c r="X2739" s="8"/>
      <c r="Y2739" s="8"/>
      <c r="Z2739" s="8"/>
    </row>
    <row r="2740" spans="4:26" ht="15" thickBot="1" x14ac:dyDescent="0.35">
      <c r="D2740" s="2">
        <f t="shared" si="82"/>
        <v>2734</v>
      </c>
      <c r="E2740" s="6">
        <v>3.2185892821802646</v>
      </c>
      <c r="F2740" s="24"/>
      <c r="G2740" s="24"/>
      <c r="H2740" s="24"/>
      <c r="I2740" s="24"/>
      <c r="J2740" s="3"/>
      <c r="O2740" s="8"/>
      <c r="P2740" s="20"/>
      <c r="Q2740" s="20"/>
      <c r="R2740" s="20"/>
      <c r="S2740" s="8"/>
      <c r="T2740" s="8"/>
      <c r="U2740" s="8"/>
      <c r="V2740" s="8"/>
      <c r="W2740" s="8"/>
      <c r="X2740" s="8"/>
      <c r="Y2740" s="8"/>
      <c r="Z2740" s="8"/>
    </row>
    <row r="2741" spans="4:26" ht="15" thickBot="1" x14ac:dyDescent="0.35">
      <c r="D2741" s="2">
        <f t="shared" si="82"/>
        <v>2735</v>
      </c>
      <c r="E2741" s="6">
        <v>11.536839064097517</v>
      </c>
      <c r="F2741" s="24"/>
      <c r="G2741" s="24"/>
      <c r="H2741" s="24"/>
      <c r="I2741" s="24"/>
      <c r="J2741" s="3"/>
      <c r="O2741" s="8"/>
      <c r="P2741" s="20"/>
      <c r="Q2741" s="20"/>
      <c r="R2741" s="20"/>
      <c r="S2741" s="8"/>
      <c r="T2741" s="8"/>
      <c r="U2741" s="8"/>
      <c r="V2741" s="8"/>
      <c r="W2741" s="8"/>
      <c r="X2741" s="8"/>
      <c r="Y2741" s="8"/>
      <c r="Z2741" s="8"/>
    </row>
    <row r="2742" spans="4:26" ht="15" thickBot="1" x14ac:dyDescent="0.35">
      <c r="D2742" s="2">
        <f t="shared" si="82"/>
        <v>2736</v>
      </c>
      <c r="E2742" s="6">
        <v>0.27035536331460591</v>
      </c>
      <c r="F2742" s="24"/>
      <c r="G2742" s="24"/>
      <c r="H2742" s="24"/>
      <c r="I2742" s="24"/>
      <c r="J2742" s="3"/>
      <c r="O2742" s="8"/>
      <c r="P2742" s="20"/>
      <c r="Q2742" s="20"/>
      <c r="R2742" s="20"/>
      <c r="S2742" s="8"/>
      <c r="T2742" s="8"/>
      <c r="U2742" s="8"/>
      <c r="V2742" s="8"/>
      <c r="W2742" s="8"/>
      <c r="X2742" s="8"/>
      <c r="Y2742" s="8"/>
      <c r="Z2742" s="8"/>
    </row>
    <row r="2743" spans="4:26" ht="15" thickBot="1" x14ac:dyDescent="0.35">
      <c r="D2743" s="2">
        <f t="shared" si="82"/>
        <v>2737</v>
      </c>
      <c r="E2743" s="6">
        <v>15.646999256262145</v>
      </c>
      <c r="F2743" s="24"/>
      <c r="G2743" s="24"/>
      <c r="H2743" s="24"/>
      <c r="I2743" s="24"/>
      <c r="J2743" s="3"/>
      <c r="O2743" s="8"/>
      <c r="P2743" s="20"/>
      <c r="Q2743" s="20"/>
      <c r="R2743" s="20"/>
      <c r="S2743" s="8"/>
      <c r="T2743" s="8"/>
      <c r="U2743" s="8"/>
      <c r="V2743" s="8"/>
      <c r="W2743" s="8"/>
      <c r="X2743" s="8"/>
      <c r="Y2743" s="8"/>
      <c r="Z2743" s="8"/>
    </row>
    <row r="2744" spans="4:26" ht="15" thickBot="1" x14ac:dyDescent="0.35">
      <c r="D2744" s="2">
        <f t="shared" si="82"/>
        <v>2738</v>
      </c>
      <c r="E2744" s="6">
        <v>2.0066572800538931</v>
      </c>
      <c r="F2744" s="24"/>
      <c r="G2744" s="24"/>
      <c r="H2744" s="24"/>
      <c r="I2744" s="24"/>
      <c r="J2744" s="3"/>
      <c r="O2744" s="8"/>
      <c r="P2744" s="20"/>
      <c r="Q2744" s="20"/>
      <c r="R2744" s="20"/>
      <c r="S2744" s="8"/>
      <c r="T2744" s="8"/>
      <c r="U2744" s="8"/>
      <c r="V2744" s="8"/>
      <c r="W2744" s="8"/>
      <c r="X2744" s="8"/>
      <c r="Y2744" s="8"/>
      <c r="Z2744" s="8"/>
    </row>
    <row r="2745" spans="4:26" ht="15" thickBot="1" x14ac:dyDescent="0.35">
      <c r="D2745" s="2">
        <f t="shared" si="82"/>
        <v>2739</v>
      </c>
      <c r="E2745" s="6">
        <v>1.0532148607923859</v>
      </c>
      <c r="F2745" s="24"/>
      <c r="G2745" s="24"/>
      <c r="H2745" s="24"/>
      <c r="I2745" s="24"/>
      <c r="J2745" s="3"/>
      <c r="O2745" s="8"/>
      <c r="P2745" s="20"/>
      <c r="Q2745" s="20"/>
      <c r="R2745" s="20"/>
      <c r="S2745" s="8"/>
      <c r="T2745" s="8"/>
      <c r="U2745" s="8"/>
      <c r="V2745" s="8"/>
      <c r="W2745" s="8"/>
      <c r="X2745" s="8"/>
      <c r="Y2745" s="8"/>
      <c r="Z2745" s="8"/>
    </row>
    <row r="2746" spans="4:26" ht="15" thickBot="1" x14ac:dyDescent="0.35">
      <c r="D2746" s="2">
        <f t="shared" si="82"/>
        <v>2740</v>
      </c>
      <c r="E2746" s="6">
        <v>2.6124174980114394</v>
      </c>
      <c r="F2746" s="24"/>
      <c r="G2746" s="24"/>
      <c r="H2746" s="24"/>
      <c r="I2746" s="24"/>
      <c r="J2746" s="3"/>
      <c r="O2746" s="8"/>
      <c r="P2746" s="20"/>
      <c r="Q2746" s="20"/>
      <c r="R2746" s="20"/>
      <c r="S2746" s="8"/>
      <c r="T2746" s="8"/>
      <c r="U2746" s="8"/>
      <c r="V2746" s="8"/>
      <c r="W2746" s="8"/>
      <c r="X2746" s="8"/>
      <c r="Y2746" s="8"/>
      <c r="Z2746" s="8"/>
    </row>
    <row r="2747" spans="4:26" ht="15" thickBot="1" x14ac:dyDescent="0.35">
      <c r="D2747" s="2">
        <f t="shared" si="82"/>
        <v>2741</v>
      </c>
      <c r="E2747" s="6">
        <v>1.4392985516732286E-2</v>
      </c>
      <c r="F2747" s="24"/>
      <c r="G2747" s="24"/>
      <c r="H2747" s="24"/>
      <c r="I2747" s="24"/>
      <c r="J2747" s="3"/>
      <c r="O2747" s="8"/>
      <c r="P2747" s="20"/>
      <c r="Q2747" s="20"/>
      <c r="R2747" s="20"/>
      <c r="S2747" s="8"/>
      <c r="T2747" s="8"/>
      <c r="U2747" s="8"/>
      <c r="V2747" s="8"/>
      <c r="W2747" s="8"/>
      <c r="X2747" s="8"/>
      <c r="Y2747" s="8"/>
      <c r="Z2747" s="8"/>
    </row>
    <row r="2748" spans="4:26" ht="15" thickBot="1" x14ac:dyDescent="0.35">
      <c r="D2748" s="2">
        <f t="shared" si="82"/>
        <v>2742</v>
      </c>
      <c r="E2748" s="6">
        <v>5.8999307596623733</v>
      </c>
      <c r="F2748" s="24"/>
      <c r="G2748" s="24"/>
      <c r="H2748" s="24"/>
      <c r="I2748" s="24"/>
      <c r="J2748" s="3"/>
      <c r="O2748" s="8"/>
      <c r="P2748" s="20"/>
      <c r="Q2748" s="20"/>
      <c r="R2748" s="20"/>
      <c r="S2748" s="8"/>
      <c r="T2748" s="8"/>
      <c r="U2748" s="8"/>
      <c r="V2748" s="8"/>
      <c r="W2748" s="8"/>
      <c r="X2748" s="8"/>
      <c r="Y2748" s="8"/>
      <c r="Z2748" s="8"/>
    </row>
    <row r="2749" spans="4:26" ht="15" thickBot="1" x14ac:dyDescent="0.35">
      <c r="D2749" s="2">
        <f t="shared" si="82"/>
        <v>2743</v>
      </c>
      <c r="E2749" s="6">
        <v>1.4566761082040811</v>
      </c>
      <c r="F2749" s="24"/>
      <c r="G2749" s="24"/>
      <c r="H2749" s="24"/>
      <c r="I2749" s="24"/>
      <c r="J2749" s="3"/>
      <c r="O2749" s="8"/>
      <c r="P2749" s="20"/>
      <c r="Q2749" s="20"/>
      <c r="R2749" s="20"/>
      <c r="S2749" s="8"/>
      <c r="T2749" s="8"/>
      <c r="U2749" s="8"/>
      <c r="V2749" s="8"/>
      <c r="W2749" s="8"/>
      <c r="X2749" s="8"/>
      <c r="Y2749" s="8"/>
      <c r="Z2749" s="8"/>
    </row>
    <row r="2750" spans="4:26" ht="15" thickBot="1" x14ac:dyDescent="0.35">
      <c r="D2750" s="2">
        <f t="shared" si="82"/>
        <v>2744</v>
      </c>
      <c r="E2750" s="6">
        <v>4.9840031107259053</v>
      </c>
      <c r="F2750" s="24"/>
      <c r="G2750" s="24"/>
      <c r="H2750" s="24"/>
      <c r="I2750" s="24"/>
      <c r="J2750" s="3"/>
      <c r="O2750" s="8"/>
      <c r="P2750" s="20"/>
      <c r="Q2750" s="20"/>
      <c r="R2750" s="20"/>
      <c r="S2750" s="8"/>
      <c r="T2750" s="8"/>
      <c r="U2750" s="8"/>
      <c r="V2750" s="8"/>
      <c r="W2750" s="8"/>
      <c r="X2750" s="8"/>
      <c r="Y2750" s="8"/>
      <c r="Z2750" s="8"/>
    </row>
    <row r="2751" spans="4:26" ht="15" thickBot="1" x14ac:dyDescent="0.35">
      <c r="D2751" s="2">
        <f t="shared" si="82"/>
        <v>2745</v>
      </c>
      <c r="E2751" s="6">
        <v>1.454573054060061</v>
      </c>
      <c r="F2751" s="24"/>
      <c r="G2751" s="24"/>
      <c r="H2751" s="24"/>
      <c r="I2751" s="24"/>
      <c r="J2751" s="3"/>
      <c r="O2751" s="8"/>
      <c r="P2751" s="20"/>
      <c r="Q2751" s="20"/>
      <c r="R2751" s="20"/>
      <c r="S2751" s="8"/>
      <c r="T2751" s="8"/>
      <c r="U2751" s="8"/>
      <c r="V2751" s="8"/>
      <c r="W2751" s="8"/>
      <c r="X2751" s="8"/>
      <c r="Y2751" s="8"/>
      <c r="Z2751" s="8"/>
    </row>
    <row r="2752" spans="4:26" ht="15" thickBot="1" x14ac:dyDescent="0.35">
      <c r="D2752" s="2">
        <f t="shared" si="82"/>
        <v>2746</v>
      </c>
      <c r="E2752" s="6">
        <v>3.8283016223024582</v>
      </c>
      <c r="F2752" s="24"/>
      <c r="G2752" s="24"/>
      <c r="H2752" s="24"/>
      <c r="I2752" s="24"/>
      <c r="J2752" s="3"/>
      <c r="O2752" s="8"/>
      <c r="P2752" s="20"/>
      <c r="Q2752" s="20"/>
      <c r="R2752" s="20"/>
      <c r="S2752" s="8"/>
      <c r="T2752" s="8"/>
      <c r="U2752" s="8"/>
      <c r="V2752" s="8"/>
      <c r="W2752" s="8"/>
      <c r="X2752" s="8"/>
      <c r="Y2752" s="8"/>
      <c r="Z2752" s="8"/>
    </row>
    <row r="2753" spans="4:26" ht="15" thickBot="1" x14ac:dyDescent="0.35">
      <c r="D2753" s="2">
        <f t="shared" si="82"/>
        <v>2747</v>
      </c>
      <c r="E2753" s="6">
        <v>1.2112878180127031</v>
      </c>
      <c r="F2753" s="24"/>
      <c r="G2753" s="24"/>
      <c r="H2753" s="24"/>
      <c r="I2753" s="24"/>
      <c r="J2753" s="3"/>
      <c r="O2753" s="8"/>
      <c r="P2753" s="20"/>
      <c r="Q2753" s="20"/>
      <c r="R2753" s="20"/>
      <c r="S2753" s="8"/>
      <c r="T2753" s="8"/>
      <c r="U2753" s="8"/>
      <c r="V2753" s="8"/>
      <c r="W2753" s="8"/>
      <c r="X2753" s="8"/>
      <c r="Y2753" s="8"/>
      <c r="Z2753" s="8"/>
    </row>
    <row r="2754" spans="4:26" ht="15" thickBot="1" x14ac:dyDescent="0.35">
      <c r="D2754" s="2">
        <f t="shared" si="82"/>
        <v>2748</v>
      </c>
      <c r="E2754" s="6">
        <v>4.7946075205823258</v>
      </c>
      <c r="F2754" s="24"/>
      <c r="G2754" s="24"/>
      <c r="H2754" s="24"/>
      <c r="I2754" s="24"/>
      <c r="J2754" s="3"/>
      <c r="O2754" s="8"/>
      <c r="P2754" s="20"/>
      <c r="Q2754" s="20"/>
      <c r="R2754" s="20"/>
      <c r="S2754" s="8"/>
      <c r="T2754" s="8"/>
      <c r="U2754" s="8"/>
      <c r="V2754" s="8"/>
      <c r="W2754" s="8"/>
      <c r="X2754" s="8"/>
      <c r="Y2754" s="8"/>
      <c r="Z2754" s="8"/>
    </row>
    <row r="2755" spans="4:26" ht="15" thickBot="1" x14ac:dyDescent="0.35">
      <c r="D2755" s="2">
        <f t="shared" si="82"/>
        <v>2749</v>
      </c>
      <c r="E2755" s="6">
        <v>9.0148776131442219</v>
      </c>
      <c r="F2755" s="24"/>
      <c r="G2755" s="24"/>
      <c r="H2755" s="24"/>
      <c r="I2755" s="24"/>
      <c r="J2755" s="3"/>
      <c r="O2755" s="8"/>
      <c r="P2755" s="20"/>
      <c r="Q2755" s="20"/>
      <c r="R2755" s="20"/>
      <c r="S2755" s="8"/>
      <c r="T2755" s="8"/>
      <c r="U2755" s="8"/>
      <c r="V2755" s="8"/>
      <c r="W2755" s="8"/>
      <c r="X2755" s="8"/>
      <c r="Y2755" s="8"/>
      <c r="Z2755" s="8"/>
    </row>
    <row r="2756" spans="4:26" ht="15" thickBot="1" x14ac:dyDescent="0.35">
      <c r="D2756" s="2">
        <f t="shared" si="82"/>
        <v>2750</v>
      </c>
      <c r="E2756" s="6">
        <v>0.66510127203649316</v>
      </c>
      <c r="F2756" s="24"/>
      <c r="G2756" s="24"/>
      <c r="H2756" s="24"/>
      <c r="I2756" s="24"/>
      <c r="J2756" s="3"/>
      <c r="O2756" s="8"/>
      <c r="P2756" s="20"/>
      <c r="Q2756" s="20"/>
      <c r="R2756" s="20"/>
      <c r="S2756" s="8"/>
      <c r="T2756" s="8"/>
      <c r="U2756" s="8"/>
      <c r="V2756" s="8"/>
      <c r="W2756" s="8"/>
      <c r="X2756" s="8"/>
      <c r="Y2756" s="8"/>
      <c r="Z2756" s="8"/>
    </row>
    <row r="2757" spans="4:26" ht="15" thickBot="1" x14ac:dyDescent="0.35">
      <c r="D2757" s="2">
        <f t="shared" si="82"/>
        <v>2751</v>
      </c>
      <c r="E2757" s="6">
        <v>0.99880462615945609</v>
      </c>
      <c r="F2757" s="24"/>
      <c r="G2757" s="24"/>
      <c r="H2757" s="24"/>
      <c r="I2757" s="24"/>
      <c r="J2757" s="3"/>
      <c r="O2757" s="8"/>
      <c r="P2757" s="20"/>
      <c r="Q2757" s="20"/>
      <c r="R2757" s="20"/>
      <c r="S2757" s="8"/>
      <c r="T2757" s="8"/>
      <c r="U2757" s="8"/>
      <c r="V2757" s="8"/>
      <c r="W2757" s="8"/>
      <c r="X2757" s="8"/>
      <c r="Y2757" s="8"/>
      <c r="Z2757" s="8"/>
    </row>
    <row r="2758" spans="4:26" ht="15" thickBot="1" x14ac:dyDescent="0.35">
      <c r="D2758" s="2">
        <f t="shared" si="82"/>
        <v>2752</v>
      </c>
      <c r="E2758" s="6">
        <v>0.46133149045380578</v>
      </c>
      <c r="F2758" s="24"/>
      <c r="G2758" s="24"/>
      <c r="H2758" s="24"/>
      <c r="I2758" s="24"/>
      <c r="J2758" s="3"/>
      <c r="O2758" s="8"/>
      <c r="P2758" s="20"/>
      <c r="Q2758" s="20"/>
      <c r="R2758" s="20"/>
      <c r="S2758" s="8"/>
      <c r="T2758" s="8"/>
      <c r="U2758" s="8"/>
      <c r="V2758" s="8"/>
      <c r="W2758" s="8"/>
      <c r="X2758" s="8"/>
      <c r="Y2758" s="8"/>
      <c r="Z2758" s="8"/>
    </row>
    <row r="2759" spans="4:26" ht="15" thickBot="1" x14ac:dyDescent="0.35">
      <c r="D2759" s="2">
        <f t="shared" ref="D2759:D2794" si="83">ROW()-6</f>
        <v>2753</v>
      </c>
      <c r="E2759" s="6">
        <v>4.863593021030173</v>
      </c>
      <c r="F2759" s="24"/>
      <c r="G2759" s="24"/>
      <c r="H2759" s="24"/>
      <c r="I2759" s="24"/>
      <c r="J2759" s="3"/>
      <c r="O2759" s="8"/>
      <c r="P2759" s="20"/>
      <c r="Q2759" s="20"/>
      <c r="R2759" s="20"/>
      <c r="S2759" s="8"/>
      <c r="T2759" s="8"/>
      <c r="U2759" s="8"/>
      <c r="V2759" s="8"/>
      <c r="W2759" s="8"/>
      <c r="X2759" s="8"/>
      <c r="Y2759" s="8"/>
      <c r="Z2759" s="8"/>
    </row>
    <row r="2760" spans="4:26" ht="15" thickBot="1" x14ac:dyDescent="0.35">
      <c r="D2760" s="2">
        <f t="shared" si="83"/>
        <v>2754</v>
      </c>
      <c r="E2760" s="6">
        <v>1.6579170821518281</v>
      </c>
      <c r="F2760" s="24"/>
      <c r="G2760" s="24"/>
      <c r="H2760" s="24"/>
      <c r="I2760" s="24"/>
      <c r="J2760" s="3"/>
      <c r="O2760" s="8"/>
      <c r="P2760" s="20"/>
      <c r="Q2760" s="20"/>
      <c r="R2760" s="20"/>
      <c r="S2760" s="8"/>
      <c r="T2760" s="8"/>
      <c r="U2760" s="8"/>
      <c r="V2760" s="8"/>
      <c r="W2760" s="8"/>
      <c r="X2760" s="8"/>
      <c r="Y2760" s="8"/>
      <c r="Z2760" s="8"/>
    </row>
    <row r="2761" spans="4:26" ht="15" thickBot="1" x14ac:dyDescent="0.35">
      <c r="D2761" s="2">
        <f t="shared" si="83"/>
        <v>2755</v>
      </c>
      <c r="E2761" s="6">
        <v>4.0605264169390756</v>
      </c>
      <c r="F2761" s="24"/>
      <c r="G2761" s="24"/>
      <c r="H2761" s="24"/>
      <c r="I2761" s="24"/>
      <c r="J2761" s="3"/>
      <c r="O2761" s="8"/>
      <c r="P2761" s="20"/>
      <c r="Q2761" s="20"/>
      <c r="R2761" s="20"/>
      <c r="S2761" s="8"/>
      <c r="T2761" s="8"/>
      <c r="U2761" s="8"/>
      <c r="V2761" s="8"/>
      <c r="W2761" s="8"/>
      <c r="X2761" s="8"/>
      <c r="Y2761" s="8"/>
      <c r="Z2761" s="8"/>
    </row>
    <row r="2762" spans="4:26" ht="15" thickBot="1" x14ac:dyDescent="0.35">
      <c r="D2762" s="2">
        <f t="shared" si="83"/>
        <v>2756</v>
      </c>
      <c r="E2762" s="6">
        <v>2.4078416387007637</v>
      </c>
      <c r="F2762" s="24"/>
      <c r="G2762" s="24"/>
      <c r="H2762" s="24"/>
      <c r="I2762" s="24"/>
      <c r="J2762" s="3"/>
      <c r="O2762" s="8"/>
      <c r="P2762" s="20"/>
      <c r="Q2762" s="20"/>
      <c r="R2762" s="20"/>
      <c r="S2762" s="8"/>
      <c r="T2762" s="8"/>
      <c r="U2762" s="8"/>
      <c r="V2762" s="8"/>
      <c r="W2762" s="8"/>
      <c r="X2762" s="8"/>
      <c r="Y2762" s="8"/>
      <c r="Z2762" s="8"/>
    </row>
    <row r="2763" spans="4:26" ht="15" thickBot="1" x14ac:dyDescent="0.35">
      <c r="D2763" s="2">
        <f t="shared" si="83"/>
        <v>2757</v>
      </c>
      <c r="E2763" s="6">
        <v>0.79745650638511623</v>
      </c>
      <c r="F2763" s="24"/>
      <c r="G2763" s="24"/>
      <c r="H2763" s="24"/>
      <c r="I2763" s="24"/>
      <c r="J2763" s="3"/>
      <c r="O2763" s="8"/>
      <c r="P2763" s="20"/>
      <c r="Q2763" s="20"/>
      <c r="R2763" s="20"/>
      <c r="S2763" s="8"/>
      <c r="T2763" s="8"/>
      <c r="U2763" s="8"/>
      <c r="V2763" s="8"/>
      <c r="W2763" s="8"/>
      <c r="X2763" s="8"/>
      <c r="Y2763" s="8"/>
      <c r="Z2763" s="8"/>
    </row>
    <row r="2764" spans="4:26" ht="15" thickBot="1" x14ac:dyDescent="0.35">
      <c r="D2764" s="2">
        <f t="shared" si="83"/>
        <v>2758</v>
      </c>
      <c r="E2764" s="6">
        <v>4.4539297166546055</v>
      </c>
      <c r="F2764" s="24"/>
      <c r="G2764" s="24"/>
      <c r="H2764" s="24"/>
      <c r="I2764" s="24"/>
      <c r="J2764" s="3"/>
      <c r="O2764" s="8"/>
      <c r="P2764" s="20"/>
      <c r="Q2764" s="20"/>
      <c r="R2764" s="20"/>
      <c r="S2764" s="8"/>
      <c r="T2764" s="8"/>
      <c r="U2764" s="8"/>
      <c r="V2764" s="8"/>
      <c r="W2764" s="8"/>
      <c r="X2764" s="8"/>
      <c r="Y2764" s="8"/>
      <c r="Z2764" s="8"/>
    </row>
    <row r="2765" spans="4:26" ht="15" thickBot="1" x14ac:dyDescent="0.35">
      <c r="D2765" s="2">
        <f t="shared" si="83"/>
        <v>2759</v>
      </c>
      <c r="E2765" s="6">
        <v>2.9852947910063574</v>
      </c>
      <c r="F2765" s="24"/>
      <c r="G2765" s="24"/>
      <c r="H2765" s="24"/>
      <c r="I2765" s="24"/>
      <c r="J2765" s="3"/>
      <c r="O2765" s="8"/>
      <c r="P2765" s="20"/>
      <c r="Q2765" s="20"/>
      <c r="R2765" s="20"/>
      <c r="S2765" s="8"/>
      <c r="T2765" s="8"/>
      <c r="U2765" s="8"/>
      <c r="V2765" s="8"/>
      <c r="W2765" s="8"/>
      <c r="X2765" s="8"/>
      <c r="Y2765" s="8"/>
      <c r="Z2765" s="8"/>
    </row>
    <row r="2766" spans="4:26" ht="15" thickBot="1" x14ac:dyDescent="0.35">
      <c r="D2766" s="2">
        <f t="shared" si="83"/>
        <v>2760</v>
      </c>
      <c r="E2766" s="6">
        <v>0.19398123746605589</v>
      </c>
      <c r="F2766" s="24"/>
      <c r="G2766" s="24"/>
      <c r="H2766" s="24"/>
      <c r="I2766" s="24"/>
      <c r="J2766" s="3"/>
      <c r="O2766" s="8"/>
      <c r="P2766" s="20"/>
      <c r="Q2766" s="20"/>
      <c r="R2766" s="20"/>
      <c r="S2766" s="8"/>
      <c r="T2766" s="8"/>
      <c r="U2766" s="8"/>
      <c r="V2766" s="8"/>
      <c r="W2766" s="8"/>
      <c r="X2766" s="8"/>
      <c r="Y2766" s="8"/>
      <c r="Z2766" s="8"/>
    </row>
    <row r="2767" spans="4:26" ht="15" thickBot="1" x14ac:dyDescent="0.35">
      <c r="D2767" s="2">
        <f t="shared" si="83"/>
        <v>2761</v>
      </c>
      <c r="E2767" s="6">
        <v>6.9327451300154106</v>
      </c>
      <c r="F2767" s="24"/>
      <c r="G2767" s="24"/>
      <c r="H2767" s="24"/>
      <c r="I2767" s="24"/>
      <c r="J2767" s="3"/>
      <c r="O2767" s="8"/>
      <c r="P2767" s="20"/>
      <c r="Q2767" s="20"/>
      <c r="R2767" s="20"/>
      <c r="S2767" s="8"/>
      <c r="T2767" s="8"/>
      <c r="U2767" s="8"/>
      <c r="V2767" s="8"/>
      <c r="W2767" s="8"/>
      <c r="X2767" s="8"/>
      <c r="Y2767" s="8"/>
      <c r="Z2767" s="8"/>
    </row>
    <row r="2768" spans="4:26" ht="15" thickBot="1" x14ac:dyDescent="0.35">
      <c r="D2768" s="2">
        <f t="shared" si="83"/>
        <v>2762</v>
      </c>
      <c r="E2768" s="6">
        <v>4.337214771421162</v>
      </c>
      <c r="F2768" s="24"/>
      <c r="G2768" s="24"/>
      <c r="H2768" s="24"/>
      <c r="I2768" s="24"/>
      <c r="J2768" s="3"/>
      <c r="O2768" s="8"/>
      <c r="P2768" s="20"/>
      <c r="Q2768" s="20"/>
      <c r="R2768" s="20"/>
      <c r="S2768" s="8"/>
      <c r="T2768" s="8"/>
      <c r="U2768" s="8"/>
      <c r="V2768" s="8"/>
      <c r="W2768" s="8"/>
      <c r="X2768" s="8"/>
      <c r="Y2768" s="8"/>
      <c r="Z2768" s="8"/>
    </row>
    <row r="2769" spans="4:26" ht="15" thickBot="1" x14ac:dyDescent="0.35">
      <c r="D2769" s="2">
        <f t="shared" si="83"/>
        <v>2763</v>
      </c>
      <c r="E2769" s="6">
        <v>5.2865841880956017</v>
      </c>
      <c r="F2769" s="24"/>
      <c r="G2769" s="24"/>
      <c r="H2769" s="24"/>
      <c r="I2769" s="24"/>
      <c r="J2769" s="3"/>
      <c r="O2769" s="8"/>
      <c r="P2769" s="20"/>
      <c r="Q2769" s="20"/>
      <c r="R2769" s="20"/>
      <c r="S2769" s="8"/>
      <c r="T2769" s="8"/>
      <c r="U2769" s="8"/>
      <c r="V2769" s="8"/>
      <c r="W2769" s="8"/>
      <c r="X2769" s="8"/>
      <c r="Y2769" s="8"/>
      <c r="Z2769" s="8"/>
    </row>
    <row r="2770" spans="4:26" ht="15" thickBot="1" x14ac:dyDescent="0.35">
      <c r="D2770" s="2">
        <f t="shared" si="83"/>
        <v>2764</v>
      </c>
      <c r="E2770" s="6">
        <v>0.67103462160079519</v>
      </c>
      <c r="F2770" s="24"/>
      <c r="G2770" s="24"/>
      <c r="H2770" s="24"/>
      <c r="I2770" s="24"/>
      <c r="J2770" s="3"/>
      <c r="O2770" s="8"/>
      <c r="P2770" s="20"/>
      <c r="Q2770" s="20"/>
      <c r="R2770" s="20"/>
      <c r="S2770" s="8"/>
      <c r="T2770" s="8"/>
      <c r="U2770" s="8"/>
      <c r="V2770" s="8"/>
      <c r="W2770" s="8"/>
      <c r="X2770" s="8"/>
      <c r="Y2770" s="8"/>
      <c r="Z2770" s="8"/>
    </row>
    <row r="2771" spans="4:26" ht="15" thickBot="1" x14ac:dyDescent="0.35">
      <c r="D2771" s="2">
        <f t="shared" si="83"/>
        <v>2765</v>
      </c>
      <c r="E2771" s="6">
        <v>1.8018520263353022</v>
      </c>
      <c r="F2771" s="24"/>
      <c r="G2771" s="24"/>
      <c r="H2771" s="24"/>
      <c r="I2771" s="24"/>
      <c r="J2771" s="3"/>
      <c r="O2771" s="8"/>
      <c r="P2771" s="20"/>
      <c r="Q2771" s="20"/>
      <c r="R2771" s="20"/>
      <c r="S2771" s="8"/>
      <c r="T2771" s="8"/>
      <c r="U2771" s="8"/>
      <c r="V2771" s="8"/>
      <c r="W2771" s="8"/>
      <c r="X2771" s="8"/>
      <c r="Y2771" s="8"/>
      <c r="Z2771" s="8"/>
    </row>
    <row r="2772" spans="4:26" ht="15" thickBot="1" x14ac:dyDescent="0.35">
      <c r="D2772" s="2">
        <f t="shared" si="83"/>
        <v>2766</v>
      </c>
      <c r="E2772" s="6">
        <v>0.62002161424582281</v>
      </c>
      <c r="F2772" s="24"/>
      <c r="G2772" s="24"/>
      <c r="H2772" s="24"/>
      <c r="I2772" s="24"/>
      <c r="J2772" s="3"/>
      <c r="O2772" s="8"/>
      <c r="P2772" s="20"/>
      <c r="Q2772" s="20"/>
      <c r="R2772" s="20"/>
      <c r="S2772" s="8"/>
      <c r="T2772" s="8"/>
      <c r="U2772" s="8"/>
      <c r="V2772" s="8"/>
      <c r="W2772" s="8"/>
      <c r="X2772" s="8"/>
      <c r="Y2772" s="8"/>
      <c r="Z2772" s="8"/>
    </row>
    <row r="2773" spans="4:26" ht="15" thickBot="1" x14ac:dyDescent="0.35">
      <c r="D2773" s="2">
        <f t="shared" si="83"/>
        <v>2767</v>
      </c>
      <c r="E2773" s="6">
        <v>3.188067484210515</v>
      </c>
      <c r="F2773" s="24"/>
      <c r="G2773" s="24"/>
      <c r="H2773" s="24"/>
      <c r="I2773" s="24"/>
      <c r="J2773" s="3"/>
      <c r="O2773" s="8"/>
      <c r="P2773" s="20"/>
      <c r="Q2773" s="20"/>
      <c r="R2773" s="20"/>
      <c r="S2773" s="8"/>
      <c r="T2773" s="8"/>
      <c r="U2773" s="8"/>
      <c r="V2773" s="8"/>
      <c r="W2773" s="8"/>
      <c r="X2773" s="8"/>
      <c r="Y2773" s="8"/>
      <c r="Z2773" s="8"/>
    </row>
    <row r="2774" spans="4:26" ht="15" thickBot="1" x14ac:dyDescent="0.35">
      <c r="D2774" s="2">
        <f t="shared" si="83"/>
        <v>2768</v>
      </c>
      <c r="E2774" s="6">
        <v>10.566800930320891</v>
      </c>
      <c r="F2774" s="24"/>
      <c r="G2774" s="24"/>
      <c r="H2774" s="24"/>
      <c r="I2774" s="24"/>
      <c r="J2774" s="3"/>
      <c r="O2774" s="8"/>
      <c r="P2774" s="20"/>
      <c r="Q2774" s="20"/>
      <c r="R2774" s="20"/>
      <c r="S2774" s="8"/>
      <c r="T2774" s="8"/>
      <c r="U2774" s="8"/>
      <c r="V2774" s="8"/>
      <c r="W2774" s="8"/>
      <c r="X2774" s="8"/>
      <c r="Y2774" s="8"/>
      <c r="Z2774" s="8"/>
    </row>
    <row r="2775" spans="4:26" ht="15" thickBot="1" x14ac:dyDescent="0.35">
      <c r="D2775" s="2">
        <f t="shared" si="83"/>
        <v>2769</v>
      </c>
      <c r="E2775" s="6">
        <v>1.7367380341260263</v>
      </c>
      <c r="F2775" s="24"/>
      <c r="G2775" s="24"/>
      <c r="H2775" s="24"/>
      <c r="I2775" s="24"/>
      <c r="J2775" s="3"/>
      <c r="O2775" s="8"/>
      <c r="P2775" s="20"/>
      <c r="Q2775" s="20"/>
      <c r="R2775" s="20"/>
      <c r="S2775" s="8"/>
      <c r="T2775" s="8"/>
      <c r="U2775" s="8"/>
      <c r="V2775" s="8"/>
      <c r="W2775" s="8"/>
      <c r="X2775" s="8"/>
      <c r="Y2775" s="8"/>
      <c r="Z2775" s="8"/>
    </row>
    <row r="2776" spans="4:26" ht="15" thickBot="1" x14ac:dyDescent="0.35">
      <c r="D2776" s="2">
        <f t="shared" si="83"/>
        <v>2770</v>
      </c>
      <c r="E2776" s="6">
        <v>6.7385820709337043</v>
      </c>
      <c r="F2776" s="24"/>
      <c r="G2776" s="24"/>
      <c r="H2776" s="24"/>
      <c r="I2776" s="24"/>
      <c r="J2776" s="3"/>
      <c r="O2776" s="8"/>
      <c r="P2776" s="20"/>
      <c r="Q2776" s="20"/>
      <c r="R2776" s="20"/>
      <c r="S2776" s="8"/>
      <c r="T2776" s="8"/>
      <c r="U2776" s="8"/>
      <c r="V2776" s="8"/>
      <c r="W2776" s="8"/>
      <c r="X2776" s="8"/>
      <c r="Y2776" s="8"/>
      <c r="Z2776" s="8"/>
    </row>
    <row r="2777" spans="4:26" ht="15" thickBot="1" x14ac:dyDescent="0.35">
      <c r="D2777" s="2">
        <f t="shared" si="83"/>
        <v>2771</v>
      </c>
      <c r="E2777" s="6">
        <v>4.4693852723108343</v>
      </c>
      <c r="F2777" s="24"/>
      <c r="G2777" s="24"/>
      <c r="H2777" s="24"/>
      <c r="I2777" s="24"/>
      <c r="J2777" s="3"/>
      <c r="O2777" s="8"/>
      <c r="P2777" s="20"/>
      <c r="Q2777" s="20"/>
      <c r="R2777" s="20"/>
      <c r="S2777" s="8"/>
      <c r="T2777" s="8"/>
      <c r="U2777" s="8"/>
      <c r="V2777" s="8"/>
      <c r="W2777" s="8"/>
      <c r="X2777" s="8"/>
      <c r="Y2777" s="8"/>
      <c r="Z2777" s="8"/>
    </row>
    <row r="2778" spans="4:26" ht="15" thickBot="1" x14ac:dyDescent="0.35">
      <c r="D2778" s="2">
        <f t="shared" si="83"/>
        <v>2772</v>
      </c>
      <c r="E2778" s="6">
        <v>6.9853011562218761</v>
      </c>
      <c r="F2778" s="24"/>
      <c r="G2778" s="24"/>
      <c r="H2778" s="24"/>
      <c r="I2778" s="24"/>
      <c r="J2778" s="3"/>
      <c r="O2778" s="8"/>
      <c r="P2778" s="20"/>
      <c r="Q2778" s="20"/>
      <c r="R2778" s="20"/>
      <c r="S2778" s="8"/>
      <c r="T2778" s="8"/>
      <c r="U2778" s="8"/>
      <c r="V2778" s="8"/>
      <c r="W2778" s="8"/>
      <c r="X2778" s="8"/>
      <c r="Y2778" s="8"/>
      <c r="Z2778" s="8"/>
    </row>
    <row r="2779" spans="4:26" ht="15" thickBot="1" x14ac:dyDescent="0.35">
      <c r="D2779" s="2">
        <f t="shared" si="83"/>
        <v>2773</v>
      </c>
      <c r="E2779" s="6">
        <v>4.2079023852848811</v>
      </c>
      <c r="F2779" s="24"/>
      <c r="G2779" s="24"/>
      <c r="H2779" s="24"/>
      <c r="I2779" s="24"/>
      <c r="J2779" s="3"/>
      <c r="O2779" s="8"/>
      <c r="P2779" s="20"/>
      <c r="Q2779" s="20"/>
      <c r="R2779" s="20"/>
      <c r="S2779" s="8"/>
      <c r="T2779" s="8"/>
      <c r="U2779" s="8"/>
      <c r="V2779" s="8"/>
      <c r="W2779" s="8"/>
      <c r="X2779" s="8"/>
      <c r="Y2779" s="8"/>
      <c r="Z2779" s="8"/>
    </row>
    <row r="2780" spans="4:26" ht="15" thickBot="1" x14ac:dyDescent="0.35">
      <c r="D2780" s="2">
        <f t="shared" si="83"/>
        <v>2774</v>
      </c>
      <c r="E2780" s="6">
        <v>9.5866228862548191</v>
      </c>
      <c r="F2780" s="24"/>
      <c r="G2780" s="24"/>
      <c r="H2780" s="24"/>
      <c r="I2780" s="24"/>
      <c r="J2780" s="3"/>
      <c r="O2780" s="8"/>
      <c r="P2780" s="20"/>
      <c r="Q2780" s="20"/>
      <c r="R2780" s="20"/>
      <c r="S2780" s="8"/>
      <c r="T2780" s="8"/>
      <c r="U2780" s="8"/>
      <c r="V2780" s="8"/>
      <c r="W2780" s="8"/>
      <c r="X2780" s="8"/>
      <c r="Y2780" s="8"/>
      <c r="Z2780" s="8"/>
    </row>
    <row r="2781" spans="4:26" ht="15" thickBot="1" x14ac:dyDescent="0.35">
      <c r="D2781" s="2">
        <f t="shared" si="83"/>
        <v>2775</v>
      </c>
      <c r="E2781" s="6">
        <v>6.5828381679447947</v>
      </c>
      <c r="F2781" s="24"/>
      <c r="G2781" s="24"/>
      <c r="H2781" s="24"/>
      <c r="I2781" s="24"/>
      <c r="J2781" s="3"/>
      <c r="O2781" s="8"/>
      <c r="P2781" s="20"/>
      <c r="Q2781" s="20"/>
      <c r="R2781" s="20"/>
      <c r="S2781" s="8"/>
      <c r="T2781" s="8"/>
      <c r="U2781" s="8"/>
      <c r="V2781" s="8"/>
      <c r="W2781" s="8"/>
      <c r="X2781" s="8"/>
      <c r="Y2781" s="8"/>
      <c r="Z2781" s="8"/>
    </row>
    <row r="2782" spans="4:26" ht="15" thickBot="1" x14ac:dyDescent="0.35">
      <c r="D2782" s="2">
        <f t="shared" si="83"/>
        <v>2776</v>
      </c>
      <c r="E2782" s="6">
        <v>5.2220299593631578</v>
      </c>
      <c r="F2782" s="24"/>
      <c r="G2782" s="24"/>
      <c r="H2782" s="24"/>
      <c r="I2782" s="24"/>
      <c r="J2782" s="3"/>
      <c r="O2782" s="8"/>
      <c r="P2782" s="20"/>
      <c r="Q2782" s="20"/>
      <c r="R2782" s="20"/>
      <c r="S2782" s="8"/>
      <c r="T2782" s="8"/>
      <c r="U2782" s="8"/>
      <c r="V2782" s="8"/>
      <c r="W2782" s="8"/>
      <c r="X2782" s="8"/>
      <c r="Y2782" s="8"/>
      <c r="Z2782" s="8"/>
    </row>
    <row r="2783" spans="4:26" ht="15" thickBot="1" x14ac:dyDescent="0.35">
      <c r="D2783" s="2">
        <f t="shared" si="83"/>
        <v>2777</v>
      </c>
      <c r="E2783" s="6">
        <v>2.9536417659543677</v>
      </c>
      <c r="F2783" s="24"/>
      <c r="G2783" s="24"/>
      <c r="H2783" s="24"/>
      <c r="I2783" s="24"/>
      <c r="J2783" s="3"/>
      <c r="O2783" s="8"/>
      <c r="P2783" s="20"/>
      <c r="Q2783" s="20"/>
      <c r="R2783" s="20"/>
      <c r="S2783" s="8"/>
      <c r="T2783" s="8"/>
      <c r="U2783" s="8"/>
      <c r="V2783" s="8"/>
      <c r="W2783" s="8"/>
      <c r="X2783" s="8"/>
      <c r="Y2783" s="8"/>
      <c r="Z2783" s="8"/>
    </row>
    <row r="2784" spans="4:26" ht="15" thickBot="1" x14ac:dyDescent="0.35">
      <c r="D2784" s="2">
        <f t="shared" si="83"/>
        <v>2778</v>
      </c>
      <c r="E2784" s="6">
        <v>4.4105475943671992</v>
      </c>
      <c r="F2784" s="24"/>
      <c r="G2784" s="24"/>
      <c r="H2784" s="24"/>
      <c r="I2784" s="24"/>
      <c r="J2784" s="3"/>
      <c r="O2784" s="8"/>
      <c r="P2784" s="20"/>
      <c r="Q2784" s="20"/>
      <c r="R2784" s="20"/>
      <c r="S2784" s="8"/>
      <c r="T2784" s="8"/>
      <c r="U2784" s="8"/>
      <c r="V2784" s="8"/>
      <c r="W2784" s="8"/>
      <c r="X2784" s="8"/>
      <c r="Y2784" s="8"/>
      <c r="Z2784" s="8"/>
    </row>
    <row r="2785" spans="4:26" ht="15" thickBot="1" x14ac:dyDescent="0.35">
      <c r="D2785" s="2">
        <f t="shared" si="83"/>
        <v>2779</v>
      </c>
      <c r="E2785" s="6">
        <v>1.0266550835962582</v>
      </c>
      <c r="F2785" s="24"/>
      <c r="G2785" s="24"/>
      <c r="H2785" s="24"/>
      <c r="I2785" s="24"/>
      <c r="J2785" s="3"/>
      <c r="O2785" s="8"/>
      <c r="P2785" s="20"/>
      <c r="Q2785" s="20"/>
      <c r="R2785" s="20"/>
      <c r="S2785" s="8"/>
      <c r="T2785" s="8"/>
      <c r="U2785" s="8"/>
      <c r="V2785" s="8"/>
      <c r="W2785" s="8"/>
      <c r="X2785" s="8"/>
      <c r="Y2785" s="8"/>
      <c r="Z2785" s="8"/>
    </row>
    <row r="2786" spans="4:26" ht="15" thickBot="1" x14ac:dyDescent="0.35">
      <c r="D2786" s="2">
        <f t="shared" si="83"/>
        <v>2780</v>
      </c>
      <c r="E2786" s="6">
        <v>4.3787669872241608</v>
      </c>
      <c r="F2786" s="24"/>
      <c r="G2786" s="24"/>
      <c r="H2786" s="24"/>
      <c r="I2786" s="24"/>
      <c r="J2786" s="3"/>
      <c r="O2786" s="8"/>
      <c r="P2786" s="20"/>
      <c r="Q2786" s="20"/>
      <c r="R2786" s="20"/>
      <c r="S2786" s="8"/>
      <c r="T2786" s="8"/>
      <c r="U2786" s="8"/>
      <c r="V2786" s="8"/>
      <c r="W2786" s="8"/>
      <c r="X2786" s="8"/>
      <c r="Y2786" s="8"/>
      <c r="Z2786" s="8"/>
    </row>
    <row r="2787" spans="4:26" ht="15" thickBot="1" x14ac:dyDescent="0.35">
      <c r="D2787" s="2">
        <f t="shared" si="83"/>
        <v>2781</v>
      </c>
      <c r="E2787" s="6">
        <v>5.0208824353801909</v>
      </c>
      <c r="F2787" s="24"/>
      <c r="G2787" s="24"/>
      <c r="H2787" s="24"/>
      <c r="I2787" s="24"/>
      <c r="J2787" s="3"/>
      <c r="O2787" s="8"/>
      <c r="P2787" s="20"/>
      <c r="Q2787" s="20"/>
      <c r="R2787" s="20"/>
      <c r="S2787" s="8"/>
      <c r="T2787" s="8"/>
      <c r="U2787" s="8"/>
      <c r="V2787" s="8"/>
      <c r="W2787" s="8"/>
      <c r="X2787" s="8"/>
      <c r="Y2787" s="8"/>
      <c r="Z2787" s="8"/>
    </row>
    <row r="2788" spans="4:26" ht="15" thickBot="1" x14ac:dyDescent="0.35">
      <c r="D2788" s="2">
        <f t="shared" si="83"/>
        <v>2782</v>
      </c>
      <c r="E2788" s="6">
        <v>3.7590336625220617</v>
      </c>
      <c r="F2788" s="24"/>
      <c r="G2788" s="24"/>
      <c r="H2788" s="24"/>
      <c r="I2788" s="24"/>
      <c r="J2788" s="3"/>
      <c r="O2788" s="8"/>
      <c r="P2788" s="20"/>
      <c r="Q2788" s="20"/>
      <c r="R2788" s="20"/>
      <c r="S2788" s="8"/>
      <c r="T2788" s="8"/>
      <c r="U2788" s="8"/>
      <c r="V2788" s="8"/>
      <c r="W2788" s="8"/>
      <c r="X2788" s="8"/>
      <c r="Y2788" s="8"/>
      <c r="Z2788" s="8"/>
    </row>
    <row r="2789" spans="4:26" ht="15" thickBot="1" x14ac:dyDescent="0.35">
      <c r="D2789" s="2">
        <f t="shared" si="83"/>
        <v>2783</v>
      </c>
      <c r="E2789" s="6">
        <v>2.0839136371202169</v>
      </c>
      <c r="F2789" s="24"/>
      <c r="G2789" s="24"/>
      <c r="H2789" s="24"/>
      <c r="I2789" s="24"/>
      <c r="J2789" s="3"/>
      <c r="O2789" s="8"/>
      <c r="P2789" s="20"/>
      <c r="Q2789" s="20"/>
      <c r="R2789" s="20"/>
      <c r="S2789" s="8"/>
      <c r="T2789" s="8"/>
      <c r="U2789" s="8"/>
      <c r="V2789" s="8"/>
      <c r="W2789" s="8"/>
      <c r="X2789" s="8"/>
      <c r="Y2789" s="8"/>
      <c r="Z2789" s="8"/>
    </row>
    <row r="2790" spans="4:26" ht="15" thickBot="1" x14ac:dyDescent="0.35">
      <c r="D2790" s="2">
        <f t="shared" si="83"/>
        <v>2784</v>
      </c>
      <c r="E2790" s="6">
        <v>4.6896046280841466</v>
      </c>
      <c r="F2790" s="24"/>
      <c r="G2790" s="24"/>
      <c r="H2790" s="24"/>
      <c r="I2790" s="24"/>
      <c r="J2790" s="3"/>
      <c r="O2790" s="8"/>
      <c r="P2790" s="20"/>
      <c r="Q2790" s="20"/>
      <c r="R2790" s="20"/>
      <c r="S2790" s="8"/>
      <c r="T2790" s="8"/>
      <c r="U2790" s="8"/>
      <c r="V2790" s="8"/>
      <c r="W2790" s="8"/>
      <c r="X2790" s="8"/>
      <c r="Y2790" s="8"/>
      <c r="Z2790" s="8"/>
    </row>
    <row r="2791" spans="4:26" ht="15" thickBot="1" x14ac:dyDescent="0.35">
      <c r="D2791" s="2">
        <f t="shared" si="83"/>
        <v>2785</v>
      </c>
      <c r="E2791" s="6">
        <v>7.9654136610558721</v>
      </c>
      <c r="F2791" s="24"/>
      <c r="G2791" s="24"/>
      <c r="H2791" s="24"/>
      <c r="I2791" s="24"/>
      <c r="J2791" s="3"/>
      <c r="O2791" s="8"/>
      <c r="P2791" s="20"/>
      <c r="Q2791" s="20"/>
      <c r="R2791" s="20"/>
      <c r="S2791" s="8"/>
      <c r="T2791" s="8"/>
      <c r="U2791" s="8"/>
      <c r="V2791" s="8"/>
      <c r="W2791" s="8"/>
      <c r="X2791" s="8"/>
      <c r="Y2791" s="8"/>
      <c r="Z2791" s="8"/>
    </row>
    <row r="2792" spans="4:26" ht="15" thickBot="1" x14ac:dyDescent="0.35">
      <c r="D2792" s="2">
        <f t="shared" si="83"/>
        <v>2786</v>
      </c>
      <c r="E2792" s="6">
        <v>0.48167523082699865</v>
      </c>
      <c r="F2792" s="24"/>
      <c r="G2792" s="24"/>
      <c r="H2792" s="24"/>
      <c r="I2792" s="24"/>
      <c r="J2792" s="3"/>
      <c r="O2792" s="8"/>
      <c r="P2792" s="20"/>
      <c r="Q2792" s="20"/>
      <c r="R2792" s="20"/>
      <c r="S2792" s="8"/>
      <c r="T2792" s="8"/>
      <c r="U2792" s="8"/>
      <c r="V2792" s="8"/>
      <c r="W2792" s="8"/>
      <c r="X2792" s="8"/>
      <c r="Y2792" s="8"/>
      <c r="Z2792" s="8"/>
    </row>
    <row r="2793" spans="4:26" ht="15" thickBot="1" x14ac:dyDescent="0.35">
      <c r="D2793" s="2">
        <f t="shared" si="83"/>
        <v>2787</v>
      </c>
      <c r="E2793" s="6">
        <v>3.9856855668563211</v>
      </c>
      <c r="F2793" s="24"/>
      <c r="G2793" s="24"/>
      <c r="H2793" s="24"/>
      <c r="I2793" s="24"/>
      <c r="J2793" s="3"/>
      <c r="O2793" s="8"/>
      <c r="P2793" s="20"/>
      <c r="Q2793" s="20"/>
      <c r="R2793" s="20"/>
      <c r="S2793" s="8"/>
      <c r="T2793" s="8"/>
      <c r="U2793" s="8"/>
      <c r="V2793" s="8"/>
      <c r="W2793" s="8"/>
      <c r="X2793" s="8"/>
      <c r="Y2793" s="8"/>
      <c r="Z2793" s="8"/>
    </row>
    <row r="2794" spans="4:26" ht="15" thickBot="1" x14ac:dyDescent="0.35">
      <c r="D2794" s="2">
        <f t="shared" si="83"/>
        <v>2788</v>
      </c>
      <c r="E2794" s="6">
        <v>0.9682868108837227</v>
      </c>
      <c r="F2794" s="24"/>
      <c r="G2794" s="24"/>
      <c r="H2794" s="24"/>
      <c r="I2794" s="24"/>
      <c r="J2794" s="3"/>
      <c r="O2794" s="8"/>
      <c r="P2794" s="20"/>
      <c r="Q2794" s="20"/>
      <c r="R2794" s="20"/>
      <c r="S2794" s="8"/>
      <c r="T2794" s="8"/>
      <c r="U2794" s="8"/>
      <c r="V2794" s="8"/>
      <c r="W2794" s="8"/>
      <c r="X2794" s="8"/>
      <c r="Y2794" s="8"/>
      <c r="Z2794" s="8"/>
    </row>
    <row r="2795" spans="4:26" x14ac:dyDescent="0.3"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spans="4:26" x14ac:dyDescent="0.3"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spans="4:26" x14ac:dyDescent="0.3"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spans="4:26" x14ac:dyDescent="0.3"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spans="4:26" x14ac:dyDescent="0.3"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spans="4:26" x14ac:dyDescent="0.3"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spans="15:26" x14ac:dyDescent="0.3"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spans="15:26" x14ac:dyDescent="0.3"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spans="15:26" x14ac:dyDescent="0.3"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spans="15:26" x14ac:dyDescent="0.3"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spans="15:26" x14ac:dyDescent="0.3"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spans="15:26" x14ac:dyDescent="0.3"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spans="15:26" x14ac:dyDescent="0.3"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spans="15:26" x14ac:dyDescent="0.3"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spans="15:26" x14ac:dyDescent="0.3"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spans="15:26" x14ac:dyDescent="0.3"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spans="15:26" x14ac:dyDescent="0.3"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spans="15:26" x14ac:dyDescent="0.3"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spans="15:26" x14ac:dyDescent="0.3"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spans="15:26" x14ac:dyDescent="0.3"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spans="15:26" x14ac:dyDescent="0.3"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spans="15:26" x14ac:dyDescent="0.3"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 spans="15:26" x14ac:dyDescent="0.3"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 spans="15:26" x14ac:dyDescent="0.3"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 spans="15:26" x14ac:dyDescent="0.3"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 spans="15:26" x14ac:dyDescent="0.3"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 spans="15:26" x14ac:dyDescent="0.3"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 spans="15:26" x14ac:dyDescent="0.3"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 spans="15:26" x14ac:dyDescent="0.3"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 spans="15:26" x14ac:dyDescent="0.3"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 spans="15:26" x14ac:dyDescent="0.3"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 spans="15:26" x14ac:dyDescent="0.3"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 spans="15:26" x14ac:dyDescent="0.3"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 spans="15:26" x14ac:dyDescent="0.3"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 spans="15:26" x14ac:dyDescent="0.3"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 spans="15:26" x14ac:dyDescent="0.3"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 spans="15:26" x14ac:dyDescent="0.3"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 spans="15:26" x14ac:dyDescent="0.3"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 spans="15:26" x14ac:dyDescent="0.3"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 spans="15:26" x14ac:dyDescent="0.3"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 spans="15:26" x14ac:dyDescent="0.3"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 spans="15:26" x14ac:dyDescent="0.3"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spans="15:26" x14ac:dyDescent="0.3"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spans="15:26" x14ac:dyDescent="0.3"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spans="15:26" x14ac:dyDescent="0.3"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spans="15:26" x14ac:dyDescent="0.3"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spans="15:26" x14ac:dyDescent="0.3"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spans="15:26" x14ac:dyDescent="0.3"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spans="15:26" x14ac:dyDescent="0.3"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spans="15:26" x14ac:dyDescent="0.3"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spans="15:26" x14ac:dyDescent="0.3"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spans="15:26" x14ac:dyDescent="0.3"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spans="15:26" x14ac:dyDescent="0.3"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spans="15:26" x14ac:dyDescent="0.3"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spans="15:26" x14ac:dyDescent="0.3"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spans="15:26" x14ac:dyDescent="0.3"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spans="15:26" x14ac:dyDescent="0.3"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spans="15:26" x14ac:dyDescent="0.3"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spans="15:26" x14ac:dyDescent="0.3"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spans="15:26" x14ac:dyDescent="0.3"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spans="15:26" x14ac:dyDescent="0.3"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spans="15:26" x14ac:dyDescent="0.3"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spans="15:26" x14ac:dyDescent="0.3"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spans="15:26" x14ac:dyDescent="0.3"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spans="15:26" x14ac:dyDescent="0.3"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spans="15:26" x14ac:dyDescent="0.3"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spans="15:26" x14ac:dyDescent="0.3"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spans="15:26" x14ac:dyDescent="0.3"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spans="15:26" x14ac:dyDescent="0.3"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spans="15:26" x14ac:dyDescent="0.3"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spans="15:26" x14ac:dyDescent="0.3"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spans="15:26" x14ac:dyDescent="0.3"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spans="15:26" x14ac:dyDescent="0.3"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spans="15:26" x14ac:dyDescent="0.3"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spans="15:26" x14ac:dyDescent="0.3"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spans="15:26" x14ac:dyDescent="0.3"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 spans="15:26" x14ac:dyDescent="0.3"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 spans="15:26" x14ac:dyDescent="0.3"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 spans="15:26" x14ac:dyDescent="0.3"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 spans="15:26" x14ac:dyDescent="0.3"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spans="15:26" x14ac:dyDescent="0.3"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spans="15:26" x14ac:dyDescent="0.3"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spans="15:26" x14ac:dyDescent="0.3"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spans="15:26" x14ac:dyDescent="0.3"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spans="15:26" x14ac:dyDescent="0.3"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spans="15:26" x14ac:dyDescent="0.3"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spans="15:26" x14ac:dyDescent="0.3"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spans="15:26" x14ac:dyDescent="0.3"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spans="15:26" x14ac:dyDescent="0.3"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spans="15:26" x14ac:dyDescent="0.3"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spans="15:26" x14ac:dyDescent="0.3"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spans="15:26" x14ac:dyDescent="0.3"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spans="15:26" x14ac:dyDescent="0.3"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spans="15:26" x14ac:dyDescent="0.3"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spans="15:26" x14ac:dyDescent="0.3"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spans="15:26" x14ac:dyDescent="0.3"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spans="15:26" x14ac:dyDescent="0.3"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spans="15:26" x14ac:dyDescent="0.3"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spans="15:26" x14ac:dyDescent="0.3"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spans="15:26" x14ac:dyDescent="0.3"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spans="15:26" x14ac:dyDescent="0.3"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spans="15:26" x14ac:dyDescent="0.3"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spans="15:26" x14ac:dyDescent="0.3"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spans="15:26" x14ac:dyDescent="0.3"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spans="15:26" x14ac:dyDescent="0.3"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 spans="15:26" x14ac:dyDescent="0.3"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 spans="15:26" x14ac:dyDescent="0.3"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 spans="15:26" x14ac:dyDescent="0.3"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spans="15:26" x14ac:dyDescent="0.3"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spans="15:26" x14ac:dyDescent="0.3"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spans="15:26" x14ac:dyDescent="0.3"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spans="15:26" x14ac:dyDescent="0.3"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spans="15:26" x14ac:dyDescent="0.3"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spans="15:26" x14ac:dyDescent="0.3"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spans="15:26" x14ac:dyDescent="0.3"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spans="15:26" x14ac:dyDescent="0.3"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spans="15:26" x14ac:dyDescent="0.3"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spans="15:26" x14ac:dyDescent="0.3"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spans="15:26" x14ac:dyDescent="0.3"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spans="15:26" x14ac:dyDescent="0.3"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spans="15:26" x14ac:dyDescent="0.3"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spans="15:26" x14ac:dyDescent="0.3"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spans="15:26" x14ac:dyDescent="0.3"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spans="15:26" x14ac:dyDescent="0.3"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spans="15:26" x14ac:dyDescent="0.3"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spans="15:26" x14ac:dyDescent="0.3"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spans="15:26" x14ac:dyDescent="0.3"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spans="15:26" x14ac:dyDescent="0.3"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spans="15:26" x14ac:dyDescent="0.3"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spans="15:26" x14ac:dyDescent="0.3"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spans="15:26" x14ac:dyDescent="0.3"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spans="15:26" x14ac:dyDescent="0.3"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spans="15:26" x14ac:dyDescent="0.3"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spans="15:26" x14ac:dyDescent="0.3"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spans="15:26" x14ac:dyDescent="0.3"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spans="15:26" x14ac:dyDescent="0.3"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spans="15:26" x14ac:dyDescent="0.3"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spans="15:26" x14ac:dyDescent="0.3"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spans="15:26" x14ac:dyDescent="0.3"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spans="15:26" x14ac:dyDescent="0.3"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spans="15:26" x14ac:dyDescent="0.3"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spans="15:26" x14ac:dyDescent="0.3"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spans="15:26" x14ac:dyDescent="0.3"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spans="15:26" x14ac:dyDescent="0.3"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spans="15:26" x14ac:dyDescent="0.3"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spans="15:26" x14ac:dyDescent="0.3"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spans="15:26" x14ac:dyDescent="0.3"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spans="15:26" x14ac:dyDescent="0.3"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spans="15:26" x14ac:dyDescent="0.3"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spans="15:26" x14ac:dyDescent="0.3"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spans="15:26" x14ac:dyDescent="0.3"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 spans="15:26" x14ac:dyDescent="0.3"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spans="15:26" x14ac:dyDescent="0.3"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spans="15:26" x14ac:dyDescent="0.3"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spans="15:26" x14ac:dyDescent="0.3"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spans="15:26" x14ac:dyDescent="0.3"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spans="15:26" x14ac:dyDescent="0.3"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spans="15:26" x14ac:dyDescent="0.3"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spans="15:26" x14ac:dyDescent="0.3"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spans="15:26" x14ac:dyDescent="0.3"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spans="15:26" x14ac:dyDescent="0.3"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spans="15:26" x14ac:dyDescent="0.3"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spans="15:26" x14ac:dyDescent="0.3"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spans="15:26" x14ac:dyDescent="0.3"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spans="15:26" x14ac:dyDescent="0.3"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spans="15:26" x14ac:dyDescent="0.3"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spans="15:26" x14ac:dyDescent="0.3"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spans="15:26" x14ac:dyDescent="0.3"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spans="15:26" x14ac:dyDescent="0.3"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 spans="15:26" x14ac:dyDescent="0.3"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 spans="15:26" x14ac:dyDescent="0.3"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 spans="15:26" x14ac:dyDescent="0.3"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spans="15:26" x14ac:dyDescent="0.3"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 spans="15:26" x14ac:dyDescent="0.3"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spans="15:26" x14ac:dyDescent="0.3"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spans="15:26" x14ac:dyDescent="0.3"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spans="15:26" x14ac:dyDescent="0.3"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spans="15:26" x14ac:dyDescent="0.3"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spans="15:26" x14ac:dyDescent="0.3"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spans="15:26" x14ac:dyDescent="0.3"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spans="15:26" x14ac:dyDescent="0.3"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spans="15:26" x14ac:dyDescent="0.3"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spans="15:26" x14ac:dyDescent="0.3"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spans="15:26" x14ac:dyDescent="0.3"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spans="15:26" x14ac:dyDescent="0.3"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spans="15:26" x14ac:dyDescent="0.3"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spans="15:26" x14ac:dyDescent="0.3"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spans="15:26" x14ac:dyDescent="0.3"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spans="15:26" x14ac:dyDescent="0.3"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spans="15:26" x14ac:dyDescent="0.3"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spans="15:26" x14ac:dyDescent="0.3"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spans="15:26" x14ac:dyDescent="0.3"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spans="15:26" x14ac:dyDescent="0.3"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spans="15:26" x14ac:dyDescent="0.3"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spans="15:26" x14ac:dyDescent="0.3"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spans="15:26" x14ac:dyDescent="0.3"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spans="15:26" x14ac:dyDescent="0.3"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spans="15:26" x14ac:dyDescent="0.3"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spans="15:26" x14ac:dyDescent="0.3"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spans="15:26" x14ac:dyDescent="0.3"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spans="15:26" x14ac:dyDescent="0.3"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spans="15:26" x14ac:dyDescent="0.3"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 spans="15:26" x14ac:dyDescent="0.3"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 spans="15:26" x14ac:dyDescent="0.3"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 spans="15:26" x14ac:dyDescent="0.3"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 spans="15:26" x14ac:dyDescent="0.3"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 spans="15:26" x14ac:dyDescent="0.3"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 spans="15:26" x14ac:dyDescent="0.3"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spans="15:26" x14ac:dyDescent="0.3"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spans="15:26" x14ac:dyDescent="0.3"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spans="15:26" x14ac:dyDescent="0.3"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spans="15:26" x14ac:dyDescent="0.3"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spans="15:26" x14ac:dyDescent="0.3"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spans="15:26" x14ac:dyDescent="0.3"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spans="15:26" x14ac:dyDescent="0.3"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spans="15:26" x14ac:dyDescent="0.3"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spans="15:26" x14ac:dyDescent="0.3"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spans="15:26" x14ac:dyDescent="0.3"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spans="15:26" x14ac:dyDescent="0.3"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spans="15:26" x14ac:dyDescent="0.3"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spans="15:26" x14ac:dyDescent="0.3"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spans="15:26" x14ac:dyDescent="0.3"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spans="15:26" x14ac:dyDescent="0.3"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spans="15:26" x14ac:dyDescent="0.3"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spans="15:26" x14ac:dyDescent="0.3"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spans="15:26" x14ac:dyDescent="0.3"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spans="15:26" x14ac:dyDescent="0.3"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spans="15:26" x14ac:dyDescent="0.3"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spans="15:26" x14ac:dyDescent="0.3"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spans="15:26" x14ac:dyDescent="0.3"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spans="15:26" x14ac:dyDescent="0.3"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spans="15:26" x14ac:dyDescent="0.3"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spans="15:26" x14ac:dyDescent="0.3"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spans="15:26" x14ac:dyDescent="0.3"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spans="15:26" x14ac:dyDescent="0.3"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spans="15:26" x14ac:dyDescent="0.3"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spans="15:26" x14ac:dyDescent="0.3"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spans="15:26" x14ac:dyDescent="0.3"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spans="15:26" x14ac:dyDescent="0.3"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 spans="15:26" x14ac:dyDescent="0.3"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 spans="15:26" x14ac:dyDescent="0.3"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spans="15:26" x14ac:dyDescent="0.3"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 spans="15:26" x14ac:dyDescent="0.3"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 spans="15:26" x14ac:dyDescent="0.3"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 spans="15:26" x14ac:dyDescent="0.3"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 spans="15:26" x14ac:dyDescent="0.3"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 spans="15:26" x14ac:dyDescent="0.3"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 spans="15:26" x14ac:dyDescent="0.3"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spans="15:26" x14ac:dyDescent="0.3"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spans="15:26" x14ac:dyDescent="0.3"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spans="15:26" x14ac:dyDescent="0.3"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spans="15:26" x14ac:dyDescent="0.3"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spans="15:26" x14ac:dyDescent="0.3"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spans="15:26" x14ac:dyDescent="0.3"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spans="15:26" x14ac:dyDescent="0.3"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spans="15:26" x14ac:dyDescent="0.3"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spans="15:26" x14ac:dyDescent="0.3"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spans="15:26" x14ac:dyDescent="0.3"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spans="15:26" x14ac:dyDescent="0.3"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spans="15:26" x14ac:dyDescent="0.3"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spans="15:26" x14ac:dyDescent="0.3"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spans="15:26" x14ac:dyDescent="0.3"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spans="15:26" x14ac:dyDescent="0.3"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spans="15:26" x14ac:dyDescent="0.3"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spans="15:26" x14ac:dyDescent="0.3"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spans="15:26" x14ac:dyDescent="0.3"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spans="15:26" x14ac:dyDescent="0.3"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spans="15:26" x14ac:dyDescent="0.3"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spans="15:26" x14ac:dyDescent="0.3"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spans="15:26" x14ac:dyDescent="0.3"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spans="15:26" x14ac:dyDescent="0.3"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spans="15:26" x14ac:dyDescent="0.3"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spans="15:26" x14ac:dyDescent="0.3"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 spans="15:26" x14ac:dyDescent="0.3"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 spans="15:26" x14ac:dyDescent="0.3"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 spans="15:26" x14ac:dyDescent="0.3"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 spans="15:26" x14ac:dyDescent="0.3"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 spans="15:26" x14ac:dyDescent="0.3"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 spans="15:26" x14ac:dyDescent="0.3"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 spans="15:26" x14ac:dyDescent="0.3"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 spans="15:26" x14ac:dyDescent="0.3"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spans="15:26" x14ac:dyDescent="0.3"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 spans="15:26" x14ac:dyDescent="0.3"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 spans="15:26" x14ac:dyDescent="0.3"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 spans="15:26" x14ac:dyDescent="0.3"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 spans="15:26" x14ac:dyDescent="0.3"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 spans="15:26" x14ac:dyDescent="0.3"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 spans="15:26" x14ac:dyDescent="0.3"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 spans="15:26" x14ac:dyDescent="0.3"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 spans="15:26" x14ac:dyDescent="0.3"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spans="15:26" x14ac:dyDescent="0.3"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 spans="15:26" x14ac:dyDescent="0.3"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 spans="15:26" x14ac:dyDescent="0.3"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 spans="15:26" x14ac:dyDescent="0.3"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 spans="15:26" x14ac:dyDescent="0.3"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spans="15:26" x14ac:dyDescent="0.3"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spans="15:26" x14ac:dyDescent="0.3"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spans="15:26" x14ac:dyDescent="0.3"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spans="15:26" x14ac:dyDescent="0.3"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spans="15:26" x14ac:dyDescent="0.3"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spans="15:26" x14ac:dyDescent="0.3"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spans="15:26" x14ac:dyDescent="0.3"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spans="15:26" x14ac:dyDescent="0.3"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spans="15:26" x14ac:dyDescent="0.3"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spans="15:26" x14ac:dyDescent="0.3"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 spans="15:26" x14ac:dyDescent="0.3"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spans="15:26" x14ac:dyDescent="0.3"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 spans="15:26" x14ac:dyDescent="0.3"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 spans="15:26" x14ac:dyDescent="0.3"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 spans="15:26" x14ac:dyDescent="0.3"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 spans="15:26" x14ac:dyDescent="0.3"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 spans="15:26" x14ac:dyDescent="0.3"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 spans="15:26" x14ac:dyDescent="0.3"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 spans="15:26" x14ac:dyDescent="0.3"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 spans="15:26" x14ac:dyDescent="0.3"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 spans="15:26" x14ac:dyDescent="0.3"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 spans="15:26" x14ac:dyDescent="0.3"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 spans="15:26" x14ac:dyDescent="0.3"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 spans="15:26" x14ac:dyDescent="0.3"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 spans="15:26" x14ac:dyDescent="0.3"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 spans="15:26" x14ac:dyDescent="0.3"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 spans="15:26" x14ac:dyDescent="0.3"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 spans="15:26" x14ac:dyDescent="0.3"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 spans="15:26" x14ac:dyDescent="0.3"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 spans="15:26" x14ac:dyDescent="0.3"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 spans="15:26" x14ac:dyDescent="0.3"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 spans="15:26" x14ac:dyDescent="0.3"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 spans="15:26" x14ac:dyDescent="0.3"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 spans="15:26" x14ac:dyDescent="0.3"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 spans="15:26" x14ac:dyDescent="0.3"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 spans="15:26" x14ac:dyDescent="0.3"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 spans="15:26" x14ac:dyDescent="0.3"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 spans="15:26" x14ac:dyDescent="0.3"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 spans="15:26" x14ac:dyDescent="0.3"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 spans="15:26" x14ac:dyDescent="0.3"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 spans="15:26" x14ac:dyDescent="0.3"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 spans="15:26" x14ac:dyDescent="0.3"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 spans="15:26" x14ac:dyDescent="0.3"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 spans="15:26" x14ac:dyDescent="0.3"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 spans="15:26" x14ac:dyDescent="0.3"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 spans="15:26" x14ac:dyDescent="0.3"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spans="15:26" x14ac:dyDescent="0.3"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 spans="15:26" x14ac:dyDescent="0.3"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 spans="15:26" x14ac:dyDescent="0.3"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 spans="15:26" x14ac:dyDescent="0.3"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 spans="15:26" x14ac:dyDescent="0.3"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 spans="15:26" x14ac:dyDescent="0.3"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 spans="15:26" x14ac:dyDescent="0.3"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 spans="15:26" x14ac:dyDescent="0.3"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 spans="15:26" x14ac:dyDescent="0.3"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 spans="15:26" x14ac:dyDescent="0.3"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 spans="15:26" x14ac:dyDescent="0.3"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 spans="15:26" x14ac:dyDescent="0.3"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 spans="15:26" x14ac:dyDescent="0.3"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 spans="15:26" x14ac:dyDescent="0.3"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spans="15:26" x14ac:dyDescent="0.3"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 spans="15:26" x14ac:dyDescent="0.3"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 spans="15:26" x14ac:dyDescent="0.3"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 spans="15:26" x14ac:dyDescent="0.3"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 spans="15:26" x14ac:dyDescent="0.3"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 spans="15:26" x14ac:dyDescent="0.3"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 spans="15:26" x14ac:dyDescent="0.3"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</sheetData>
  <sortState ref="D7:K2794">
    <sortCondition ref="I7:I2794"/>
  </sortState>
  <mergeCells count="1">
    <mergeCell ref="R5:S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Y608"/>
  <sheetViews>
    <sheetView tabSelected="1" topLeftCell="J1" zoomScale="104" workbookViewId="0">
      <selection activeCell="X11" sqref="X11"/>
    </sheetView>
  </sheetViews>
  <sheetFormatPr defaultRowHeight="14.4" x14ac:dyDescent="0.3"/>
  <cols>
    <col min="5" max="7" width="12" bestFit="1" customWidth="1"/>
    <col min="8" max="8" width="11" customWidth="1"/>
    <col min="9" max="9" width="12" bestFit="1" customWidth="1"/>
    <col min="15" max="15" width="13.21875" customWidth="1"/>
    <col min="16" max="16" width="17.88671875" customWidth="1"/>
    <col min="17" max="17" width="22.6640625" customWidth="1"/>
    <col min="24" max="24" width="16.5546875" customWidth="1"/>
    <col min="25" max="25" width="18.6640625" customWidth="1"/>
  </cols>
  <sheetData>
    <row r="4" spans="4:25" x14ac:dyDescent="0.3">
      <c r="E4" s="4" t="s">
        <v>5</v>
      </c>
      <c r="F4" s="4">
        <f>20*10^14</f>
        <v>2000000000000000</v>
      </c>
      <c r="L4" s="59" t="s">
        <v>14</v>
      </c>
      <c r="M4" s="59">
        <v>50</v>
      </c>
      <c r="N4" t="s">
        <v>19</v>
      </c>
      <c r="P4" s="62">
        <f ca="1">AVERAGE(T10:T109)</f>
        <v>1.2991353242467734E-2</v>
      </c>
    </row>
    <row r="5" spans="4:25" ht="16.2" x14ac:dyDescent="0.3">
      <c r="E5" s="4" t="s">
        <v>18</v>
      </c>
      <c r="F5" s="4">
        <v>1.1599999999999999E-2</v>
      </c>
      <c r="G5" t="s">
        <v>6</v>
      </c>
      <c r="L5" s="60"/>
      <c r="M5" s="59">
        <v>50</v>
      </c>
      <c r="N5" t="s">
        <v>20</v>
      </c>
      <c r="P5" s="62">
        <f ca="1">AVERAGE(T10:T209)</f>
        <v>1.2340121707807215E-2</v>
      </c>
      <c r="Q5" s="51" t="s">
        <v>33</v>
      </c>
    </row>
    <row r="6" spans="4:25" x14ac:dyDescent="0.3">
      <c r="E6" s="4" t="s">
        <v>7</v>
      </c>
      <c r="F6" s="26">
        <f>0.693/F5</f>
        <v>59.741379310344826</v>
      </c>
      <c r="G6" t="s">
        <v>8</v>
      </c>
    </row>
    <row r="7" spans="4:25" ht="15" thickBot="1" x14ac:dyDescent="0.35"/>
    <row r="8" spans="4:25" ht="15.6" thickTop="1" thickBot="1" x14ac:dyDescent="0.35">
      <c r="O8" s="57" t="s">
        <v>27</v>
      </c>
    </row>
    <row r="9" spans="4:25" ht="16.8" thickTop="1" thickBot="1" x14ac:dyDescent="0.4">
      <c r="D9" s="4" t="s">
        <v>9</v>
      </c>
      <c r="E9" s="4" t="s">
        <v>10</v>
      </c>
      <c r="F9" s="4" t="s">
        <v>12</v>
      </c>
      <c r="G9" s="25" t="s">
        <v>11</v>
      </c>
      <c r="H9" s="25" t="s">
        <v>2</v>
      </c>
      <c r="I9" s="25" t="s">
        <v>3</v>
      </c>
      <c r="K9" s="42" t="s">
        <v>25</v>
      </c>
      <c r="L9" s="43" t="s">
        <v>24</v>
      </c>
      <c r="M9" s="44" t="s">
        <v>26</v>
      </c>
      <c r="N9" s="45" t="s">
        <v>28</v>
      </c>
      <c r="O9" s="58" t="s">
        <v>35</v>
      </c>
      <c r="Q9" s="56" t="s">
        <v>29</v>
      </c>
      <c r="R9" s="55" t="s">
        <v>24</v>
      </c>
      <c r="S9" s="48" t="s">
        <v>26</v>
      </c>
      <c r="T9" s="49" t="s">
        <v>30</v>
      </c>
      <c r="U9" s="53" t="s">
        <v>31</v>
      </c>
      <c r="W9" s="4" t="s">
        <v>9</v>
      </c>
      <c r="X9" s="39" t="s">
        <v>10</v>
      </c>
      <c r="Y9" s="52" t="s">
        <v>32</v>
      </c>
    </row>
    <row r="10" spans="4:25" ht="15" thickBot="1" x14ac:dyDescent="0.35">
      <c r="D10" s="4">
        <v>0</v>
      </c>
      <c r="E10" s="4">
        <f>$F$4*EXP(-$F$5*D10)</f>
        <v>2000000000000000</v>
      </c>
      <c r="F10" s="4">
        <f>AVERAGE(E10:E608)</f>
        <v>1442450752341670</v>
      </c>
      <c r="G10" s="4">
        <f>F4/2/LN(2)</f>
        <v>1442695040888963.5</v>
      </c>
      <c r="H10" s="4">
        <f>MIN(E10:E608)</f>
        <v>999467322483016.88</v>
      </c>
      <c r="I10" s="4">
        <f>MAX(E10:E608)</f>
        <v>2000000000000000</v>
      </c>
      <c r="K10" s="41">
        <v>1</v>
      </c>
      <c r="L10" s="41">
        <f ca="1">-(1/$F$5)*LN(RAND())</f>
        <v>91.773465321886292</v>
      </c>
      <c r="M10" s="41"/>
      <c r="N10" s="41"/>
      <c r="O10" s="38">
        <f ca="1">AVERAGE(N10:N59)</f>
        <v>1.2067123795794915E-2</v>
      </c>
      <c r="Q10" s="38">
        <f ca="1">O10</f>
        <v>1.2067123795794915E-2</v>
      </c>
      <c r="R10" s="50">
        <f ca="1">-(1/$Q$10)*LN(RAND())</f>
        <v>93.488175188585856</v>
      </c>
      <c r="S10" s="41"/>
      <c r="T10" s="41"/>
      <c r="U10" s="46">
        <f ca="1">AVERAGE(T10:T608)</f>
        <v>1.2260166758160941E-2</v>
      </c>
      <c r="W10" s="4">
        <v>0</v>
      </c>
      <c r="X10" s="4">
        <f ca="1">$F$4*EXP(-$U$10*W10)</f>
        <v>2000000000000000</v>
      </c>
      <c r="Y10">
        <f ca="1">AVERAGE(X10:X608)</f>
        <v>1417563641790541</v>
      </c>
    </row>
    <row r="11" spans="4:25" x14ac:dyDescent="0.3">
      <c r="D11" s="4">
        <v>0.1</v>
      </c>
      <c r="E11" s="4">
        <f t="shared" ref="E11:E74" si="0">$F$4*EXP(-$F$5*D11)</f>
        <v>1997681345079852.3</v>
      </c>
      <c r="K11" s="40">
        <v>2</v>
      </c>
      <c r="L11" s="40">
        <f t="shared" ref="L11:L74" ca="1" si="1">-(1/$F$5)*LN(RAND())</f>
        <v>25.120548046968988</v>
      </c>
      <c r="M11" s="40"/>
      <c r="N11" s="40"/>
      <c r="Q11" s="47"/>
      <c r="R11" s="46">
        <f t="shared" ref="R11:R74" ca="1" si="2">-(1/$Q$10)*LN(RAND())</f>
        <v>270.2559452652871</v>
      </c>
      <c r="S11" s="40"/>
      <c r="T11" s="40"/>
      <c r="W11" s="4">
        <v>0.1</v>
      </c>
      <c r="X11" s="4">
        <f t="shared" ref="X11:X74" ca="1" si="3">$F$4*EXP(-$U$10*W11)</f>
        <v>1997549469151163.3</v>
      </c>
    </row>
    <row r="12" spans="4:25" x14ac:dyDescent="0.3">
      <c r="D12" s="4">
        <v>0.2</v>
      </c>
      <c r="E12" s="4">
        <f>$F$4*EXP(-$F$5*D12)</f>
        <v>1995365378240023.8</v>
      </c>
      <c r="K12" s="40">
        <v>3</v>
      </c>
      <c r="L12" s="40">
        <f t="shared" ca="1" si="1"/>
        <v>3.8407248612423905</v>
      </c>
      <c r="M12" s="40"/>
      <c r="N12" s="40"/>
      <c r="Q12" s="46"/>
      <c r="R12" s="46">
        <f t="shared" ca="1" si="2"/>
        <v>38.046461271921096</v>
      </c>
      <c r="S12" s="40"/>
      <c r="T12" s="40"/>
      <c r="W12" s="4">
        <v>0.2</v>
      </c>
      <c r="X12" s="4">
        <f t="shared" ca="1" si="3"/>
        <v>1995101940853047.3</v>
      </c>
    </row>
    <row r="13" spans="4:25" x14ac:dyDescent="0.3">
      <c r="D13" s="4">
        <v>0.3</v>
      </c>
      <c r="E13" s="4">
        <f t="shared" si="0"/>
        <v>1993052096364149.3</v>
      </c>
      <c r="K13" s="40">
        <v>4</v>
      </c>
      <c r="L13" s="40">
        <f t="shared" ca="1" si="1"/>
        <v>157.61811113887339</v>
      </c>
      <c r="M13" s="40"/>
      <c r="N13" s="40"/>
      <c r="Q13" s="46"/>
      <c r="R13" s="46">
        <f t="shared" ca="1" si="2"/>
        <v>65.193894846277928</v>
      </c>
      <c r="S13" s="40"/>
      <c r="T13" s="40"/>
      <c r="W13" s="4">
        <v>0.3</v>
      </c>
      <c r="X13" s="4">
        <f t="shared" ca="1" si="3"/>
        <v>1992657411426730</v>
      </c>
    </row>
    <row r="14" spans="4:25" x14ac:dyDescent="0.3">
      <c r="D14" s="4">
        <v>0.4</v>
      </c>
      <c r="E14" s="4">
        <f t="shared" si="0"/>
        <v>1990741496339476.5</v>
      </c>
      <c r="K14" s="40">
        <v>5</v>
      </c>
      <c r="L14" s="40">
        <f t="shared" ca="1" si="1"/>
        <v>10.160765493472764</v>
      </c>
      <c r="M14" s="40"/>
      <c r="N14" s="40"/>
      <c r="Q14" s="46"/>
      <c r="R14" s="46">
        <f t="shared" ca="1" si="2"/>
        <v>32.690799063380467</v>
      </c>
      <c r="S14" s="40"/>
      <c r="T14" s="40"/>
      <c r="W14" s="4">
        <v>0.4</v>
      </c>
      <c r="X14" s="4">
        <f t="shared" ca="1" si="3"/>
        <v>1990215877197797.8</v>
      </c>
    </row>
    <row r="15" spans="4:25" x14ac:dyDescent="0.3">
      <c r="D15" s="4">
        <v>0.5</v>
      </c>
      <c r="E15" s="4">
        <f t="shared" si="0"/>
        <v>1988433575056861.5</v>
      </c>
      <c r="K15" s="40">
        <v>6</v>
      </c>
      <c r="L15" s="40">
        <f t="shared" ca="1" si="1"/>
        <v>120.95791172464671</v>
      </c>
      <c r="M15" s="40"/>
      <c r="N15" s="40"/>
      <c r="Q15" s="46"/>
      <c r="R15" s="46">
        <f t="shared" ca="1" si="2"/>
        <v>209.0390559678323</v>
      </c>
      <c r="S15" s="40"/>
      <c r="T15" s="40"/>
      <c r="W15" s="4">
        <v>0.5</v>
      </c>
      <c r="X15" s="4">
        <f t="shared" ca="1" si="3"/>
        <v>1987777334496339</v>
      </c>
    </row>
    <row r="16" spans="4:25" x14ac:dyDescent="0.3">
      <c r="D16" s="4">
        <v>0.6</v>
      </c>
      <c r="E16" s="4">
        <f t="shared" si="0"/>
        <v>1986128329410765.3</v>
      </c>
      <c r="K16" s="40">
        <v>7</v>
      </c>
      <c r="L16" s="40">
        <f t="shared" ca="1" si="1"/>
        <v>135.98478512227544</v>
      </c>
      <c r="M16" s="40"/>
      <c r="N16" s="40"/>
      <c r="Q16" s="46"/>
      <c r="R16" s="46">
        <f t="shared" ca="1" si="2"/>
        <v>9.6720071968888295</v>
      </c>
      <c r="S16" s="40"/>
      <c r="T16" s="40"/>
      <c r="W16" s="4">
        <v>0.6</v>
      </c>
      <c r="X16" s="4">
        <f t="shared" ca="1" si="3"/>
        <v>1985341779656938.3</v>
      </c>
    </row>
    <row r="17" spans="4:24" x14ac:dyDescent="0.3">
      <c r="D17" s="4">
        <v>0.7</v>
      </c>
      <c r="E17" s="4">
        <f t="shared" si="0"/>
        <v>1983825756299248.5</v>
      </c>
      <c r="K17" s="40">
        <v>8</v>
      </c>
      <c r="L17" s="40">
        <f t="shared" ca="1" si="1"/>
        <v>60.598875940558997</v>
      </c>
      <c r="M17" s="40"/>
      <c r="N17" s="40"/>
      <c r="Q17" s="46"/>
      <c r="R17" s="46">
        <f t="shared" ca="1" si="2"/>
        <v>126.84798884659159</v>
      </c>
      <c r="S17" s="40"/>
      <c r="T17" s="40"/>
      <c r="W17" s="4">
        <v>0.7</v>
      </c>
      <c r="X17" s="4">
        <f t="shared" ca="1" si="3"/>
        <v>1982909209018671.3</v>
      </c>
    </row>
    <row r="18" spans="4:24" x14ac:dyDescent="0.3">
      <c r="D18" s="4">
        <v>0.8</v>
      </c>
      <c r="E18" s="4">
        <f t="shared" si="0"/>
        <v>1981525852623969</v>
      </c>
      <c r="K18" s="40">
        <v>9</v>
      </c>
      <c r="L18" s="40">
        <f t="shared" ca="1" si="1"/>
        <v>163.17072242788402</v>
      </c>
      <c r="M18" s="40"/>
      <c r="N18" s="40"/>
      <c r="Q18" s="46"/>
      <c r="R18" s="46">
        <f t="shared" ca="1" si="2"/>
        <v>71.472824400943949</v>
      </c>
      <c r="S18" s="40"/>
      <c r="T18" s="40"/>
      <c r="W18" s="4">
        <v>0.8</v>
      </c>
      <c r="X18" s="4">
        <f t="shared" ca="1" si="3"/>
        <v>1980479618925100</v>
      </c>
    </row>
    <row r="19" spans="4:24" x14ac:dyDescent="0.3">
      <c r="D19" s="4">
        <v>0.9</v>
      </c>
      <c r="E19" s="4">
        <f t="shared" si="0"/>
        <v>1979228615290175.8</v>
      </c>
      <c r="K19" s="40">
        <v>10</v>
      </c>
      <c r="L19" s="40">
        <f t="shared" ca="1" si="1"/>
        <v>3.0338953820944714</v>
      </c>
      <c r="M19" s="40">
        <f ca="1">AVERAGE(L10:L19)</f>
        <v>77.225980545990339</v>
      </c>
      <c r="N19" s="40">
        <f ca="1">1/M19</f>
        <v>1.2949010073164052E-2</v>
      </c>
      <c r="Q19" s="46"/>
      <c r="R19" s="46">
        <f t="shared" ca="1" si="2"/>
        <v>35.575345171660615</v>
      </c>
      <c r="S19" s="40">
        <f ca="1">AVERAGE(R10:R19)</f>
        <v>95.228249721936962</v>
      </c>
      <c r="T19" s="40">
        <f ca="1">1/S19</f>
        <v>1.0501085580381491E-2</v>
      </c>
      <c r="W19" s="4">
        <v>0.9</v>
      </c>
      <c r="X19" s="4">
        <f t="shared" ca="1" si="3"/>
        <v>1978053005724265.8</v>
      </c>
    </row>
    <row r="20" spans="4:24" x14ac:dyDescent="0.3">
      <c r="D20" s="4">
        <v>1</v>
      </c>
      <c r="E20" s="4">
        <f t="shared" si="0"/>
        <v>1976934041206705.5</v>
      </c>
      <c r="K20" s="40">
        <v>11</v>
      </c>
      <c r="L20" s="40">
        <f t="shared" ca="1" si="1"/>
        <v>30.749832402684163</v>
      </c>
      <c r="M20" s="40"/>
      <c r="N20" s="40"/>
      <c r="Q20" s="46"/>
      <c r="R20" s="46">
        <f t="shared" ca="1" si="2"/>
        <v>13.977022773898764</v>
      </c>
      <c r="S20" s="40"/>
      <c r="T20" s="40"/>
      <c r="W20" s="4">
        <v>1</v>
      </c>
      <c r="X20" s="4">
        <f t="shared" ca="1" si="3"/>
        <v>1975629365768685</v>
      </c>
    </row>
    <row r="21" spans="4:24" x14ac:dyDescent="0.3">
      <c r="D21" s="4">
        <v>1.1000000000000001</v>
      </c>
      <c r="E21" s="4">
        <f t="shared" si="0"/>
        <v>1974642127285979.8</v>
      </c>
      <c r="K21" s="40">
        <v>12</v>
      </c>
      <c r="L21" s="40">
        <f t="shared" ca="1" si="1"/>
        <v>6.0495412978407224</v>
      </c>
      <c r="M21" s="40"/>
      <c r="N21" s="40"/>
      <c r="Q21" s="46"/>
      <c r="R21" s="46">
        <f t="shared" ca="1" si="2"/>
        <v>80.364464297049068</v>
      </c>
      <c r="S21" s="40"/>
      <c r="T21" s="40"/>
      <c r="W21" s="4">
        <v>1.1000000000000001</v>
      </c>
      <c r="X21" s="4">
        <f t="shared" ca="1" si="3"/>
        <v>1973208695415343.3</v>
      </c>
    </row>
    <row r="22" spans="4:24" x14ac:dyDescent="0.3">
      <c r="D22" s="4">
        <v>1.2</v>
      </c>
      <c r="E22" s="4">
        <f t="shared" si="0"/>
        <v>1972352870443998.5</v>
      </c>
      <c r="K22" s="40">
        <v>13</v>
      </c>
      <c r="L22" s="40">
        <f t="shared" ca="1" si="1"/>
        <v>72.612921966560918</v>
      </c>
      <c r="M22" s="40"/>
      <c r="N22" s="40"/>
      <c r="Q22" s="46"/>
      <c r="R22" s="46">
        <f t="shared" ca="1" si="2"/>
        <v>10.522940689700754</v>
      </c>
      <c r="S22" s="40"/>
      <c r="T22" s="40"/>
      <c r="W22" s="4">
        <v>1.2</v>
      </c>
      <c r="X22" s="4">
        <f t="shared" ca="1" si="3"/>
        <v>1970790991025689</v>
      </c>
    </row>
    <row r="23" spans="4:24" x14ac:dyDescent="0.3">
      <c r="D23" s="4">
        <v>1.3</v>
      </c>
      <c r="E23" s="4">
        <f t="shared" si="0"/>
        <v>1970066267600337</v>
      </c>
      <c r="K23" s="40">
        <v>14</v>
      </c>
      <c r="L23" s="40">
        <f t="shared" ca="1" si="1"/>
        <v>90.134488615753</v>
      </c>
      <c r="M23" s="40"/>
      <c r="N23" s="40"/>
      <c r="Q23" s="46"/>
      <c r="R23" s="46">
        <f t="shared" ca="1" si="2"/>
        <v>30.640441553147657</v>
      </c>
      <c r="S23" s="40"/>
      <c r="T23" s="40"/>
      <c r="W23" s="4">
        <v>1.3</v>
      </c>
      <c r="X23" s="4">
        <f t="shared" ca="1" si="3"/>
        <v>1968376248965630</v>
      </c>
    </row>
    <row r="24" spans="4:24" x14ac:dyDescent="0.3">
      <c r="D24" s="4">
        <v>1.4</v>
      </c>
      <c r="E24" s="4">
        <f t="shared" si="0"/>
        <v>1967782315678142.8</v>
      </c>
      <c r="K24" s="40">
        <v>15</v>
      </c>
      <c r="L24" s="40">
        <f t="shared" ca="1" si="1"/>
        <v>28.614429789062214</v>
      </c>
      <c r="M24" s="40"/>
      <c r="N24" s="40"/>
      <c r="Q24" s="46"/>
      <c r="R24" s="46">
        <f t="shared" ca="1" si="2"/>
        <v>10.017570374570209</v>
      </c>
      <c r="S24" s="40"/>
      <c r="T24" s="40"/>
      <c r="W24" s="4">
        <v>1.4</v>
      </c>
      <c r="X24" s="4">
        <f t="shared" ca="1" si="3"/>
        <v>1965964465605526.3</v>
      </c>
    </row>
    <row r="25" spans="4:24" x14ac:dyDescent="0.3">
      <c r="D25" s="4">
        <v>1.5</v>
      </c>
      <c r="E25" s="4">
        <f t="shared" si="0"/>
        <v>1965501011604129.3</v>
      </c>
      <c r="K25" s="40">
        <v>16</v>
      </c>
      <c r="L25" s="40">
        <f t="shared" ca="1" si="1"/>
        <v>147.98482165219039</v>
      </c>
      <c r="M25" s="40"/>
      <c r="N25" s="40"/>
      <c r="Q25" s="46"/>
      <c r="R25" s="46">
        <f t="shared" ca="1" si="2"/>
        <v>251.49387836406137</v>
      </c>
      <c r="S25" s="40"/>
      <c r="T25" s="40"/>
      <c r="W25" s="4">
        <v>1.5</v>
      </c>
      <c r="X25" s="4">
        <f t="shared" ca="1" si="3"/>
        <v>1963555637320184.8</v>
      </c>
    </row>
    <row r="26" spans="4:24" x14ac:dyDescent="0.3">
      <c r="D26" s="4">
        <v>1.6</v>
      </c>
      <c r="E26" s="4">
        <f t="shared" si="0"/>
        <v>1963222352308573.5</v>
      </c>
      <c r="K26" s="40">
        <v>17</v>
      </c>
      <c r="L26" s="40">
        <f t="shared" ca="1" si="1"/>
        <v>208.82086825458714</v>
      </c>
      <c r="M26" s="40"/>
      <c r="N26" s="40"/>
      <c r="Q26" s="46"/>
      <c r="R26" s="46">
        <f t="shared" ca="1" si="2"/>
        <v>66.929188988227978</v>
      </c>
      <c r="S26" s="40"/>
      <c r="T26" s="40"/>
      <c r="W26" s="4">
        <v>1.6</v>
      </c>
      <c r="X26" s="4">
        <f t="shared" ca="1" si="3"/>
        <v>1961149760488854.5</v>
      </c>
    </row>
    <row r="27" spans="4:24" x14ac:dyDescent="0.3">
      <c r="D27" s="4">
        <v>1.7</v>
      </c>
      <c r="E27" s="4">
        <f t="shared" si="0"/>
        <v>1960946334725311.3</v>
      </c>
      <c r="K27" s="40">
        <v>18</v>
      </c>
      <c r="L27" s="40">
        <f t="shared" ca="1" si="1"/>
        <v>213.18968775825505</v>
      </c>
      <c r="M27" s="40"/>
      <c r="N27" s="40"/>
      <c r="Q27" s="46"/>
      <c r="R27" s="46">
        <f t="shared" ca="1" si="2"/>
        <v>130.06404765161122</v>
      </c>
      <c r="S27" s="40"/>
      <c r="T27" s="40"/>
      <c r="W27" s="4">
        <v>1.7</v>
      </c>
      <c r="X27" s="4">
        <f t="shared" ca="1" si="3"/>
        <v>1958746831495221.3</v>
      </c>
    </row>
    <row r="28" spans="4:24" x14ac:dyDescent="0.3">
      <c r="D28" s="4">
        <v>1.8</v>
      </c>
      <c r="E28" s="4">
        <f t="shared" si="0"/>
        <v>1958672955791733</v>
      </c>
      <c r="K28" s="40">
        <v>19</v>
      </c>
      <c r="L28" s="40">
        <f t="shared" ca="1" si="1"/>
        <v>39.684609054746893</v>
      </c>
      <c r="M28" s="40"/>
      <c r="N28" s="40"/>
      <c r="Q28" s="46"/>
      <c r="R28" s="46">
        <f t="shared" ca="1" si="2"/>
        <v>34.175598169340148</v>
      </c>
      <c r="S28" s="40"/>
      <c r="T28" s="40"/>
      <c r="W28" s="4">
        <v>1.8</v>
      </c>
      <c r="X28" s="4">
        <f t="shared" ca="1" si="3"/>
        <v>1956346846727401.3</v>
      </c>
    </row>
    <row r="29" spans="4:24" x14ac:dyDescent="0.3">
      <c r="D29" s="4">
        <v>1.9</v>
      </c>
      <c r="E29" s="4">
        <f t="shared" si="0"/>
        <v>1956402212448779.5</v>
      </c>
      <c r="K29" s="40">
        <v>20</v>
      </c>
      <c r="L29" s="40">
        <f t="shared" ca="1" si="1"/>
        <v>30.915211155285714</v>
      </c>
      <c r="M29" s="40">
        <f ca="1">AVERAGE(L20:L29)</f>
        <v>86.875641194696641</v>
      </c>
      <c r="N29" s="40">
        <f ca="1">1/M29</f>
        <v>1.1510706410314764E-2</v>
      </c>
      <c r="Q29" s="46"/>
      <c r="R29" s="46">
        <f t="shared" ca="1" si="2"/>
        <v>47.200905723984746</v>
      </c>
      <c r="S29" s="40">
        <f ca="1">AVERAGE(R20:R29)</f>
        <v>67.53860585855918</v>
      </c>
      <c r="T29" s="40">
        <f ca="1">1/S29</f>
        <v>1.4806346493059418E-2</v>
      </c>
      <c r="W29" s="4">
        <v>1.9</v>
      </c>
      <c r="X29" s="4">
        <f t="shared" ca="1" si="3"/>
        <v>1953949802577936.3</v>
      </c>
    </row>
    <row r="30" spans="4:24" x14ac:dyDescent="0.3">
      <c r="D30" s="4">
        <v>2</v>
      </c>
      <c r="E30" s="4">
        <f t="shared" si="0"/>
        <v>1954134101640938.3</v>
      </c>
      <c r="K30" s="40">
        <v>21</v>
      </c>
      <c r="L30" s="40">
        <f t="shared" ca="1" si="1"/>
        <v>47.243296887335077</v>
      </c>
      <c r="M30" s="40"/>
      <c r="N30" s="40"/>
      <c r="Q30" s="46"/>
      <c r="R30" s="46">
        <f t="shared" ca="1" si="2"/>
        <v>16.788285008407314</v>
      </c>
      <c r="S30" s="40"/>
      <c r="T30" s="40"/>
      <c r="W30" s="4">
        <v>2</v>
      </c>
      <c r="X30" s="4">
        <f t="shared" ca="1" si="3"/>
        <v>1951555695443788.5</v>
      </c>
    </row>
    <row r="31" spans="4:24" x14ac:dyDescent="0.3">
      <c r="D31" s="4">
        <v>2.1</v>
      </c>
      <c r="E31" s="4">
        <f t="shared" si="0"/>
        <v>1951868620316239</v>
      </c>
      <c r="K31" s="40">
        <v>22</v>
      </c>
      <c r="L31" s="40">
        <f t="shared" ca="1" si="1"/>
        <v>34.302330934763276</v>
      </c>
      <c r="M31" s="40"/>
      <c r="N31" s="40"/>
      <c r="Q31" s="46"/>
      <c r="R31" s="46">
        <f t="shared" ca="1" si="2"/>
        <v>55.103885825118788</v>
      </c>
      <c r="S31" s="40"/>
      <c r="T31" s="40"/>
      <c r="W31" s="4">
        <v>2.1</v>
      </c>
      <c r="X31" s="4">
        <f t="shared" ca="1" si="3"/>
        <v>1949164521726334.5</v>
      </c>
    </row>
    <row r="32" spans="4:24" x14ac:dyDescent="0.3">
      <c r="D32" s="4">
        <v>2.2000000000000002</v>
      </c>
      <c r="E32" s="4">
        <f t="shared" si="0"/>
        <v>1949605765426250</v>
      </c>
      <c r="K32" s="40">
        <v>23</v>
      </c>
      <c r="L32" s="40">
        <f t="shared" ca="1" si="1"/>
        <v>8.0639709119459901</v>
      </c>
      <c r="M32" s="40"/>
      <c r="N32" s="40"/>
      <c r="Q32" s="46"/>
      <c r="R32" s="46">
        <f t="shared" ca="1" si="2"/>
        <v>39.25445925844037</v>
      </c>
      <c r="S32" s="40"/>
      <c r="T32" s="40"/>
      <c r="W32" s="4">
        <v>2.2000000000000002</v>
      </c>
      <c r="X32" s="4">
        <f t="shared" ca="1" si="3"/>
        <v>1946776277831360.3</v>
      </c>
    </row>
    <row r="33" spans="4:24" x14ac:dyDescent="0.3">
      <c r="D33" s="4">
        <v>2.2999999999999998</v>
      </c>
      <c r="E33" s="4">
        <f t="shared" si="0"/>
        <v>1947345533926072.8</v>
      </c>
      <c r="K33" s="40">
        <v>24</v>
      </c>
      <c r="L33" s="40">
        <f t="shared" ca="1" si="1"/>
        <v>25.023624363371137</v>
      </c>
      <c r="M33" s="40"/>
      <c r="N33" s="40"/>
      <c r="Q33" s="46"/>
      <c r="R33" s="46">
        <f t="shared" ca="1" si="2"/>
        <v>75.712274520198108</v>
      </c>
      <c r="S33" s="40"/>
      <c r="T33" s="40"/>
      <c r="W33" s="4">
        <v>2.2999999999999998</v>
      </c>
      <c r="X33" s="4">
        <f t="shared" ca="1" si="3"/>
        <v>1944390960169055.8</v>
      </c>
    </row>
    <row r="34" spans="4:24" x14ac:dyDescent="0.3">
      <c r="D34" s="4">
        <v>2.4</v>
      </c>
      <c r="E34" s="4">
        <f t="shared" si="0"/>
        <v>1945087922774340</v>
      </c>
      <c r="K34" s="40">
        <v>25</v>
      </c>
      <c r="L34" s="40">
        <f t="shared" ca="1" si="1"/>
        <v>129.20423534662817</v>
      </c>
      <c r="M34" s="40"/>
      <c r="N34" s="40"/>
      <c r="Q34" s="46"/>
      <c r="R34" s="46">
        <f t="shared" ca="1" si="2"/>
        <v>60.592244294143185</v>
      </c>
      <c r="S34" s="40"/>
      <c r="T34" s="40"/>
      <c r="W34" s="4">
        <v>2.4</v>
      </c>
      <c r="X34" s="4">
        <f t="shared" ca="1" si="3"/>
        <v>1942008565154009</v>
      </c>
    </row>
    <row r="35" spans="4:24" x14ac:dyDescent="0.3">
      <c r="D35" s="4">
        <v>2.5</v>
      </c>
      <c r="E35" s="4">
        <f t="shared" si="0"/>
        <v>1942832928933209.5</v>
      </c>
      <c r="K35" s="40">
        <v>26</v>
      </c>
      <c r="L35" s="40">
        <f t="shared" ca="1" si="1"/>
        <v>122.86802169234113</v>
      </c>
      <c r="M35" s="40"/>
      <c r="N35" s="40"/>
      <c r="Q35" s="46"/>
      <c r="R35" s="46">
        <f t="shared" ca="1" si="2"/>
        <v>26.516460606949476</v>
      </c>
      <c r="S35" s="40"/>
      <c r="T35" s="40"/>
      <c r="W35" s="4">
        <v>2.5</v>
      </c>
      <c r="X35" s="4">
        <f t="shared" ca="1" si="3"/>
        <v>1939629089205201.3</v>
      </c>
    </row>
    <row r="36" spans="4:24" x14ac:dyDescent="0.3">
      <c r="D36" s="4">
        <v>2.6</v>
      </c>
      <c r="E36" s="4">
        <f t="shared" si="0"/>
        <v>1940580549368361.8</v>
      </c>
      <c r="K36" s="40">
        <v>27</v>
      </c>
      <c r="L36" s="40">
        <f t="shared" ca="1" si="1"/>
        <v>65.865070161037593</v>
      </c>
      <c r="M36" s="40"/>
      <c r="N36" s="40"/>
      <c r="Q36" s="46"/>
      <c r="R36" s="46">
        <f t="shared" ca="1" si="2"/>
        <v>79.886918619183078</v>
      </c>
      <c r="S36" s="40"/>
      <c r="T36" s="40"/>
      <c r="W36" s="4">
        <v>2.6</v>
      </c>
      <c r="X36" s="4">
        <f t="shared" ca="1" si="3"/>
        <v>1937252528746002</v>
      </c>
    </row>
    <row r="37" spans="4:24" x14ac:dyDescent="0.3">
      <c r="D37" s="4">
        <v>2.7</v>
      </c>
      <c r="E37" s="4">
        <f t="shared" si="0"/>
        <v>1938330781048993.5</v>
      </c>
      <c r="K37" s="40">
        <v>28</v>
      </c>
      <c r="L37" s="40">
        <f t="shared" ca="1" si="1"/>
        <v>112.05265433710557</v>
      </c>
      <c r="M37" s="40"/>
      <c r="N37" s="40"/>
      <c r="Q37" s="46"/>
      <c r="R37" s="46">
        <f t="shared" ca="1" si="2"/>
        <v>190.89441074518459</v>
      </c>
      <c r="S37" s="40"/>
      <c r="T37" s="40"/>
      <c r="W37" s="4">
        <v>2.7</v>
      </c>
      <c r="X37" s="4">
        <f t="shared" ca="1" si="3"/>
        <v>1934878880204162.5</v>
      </c>
    </row>
    <row r="38" spans="4:24" x14ac:dyDescent="0.3">
      <c r="D38" s="4">
        <v>2.8</v>
      </c>
      <c r="E38" s="4">
        <f t="shared" si="0"/>
        <v>1936083620947817</v>
      </c>
      <c r="K38" s="40">
        <v>29</v>
      </c>
      <c r="L38" s="40">
        <f t="shared" ca="1" si="1"/>
        <v>53.677436559036089</v>
      </c>
      <c r="M38" s="40"/>
      <c r="N38" s="40"/>
      <c r="Q38" s="46"/>
      <c r="R38" s="46">
        <f t="shared" ca="1" si="2"/>
        <v>26.252568742165124</v>
      </c>
      <c r="S38" s="40"/>
      <c r="T38" s="40"/>
      <c r="W38" s="4">
        <v>2.8</v>
      </c>
      <c r="X38" s="4">
        <f t="shared" ca="1" si="3"/>
        <v>1932508140011811.3</v>
      </c>
    </row>
    <row r="39" spans="4:24" x14ac:dyDescent="0.3">
      <c r="D39" s="4">
        <v>2.9</v>
      </c>
      <c r="E39" s="4">
        <f t="shared" si="0"/>
        <v>1933839066041052.8</v>
      </c>
      <c r="K39" s="40">
        <v>30</v>
      </c>
      <c r="L39" s="40">
        <f t="shared" ca="1" si="1"/>
        <v>59.657557672403698</v>
      </c>
      <c r="M39" s="40">
        <f ca="1">AVERAGE(L30:L39)</f>
        <v>65.795819886596774</v>
      </c>
      <c r="N39" s="40">
        <f ca="1">1/M39</f>
        <v>1.5198533914822595E-2</v>
      </c>
      <c r="Q39" s="46"/>
      <c r="R39" s="46">
        <f t="shared" ca="1" si="2"/>
        <v>135.29722851069002</v>
      </c>
      <c r="S39" s="40">
        <f ca="1">AVERAGE(R30:R39)</f>
        <v>70.629873613047991</v>
      </c>
      <c r="T39" s="40">
        <f ca="1">1/S39</f>
        <v>1.4158315013822458E-2</v>
      </c>
      <c r="W39" s="4">
        <v>2.9</v>
      </c>
      <c r="X39" s="4">
        <f t="shared" ca="1" si="3"/>
        <v>1930140304605447.8</v>
      </c>
    </row>
    <row r="40" spans="4:24" x14ac:dyDescent="0.3">
      <c r="D40" s="4">
        <v>3</v>
      </c>
      <c r="E40" s="4">
        <f t="shared" si="0"/>
        <v>1931597113308427.8</v>
      </c>
      <c r="K40" s="40">
        <v>31</v>
      </c>
      <c r="L40" s="40">
        <f t="shared" ca="1" si="1"/>
        <v>155.63492125144523</v>
      </c>
      <c r="M40" s="40"/>
      <c r="N40" s="40"/>
      <c r="Q40" s="46"/>
      <c r="R40" s="46">
        <f t="shared" ca="1" si="2"/>
        <v>78.268079815566779</v>
      </c>
      <c r="S40" s="40"/>
      <c r="T40" s="40"/>
      <c r="W40" s="4">
        <v>3</v>
      </c>
      <c r="X40" s="4">
        <f t="shared" ca="1" si="3"/>
        <v>1927775370425938.5</v>
      </c>
    </row>
    <row r="41" spans="4:24" x14ac:dyDescent="0.3">
      <c r="D41" s="4">
        <v>3.1</v>
      </c>
      <c r="E41" s="4">
        <f t="shared" si="0"/>
        <v>1929357759733169.8</v>
      </c>
      <c r="K41" s="40">
        <v>32</v>
      </c>
      <c r="L41" s="40">
        <f t="shared" ca="1" si="1"/>
        <v>19.965397839424693</v>
      </c>
      <c r="M41" s="40"/>
      <c r="N41" s="40"/>
      <c r="Q41" s="46"/>
      <c r="R41" s="46">
        <f t="shared" ca="1" si="2"/>
        <v>52.048861356989406</v>
      </c>
      <c r="S41" s="40"/>
      <c r="T41" s="40"/>
      <c r="W41" s="4">
        <v>3.1</v>
      </c>
      <c r="X41" s="4">
        <f t="shared" ca="1" si="3"/>
        <v>1925413333918510.3</v>
      </c>
    </row>
    <row r="42" spans="4:24" x14ac:dyDescent="0.3">
      <c r="D42" s="4">
        <v>3.2</v>
      </c>
      <c r="E42" s="4">
        <f t="shared" si="0"/>
        <v>1927121002302004.5</v>
      </c>
      <c r="K42" s="40">
        <v>33</v>
      </c>
      <c r="L42" s="40">
        <f t="shared" ca="1" si="1"/>
        <v>10.487803560405617</v>
      </c>
      <c r="M42" s="40"/>
      <c r="N42" s="40"/>
      <c r="Q42" s="46"/>
      <c r="R42" s="46">
        <f t="shared" ca="1" si="2"/>
        <v>58.428045761379785</v>
      </c>
      <c r="S42" s="40"/>
      <c r="T42" s="40"/>
      <c r="W42" s="4">
        <v>3.2</v>
      </c>
      <c r="X42" s="4">
        <f t="shared" ca="1" si="3"/>
        <v>1923054191532745.8</v>
      </c>
    </row>
    <row r="43" spans="4:24" x14ac:dyDescent="0.3">
      <c r="D43" s="4">
        <v>3.3</v>
      </c>
      <c r="E43" s="4">
        <f t="shared" si="0"/>
        <v>1924886838005150.5</v>
      </c>
      <c r="K43" s="40">
        <v>34</v>
      </c>
      <c r="L43" s="40">
        <f t="shared" ca="1" si="1"/>
        <v>34.789326703563802</v>
      </c>
      <c r="M43" s="40"/>
      <c r="N43" s="40"/>
      <c r="Q43" s="46"/>
      <c r="R43" s="46">
        <f t="shared" ca="1" si="2"/>
        <v>176.12236924385945</v>
      </c>
      <c r="S43" s="40"/>
      <c r="T43" s="40"/>
      <c r="W43" s="4">
        <v>3.3</v>
      </c>
      <c r="X43" s="4">
        <f t="shared" ca="1" si="3"/>
        <v>1920697939722577.8</v>
      </c>
    </row>
    <row r="44" spans="4:24" x14ac:dyDescent="0.3">
      <c r="D44" s="4">
        <v>3.4</v>
      </c>
      <c r="E44" s="4">
        <f t="shared" si="0"/>
        <v>1922655263836316.3</v>
      </c>
      <c r="K44" s="40">
        <v>35</v>
      </c>
      <c r="L44" s="40">
        <f t="shared" ca="1" si="1"/>
        <v>15.288597380128703</v>
      </c>
      <c r="M44" s="40"/>
      <c r="N44" s="40"/>
      <c r="Q44" s="46"/>
      <c r="R44" s="46">
        <f t="shared" ca="1" si="2"/>
        <v>2.9758196143506739</v>
      </c>
      <c r="S44" s="40"/>
      <c r="T44" s="40"/>
      <c r="W44" s="4">
        <v>3.4</v>
      </c>
      <c r="X44" s="4">
        <f t="shared" ca="1" si="3"/>
        <v>1918344574946284.3</v>
      </c>
    </row>
    <row r="45" spans="4:24" x14ac:dyDescent="0.3">
      <c r="D45" s="4">
        <v>3.5</v>
      </c>
      <c r="E45" s="4">
        <f t="shared" si="0"/>
        <v>1920426276792695.3</v>
      </c>
      <c r="K45" s="40">
        <v>36</v>
      </c>
      <c r="L45" s="40">
        <f t="shared" ca="1" si="1"/>
        <v>192.73157112694162</v>
      </c>
      <c r="M45" s="40"/>
      <c r="N45" s="40"/>
      <c r="Q45" s="46"/>
      <c r="R45" s="46">
        <f t="shared" ca="1" si="2"/>
        <v>216.05530155666386</v>
      </c>
      <c r="S45" s="40"/>
      <c r="T45" s="40"/>
      <c r="W45" s="4">
        <v>3.5</v>
      </c>
      <c r="X45" s="4">
        <f t="shared" ca="1" si="3"/>
        <v>1915994093666482</v>
      </c>
    </row>
    <row r="46" spans="4:24" x14ac:dyDescent="0.3">
      <c r="D46" s="4">
        <v>3.6</v>
      </c>
      <c r="E46" s="4">
        <f t="shared" si="0"/>
        <v>1918199873874962</v>
      </c>
      <c r="K46" s="40">
        <v>37</v>
      </c>
      <c r="L46" s="40">
        <f t="shared" ca="1" si="1"/>
        <v>3.5806097605722167</v>
      </c>
      <c r="M46" s="40"/>
      <c r="N46" s="40"/>
      <c r="Q46" s="46"/>
      <c r="R46" s="46">
        <f t="shared" ca="1" si="2"/>
        <v>107.99796217129135</v>
      </c>
      <c r="S46" s="40"/>
      <c r="T46" s="40"/>
      <c r="W46" s="4">
        <v>3.6</v>
      </c>
      <c r="X46" s="4">
        <f t="shared" ca="1" si="3"/>
        <v>1913646492350122.8</v>
      </c>
    </row>
    <row r="47" spans="4:24" x14ac:dyDescent="0.3">
      <c r="D47" s="4">
        <v>3.7</v>
      </c>
      <c r="E47" s="4">
        <f t="shared" si="0"/>
        <v>1915976052087268.5</v>
      </c>
      <c r="K47" s="40">
        <v>38</v>
      </c>
      <c r="L47" s="40">
        <f t="shared" ca="1" si="1"/>
        <v>332.17943148185407</v>
      </c>
      <c r="M47" s="40"/>
      <c r="N47" s="40"/>
      <c r="Q47" s="46"/>
      <c r="R47" s="46">
        <f t="shared" ca="1" si="2"/>
        <v>30.798541203603733</v>
      </c>
      <c r="S47" s="40"/>
      <c r="T47" s="40"/>
      <c r="W47" s="4">
        <v>3.7</v>
      </c>
      <c r="X47" s="4">
        <f t="shared" ca="1" si="3"/>
        <v>1911301767468486.8</v>
      </c>
    </row>
    <row r="48" spans="4:24" x14ac:dyDescent="0.3">
      <c r="D48" s="4">
        <v>3.8</v>
      </c>
      <c r="E48" s="4">
        <f t="shared" si="0"/>
        <v>1913754808437239.8</v>
      </c>
      <c r="K48" s="40">
        <v>39</v>
      </c>
      <c r="L48" s="40">
        <f t="shared" ca="1" si="1"/>
        <v>24.465503691186132</v>
      </c>
      <c r="M48" s="40"/>
      <c r="N48" s="40"/>
      <c r="Q48" s="46"/>
      <c r="R48" s="46">
        <f t="shared" ca="1" si="2"/>
        <v>10.371331383069451</v>
      </c>
      <c r="S48" s="40"/>
      <c r="T48" s="40"/>
      <c r="W48" s="4">
        <v>3.8</v>
      </c>
      <c r="X48" s="4">
        <f t="shared" ca="1" si="3"/>
        <v>1908959915497178</v>
      </c>
    </row>
    <row r="49" spans="4:24" x14ac:dyDescent="0.3">
      <c r="D49" s="4">
        <v>3.9</v>
      </c>
      <c r="E49" s="4">
        <f t="shared" si="0"/>
        <v>1911536139935969.8</v>
      </c>
      <c r="K49" s="40">
        <v>40</v>
      </c>
      <c r="L49" s="40">
        <f t="shared" ca="1" si="1"/>
        <v>61.620513229887081</v>
      </c>
      <c r="M49" s="40">
        <f ca="1">AVERAGE(L40:L49)</f>
        <v>85.074367602540903</v>
      </c>
      <c r="N49" s="40">
        <f ca="1">1/M49</f>
        <v>1.1754421786264718E-2</v>
      </c>
      <c r="Q49" s="46"/>
      <c r="R49" s="46">
        <f t="shared" ca="1" si="2"/>
        <v>112.57082000190796</v>
      </c>
      <c r="S49" s="40">
        <f ca="1">AVERAGE(R40:R49)</f>
        <v>84.563713210868229</v>
      </c>
      <c r="T49" s="40">
        <f ca="1">1/S49</f>
        <v>1.1825403143147206E-2</v>
      </c>
      <c r="W49" s="4">
        <v>3.9</v>
      </c>
      <c r="X49" s="4">
        <f t="shared" ca="1" si="3"/>
        <v>1906620932916118.5</v>
      </c>
    </row>
    <row r="50" spans="4:24" x14ac:dyDescent="0.3">
      <c r="D50" s="4">
        <v>4</v>
      </c>
      <c r="E50" s="4">
        <f t="shared" si="0"/>
        <v>1909320043598018.5</v>
      </c>
      <c r="K50" s="40">
        <v>41</v>
      </c>
      <c r="L50" s="40">
        <f t="shared" ca="1" si="1"/>
        <v>131.87498328985134</v>
      </c>
      <c r="M50" s="40"/>
      <c r="N50" s="40"/>
      <c r="Q50" s="46"/>
      <c r="R50" s="46">
        <f t="shared" ca="1" si="2"/>
        <v>95.301847098439012</v>
      </c>
      <c r="S50" s="40"/>
      <c r="T50" s="40"/>
      <c r="W50" s="4">
        <v>4</v>
      </c>
      <c r="X50" s="4">
        <f t="shared" ca="1" si="3"/>
        <v>1904284816209544.3</v>
      </c>
    </row>
    <row r="51" spans="4:24" x14ac:dyDescent="0.3">
      <c r="D51" s="4">
        <v>4.0999999999999996</v>
      </c>
      <c r="E51" s="4">
        <f t="shared" si="0"/>
        <v>1907106516441405.8</v>
      </c>
      <c r="K51" s="40">
        <v>42</v>
      </c>
      <c r="L51" s="40">
        <f t="shared" ca="1" si="1"/>
        <v>8.9117041196372266</v>
      </c>
      <c r="M51" s="40"/>
      <c r="N51" s="40"/>
      <c r="Q51" s="46"/>
      <c r="R51" s="46">
        <f t="shared" ca="1" si="2"/>
        <v>10.542681273706725</v>
      </c>
      <c r="S51" s="40"/>
      <c r="T51" s="40"/>
      <c r="W51" s="4">
        <v>4.0999999999999996</v>
      </c>
      <c r="X51" s="4">
        <f t="shared" ca="1" si="3"/>
        <v>1901951561865998</v>
      </c>
    </row>
    <row r="52" spans="4:24" x14ac:dyDescent="0.3">
      <c r="D52" s="4">
        <v>4.2</v>
      </c>
      <c r="E52" s="4">
        <f t="shared" si="0"/>
        <v>1904895555487609.3</v>
      </c>
      <c r="K52" s="40">
        <v>43</v>
      </c>
      <c r="L52" s="40">
        <f t="shared" ca="1" si="1"/>
        <v>403.99373915780393</v>
      </c>
      <c r="M52" s="40"/>
      <c r="N52" s="40"/>
      <c r="Q52" s="46"/>
      <c r="R52" s="46">
        <f t="shared" ca="1" si="2"/>
        <v>26.074979327450478</v>
      </c>
      <c r="S52" s="40"/>
      <c r="T52" s="40"/>
      <c r="W52" s="4">
        <v>4.2</v>
      </c>
      <c r="X52" s="4">
        <f t="shared" ca="1" si="3"/>
        <v>1899621166378325</v>
      </c>
    </row>
    <row r="53" spans="4:24" x14ac:dyDescent="0.3">
      <c r="D53" s="4">
        <v>4.3</v>
      </c>
      <c r="E53" s="4">
        <f t="shared" si="0"/>
        <v>1902687157761559.8</v>
      </c>
      <c r="K53" s="40">
        <v>44</v>
      </c>
      <c r="L53" s="40">
        <f t="shared" ca="1" si="1"/>
        <v>10.465133877672633</v>
      </c>
      <c r="M53" s="40"/>
      <c r="N53" s="40"/>
      <c r="Q53" s="46"/>
      <c r="R53" s="46">
        <f t="shared" ca="1" si="2"/>
        <v>9.4957987736366221</v>
      </c>
      <c r="S53" s="40"/>
      <c r="T53" s="40"/>
      <c r="W53" s="4">
        <v>4.3</v>
      </c>
      <c r="X53" s="4">
        <f t="shared" ca="1" si="3"/>
        <v>1897293626243668.3</v>
      </c>
    </row>
    <row r="54" spans="4:24" x14ac:dyDescent="0.3">
      <c r="D54" s="4">
        <v>4.4000000000000004</v>
      </c>
      <c r="E54" s="4">
        <f t="shared" si="0"/>
        <v>1900481320291636.8</v>
      </c>
      <c r="K54" s="40">
        <v>45</v>
      </c>
      <c r="L54" s="40">
        <f t="shared" ca="1" si="1"/>
        <v>179.03679115157189</v>
      </c>
      <c r="M54" s="40"/>
      <c r="N54" s="40"/>
      <c r="Q54" s="46"/>
      <c r="R54" s="46">
        <f t="shared" ca="1" si="2"/>
        <v>28.924059812620126</v>
      </c>
      <c r="S54" s="40"/>
      <c r="T54" s="40"/>
      <c r="W54" s="4">
        <v>4.4000000000000004</v>
      </c>
      <c r="X54" s="4">
        <f t="shared" ca="1" si="3"/>
        <v>1894968937963462.8</v>
      </c>
    </row>
    <row r="55" spans="4:24" x14ac:dyDescent="0.3">
      <c r="D55" s="4">
        <v>4.5</v>
      </c>
      <c r="E55" s="4">
        <f t="shared" si="0"/>
        <v>1898278040109665.3</v>
      </c>
      <c r="K55" s="40">
        <v>46</v>
      </c>
      <c r="L55" s="40">
        <f t="shared" ca="1" si="1"/>
        <v>258.28269275123245</v>
      </c>
      <c r="M55" s="40"/>
      <c r="N55" s="40"/>
      <c r="Q55" s="46"/>
      <c r="R55" s="46">
        <f t="shared" ca="1" si="2"/>
        <v>142.38375662710911</v>
      </c>
      <c r="S55" s="40"/>
      <c r="T55" s="40"/>
      <c r="W55" s="4">
        <v>4.5</v>
      </c>
      <c r="X55" s="4">
        <f t="shared" ca="1" si="3"/>
        <v>1892647098043429.3</v>
      </c>
    </row>
    <row r="56" spans="4:24" x14ac:dyDescent="0.3">
      <c r="D56" s="4">
        <v>4.5999999999999996</v>
      </c>
      <c r="E56" s="4">
        <f t="shared" si="0"/>
        <v>1896077314250910.8</v>
      </c>
      <c r="K56" s="40">
        <v>47</v>
      </c>
      <c r="L56" s="40">
        <f t="shared" ca="1" si="1"/>
        <v>25.379641581006602</v>
      </c>
      <c r="M56" s="40"/>
      <c r="N56" s="40"/>
      <c r="Q56" s="46"/>
      <c r="R56" s="46">
        <f t="shared" ca="1" si="2"/>
        <v>18.130572048694972</v>
      </c>
      <c r="S56" s="40"/>
      <c r="T56" s="40"/>
      <c r="W56" s="4">
        <v>4.5999999999999996</v>
      </c>
      <c r="X56" s="4">
        <f t="shared" ca="1" si="3"/>
        <v>1890328102993571</v>
      </c>
    </row>
    <row r="57" spans="4:24" x14ac:dyDescent="0.3">
      <c r="D57" s="4">
        <v>4.7</v>
      </c>
      <c r="E57" s="4">
        <f t="shared" si="0"/>
        <v>1893879139754076.5</v>
      </c>
      <c r="K57" s="40">
        <v>48</v>
      </c>
      <c r="L57" s="40">
        <f t="shared" ca="1" si="1"/>
        <v>26.095849418157414</v>
      </c>
      <c r="M57" s="40"/>
      <c r="N57" s="40"/>
      <c r="Q57" s="46"/>
      <c r="R57" s="46">
        <f t="shared" ca="1" si="2"/>
        <v>107.66268079835159</v>
      </c>
      <c r="S57" s="40"/>
      <c r="T57" s="40"/>
      <c r="W57" s="4">
        <v>4.7</v>
      </c>
      <c r="X57" s="4">
        <f t="shared" ca="1" si="3"/>
        <v>1888011949328166.8</v>
      </c>
    </row>
    <row r="58" spans="4:24" x14ac:dyDescent="0.3">
      <c r="D58" s="4">
        <v>4.8</v>
      </c>
      <c r="E58" s="4">
        <f t="shared" si="0"/>
        <v>1891683513661298.5</v>
      </c>
      <c r="K58" s="40">
        <v>49</v>
      </c>
      <c r="L58" s="40">
        <f t="shared" ca="1" si="1"/>
        <v>13.323546794377304</v>
      </c>
      <c r="M58" s="40"/>
      <c r="N58" s="40"/>
      <c r="Q58" s="46"/>
      <c r="R58" s="46">
        <f t="shared" ca="1" si="2"/>
        <v>1.3837194906362016</v>
      </c>
      <c r="S58" s="40"/>
      <c r="T58" s="40"/>
      <c r="W58" s="4">
        <v>4.8</v>
      </c>
      <c r="X58" s="4">
        <f t="shared" ca="1" si="3"/>
        <v>1885698633565766.3</v>
      </c>
    </row>
    <row r="59" spans="4:24" x14ac:dyDescent="0.3">
      <c r="D59" s="4">
        <v>4.9000000000000004</v>
      </c>
      <c r="E59" s="4">
        <f t="shared" si="0"/>
        <v>1889490433018142</v>
      </c>
      <c r="K59" s="40">
        <v>50</v>
      </c>
      <c r="L59" s="40">
        <f t="shared" ca="1" si="1"/>
        <v>63.341916718448076</v>
      </c>
      <c r="M59" s="40">
        <f ca="1">AVERAGE(L50:L59)</f>
        <v>112.07059988597589</v>
      </c>
      <c r="N59" s="40">
        <f ca="1">1/M59</f>
        <v>8.9229467944084446E-3</v>
      </c>
      <c r="Q59" s="46"/>
      <c r="R59" s="46">
        <f t="shared" ca="1" si="2"/>
        <v>49.336978677895154</v>
      </c>
      <c r="S59" s="40">
        <f ca="1">AVERAGE(R50:R59)</f>
        <v>48.923707392853991</v>
      </c>
      <c r="T59" s="40">
        <f ca="1">1/S59</f>
        <v>2.0439988162999773E-2</v>
      </c>
      <c r="W59" s="4">
        <v>4.9000000000000004</v>
      </c>
      <c r="X59" s="4">
        <f t="shared" ca="1" si="3"/>
        <v>1883388152229185</v>
      </c>
    </row>
    <row r="60" spans="4:24" x14ac:dyDescent="0.3">
      <c r="D60" s="4">
        <v>5</v>
      </c>
      <c r="E60" s="4">
        <f t="shared" si="0"/>
        <v>1887299894873597</v>
      </c>
      <c r="K60" s="40">
        <v>51</v>
      </c>
      <c r="L60" s="40">
        <f t="shared" ca="1" si="1"/>
        <v>13.965363973399327</v>
      </c>
      <c r="M60" s="40"/>
      <c r="N60" s="40"/>
      <c r="Q60" s="46"/>
      <c r="R60" s="46">
        <f t="shared" ca="1" si="2"/>
        <v>291.4926920734336</v>
      </c>
      <c r="S60" s="40"/>
      <c r="T60" s="40"/>
      <c r="W60" s="4">
        <v>5</v>
      </c>
      <c r="X60" s="4">
        <f t="shared" ca="1" si="3"/>
        <v>1881080501845499.5</v>
      </c>
    </row>
    <row r="61" spans="4:24" x14ac:dyDescent="0.3">
      <c r="D61" s="4">
        <v>5.0999999999999996</v>
      </c>
      <c r="E61" s="4">
        <f t="shared" si="0"/>
        <v>1885111896280075.5</v>
      </c>
      <c r="K61" s="40">
        <v>52</v>
      </c>
      <c r="L61" s="40">
        <f t="shared" ca="1" si="1"/>
        <v>12.937616652154658</v>
      </c>
      <c r="M61" s="40"/>
      <c r="N61" s="40"/>
      <c r="Q61" s="46"/>
      <c r="R61" s="46">
        <f t="shared" ca="1" si="2"/>
        <v>8.5871677371297341</v>
      </c>
      <c r="S61" s="40"/>
      <c r="T61" s="40"/>
      <c r="W61" s="4">
        <v>5.0999999999999996</v>
      </c>
      <c r="X61" s="4">
        <f t="shared" ca="1" si="3"/>
        <v>1878775678946040.5</v>
      </c>
    </row>
    <row r="62" spans="4:24" x14ac:dyDescent="0.3">
      <c r="D62" s="4">
        <v>5.2</v>
      </c>
      <c r="E62" s="4">
        <f t="shared" si="0"/>
        <v>1882926434293406</v>
      </c>
      <c r="K62" s="40">
        <v>53</v>
      </c>
      <c r="L62" s="40">
        <f t="shared" ca="1" si="1"/>
        <v>40.882496566849035</v>
      </c>
      <c r="M62" s="40"/>
      <c r="N62" s="40"/>
      <c r="Q62" s="46"/>
      <c r="R62" s="46">
        <f t="shared" ca="1" si="2"/>
        <v>39.144374960384539</v>
      </c>
      <c r="S62" s="40"/>
      <c r="T62" s="40"/>
      <c r="W62" s="4">
        <v>5.2</v>
      </c>
      <c r="X62" s="4">
        <f t="shared" ca="1" si="3"/>
        <v>1876473680066390</v>
      </c>
    </row>
    <row r="63" spans="4:24" x14ac:dyDescent="0.3">
      <c r="D63" s="4">
        <v>5.3</v>
      </c>
      <c r="E63" s="4">
        <f t="shared" si="0"/>
        <v>1880743505972830.5</v>
      </c>
      <c r="K63" s="40">
        <v>54</v>
      </c>
      <c r="L63" s="40">
        <f t="shared" ca="1" si="1"/>
        <v>88.930229517818006</v>
      </c>
      <c r="M63" s="40"/>
      <c r="N63" s="40"/>
      <c r="Q63" s="46"/>
      <c r="R63" s="46">
        <f t="shared" ca="1" si="2"/>
        <v>223.16694750438134</v>
      </c>
      <c r="S63" s="40"/>
      <c r="T63" s="40"/>
      <c r="W63" s="4">
        <v>5.3</v>
      </c>
      <c r="X63" s="4">
        <f t="shared" ca="1" si="3"/>
        <v>1874174501746373.5</v>
      </c>
    </row>
    <row r="64" spans="4:24" x14ac:dyDescent="0.3">
      <c r="D64" s="4">
        <v>5.4</v>
      </c>
      <c r="E64" s="4">
        <f t="shared" si="0"/>
        <v>1878563108381000.5</v>
      </c>
      <c r="K64" s="40">
        <v>55</v>
      </c>
      <c r="L64" s="40">
        <f t="shared" ca="1" si="1"/>
        <v>25.945681709720013</v>
      </c>
      <c r="M64" s="40"/>
      <c r="N64" s="40"/>
      <c r="Q64" s="46"/>
      <c r="R64" s="46">
        <f t="shared" ca="1" si="2"/>
        <v>121.38253850952269</v>
      </c>
      <c r="S64" s="40"/>
      <c r="T64" s="40"/>
      <c r="W64" s="4">
        <v>5.4</v>
      </c>
      <c r="X64" s="4">
        <f t="shared" ca="1" si="3"/>
        <v>1871878140530057.3</v>
      </c>
    </row>
    <row r="65" spans="4:24" x14ac:dyDescent="0.3">
      <c r="D65" s="4">
        <v>5.5</v>
      </c>
      <c r="E65" s="4">
        <f t="shared" si="0"/>
        <v>1876385238583972.8</v>
      </c>
      <c r="K65" s="40">
        <v>56</v>
      </c>
      <c r="L65" s="40">
        <f t="shared" ca="1" si="1"/>
        <v>117.53072149976128</v>
      </c>
      <c r="M65" s="40"/>
      <c r="N65" s="40"/>
      <c r="Q65" s="46"/>
      <c r="R65" s="46">
        <f t="shared" ca="1" si="2"/>
        <v>327.81059150388313</v>
      </c>
      <c r="S65" s="40"/>
      <c r="T65" s="40"/>
      <c r="W65" s="4">
        <v>5.5</v>
      </c>
      <c r="X65" s="4">
        <f t="shared" ca="1" si="3"/>
        <v>1869584592965741.3</v>
      </c>
    </row>
    <row r="66" spans="4:24" x14ac:dyDescent="0.3">
      <c r="D66" s="4">
        <v>5.6</v>
      </c>
      <c r="E66" s="4">
        <f t="shared" si="0"/>
        <v>1874209893651205</v>
      </c>
      <c r="K66" s="40">
        <v>57</v>
      </c>
      <c r="L66" s="40">
        <f t="shared" ca="1" si="1"/>
        <v>102.37462042638263</v>
      </c>
      <c r="M66" s="40"/>
      <c r="N66" s="40"/>
      <c r="Q66" s="46"/>
      <c r="R66" s="46">
        <f t="shared" ca="1" si="2"/>
        <v>53.913430355843126</v>
      </c>
      <c r="S66" s="40"/>
      <c r="T66" s="40"/>
      <c r="W66" s="4">
        <v>5.6</v>
      </c>
      <c r="X66" s="4">
        <f t="shared" ca="1" si="3"/>
        <v>1867293855605955</v>
      </c>
    </row>
    <row r="67" spans="4:24" x14ac:dyDescent="0.3">
      <c r="D67" s="4">
        <v>5.7</v>
      </c>
      <c r="E67" s="4">
        <f t="shared" si="0"/>
        <v>1872037070655553</v>
      </c>
      <c r="K67" s="40">
        <v>58</v>
      </c>
      <c r="L67" s="40">
        <f t="shared" ca="1" si="1"/>
        <v>3.8781237762803613</v>
      </c>
      <c r="M67" s="40"/>
      <c r="N67" s="40"/>
      <c r="Q67" s="46"/>
      <c r="R67" s="46">
        <f t="shared" ca="1" si="2"/>
        <v>90.401400659111658</v>
      </c>
      <c r="S67" s="40"/>
      <c r="T67" s="40"/>
      <c r="W67" s="4">
        <v>5.7</v>
      </c>
      <c r="X67" s="4">
        <f t="shared" ca="1" si="3"/>
        <v>1865005925007452.3</v>
      </c>
    </row>
    <row r="68" spans="4:24" x14ac:dyDescent="0.3">
      <c r="D68" s="4">
        <v>5.8</v>
      </c>
      <c r="E68" s="4">
        <f t="shared" si="0"/>
        <v>1869866766673265.5</v>
      </c>
      <c r="K68" s="40">
        <v>59</v>
      </c>
      <c r="L68" s="40">
        <f t="shared" ca="1" si="1"/>
        <v>29.595577877938911</v>
      </c>
      <c r="M68" s="40"/>
      <c r="N68" s="40"/>
      <c r="Q68" s="46"/>
      <c r="R68" s="46">
        <f t="shared" ca="1" si="2"/>
        <v>30.76665705829927</v>
      </c>
      <c r="S68" s="40"/>
      <c r="T68" s="40"/>
      <c r="W68" s="4">
        <v>5.8</v>
      </c>
      <c r="X68" s="4">
        <f t="shared" ca="1" si="3"/>
        <v>1862720797731205.3</v>
      </c>
    </row>
    <row r="69" spans="4:24" x14ac:dyDescent="0.3">
      <c r="D69" s="4">
        <v>5.9</v>
      </c>
      <c r="E69" s="4">
        <f t="shared" si="0"/>
        <v>1867698978783981.8</v>
      </c>
      <c r="K69" s="40">
        <v>60</v>
      </c>
      <c r="L69" s="40">
        <f t="shared" ca="1" si="1"/>
        <v>28.984998436747741</v>
      </c>
      <c r="M69" s="40">
        <f ca="1">AVERAGE(L60:L69)</f>
        <v>46.502543043705195</v>
      </c>
      <c r="N69" s="40">
        <f t="shared" ref="N69" ca="1" si="4">1/M69</f>
        <v>2.1504200298468727E-2</v>
      </c>
      <c r="Q69" s="46"/>
      <c r="R69" s="46">
        <f t="shared" ca="1" si="2"/>
        <v>23.780183025384844</v>
      </c>
      <c r="S69" s="40">
        <f ca="1">AVERAGE(R60:R69)</f>
        <v>121.04459833873736</v>
      </c>
      <c r="T69" s="40">
        <f t="shared" ref="T69" ca="1" si="5">1/S69</f>
        <v>8.2614178057045483E-3</v>
      </c>
      <c r="W69" s="4">
        <v>5.9</v>
      </c>
      <c r="X69" s="4">
        <f t="shared" ca="1" si="3"/>
        <v>1860438470342400.3</v>
      </c>
    </row>
    <row r="70" spans="4:24" x14ac:dyDescent="0.3">
      <c r="D70" s="4">
        <v>6</v>
      </c>
      <c r="E70" s="4">
        <f t="shared" si="0"/>
        <v>1865533704070725.5</v>
      </c>
      <c r="K70" s="40">
        <v>61</v>
      </c>
      <c r="L70" s="40">
        <f t="shared" ca="1" si="1"/>
        <v>76.576869321346322</v>
      </c>
      <c r="M70" s="40"/>
      <c r="N70" s="40"/>
      <c r="Q70" s="46"/>
      <c r="R70" s="46">
        <f t="shared" ca="1" si="2"/>
        <v>68.758056683948496</v>
      </c>
      <c r="S70" s="40"/>
      <c r="T70" s="40"/>
      <c r="W70" s="4">
        <v>6</v>
      </c>
      <c r="X70" s="4">
        <f t="shared" ca="1" si="3"/>
        <v>1858158939410431.8</v>
      </c>
    </row>
    <row r="71" spans="4:24" x14ac:dyDescent="0.3">
      <c r="D71" s="4">
        <v>6.1</v>
      </c>
      <c r="E71" s="4">
        <f t="shared" si="0"/>
        <v>1863370939619903</v>
      </c>
      <c r="K71" s="40">
        <v>62</v>
      </c>
      <c r="L71" s="40">
        <f t="shared" ca="1" si="1"/>
        <v>47.553136329235372</v>
      </c>
      <c r="M71" s="40"/>
      <c r="N71" s="40"/>
      <c r="Q71" s="46"/>
      <c r="R71" s="46">
        <f t="shared" ca="1" si="2"/>
        <v>246.96402653078479</v>
      </c>
      <c r="S71" s="40"/>
      <c r="T71" s="40"/>
      <c r="W71" s="4">
        <v>6.1</v>
      </c>
      <c r="X71" s="4">
        <f t="shared" ca="1" si="3"/>
        <v>1855882201508898.5</v>
      </c>
    </row>
    <row r="72" spans="4:24" x14ac:dyDescent="0.3">
      <c r="D72" s="4">
        <v>6.2</v>
      </c>
      <c r="E72" s="4">
        <f t="shared" si="0"/>
        <v>1861210682521297.8</v>
      </c>
      <c r="K72" s="40">
        <v>63</v>
      </c>
      <c r="L72" s="40">
        <f t="shared" ca="1" si="1"/>
        <v>134.33680342409303</v>
      </c>
      <c r="M72" s="40"/>
      <c r="N72" s="40"/>
      <c r="Q72" s="46"/>
      <c r="R72" s="46">
        <f t="shared" ca="1" si="2"/>
        <v>558.76995553171525</v>
      </c>
      <c r="S72" s="40"/>
      <c r="T72" s="40"/>
      <c r="W72" s="4">
        <v>6.2</v>
      </c>
      <c r="X72" s="4">
        <f t="shared" ca="1" si="3"/>
        <v>1853608253215596.3</v>
      </c>
    </row>
    <row r="73" spans="4:24" x14ac:dyDescent="0.3">
      <c r="D73" s="4">
        <v>6.3</v>
      </c>
      <c r="E73" s="4">
        <f t="shared" si="0"/>
        <v>1859052929868068</v>
      </c>
      <c r="K73" s="40">
        <v>64</v>
      </c>
      <c r="L73" s="40">
        <f t="shared" ca="1" si="1"/>
        <v>29.282982767588557</v>
      </c>
      <c r="M73" s="40"/>
      <c r="N73" s="40"/>
      <c r="Q73" s="46"/>
      <c r="R73" s="46">
        <f t="shared" ca="1" si="2"/>
        <v>263.25886041889055</v>
      </c>
      <c r="S73" s="40"/>
      <c r="T73" s="40"/>
      <c r="W73" s="4">
        <v>6.3</v>
      </c>
      <c r="X73" s="4">
        <f t="shared" ca="1" si="3"/>
        <v>1851337091112514.8</v>
      </c>
    </row>
    <row r="74" spans="4:24" x14ac:dyDescent="0.3">
      <c r="D74" s="4">
        <v>6.4</v>
      </c>
      <c r="E74" s="4">
        <f t="shared" si="0"/>
        <v>1856897678756741</v>
      </c>
      <c r="K74" s="40">
        <v>65</v>
      </c>
      <c r="L74" s="40">
        <f t="shared" ca="1" si="1"/>
        <v>2.7073975935150525</v>
      </c>
      <c r="M74" s="40"/>
      <c r="N74" s="40"/>
      <c r="Q74" s="46"/>
      <c r="R74" s="46">
        <f t="shared" ca="1" si="2"/>
        <v>76.549832463261552</v>
      </c>
      <c r="S74" s="40"/>
      <c r="T74" s="40"/>
      <c r="W74" s="4">
        <v>6.4</v>
      </c>
      <c r="X74" s="4">
        <f t="shared" ca="1" si="3"/>
        <v>1849068711785831.3</v>
      </c>
    </row>
    <row r="75" spans="4:24" x14ac:dyDescent="0.3">
      <c r="D75" s="4">
        <v>6.5</v>
      </c>
      <c r="E75" s="4">
        <f t="shared" ref="E75:E138" si="6">$F$4*EXP(-$F$5*D75)</f>
        <v>1854744926287211</v>
      </c>
      <c r="K75" s="40">
        <v>66</v>
      </c>
      <c r="L75" s="40">
        <f t="shared" ref="L75:L138" ca="1" si="7">-(1/$F$5)*LN(RAND())</f>
        <v>50.210698019606895</v>
      </c>
      <c r="M75" s="40"/>
      <c r="N75" s="40"/>
      <c r="Q75" s="46"/>
      <c r="R75" s="46">
        <f t="shared" ref="R75:R138" ca="1" si="8">-(1/$Q$10)*LN(RAND())</f>
        <v>180.19344165926546</v>
      </c>
      <c r="S75" s="40"/>
      <c r="T75" s="40"/>
      <c r="W75" s="4">
        <v>6.5</v>
      </c>
      <c r="X75" s="4">
        <f t="shared" ref="X75:X138" ca="1" si="9">$F$4*EXP(-$U$10*W75)</f>
        <v>1846803111825906.3</v>
      </c>
    </row>
    <row r="76" spans="4:24" x14ac:dyDescent="0.3">
      <c r="D76" s="4">
        <v>6.6</v>
      </c>
      <c r="E76" s="4">
        <f t="shared" si="6"/>
        <v>1852594669562733.3</v>
      </c>
      <c r="K76" s="40">
        <v>67</v>
      </c>
      <c r="L76" s="40">
        <f t="shared" ca="1" si="7"/>
        <v>106.06137677217899</v>
      </c>
      <c r="M76" s="40"/>
      <c r="N76" s="40"/>
      <c r="Q76" s="46"/>
      <c r="R76" s="46">
        <f t="shared" ca="1" si="8"/>
        <v>36.270002239302798</v>
      </c>
      <c r="S76" s="40"/>
      <c r="T76" s="40"/>
      <c r="W76" s="4">
        <v>6.6</v>
      </c>
      <c r="X76" s="4">
        <f t="shared" ca="1" si="9"/>
        <v>1844540287827277.8</v>
      </c>
    </row>
    <row r="77" spans="4:24" x14ac:dyDescent="0.3">
      <c r="D77" s="4">
        <v>6.7</v>
      </c>
      <c r="E77" s="4">
        <f t="shared" si="6"/>
        <v>1850446905689922.8</v>
      </c>
      <c r="K77" s="40">
        <v>68</v>
      </c>
      <c r="L77" s="40">
        <f t="shared" ca="1" si="7"/>
        <v>87.787990419728445</v>
      </c>
      <c r="M77" s="40"/>
      <c r="N77" s="40"/>
      <c r="Q77" s="46"/>
      <c r="R77" s="46">
        <f t="shared" ca="1" si="8"/>
        <v>151.97849283355069</v>
      </c>
      <c r="S77" s="40"/>
      <c r="T77" s="40"/>
      <c r="W77" s="4">
        <v>6.7</v>
      </c>
      <c r="X77" s="4">
        <f t="shared" ca="1" si="9"/>
        <v>1842280236388656.3</v>
      </c>
    </row>
    <row r="78" spans="4:24" x14ac:dyDescent="0.3">
      <c r="D78" s="4">
        <v>6.8</v>
      </c>
      <c r="E78" s="4">
        <f t="shared" si="6"/>
        <v>1848301631778747.8</v>
      </c>
      <c r="K78" s="40">
        <v>69</v>
      </c>
      <c r="L78" s="40">
        <f t="shared" ca="1" si="7"/>
        <v>78.870302095043897</v>
      </c>
      <c r="M78" s="40"/>
      <c r="N78" s="40"/>
      <c r="Q78" s="46"/>
      <c r="R78" s="46">
        <f t="shared" ca="1" si="8"/>
        <v>79.687099488478424</v>
      </c>
      <c r="S78" s="40"/>
      <c r="T78" s="40"/>
      <c r="W78" s="4">
        <v>6.8</v>
      </c>
      <c r="X78" s="4">
        <f t="shared" ca="1" si="9"/>
        <v>1840022954112920</v>
      </c>
    </row>
    <row r="79" spans="4:24" x14ac:dyDescent="0.3">
      <c r="D79" s="4">
        <v>6.9</v>
      </c>
      <c r="E79" s="4">
        <f t="shared" si="6"/>
        <v>1846158844942527</v>
      </c>
      <c r="K79" s="40">
        <v>70</v>
      </c>
      <c r="L79" s="40">
        <f t="shared" ca="1" si="7"/>
        <v>67.36346439520824</v>
      </c>
      <c r="M79" s="40">
        <f ca="1">AVERAGE(L70:L79)</f>
        <v>68.075102113754483</v>
      </c>
      <c r="N79" s="40">
        <f ca="1">1/M79</f>
        <v>1.468965846469074E-2</v>
      </c>
      <c r="Q79" s="46"/>
      <c r="R79" s="46">
        <f t="shared" ca="1" si="8"/>
        <v>23.344331985790376</v>
      </c>
      <c r="S79" s="40">
        <f ca="1">AVERAGE(R70:R79)</f>
        <v>168.57740998349885</v>
      </c>
      <c r="T79" s="40">
        <f ca="1">1/S79</f>
        <v>5.9319929052052984E-3</v>
      </c>
      <c r="W79" s="4">
        <v>6.9</v>
      </c>
      <c r="X79" s="4">
        <f t="shared" ca="1" si="9"/>
        <v>1837768437607109.3</v>
      </c>
    </row>
    <row r="80" spans="4:24" x14ac:dyDescent="0.3">
      <c r="D80" s="4">
        <v>7</v>
      </c>
      <c r="E80" s="4">
        <f t="shared" si="6"/>
        <v>1844018542297927</v>
      </c>
      <c r="K80" s="40">
        <v>71</v>
      </c>
      <c r="L80" s="40">
        <f t="shared" ca="1" si="7"/>
        <v>70.881853977504917</v>
      </c>
      <c r="M80" s="40"/>
      <c r="N80" s="40"/>
      <c r="Q80" s="46"/>
      <c r="R80" s="46">
        <f t="shared" ca="1" si="8"/>
        <v>2.5920408802339834</v>
      </c>
      <c r="S80" s="40"/>
      <c r="T80" s="40"/>
      <c r="W80" s="4">
        <v>7</v>
      </c>
      <c r="X80" s="4">
        <f t="shared" ca="1" si="9"/>
        <v>1835516683482422.3</v>
      </c>
    </row>
    <row r="81" spans="4:24" x14ac:dyDescent="0.3">
      <c r="D81" s="4">
        <v>7.1</v>
      </c>
      <c r="E81" s="4">
        <f t="shared" si="6"/>
        <v>1841880720964955.5</v>
      </c>
      <c r="K81" s="40">
        <v>72</v>
      </c>
      <c r="L81" s="40">
        <f t="shared" ca="1" si="7"/>
        <v>41.869719635138196</v>
      </c>
      <c r="M81" s="40"/>
      <c r="N81" s="40"/>
      <c r="Q81" s="46"/>
      <c r="R81" s="46">
        <f t="shared" ca="1" si="8"/>
        <v>55.858289282402765</v>
      </c>
      <c r="S81" s="40"/>
      <c r="T81" s="40"/>
      <c r="W81" s="4">
        <v>7.1</v>
      </c>
      <c r="X81" s="4">
        <f t="shared" ca="1" si="9"/>
        <v>1833267688354208</v>
      </c>
    </row>
    <row r="82" spans="4:24" x14ac:dyDescent="0.3">
      <c r="D82" s="4">
        <v>7.2</v>
      </c>
      <c r="E82" s="4">
        <f t="shared" si="6"/>
        <v>1839745378066960.3</v>
      </c>
      <c r="K82" s="40">
        <v>73</v>
      </c>
      <c r="L82" s="40">
        <f t="shared" ca="1" si="7"/>
        <v>34.267812700233584</v>
      </c>
      <c r="M82" s="40"/>
      <c r="N82" s="40"/>
      <c r="Q82" s="46"/>
      <c r="R82" s="46">
        <f t="shared" ca="1" si="8"/>
        <v>97.841278186039531</v>
      </c>
      <c r="S82" s="40"/>
      <c r="T82" s="40"/>
      <c r="W82" s="4">
        <v>7.2</v>
      </c>
      <c r="X82" s="4">
        <f t="shared" ca="1" si="9"/>
        <v>1831021448841964.3</v>
      </c>
    </row>
    <row r="83" spans="4:24" x14ac:dyDescent="0.3">
      <c r="D83" s="4">
        <v>7.3</v>
      </c>
      <c r="E83" s="4">
        <f t="shared" si="6"/>
        <v>1837612510730623</v>
      </c>
      <c r="K83" s="40">
        <v>74</v>
      </c>
      <c r="L83" s="40">
        <f t="shared" ca="1" si="7"/>
        <v>30.690740926828109</v>
      </c>
      <c r="M83" s="40"/>
      <c r="N83" s="40"/>
      <c r="Q83" s="46"/>
      <c r="R83" s="46">
        <f t="shared" ca="1" si="8"/>
        <v>135.33724110755819</v>
      </c>
      <c r="S83" s="40"/>
      <c r="T83" s="40"/>
      <c r="W83" s="4">
        <v>7.3</v>
      </c>
      <c r="X83" s="4">
        <f t="shared" ca="1" si="9"/>
        <v>1828777961569329.8</v>
      </c>
    </row>
    <row r="84" spans="4:24" x14ac:dyDescent="0.3">
      <c r="D84" s="4">
        <v>7.4</v>
      </c>
      <c r="E84" s="4">
        <f t="shared" si="6"/>
        <v>1835482116085957.5</v>
      </c>
      <c r="K84" s="40">
        <v>75</v>
      </c>
      <c r="L84" s="40">
        <f t="shared" ca="1" si="7"/>
        <v>169.38680995731229</v>
      </c>
      <c r="M84" s="40"/>
      <c r="N84" s="40"/>
      <c r="Q84" s="46"/>
      <c r="R84" s="46">
        <f t="shared" ca="1" si="8"/>
        <v>198.67737588741753</v>
      </c>
      <c r="S84" s="40"/>
      <c r="T84" s="40"/>
      <c r="W84" s="4">
        <v>7.4</v>
      </c>
      <c r="X84" s="4">
        <f t="shared" ca="1" si="9"/>
        <v>1826537223164080.8</v>
      </c>
    </row>
    <row r="85" spans="4:24" x14ac:dyDescent="0.3">
      <c r="D85" s="4">
        <v>7.5</v>
      </c>
      <c r="E85" s="4">
        <f t="shared" si="6"/>
        <v>1833354191266304.5</v>
      </c>
      <c r="K85" s="40">
        <v>76</v>
      </c>
      <c r="L85" s="40">
        <f t="shared" ca="1" si="7"/>
        <v>77.645338627622024</v>
      </c>
      <c r="M85" s="40"/>
      <c r="N85" s="40"/>
      <c r="Q85" s="46"/>
      <c r="R85" s="46">
        <f t="shared" ca="1" si="8"/>
        <v>36.177202615539009</v>
      </c>
      <c r="S85" s="40"/>
      <c r="T85" s="40"/>
      <c r="W85" s="4">
        <v>7.5</v>
      </c>
      <c r="X85" s="4">
        <f t="shared" ca="1" si="9"/>
        <v>1824299230258124.5</v>
      </c>
    </row>
    <row r="86" spans="4:24" x14ac:dyDescent="0.3">
      <c r="D86" s="4">
        <v>7.6</v>
      </c>
      <c r="E86" s="4">
        <f t="shared" si="6"/>
        <v>1831228733408328</v>
      </c>
      <c r="K86" s="40">
        <v>77</v>
      </c>
      <c r="L86" s="40">
        <f t="shared" ca="1" si="7"/>
        <v>209.45638187762785</v>
      </c>
      <c r="M86" s="40"/>
      <c r="N86" s="40"/>
      <c r="Q86" s="46"/>
      <c r="R86" s="46">
        <f t="shared" ca="1" si="8"/>
        <v>21.528581485141302</v>
      </c>
      <c r="S86" s="40"/>
      <c r="T86" s="40"/>
      <c r="W86" s="4">
        <v>7.6</v>
      </c>
      <c r="X86" s="4">
        <f t="shared" ca="1" si="9"/>
        <v>1822063979487496.3</v>
      </c>
    </row>
    <row r="87" spans="4:24" x14ac:dyDescent="0.3">
      <c r="D87" s="4">
        <v>7.7</v>
      </c>
      <c r="E87" s="4">
        <f t="shared" si="6"/>
        <v>1829105739652011.5</v>
      </c>
      <c r="K87" s="40">
        <v>78</v>
      </c>
      <c r="L87" s="40">
        <f t="shared" ca="1" si="7"/>
        <v>158.71852773925957</v>
      </c>
      <c r="M87" s="40"/>
      <c r="N87" s="40"/>
      <c r="Q87" s="46"/>
      <c r="R87" s="46">
        <f t="shared" ca="1" si="8"/>
        <v>13.785357317664662</v>
      </c>
      <c r="S87" s="40"/>
      <c r="T87" s="40"/>
      <c r="W87" s="4">
        <v>7.7</v>
      </c>
      <c r="X87" s="4">
        <f t="shared" ca="1" si="9"/>
        <v>1819831467492352.3</v>
      </c>
    </row>
    <row r="88" spans="4:24" x14ac:dyDescent="0.3">
      <c r="D88" s="4">
        <v>7.8</v>
      </c>
      <c r="E88" s="4">
        <f t="shared" si="6"/>
        <v>1826985207140654</v>
      </c>
      <c r="K88" s="40">
        <v>79</v>
      </c>
      <c r="L88" s="40">
        <f t="shared" ca="1" si="7"/>
        <v>145.10807462271217</v>
      </c>
      <c r="M88" s="40"/>
      <c r="N88" s="40"/>
      <c r="Q88" s="46"/>
      <c r="R88" s="46">
        <f t="shared" ca="1" si="8"/>
        <v>49.121512176134999</v>
      </c>
      <c r="S88" s="40"/>
      <c r="T88" s="40"/>
      <c r="W88" s="4">
        <v>7.8</v>
      </c>
      <c r="X88" s="4">
        <f t="shared" ca="1" si="9"/>
        <v>1817601690916965.3</v>
      </c>
    </row>
    <row r="89" spans="4:24" x14ac:dyDescent="0.3">
      <c r="D89" s="4">
        <v>7.9</v>
      </c>
      <c r="E89" s="4">
        <f t="shared" si="6"/>
        <v>1824867133020867</v>
      </c>
      <c r="K89" s="40">
        <v>80</v>
      </c>
      <c r="L89" s="40">
        <f t="shared" ca="1" si="7"/>
        <v>115.97334742678213</v>
      </c>
      <c r="M89" s="40">
        <f ca="1">AVERAGE(L80:L89)</f>
        <v>105.39986074910207</v>
      </c>
      <c r="N89" s="40">
        <f t="shared" ref="N89" ca="1" si="10">1/M89</f>
        <v>9.4876785689540794E-3</v>
      </c>
      <c r="Q89" s="46"/>
      <c r="R89" s="46">
        <f t="shared" ca="1" si="8"/>
        <v>36.212258319622329</v>
      </c>
      <c r="S89" s="40">
        <f ca="1">AVERAGE(R80:R89)</f>
        <v>64.713113725775429</v>
      </c>
      <c r="T89" s="40">
        <f t="shared" ref="T89" ca="1" si="11">1/S89</f>
        <v>1.5452818484944836E-2</v>
      </c>
      <c r="W89" s="4">
        <v>7.9</v>
      </c>
      <c r="X89" s="4">
        <f t="shared" ca="1" si="9"/>
        <v>1815374646409720.5</v>
      </c>
    </row>
    <row r="90" spans="4:24" x14ac:dyDescent="0.3">
      <c r="D90" s="4">
        <v>8</v>
      </c>
      <c r="E90" s="4">
        <f t="shared" si="6"/>
        <v>1822751514442569.8</v>
      </c>
      <c r="K90" s="40">
        <v>81</v>
      </c>
      <c r="L90" s="40">
        <f t="shared" ca="1" si="7"/>
        <v>11.146117740611668</v>
      </c>
      <c r="M90" s="40"/>
      <c r="N90" s="40"/>
      <c r="Q90" s="46"/>
      <c r="R90" s="46">
        <f t="shared" ca="1" si="8"/>
        <v>97.276448964014591</v>
      </c>
      <c r="S90" s="40"/>
      <c r="T90" s="40"/>
      <c r="W90" s="4">
        <v>8</v>
      </c>
      <c r="X90" s="4">
        <f t="shared" ca="1" si="9"/>
        <v>1813150330623109</v>
      </c>
    </row>
    <row r="91" spans="4:24" x14ac:dyDescent="0.3">
      <c r="D91" s="4">
        <v>8.1</v>
      </c>
      <c r="E91" s="4">
        <f t="shared" si="6"/>
        <v>1820638348558985</v>
      </c>
      <c r="K91" s="40">
        <v>82</v>
      </c>
      <c r="L91" s="40">
        <f t="shared" ca="1" si="7"/>
        <v>61.357940485824535</v>
      </c>
      <c r="M91" s="40"/>
      <c r="N91" s="40"/>
      <c r="Q91" s="46"/>
      <c r="R91" s="46">
        <f t="shared" ca="1" si="8"/>
        <v>44.220289858085835</v>
      </c>
      <c r="S91" s="40"/>
      <c r="T91" s="40"/>
      <c r="W91" s="4">
        <v>8.1</v>
      </c>
      <c r="X91" s="4">
        <f t="shared" ca="1" si="9"/>
        <v>1810928740213723.8</v>
      </c>
    </row>
    <row r="92" spans="4:24" x14ac:dyDescent="0.3">
      <c r="D92" s="4">
        <v>8.1999999999999993</v>
      </c>
      <c r="E92" s="4">
        <f t="shared" si="6"/>
        <v>1818527632526637</v>
      </c>
      <c r="K92" s="40">
        <v>83</v>
      </c>
      <c r="L92" s="40">
        <f t="shared" ca="1" si="7"/>
        <v>59.307081774532001</v>
      </c>
      <c r="M92" s="40"/>
      <c r="N92" s="40"/>
      <c r="Q92" s="46"/>
      <c r="R92" s="46">
        <f t="shared" ca="1" si="8"/>
        <v>125.95310224635341</v>
      </c>
      <c r="S92" s="40"/>
      <c r="T92" s="40"/>
      <c r="W92" s="4">
        <v>8.1999999999999993</v>
      </c>
      <c r="X92" s="4">
        <f t="shared" ca="1" si="9"/>
        <v>1808709871842254.3</v>
      </c>
    </row>
    <row r="93" spans="4:24" x14ac:dyDescent="0.3">
      <c r="D93" s="4">
        <v>8.3000000000000007</v>
      </c>
      <c r="E93" s="4">
        <f t="shared" si="6"/>
        <v>1816419363505345.5</v>
      </c>
      <c r="K93" s="40">
        <v>84</v>
      </c>
      <c r="L93" s="40">
        <f t="shared" ca="1" si="7"/>
        <v>92.635792181621966</v>
      </c>
      <c r="M93" s="40"/>
      <c r="N93" s="40"/>
      <c r="Q93" s="46"/>
      <c r="R93" s="46">
        <f t="shared" ca="1" si="8"/>
        <v>77.318293810553456</v>
      </c>
      <c r="S93" s="40"/>
      <c r="T93" s="40"/>
      <c r="W93" s="4">
        <v>8.3000000000000007</v>
      </c>
      <c r="X93" s="4">
        <f t="shared" ca="1" si="9"/>
        <v>1806493722173481.8</v>
      </c>
    </row>
    <row r="94" spans="4:24" x14ac:dyDescent="0.3">
      <c r="D94" s="4">
        <v>8.4</v>
      </c>
      <c r="E94" s="4">
        <f t="shared" si="6"/>
        <v>1814313538658223.8</v>
      </c>
      <c r="K94" s="40">
        <v>85</v>
      </c>
      <c r="L94" s="40">
        <f t="shared" ca="1" si="7"/>
        <v>3.8013309298364786</v>
      </c>
      <c r="M94" s="40"/>
      <c r="N94" s="40"/>
      <c r="Q94" s="46"/>
      <c r="R94" s="46">
        <f t="shared" ca="1" si="8"/>
        <v>44.379054647366878</v>
      </c>
      <c r="S94" s="40"/>
      <c r="T94" s="40"/>
      <c r="W94" s="4">
        <v>8.4</v>
      </c>
      <c r="X94" s="4">
        <f t="shared" ca="1" si="9"/>
        <v>1804280287876273.8</v>
      </c>
    </row>
    <row r="95" spans="4:24" x14ac:dyDescent="0.3">
      <c r="D95" s="4">
        <v>8.5</v>
      </c>
      <c r="E95" s="4">
        <f t="shared" si="6"/>
        <v>1812210155151673.5</v>
      </c>
      <c r="K95" s="40">
        <v>86</v>
      </c>
      <c r="L95" s="40">
        <f t="shared" ca="1" si="7"/>
        <v>85.136305258519187</v>
      </c>
      <c r="M95" s="40"/>
      <c r="N95" s="40"/>
      <c r="Q95" s="46"/>
      <c r="R95" s="46">
        <f t="shared" ca="1" si="8"/>
        <v>6.284220042309709</v>
      </c>
      <c r="S95" s="40"/>
      <c r="T95" s="40"/>
      <c r="W95" s="4">
        <v>8.5</v>
      </c>
      <c r="X95" s="4">
        <f t="shared" ca="1" si="9"/>
        <v>1802069565623579.5</v>
      </c>
    </row>
    <row r="96" spans="4:24" x14ac:dyDescent="0.3">
      <c r="D96" s="4">
        <v>8.6</v>
      </c>
      <c r="E96" s="4">
        <f t="shared" si="6"/>
        <v>1810109210155381.5</v>
      </c>
      <c r="K96" s="40">
        <v>87</v>
      </c>
      <c r="L96" s="40">
        <f t="shared" ca="1" si="7"/>
        <v>170.66814615189364</v>
      </c>
      <c r="M96" s="40"/>
      <c r="N96" s="40"/>
      <c r="Q96" s="46"/>
      <c r="R96" s="46">
        <f t="shared" ca="1" si="8"/>
        <v>31.698466642567375</v>
      </c>
      <c r="S96" s="40"/>
      <c r="T96" s="40"/>
      <c r="W96" s="4">
        <v>8.6</v>
      </c>
      <c r="X96" s="4">
        <f t="shared" ca="1" si="9"/>
        <v>1799861552092424.5</v>
      </c>
    </row>
    <row r="97" spans="4:24" x14ac:dyDescent="0.3">
      <c r="D97" s="4">
        <v>8.6999999999999993</v>
      </c>
      <c r="E97" s="4">
        <f t="shared" si="6"/>
        <v>1808010700842315.8</v>
      </c>
      <c r="K97" s="40">
        <v>88</v>
      </c>
      <c r="L97" s="40">
        <f t="shared" ca="1" si="7"/>
        <v>101.91513092078819</v>
      </c>
      <c r="M97" s="40"/>
      <c r="N97" s="40"/>
      <c r="Q97" s="46"/>
      <c r="R97" s="46">
        <f t="shared" ca="1" si="8"/>
        <v>45.348018061687277</v>
      </c>
      <c r="S97" s="40"/>
      <c r="T97" s="40"/>
      <c r="W97" s="4">
        <v>8.6999999999999993</v>
      </c>
      <c r="X97" s="4">
        <f t="shared" ca="1" si="9"/>
        <v>1797656243963905.5</v>
      </c>
    </row>
    <row r="98" spans="4:24" x14ac:dyDescent="0.3">
      <c r="D98" s="4">
        <v>8.8000000000000007</v>
      </c>
      <c r="E98" s="4">
        <f t="shared" si="6"/>
        <v>1805914624388721.8</v>
      </c>
      <c r="K98" s="40">
        <v>89</v>
      </c>
      <c r="L98" s="40">
        <f t="shared" ca="1" si="7"/>
        <v>14.278382698911168</v>
      </c>
      <c r="M98" s="40"/>
      <c r="N98" s="40"/>
      <c r="Q98" s="46"/>
      <c r="R98" s="46">
        <f t="shared" ca="1" si="8"/>
        <v>10.490371157412127</v>
      </c>
      <c r="S98" s="40"/>
      <c r="T98" s="40"/>
      <c r="W98" s="4">
        <v>8.8000000000000007</v>
      </c>
      <c r="X98" s="4">
        <f t="shared" ca="1" si="9"/>
        <v>1795453637923186.8</v>
      </c>
    </row>
    <row r="99" spans="4:24" x14ac:dyDescent="0.3">
      <c r="D99" s="4">
        <v>8.9</v>
      </c>
      <c r="E99" s="4">
        <f t="shared" si="6"/>
        <v>1803820977974118.8</v>
      </c>
      <c r="K99" s="40">
        <v>90</v>
      </c>
      <c r="L99" s="40">
        <f t="shared" ca="1" si="7"/>
        <v>35.634654905900533</v>
      </c>
      <c r="M99" s="40">
        <f ca="1">AVERAGE(L90:L99)</f>
        <v>63.588088304843936</v>
      </c>
      <c r="N99" s="40">
        <f t="shared" ref="N99" ca="1" si="12">1/M99</f>
        <v>1.572621581586096E-2</v>
      </c>
      <c r="Q99" s="46"/>
      <c r="R99" s="46">
        <f t="shared" ca="1" si="8"/>
        <v>49.280345098312161</v>
      </c>
      <c r="S99" s="40">
        <f ca="1">AVERAGE(R90:R99)</f>
        <v>53.224861052866288</v>
      </c>
      <c r="T99" s="40">
        <f t="shared" ref="T99" ca="1" si="13">1/S99</f>
        <v>1.8788212504805543E-2</v>
      </c>
      <c r="W99" s="4">
        <v>8.9</v>
      </c>
      <c r="X99" s="4">
        <f t="shared" ca="1" si="9"/>
        <v>1793253730659493.3</v>
      </c>
    </row>
    <row r="100" spans="4:24" x14ac:dyDescent="0.3">
      <c r="D100" s="4">
        <v>9</v>
      </c>
      <c r="E100" s="4">
        <f t="shared" si="6"/>
        <v>1801729758781296</v>
      </c>
      <c r="K100" s="40">
        <v>91</v>
      </c>
      <c r="L100" s="40">
        <f t="shared" ca="1" si="7"/>
        <v>214.96400344957061</v>
      </c>
      <c r="M100" s="40"/>
      <c r="N100" s="40"/>
      <c r="Q100" s="46"/>
      <c r="R100" s="46">
        <f t="shared" ca="1" si="8"/>
        <v>145.71322935350759</v>
      </c>
      <c r="S100" s="40"/>
      <c r="T100" s="40"/>
      <c r="W100" s="4">
        <v>9</v>
      </c>
      <c r="X100" s="4">
        <f t="shared" ca="1" si="9"/>
        <v>1791056518866107.3</v>
      </c>
    </row>
    <row r="101" spans="4:24" x14ac:dyDescent="0.3">
      <c r="D101" s="4">
        <v>9.1</v>
      </c>
      <c r="E101" s="4">
        <f t="shared" si="6"/>
        <v>1799640963996308.5</v>
      </c>
      <c r="K101" s="40">
        <v>92</v>
      </c>
      <c r="L101" s="40">
        <f t="shared" ca="1" si="7"/>
        <v>319.00114791238894</v>
      </c>
      <c r="M101" s="40"/>
      <c r="N101" s="40"/>
      <c r="Q101" s="46"/>
      <c r="R101" s="46">
        <f t="shared" ca="1" si="8"/>
        <v>71.74226706093377</v>
      </c>
      <c r="S101" s="40"/>
      <c r="T101" s="40"/>
      <c r="W101" s="4">
        <v>9.1</v>
      </c>
      <c r="X101" s="4">
        <f t="shared" ca="1" si="9"/>
        <v>1788861999240361.5</v>
      </c>
    </row>
    <row r="102" spans="4:24" x14ac:dyDescent="0.3">
      <c r="D102" s="4">
        <v>9.1999999999999993</v>
      </c>
      <c r="E102" s="4">
        <f t="shared" si="6"/>
        <v>1797554590808473.8</v>
      </c>
      <c r="K102" s="40">
        <v>93</v>
      </c>
      <c r="L102" s="40">
        <f t="shared" ca="1" si="7"/>
        <v>9.7750354690458465</v>
      </c>
      <c r="M102" s="40"/>
      <c r="N102" s="40"/>
      <c r="Q102" s="46"/>
      <c r="R102" s="46">
        <f t="shared" ca="1" si="8"/>
        <v>72.082899427390558</v>
      </c>
      <c r="S102" s="40"/>
      <c r="T102" s="40"/>
      <c r="W102" s="4">
        <v>9.1999999999999993</v>
      </c>
      <c r="X102" s="4">
        <f t="shared" ca="1" si="9"/>
        <v>1786670168483636.3</v>
      </c>
    </row>
    <row r="103" spans="4:24" x14ac:dyDescent="0.3">
      <c r="D103" s="4">
        <v>9.3000000000000007</v>
      </c>
      <c r="E103" s="4">
        <f t="shared" si="6"/>
        <v>1795470636410367.5</v>
      </c>
      <c r="K103" s="40">
        <v>94</v>
      </c>
      <c r="L103" s="40">
        <f t="shared" ca="1" si="7"/>
        <v>163.50085573261114</v>
      </c>
      <c r="M103" s="40"/>
      <c r="N103" s="40"/>
      <c r="Q103" s="46"/>
      <c r="R103" s="46">
        <f t="shared" ca="1" si="8"/>
        <v>119.56276768290925</v>
      </c>
      <c r="S103" s="40"/>
      <c r="T103" s="40"/>
      <c r="W103" s="4">
        <v>9.3000000000000007</v>
      </c>
      <c r="X103" s="4">
        <f t="shared" ca="1" si="9"/>
        <v>1784481023301353.5</v>
      </c>
    </row>
    <row r="104" spans="4:24" x14ac:dyDescent="0.3">
      <c r="D104" s="4">
        <v>9.4</v>
      </c>
      <c r="E104" s="4">
        <f t="shared" si="6"/>
        <v>1793389097997820.8</v>
      </c>
      <c r="K104" s="40">
        <v>95</v>
      </c>
      <c r="L104" s="40">
        <f t="shared" ca="1" si="7"/>
        <v>89.094332997016593</v>
      </c>
      <c r="M104" s="40"/>
      <c r="N104" s="40"/>
      <c r="Q104" s="46"/>
      <c r="R104" s="46">
        <f t="shared" ca="1" si="8"/>
        <v>16.191191676388438</v>
      </c>
      <c r="S104" s="40"/>
      <c r="T104" s="40"/>
      <c r="W104" s="4">
        <v>9.4</v>
      </c>
      <c r="X104" s="4">
        <f t="shared" ca="1" si="9"/>
        <v>1782294560402971.8</v>
      </c>
    </row>
    <row r="105" spans="4:24" x14ac:dyDescent="0.3">
      <c r="D105" s="4">
        <v>9.5</v>
      </c>
      <c r="E105" s="4">
        <f t="shared" si="6"/>
        <v>1791309972769914.5</v>
      </c>
      <c r="K105" s="40">
        <v>96</v>
      </c>
      <c r="L105" s="40">
        <f t="shared" ca="1" si="7"/>
        <v>120.03992772005937</v>
      </c>
      <c r="M105" s="40"/>
      <c r="N105" s="40"/>
      <c r="Q105" s="46"/>
      <c r="R105" s="46">
        <f t="shared" ca="1" si="8"/>
        <v>33.802268207536322</v>
      </c>
      <c r="S105" s="40"/>
      <c r="T105" s="40"/>
      <c r="W105" s="4">
        <v>9.5</v>
      </c>
      <c r="X105" s="4">
        <f t="shared" ca="1" si="9"/>
        <v>1780110776501981</v>
      </c>
    </row>
    <row r="106" spans="4:24" x14ac:dyDescent="0.3">
      <c r="D106" s="4">
        <v>9.6</v>
      </c>
      <c r="E106" s="4">
        <f t="shared" si="6"/>
        <v>1789233257928978.3</v>
      </c>
      <c r="K106" s="40">
        <v>97</v>
      </c>
      <c r="L106" s="40">
        <f t="shared" ca="1" si="7"/>
        <v>34.47989319810349</v>
      </c>
      <c r="M106" s="40"/>
      <c r="N106" s="40"/>
      <c r="Q106" s="46"/>
      <c r="R106" s="46">
        <f t="shared" ca="1" si="8"/>
        <v>137.30220430082903</v>
      </c>
      <c r="S106" s="40"/>
      <c r="T106" s="40"/>
      <c r="W106" s="4">
        <v>9.6</v>
      </c>
      <c r="X106" s="4">
        <f t="shared" ca="1" si="9"/>
        <v>1777929668315898.8</v>
      </c>
    </row>
    <row r="107" spans="4:24" x14ac:dyDescent="0.3">
      <c r="D107" s="4">
        <v>9.6999999999999993</v>
      </c>
      <c r="E107" s="4">
        <f t="shared" si="6"/>
        <v>1787158950680583.5</v>
      </c>
      <c r="K107" s="40">
        <v>98</v>
      </c>
      <c r="L107" s="40">
        <f t="shared" ca="1" si="7"/>
        <v>176.71897538383698</v>
      </c>
      <c r="M107" s="40"/>
      <c r="N107" s="40"/>
      <c r="Q107" s="46"/>
      <c r="R107" s="46">
        <f t="shared" ca="1" si="8"/>
        <v>17.491121336869988</v>
      </c>
      <c r="S107" s="40"/>
      <c r="T107" s="40"/>
      <c r="W107" s="4">
        <v>9.6999999999999993</v>
      </c>
      <c r="X107" s="4">
        <f t="shared" ca="1" si="9"/>
        <v>1775751232566263.8</v>
      </c>
    </row>
    <row r="108" spans="4:24" x14ac:dyDescent="0.3">
      <c r="D108" s="4">
        <v>9.8000000000000007</v>
      </c>
      <c r="E108" s="4">
        <f t="shared" si="6"/>
        <v>1785087048233542.5</v>
      </c>
      <c r="K108" s="40">
        <v>99</v>
      </c>
      <c r="L108" s="40">
        <f t="shared" ca="1" si="7"/>
        <v>89.071731728260502</v>
      </c>
      <c r="M108" s="40"/>
      <c r="N108" s="40"/>
      <c r="Q108" s="46"/>
      <c r="R108" s="46">
        <f t="shared" ca="1" si="8"/>
        <v>38.853341045385676</v>
      </c>
      <c r="S108" s="40"/>
      <c r="T108" s="40"/>
      <c r="W108" s="4">
        <v>9.8000000000000007</v>
      </c>
      <c r="X108" s="4">
        <f t="shared" ca="1" si="9"/>
        <v>1773575465978631.8</v>
      </c>
    </row>
    <row r="109" spans="4:24" x14ac:dyDescent="0.3">
      <c r="D109" s="4">
        <v>9.9</v>
      </c>
      <c r="E109" s="4">
        <f t="shared" si="6"/>
        <v>1783017547799903.3</v>
      </c>
      <c r="K109" s="40">
        <v>100</v>
      </c>
      <c r="L109" s="40">
        <f t="shared" ca="1" si="7"/>
        <v>19.85000123116706</v>
      </c>
      <c r="M109" s="40">
        <f ca="1">AVERAGE(L100:L109)</f>
        <v>123.64959048220605</v>
      </c>
      <c r="N109" s="40">
        <f t="shared" ref="N109" ca="1" si="14">1/M109</f>
        <v>8.0873700923733052E-3</v>
      </c>
      <c r="Q109" s="46"/>
      <c r="R109" s="46">
        <f t="shared" ca="1" si="8"/>
        <v>373.11518323156008</v>
      </c>
      <c r="S109" s="40">
        <f ca="1">AVERAGE(R100:R109)</f>
        <v>102.58564733233109</v>
      </c>
      <c r="T109" s="40">
        <f t="shared" ref="T109" ca="1" si="15">1/S109</f>
        <v>9.7479523306067597E-3</v>
      </c>
      <c r="W109" s="4">
        <v>9.9</v>
      </c>
      <c r="X109" s="4">
        <f t="shared" ca="1" si="9"/>
        <v>1771402365282571.8</v>
      </c>
    </row>
    <row r="110" spans="4:24" x14ac:dyDescent="0.3">
      <c r="D110" s="4">
        <v>10</v>
      </c>
      <c r="E110" s="4">
        <f t="shared" si="6"/>
        <v>1780950446594945.3</v>
      </c>
      <c r="K110" s="40">
        <v>101</v>
      </c>
      <c r="L110" s="40">
        <f t="shared" ca="1" si="7"/>
        <v>112.71778348118143</v>
      </c>
      <c r="M110" s="40"/>
      <c r="N110" s="40"/>
      <c r="Q110" s="46"/>
      <c r="R110" s="46">
        <f t="shared" ca="1" si="8"/>
        <v>34.293302780044954</v>
      </c>
      <c r="S110" s="40"/>
      <c r="T110" s="40"/>
      <c r="W110" s="4">
        <v>10</v>
      </c>
      <c r="X110" s="4">
        <f t="shared" ca="1" si="9"/>
        <v>1769231927211658</v>
      </c>
    </row>
    <row r="111" spans="4:24" x14ac:dyDescent="0.3">
      <c r="D111" s="4">
        <v>10.1</v>
      </c>
      <c r="E111" s="4">
        <f t="shared" si="6"/>
        <v>1778885741837176.8</v>
      </c>
      <c r="K111" s="40">
        <v>102</v>
      </c>
      <c r="L111" s="40">
        <f t="shared" ca="1" si="7"/>
        <v>93.281500034345711</v>
      </c>
      <c r="M111" s="40"/>
      <c r="N111" s="40"/>
      <c r="Q111" s="46"/>
      <c r="R111" s="46">
        <f t="shared" ca="1" si="8"/>
        <v>22.782215026306478</v>
      </c>
      <c r="S111" s="40"/>
      <c r="T111" s="40"/>
      <c r="W111" s="4">
        <v>10.1</v>
      </c>
      <c r="X111" s="4">
        <f t="shared" ca="1" si="9"/>
        <v>1767064148503468.5</v>
      </c>
    </row>
    <row r="112" spans="4:24" x14ac:dyDescent="0.3">
      <c r="D112" s="4">
        <v>10.199999999999999</v>
      </c>
      <c r="E112" s="4">
        <f t="shared" si="6"/>
        <v>1776823430748331</v>
      </c>
      <c r="K112" s="40">
        <v>103</v>
      </c>
      <c r="L112" s="40">
        <f t="shared" ca="1" si="7"/>
        <v>96.626808372664968</v>
      </c>
      <c r="M112" s="40"/>
      <c r="N112" s="40"/>
      <c r="Q112" s="46"/>
      <c r="R112" s="46">
        <f t="shared" ca="1" si="8"/>
        <v>149.822293461388</v>
      </c>
      <c r="S112" s="40"/>
      <c r="T112" s="40"/>
      <c r="W112" s="4">
        <v>10.199999999999999</v>
      </c>
      <c r="X112" s="4">
        <f t="shared" ca="1" si="9"/>
        <v>1764899025899578</v>
      </c>
    </row>
    <row r="113" spans="4:24" x14ac:dyDescent="0.3">
      <c r="D113" s="4">
        <v>10.3</v>
      </c>
      <c r="E113" s="4">
        <f t="shared" si="6"/>
        <v>1774763510553361.8</v>
      </c>
      <c r="K113" s="40">
        <v>104</v>
      </c>
      <c r="L113" s="40">
        <f t="shared" ca="1" si="7"/>
        <v>105.57352883293986</v>
      </c>
      <c r="M113" s="40"/>
      <c r="N113" s="40"/>
      <c r="Q113" s="46"/>
      <c r="R113" s="46">
        <f t="shared" ca="1" si="8"/>
        <v>112.65698425801941</v>
      </c>
      <c r="S113" s="40"/>
      <c r="T113" s="40"/>
      <c r="W113" s="4">
        <v>10.3</v>
      </c>
      <c r="X113" s="4">
        <f t="shared" ca="1" si="9"/>
        <v>1762736556145553.5</v>
      </c>
    </row>
    <row r="114" spans="4:24" x14ac:dyDescent="0.3">
      <c r="D114" s="4">
        <v>10.4</v>
      </c>
      <c r="E114" s="4">
        <f t="shared" si="6"/>
        <v>1772705978480440</v>
      </c>
      <c r="K114" s="40">
        <v>105</v>
      </c>
      <c r="L114" s="40">
        <f t="shared" ca="1" si="7"/>
        <v>47.724128705593209</v>
      </c>
      <c r="M114" s="40"/>
      <c r="N114" s="40"/>
      <c r="Q114" s="46"/>
      <c r="R114" s="46">
        <f t="shared" ca="1" si="8"/>
        <v>63.510030471110362</v>
      </c>
      <c r="S114" s="40"/>
      <c r="T114" s="40"/>
      <c r="W114" s="4">
        <v>10.4</v>
      </c>
      <c r="X114" s="4">
        <f t="shared" ca="1" si="9"/>
        <v>1760576735990950</v>
      </c>
    </row>
    <row r="115" spans="4:24" x14ac:dyDescent="0.3">
      <c r="D115" s="4">
        <v>10.5</v>
      </c>
      <c r="E115" s="4">
        <f t="shared" si="6"/>
        <v>1770650831760950.5</v>
      </c>
      <c r="K115" s="40">
        <v>106</v>
      </c>
      <c r="L115" s="40">
        <f t="shared" ca="1" si="7"/>
        <v>156.53484207152539</v>
      </c>
      <c r="M115" s="40"/>
      <c r="N115" s="40"/>
      <c r="Q115" s="46"/>
      <c r="R115" s="46">
        <f t="shared" ca="1" si="8"/>
        <v>35.39725233517261</v>
      </c>
      <c r="S115" s="40"/>
      <c r="T115" s="40"/>
      <c r="W115" s="4">
        <v>10.5</v>
      </c>
      <c r="X115" s="4">
        <f t="shared" ca="1" si="9"/>
        <v>1758419562189305</v>
      </c>
    </row>
    <row r="116" spans="4:24" x14ac:dyDescent="0.3">
      <c r="D116" s="4">
        <v>10.6</v>
      </c>
      <c r="E116" s="4">
        <f t="shared" si="6"/>
        <v>1768598067629487.5</v>
      </c>
      <c r="K116" s="40">
        <v>107</v>
      </c>
      <c r="L116" s="40">
        <f t="shared" ca="1" si="7"/>
        <v>398.65885344209289</v>
      </c>
      <c r="M116" s="40"/>
      <c r="N116" s="40"/>
      <c r="Q116" s="46"/>
      <c r="R116" s="46">
        <f t="shared" ca="1" si="8"/>
        <v>84.889724644898294</v>
      </c>
      <c r="S116" s="40"/>
      <c r="T116" s="40"/>
      <c r="W116" s="4">
        <v>10.6</v>
      </c>
      <c r="X116" s="4">
        <f t="shared" ca="1" si="9"/>
        <v>1756265031498133.5</v>
      </c>
    </row>
    <row r="117" spans="4:24" x14ac:dyDescent="0.3">
      <c r="D117" s="4">
        <v>10.7</v>
      </c>
      <c r="E117" s="4">
        <f t="shared" si="6"/>
        <v>1766547683323851</v>
      </c>
      <c r="K117" s="40">
        <v>108</v>
      </c>
      <c r="L117" s="40">
        <f t="shared" ca="1" si="7"/>
        <v>40.139306894254098</v>
      </c>
      <c r="M117" s="40"/>
      <c r="N117" s="40"/>
      <c r="Q117" s="46"/>
      <c r="R117" s="46">
        <f t="shared" ca="1" si="8"/>
        <v>406.35083065989608</v>
      </c>
      <c r="S117" s="40"/>
      <c r="T117" s="40"/>
      <c r="W117" s="4">
        <v>10.7</v>
      </c>
      <c r="X117" s="4">
        <f t="shared" ca="1" si="9"/>
        <v>1754113140678924</v>
      </c>
    </row>
    <row r="118" spans="4:24" x14ac:dyDescent="0.3">
      <c r="D118" s="4">
        <v>10.8</v>
      </c>
      <c r="E118" s="4">
        <f t="shared" si="6"/>
        <v>1764499676085043.5</v>
      </c>
      <c r="K118" s="40">
        <v>109</v>
      </c>
      <c r="L118" s="40">
        <f t="shared" ca="1" si="7"/>
        <v>42.097510668385731</v>
      </c>
      <c r="M118" s="40"/>
      <c r="N118" s="40"/>
      <c r="Q118" s="46"/>
      <c r="R118" s="46">
        <f t="shared" ca="1" si="8"/>
        <v>57.259706904547258</v>
      </c>
      <c r="S118" s="40"/>
      <c r="T118" s="40"/>
      <c r="W118" s="4">
        <v>10.8</v>
      </c>
      <c r="X118" s="4">
        <f t="shared" ca="1" si="9"/>
        <v>1751963886497132.3</v>
      </c>
    </row>
    <row r="119" spans="4:24" x14ac:dyDescent="0.3">
      <c r="D119" s="4">
        <v>10.9</v>
      </c>
      <c r="E119" s="4">
        <f t="shared" si="6"/>
        <v>1762454043157266.5</v>
      </c>
      <c r="K119" s="40">
        <v>110</v>
      </c>
      <c r="L119" s="40">
        <f t="shared" ca="1" si="7"/>
        <v>174.65887847420626</v>
      </c>
      <c r="M119" s="40">
        <f ca="1">AVERAGE(L110:L119)</f>
        <v>126.80131409771893</v>
      </c>
      <c r="N119" s="40">
        <f t="shared" ref="N119" ca="1" si="16">1/M119</f>
        <v>7.8863536006366138E-3</v>
      </c>
      <c r="Q119" s="46"/>
      <c r="R119" s="46">
        <f t="shared" ca="1" si="8"/>
        <v>86.713197010701776</v>
      </c>
      <c r="S119" s="40">
        <f ca="1">AVERAGE(R110:R119)</f>
        <v>105.36755375520852</v>
      </c>
      <c r="T119" s="40">
        <f t="shared" ref="T119" ca="1" si="17">1/S119</f>
        <v>9.4905876084322403E-3</v>
      </c>
      <c r="W119" s="4">
        <v>10.9</v>
      </c>
      <c r="X119" s="4">
        <f t="shared" ca="1" si="9"/>
        <v>1749817265722177.8</v>
      </c>
    </row>
    <row r="120" spans="4:24" x14ac:dyDescent="0.3">
      <c r="D120" s="4">
        <v>11</v>
      </c>
      <c r="E120" s="4">
        <f t="shared" si="6"/>
        <v>1760410781787916.3</v>
      </c>
      <c r="K120" s="40">
        <v>111</v>
      </c>
      <c r="L120" s="40">
        <f t="shared" ca="1" si="7"/>
        <v>18.703333386474021</v>
      </c>
      <c r="M120" s="40"/>
      <c r="N120" s="40"/>
      <c r="Q120" s="46"/>
      <c r="R120" s="46">
        <f t="shared" ca="1" si="8"/>
        <v>20.37566133022014</v>
      </c>
      <c r="S120" s="40"/>
      <c r="T120" s="40"/>
      <c r="W120" s="4">
        <v>11</v>
      </c>
      <c r="X120" s="4">
        <f t="shared" ca="1" si="9"/>
        <v>1747673275127438.3</v>
      </c>
    </row>
    <row r="121" spans="4:24" x14ac:dyDescent="0.3">
      <c r="D121" s="4">
        <v>11.1</v>
      </c>
      <c r="E121" s="4">
        <f t="shared" si="6"/>
        <v>1758369889227579.3</v>
      </c>
      <c r="K121" s="40">
        <v>112</v>
      </c>
      <c r="L121" s="40">
        <f t="shared" ca="1" si="7"/>
        <v>25.122858114458854</v>
      </c>
      <c r="M121" s="40"/>
      <c r="N121" s="40"/>
      <c r="Q121" s="46"/>
      <c r="R121" s="46">
        <f t="shared" ca="1" si="8"/>
        <v>76.471625216643716</v>
      </c>
      <c r="S121" s="40"/>
      <c r="T121" s="40"/>
      <c r="W121" s="4">
        <v>11.1</v>
      </c>
      <c r="X121" s="4">
        <f t="shared" ca="1" si="9"/>
        <v>1745531911490244.5</v>
      </c>
    </row>
    <row r="122" spans="4:24" x14ac:dyDescent="0.3">
      <c r="D122" s="4">
        <v>11.2</v>
      </c>
      <c r="E122" s="4">
        <f t="shared" si="6"/>
        <v>1756331362730030.5</v>
      </c>
      <c r="K122" s="40">
        <v>113</v>
      </c>
      <c r="L122" s="40">
        <f t="shared" ca="1" si="7"/>
        <v>37.327853639579828</v>
      </c>
      <c r="M122" s="40"/>
      <c r="N122" s="40"/>
      <c r="Q122" s="46"/>
      <c r="R122" s="46">
        <f t="shared" ca="1" si="8"/>
        <v>79.171498466363374</v>
      </c>
      <c r="S122" s="40"/>
      <c r="T122" s="40"/>
      <c r="W122" s="4">
        <v>11.2</v>
      </c>
      <c r="X122" s="4">
        <f t="shared" ca="1" si="9"/>
        <v>1743393171591876.8</v>
      </c>
    </row>
    <row r="123" spans="4:24" x14ac:dyDescent="0.3">
      <c r="D123" s="4">
        <v>11.3</v>
      </c>
      <c r="E123" s="4">
        <f t="shared" si="6"/>
        <v>1754295199552228.8</v>
      </c>
      <c r="K123" s="40">
        <v>114</v>
      </c>
      <c r="L123" s="40">
        <f t="shared" ca="1" si="7"/>
        <v>15.469459797143893</v>
      </c>
      <c r="M123" s="40"/>
      <c r="N123" s="40"/>
      <c r="Q123" s="46"/>
      <c r="R123" s="46">
        <f t="shared" ca="1" si="8"/>
        <v>15.259799564947025</v>
      </c>
      <c r="S123" s="40"/>
      <c r="T123" s="40"/>
      <c r="W123" s="4">
        <v>11.3</v>
      </c>
      <c r="X123" s="4">
        <f t="shared" ca="1" si="9"/>
        <v>1741257052217558</v>
      </c>
    </row>
    <row r="124" spans="4:24" x14ac:dyDescent="0.3">
      <c r="D124" s="4">
        <v>11.4</v>
      </c>
      <c r="E124" s="4">
        <f t="shared" si="6"/>
        <v>1752261396954312</v>
      </c>
      <c r="K124" s="40">
        <v>115</v>
      </c>
      <c r="L124" s="40">
        <f t="shared" ca="1" si="7"/>
        <v>85.209081767068255</v>
      </c>
      <c r="M124" s="40"/>
      <c r="N124" s="40"/>
      <c r="Q124" s="46"/>
      <c r="R124" s="46">
        <f t="shared" ca="1" si="8"/>
        <v>144.04180962415472</v>
      </c>
      <c r="S124" s="40"/>
      <c r="T124" s="40"/>
      <c r="W124" s="4">
        <v>11.4</v>
      </c>
      <c r="X124" s="4">
        <f t="shared" ca="1" si="9"/>
        <v>1739123550156451.3</v>
      </c>
    </row>
    <row r="125" spans="4:24" x14ac:dyDescent="0.3">
      <c r="D125" s="4">
        <v>11.5</v>
      </c>
      <c r="E125" s="4">
        <f t="shared" si="6"/>
        <v>1750229952199595.3</v>
      </c>
      <c r="K125" s="40">
        <v>116</v>
      </c>
      <c r="L125" s="40">
        <f t="shared" ca="1" si="7"/>
        <v>33.234938544384065</v>
      </c>
      <c r="M125" s="40"/>
      <c r="N125" s="40"/>
      <c r="Q125" s="46"/>
      <c r="R125" s="46">
        <f t="shared" ca="1" si="8"/>
        <v>5.7666039834267284</v>
      </c>
      <c r="S125" s="40"/>
      <c r="T125" s="40"/>
      <c r="W125" s="4">
        <v>11.5</v>
      </c>
      <c r="X125" s="4">
        <f t="shared" ca="1" si="9"/>
        <v>1736992662201653</v>
      </c>
    </row>
    <row r="126" spans="4:24" x14ac:dyDescent="0.3">
      <c r="D126" s="4">
        <v>11.6</v>
      </c>
      <c r="E126" s="4">
        <f t="shared" si="6"/>
        <v>1748200862554566.5</v>
      </c>
      <c r="K126" s="40">
        <v>117</v>
      </c>
      <c r="L126" s="40">
        <f t="shared" ca="1" si="7"/>
        <v>13.627057396741694</v>
      </c>
      <c r="M126" s="40"/>
      <c r="N126" s="40"/>
      <c r="Q126" s="46"/>
      <c r="R126" s="46">
        <f t="shared" ca="1" si="8"/>
        <v>206.60871932290183</v>
      </c>
      <c r="S126" s="40"/>
      <c r="T126" s="40"/>
      <c r="W126" s="4">
        <v>11.6</v>
      </c>
      <c r="X126" s="4">
        <f t="shared" ca="1" si="9"/>
        <v>1734864385150188.8</v>
      </c>
    </row>
    <row r="127" spans="4:24" x14ac:dyDescent="0.3">
      <c r="D127" s="4">
        <v>11.7</v>
      </c>
      <c r="E127" s="4">
        <f t="shared" si="6"/>
        <v>1746174125288882</v>
      </c>
      <c r="K127" s="40">
        <v>118</v>
      </c>
      <c r="L127" s="40">
        <f t="shared" ca="1" si="7"/>
        <v>40.839950348948769</v>
      </c>
      <c r="M127" s="40"/>
      <c r="N127" s="40"/>
      <c r="Q127" s="46"/>
      <c r="R127" s="46">
        <f t="shared" ca="1" si="8"/>
        <v>8.5908597982212953</v>
      </c>
      <c r="S127" s="40"/>
      <c r="T127" s="40"/>
      <c r="W127" s="4">
        <v>11.7</v>
      </c>
      <c r="X127" s="4">
        <f t="shared" ca="1" si="9"/>
        <v>1732738715803009.5</v>
      </c>
    </row>
    <row r="128" spans="4:24" x14ac:dyDescent="0.3">
      <c r="D128" s="4">
        <v>11.8</v>
      </c>
      <c r="E128" s="4">
        <f t="shared" si="6"/>
        <v>1744149737675364</v>
      </c>
      <c r="K128" s="40">
        <v>119</v>
      </c>
      <c r="L128" s="40">
        <f t="shared" ca="1" si="7"/>
        <v>58.305030193180293</v>
      </c>
      <c r="M128" s="40"/>
      <c r="N128" s="40"/>
      <c r="Q128" s="46"/>
      <c r="R128" s="46">
        <f t="shared" ca="1" si="8"/>
        <v>75.255980246094481</v>
      </c>
      <c r="S128" s="40"/>
      <c r="T128" s="40"/>
      <c r="W128" s="4">
        <v>11.8</v>
      </c>
      <c r="X128" s="4">
        <f t="shared" ca="1" si="9"/>
        <v>1730615650964985</v>
      </c>
    </row>
    <row r="129" spans="4:24" x14ac:dyDescent="0.3">
      <c r="D129" s="4">
        <v>11.9</v>
      </c>
      <c r="E129" s="4">
        <f t="shared" si="6"/>
        <v>1742127696989996.3</v>
      </c>
      <c r="K129" s="40">
        <v>120</v>
      </c>
      <c r="L129" s="40">
        <f t="shared" ca="1" si="7"/>
        <v>23.074591393809254</v>
      </c>
      <c r="M129" s="40">
        <f ca="1">AVERAGE(L120:L129)</f>
        <v>35.091415458178901</v>
      </c>
      <c r="N129" s="40">
        <f t="shared" ref="N129" ca="1" si="18">1/M129</f>
        <v>2.8496998110314923E-2</v>
      </c>
      <c r="Q129" s="46"/>
      <c r="R129" s="46">
        <f t="shared" ca="1" si="8"/>
        <v>70.26367960430612</v>
      </c>
      <c r="S129" s="40">
        <f ca="1">AVERAGE(R120:R129)</f>
        <v>70.180623715727947</v>
      </c>
      <c r="T129" s="40">
        <f t="shared" ref="T129" ca="1" si="19">1/S129</f>
        <v>1.424894717451611E-2</v>
      </c>
      <c r="W129" s="4">
        <v>11.9</v>
      </c>
      <c r="X129" s="4">
        <f t="shared" ca="1" si="9"/>
        <v>1728495187444900.5</v>
      </c>
    </row>
    <row r="130" spans="4:24" x14ac:dyDescent="0.3">
      <c r="D130" s="4">
        <v>12</v>
      </c>
      <c r="E130" s="4">
        <f t="shared" si="6"/>
        <v>1740108000511920.5</v>
      </c>
      <c r="K130" s="40">
        <v>121</v>
      </c>
      <c r="L130" s="40">
        <f t="shared" ca="1" si="7"/>
        <v>23.290229199240706</v>
      </c>
      <c r="M130" s="40"/>
      <c r="N130" s="40"/>
      <c r="Q130" s="46"/>
      <c r="R130" s="46">
        <f t="shared" ca="1" si="8"/>
        <v>101.73105713469467</v>
      </c>
      <c r="S130" s="40"/>
      <c r="T130" s="40"/>
      <c r="W130" s="4">
        <v>12</v>
      </c>
      <c r="X130" s="4">
        <f t="shared" ca="1" si="9"/>
        <v>1726377322055450.5</v>
      </c>
    </row>
    <row r="131" spans="4:24" x14ac:dyDescent="0.3">
      <c r="D131" s="4">
        <v>12.1</v>
      </c>
      <c r="E131" s="4">
        <f t="shared" si="6"/>
        <v>1738090645523432.8</v>
      </c>
      <c r="K131" s="40">
        <v>122</v>
      </c>
      <c r="L131" s="40">
        <f t="shared" ca="1" si="7"/>
        <v>354.84740135061372</v>
      </c>
      <c r="M131" s="40"/>
      <c r="N131" s="40"/>
      <c r="Q131" s="46"/>
      <c r="R131" s="46">
        <f t="shared" ca="1" si="8"/>
        <v>79.469699198893139</v>
      </c>
      <c r="S131" s="40"/>
      <c r="T131" s="40"/>
      <c r="W131" s="4">
        <v>12.1</v>
      </c>
      <c r="X131" s="4">
        <f t="shared" ca="1" si="9"/>
        <v>1724262051613236</v>
      </c>
    </row>
    <row r="132" spans="4:24" x14ac:dyDescent="0.3">
      <c r="D132" s="4">
        <v>12.2</v>
      </c>
      <c r="E132" s="4">
        <f t="shared" si="6"/>
        <v>1736075629309980</v>
      </c>
      <c r="K132" s="40">
        <v>123</v>
      </c>
      <c r="L132" s="40">
        <f t="shared" ca="1" si="7"/>
        <v>54.692967623755585</v>
      </c>
      <c r="M132" s="40"/>
      <c r="N132" s="40"/>
      <c r="Q132" s="46"/>
      <c r="R132" s="46">
        <f t="shared" ca="1" si="8"/>
        <v>180.62854288382201</v>
      </c>
      <c r="S132" s="40"/>
      <c r="T132" s="40"/>
      <c r="W132" s="4">
        <v>12.2</v>
      </c>
      <c r="X132" s="4">
        <f t="shared" ca="1" si="9"/>
        <v>1722149372938757.8</v>
      </c>
    </row>
    <row r="133" spans="4:24" x14ac:dyDescent="0.3">
      <c r="D133" s="4">
        <v>12.3</v>
      </c>
      <c r="E133" s="4">
        <f t="shared" si="6"/>
        <v>1734062949160155.8</v>
      </c>
      <c r="K133" s="40">
        <v>124</v>
      </c>
      <c r="L133" s="40">
        <f t="shared" ca="1" si="7"/>
        <v>52.584385730019463</v>
      </c>
      <c r="M133" s="40"/>
      <c r="N133" s="40"/>
      <c r="Q133" s="46"/>
      <c r="R133" s="46">
        <f t="shared" ca="1" si="8"/>
        <v>41.292846714794273</v>
      </c>
      <c r="S133" s="40"/>
      <c r="T133" s="40"/>
      <c r="W133" s="4">
        <v>12.3</v>
      </c>
      <c r="X133" s="4">
        <f t="shared" ca="1" si="9"/>
        <v>1720039282856412.3</v>
      </c>
    </row>
    <row r="134" spans="4:24" x14ac:dyDescent="0.3">
      <c r="D134" s="4">
        <v>12.4</v>
      </c>
      <c r="E134" s="4">
        <f t="shared" si="6"/>
        <v>1732052602365697.8</v>
      </c>
      <c r="K134" s="40">
        <v>125</v>
      </c>
      <c r="L134" s="40">
        <f t="shared" ca="1" si="7"/>
        <v>171.22986236700419</v>
      </c>
      <c r="M134" s="40"/>
      <c r="N134" s="40"/>
      <c r="Q134" s="46"/>
      <c r="R134" s="46">
        <f t="shared" ca="1" si="8"/>
        <v>65.376097013199669</v>
      </c>
      <c r="S134" s="40"/>
      <c r="T134" s="40"/>
      <c r="W134" s="4">
        <v>12.4</v>
      </c>
      <c r="X134" s="4">
        <f t="shared" ca="1" si="9"/>
        <v>1717931778194487</v>
      </c>
    </row>
    <row r="135" spans="4:24" x14ac:dyDescent="0.3">
      <c r="D135" s="4">
        <v>12.5</v>
      </c>
      <c r="E135" s="4">
        <f t="shared" si="6"/>
        <v>1730044586221482.5</v>
      </c>
      <c r="K135" s="40">
        <v>126</v>
      </c>
      <c r="L135" s="40">
        <f t="shared" ca="1" si="7"/>
        <v>27.636969287775251</v>
      </c>
      <c r="M135" s="40"/>
      <c r="N135" s="40"/>
      <c r="Q135" s="46"/>
      <c r="R135" s="46">
        <f t="shared" ca="1" si="8"/>
        <v>11.308662615137832</v>
      </c>
      <c r="S135" s="40"/>
      <c r="T135" s="40"/>
      <c r="W135" s="4">
        <v>12.5</v>
      </c>
      <c r="X135" s="4">
        <f t="shared" ca="1" si="9"/>
        <v>1715826855785155.8</v>
      </c>
    </row>
    <row r="136" spans="4:24" x14ac:dyDescent="0.3">
      <c r="D136" s="4">
        <v>12.6</v>
      </c>
      <c r="E136" s="4">
        <f t="shared" si="6"/>
        <v>1728038898025524</v>
      </c>
      <c r="K136" s="40">
        <v>127</v>
      </c>
      <c r="L136" s="40">
        <f t="shared" ca="1" si="7"/>
        <v>40.818351231121689</v>
      </c>
      <c r="M136" s="40"/>
      <c r="N136" s="40"/>
      <c r="Q136" s="46"/>
      <c r="R136" s="46">
        <f t="shared" ca="1" si="8"/>
        <v>49.354455182752744</v>
      </c>
      <c r="S136" s="40"/>
      <c r="T136" s="40"/>
      <c r="W136" s="4">
        <v>12.6</v>
      </c>
      <c r="X136" s="4">
        <f t="shared" ca="1" si="9"/>
        <v>1713724512464473.5</v>
      </c>
    </row>
    <row r="137" spans="4:24" x14ac:dyDescent="0.3">
      <c r="D137" s="4">
        <v>12.7</v>
      </c>
      <c r="E137" s="4">
        <f t="shared" si="6"/>
        <v>1726035535078967</v>
      </c>
      <c r="K137" s="40">
        <v>128</v>
      </c>
      <c r="L137" s="40">
        <f t="shared" ca="1" si="7"/>
        <v>195.49029086765452</v>
      </c>
      <c r="M137" s="40"/>
      <c r="N137" s="40"/>
      <c r="Q137" s="46"/>
      <c r="R137" s="46">
        <f t="shared" ca="1" si="8"/>
        <v>349.55476569734475</v>
      </c>
      <c r="S137" s="40"/>
      <c r="T137" s="40"/>
      <c r="W137" s="4">
        <v>12.7</v>
      </c>
      <c r="X137" s="4">
        <f t="shared" ca="1" si="9"/>
        <v>1711624745072372.8</v>
      </c>
    </row>
    <row r="138" spans="4:24" x14ac:dyDescent="0.3">
      <c r="D138" s="4">
        <v>12.8</v>
      </c>
      <c r="E138" s="4">
        <f t="shared" si="6"/>
        <v>1724034494686086.5</v>
      </c>
      <c r="K138" s="40">
        <v>129</v>
      </c>
      <c r="L138" s="40">
        <f t="shared" ca="1" si="7"/>
        <v>142.31853601047538</v>
      </c>
      <c r="M138" s="40"/>
      <c r="N138" s="40"/>
      <c r="Q138" s="46"/>
      <c r="R138" s="46">
        <f t="shared" ca="1" si="8"/>
        <v>21.699637011551914</v>
      </c>
      <c r="S138" s="40"/>
      <c r="T138" s="40"/>
      <c r="W138" s="4">
        <v>12.8</v>
      </c>
      <c r="X138" s="4">
        <f t="shared" ca="1" si="9"/>
        <v>1709527550452656.5</v>
      </c>
    </row>
    <row r="139" spans="4:24" x14ac:dyDescent="0.3">
      <c r="D139" s="4">
        <v>12.9</v>
      </c>
      <c r="E139" s="4">
        <f t="shared" ref="E139:E202" si="20">$F$4*EXP(-$F$5*D139)</f>
        <v>1722035774154282.5</v>
      </c>
      <c r="K139" s="40">
        <v>130</v>
      </c>
      <c r="L139" s="40">
        <f t="shared" ref="L139:L202" ca="1" si="21">-(1/$F$5)*LN(RAND())</f>
        <v>141.33611858337068</v>
      </c>
      <c r="M139" s="40">
        <f ca="1">AVERAGE(L130:L139)</f>
        <v>120.42451122510313</v>
      </c>
      <c r="N139" s="40">
        <f t="shared" ref="N139" ca="1" si="22">1/M139</f>
        <v>8.3039573075846095E-3</v>
      </c>
      <c r="Q139" s="46"/>
      <c r="R139" s="46">
        <f t="shared" ref="R139:R202" ca="1" si="23">-(1/$Q$10)*LN(RAND())</f>
        <v>2.2506554484358694</v>
      </c>
      <c r="S139" s="40">
        <f ca="1">AVERAGE(R130:R139)</f>
        <v>90.266641890062687</v>
      </c>
      <c r="T139" s="40">
        <f t="shared" ref="T139" ca="1" si="24">1/S139</f>
        <v>1.107828959914026E-2</v>
      </c>
      <c r="W139" s="4">
        <v>12.9</v>
      </c>
      <c r="X139" s="4">
        <f t="shared" ref="X139:X202" ca="1" si="25">$F$4*EXP(-$U$10*W139)</f>
        <v>1707432925452996.5</v>
      </c>
    </row>
    <row r="140" spans="4:24" x14ac:dyDescent="0.3">
      <c r="D140" s="4">
        <v>13</v>
      </c>
      <c r="E140" s="4">
        <f t="shared" si="20"/>
        <v>1720039370794075.8</v>
      </c>
      <c r="K140" s="40">
        <v>131</v>
      </c>
      <c r="L140" s="40">
        <f t="shared" ca="1" si="21"/>
        <v>58.903781525143224</v>
      </c>
      <c r="M140" s="40"/>
      <c r="N140" s="40"/>
      <c r="Q140" s="46"/>
      <c r="R140" s="46">
        <f t="shared" ca="1" si="23"/>
        <v>31.451235806616037</v>
      </c>
      <c r="S140" s="40"/>
      <c r="T140" s="40"/>
      <c r="W140" s="4">
        <v>13</v>
      </c>
      <c r="X140" s="4">
        <f t="shared" ca="1" si="25"/>
        <v>1705340866924925.5</v>
      </c>
    </row>
    <row r="141" spans="4:24" x14ac:dyDescent="0.3">
      <c r="D141" s="4">
        <v>13.1</v>
      </c>
      <c r="E141" s="4">
        <f t="shared" si="20"/>
        <v>1718045281919106</v>
      </c>
      <c r="K141" s="40">
        <v>132</v>
      </c>
      <c r="L141" s="40">
        <f t="shared" ca="1" si="21"/>
        <v>39.204846557492409</v>
      </c>
      <c r="M141" s="40"/>
      <c r="N141" s="40"/>
      <c r="Q141" s="46"/>
      <c r="R141" s="46">
        <f t="shared" ca="1" si="23"/>
        <v>134.15485871960544</v>
      </c>
      <c r="S141" s="40"/>
      <c r="T141" s="40"/>
      <c r="W141" s="4">
        <v>13.1</v>
      </c>
      <c r="X141" s="4">
        <f t="shared" ca="1" si="25"/>
        <v>1703251371723834.8</v>
      </c>
    </row>
    <row r="142" spans="4:24" x14ac:dyDescent="0.3">
      <c r="D142" s="4">
        <v>13.2</v>
      </c>
      <c r="E142" s="4">
        <f t="shared" si="20"/>
        <v>1716053504846126.8</v>
      </c>
      <c r="K142" s="40">
        <v>133</v>
      </c>
      <c r="L142" s="40">
        <f t="shared" ca="1" si="21"/>
        <v>303.73212890590639</v>
      </c>
      <c r="M142" s="40"/>
      <c r="N142" s="40"/>
      <c r="Q142" s="46"/>
      <c r="R142" s="46">
        <f t="shared" ca="1" si="23"/>
        <v>19.157168845778358</v>
      </c>
      <c r="S142" s="40"/>
      <c r="T142" s="40"/>
      <c r="W142" s="4">
        <v>13.2</v>
      </c>
      <c r="X142" s="4">
        <f t="shared" ca="1" si="25"/>
        <v>1701164436708968.5</v>
      </c>
    </row>
    <row r="143" spans="4:24" x14ac:dyDescent="0.3">
      <c r="D143" s="4">
        <v>13.3</v>
      </c>
      <c r="E143" s="4">
        <f t="shared" si="20"/>
        <v>1714064036895002.5</v>
      </c>
      <c r="K143" s="40">
        <v>134</v>
      </c>
      <c r="L143" s="40">
        <f t="shared" ca="1" si="21"/>
        <v>30.048093137625514</v>
      </c>
      <c r="M143" s="40"/>
      <c r="N143" s="40"/>
      <c r="Q143" s="46"/>
      <c r="R143" s="46">
        <f t="shared" ca="1" si="23"/>
        <v>340.69540359051302</v>
      </c>
      <c r="S143" s="40"/>
      <c r="T143" s="40"/>
      <c r="W143" s="4">
        <v>13.3</v>
      </c>
      <c r="X143" s="4">
        <f t="shared" ca="1" si="25"/>
        <v>1699080058743418.8</v>
      </c>
    </row>
    <row r="144" spans="4:24" x14ac:dyDescent="0.3">
      <c r="D144" s="4">
        <v>13.4</v>
      </c>
      <c r="E144" s="4">
        <f t="shared" si="20"/>
        <v>1712076875388705</v>
      </c>
      <c r="K144" s="40">
        <v>135</v>
      </c>
      <c r="L144" s="40">
        <f t="shared" ca="1" si="21"/>
        <v>140.74141078097708</v>
      </c>
      <c r="M144" s="40"/>
      <c r="N144" s="40"/>
      <c r="Q144" s="46"/>
      <c r="R144" s="46">
        <f t="shared" ca="1" si="23"/>
        <v>209.33696142720007</v>
      </c>
      <c r="S144" s="40"/>
      <c r="T144" s="40"/>
      <c r="W144" s="4">
        <v>13.4</v>
      </c>
      <c r="X144" s="4">
        <f t="shared" ca="1" si="25"/>
        <v>1696998234694121.8</v>
      </c>
    </row>
    <row r="145" spans="4:24" x14ac:dyDescent="0.3">
      <c r="D145" s="4">
        <v>13.5</v>
      </c>
      <c r="E145" s="4">
        <f t="shared" si="20"/>
        <v>1710092017653309.3</v>
      </c>
      <c r="K145" s="40">
        <v>136</v>
      </c>
      <c r="L145" s="40">
        <f t="shared" ca="1" si="21"/>
        <v>88.877689171167759</v>
      </c>
      <c r="M145" s="40"/>
      <c r="N145" s="40"/>
      <c r="Q145" s="46"/>
      <c r="R145" s="46">
        <f t="shared" ca="1" si="23"/>
        <v>18.732805088267</v>
      </c>
      <c r="S145" s="40"/>
      <c r="T145" s="40"/>
      <c r="W145" s="4">
        <v>13.5</v>
      </c>
      <c r="X145" s="4">
        <f t="shared" ca="1" si="25"/>
        <v>1694918961431852</v>
      </c>
    </row>
    <row r="146" spans="4:24" x14ac:dyDescent="0.3">
      <c r="D146" s="4">
        <v>13.6</v>
      </c>
      <c r="E146" s="4">
        <f t="shared" si="20"/>
        <v>1708109461017990.5</v>
      </c>
      <c r="K146" s="40">
        <v>137</v>
      </c>
      <c r="L146" s="40">
        <f t="shared" ca="1" si="21"/>
        <v>70.149425423565816</v>
      </c>
      <c r="M146" s="40"/>
      <c r="N146" s="40"/>
      <c r="Q146" s="46"/>
      <c r="R146" s="46">
        <f t="shared" ca="1" si="23"/>
        <v>89.916923044607415</v>
      </c>
      <c r="S146" s="40"/>
      <c r="T146" s="40"/>
      <c r="W146" s="4">
        <v>13.6</v>
      </c>
      <c r="X146" s="4">
        <f t="shared" ca="1" si="25"/>
        <v>1692842235831218.5</v>
      </c>
    </row>
    <row r="147" spans="4:24" x14ac:dyDescent="0.3">
      <c r="D147" s="4">
        <v>13.7</v>
      </c>
      <c r="E147" s="4">
        <f t="shared" si="20"/>
        <v>1706129202815020.3</v>
      </c>
      <c r="K147" s="40">
        <v>138</v>
      </c>
      <c r="L147" s="40">
        <f t="shared" ca="1" si="21"/>
        <v>103.44796162229919</v>
      </c>
      <c r="M147" s="40"/>
      <c r="N147" s="40"/>
      <c r="Q147" s="46"/>
      <c r="R147" s="46">
        <f t="shared" ca="1" si="23"/>
        <v>207.6795263584373</v>
      </c>
      <c r="S147" s="40"/>
      <c r="T147" s="40"/>
      <c r="W147" s="4">
        <v>13.7</v>
      </c>
      <c r="X147" s="4">
        <f t="shared" ca="1" si="25"/>
        <v>1690768054770659.5</v>
      </c>
    </row>
    <row r="148" spans="4:24" x14ac:dyDescent="0.3">
      <c r="D148" s="4">
        <v>13.8</v>
      </c>
      <c r="E148" s="4">
        <f t="shared" si="20"/>
        <v>1704151240379763</v>
      </c>
      <c r="K148" s="40">
        <v>139</v>
      </c>
      <c r="L148" s="40">
        <f t="shared" ca="1" si="21"/>
        <v>26.374436590497854</v>
      </c>
      <c r="M148" s="40"/>
      <c r="N148" s="40"/>
      <c r="Q148" s="46"/>
      <c r="R148" s="46">
        <f t="shared" ca="1" si="23"/>
        <v>38.391372222463943</v>
      </c>
      <c r="S148" s="40"/>
      <c r="T148" s="40"/>
      <c r="W148" s="4">
        <v>13.8</v>
      </c>
      <c r="X148" s="4">
        <f t="shared" ca="1" si="25"/>
        <v>1688696415132438</v>
      </c>
    </row>
    <row r="149" spans="4:24" x14ac:dyDescent="0.3">
      <c r="D149" s="4">
        <v>13.9</v>
      </c>
      <c r="E149" s="4">
        <f t="shared" si="20"/>
        <v>1702175571050671.8</v>
      </c>
      <c r="K149" s="40">
        <v>140</v>
      </c>
      <c r="L149" s="40">
        <f t="shared" ca="1" si="21"/>
        <v>26.132928267515265</v>
      </c>
      <c r="M149" s="40">
        <f ca="1">AVERAGE(L140:L149)</f>
        <v>88.761270198219052</v>
      </c>
      <c r="N149" s="40">
        <f t="shared" ref="N149" ca="1" si="26">1/M149</f>
        <v>1.1266174963098539E-2</v>
      </c>
      <c r="Q149" s="46"/>
      <c r="R149" s="46">
        <f t="shared" ca="1" si="23"/>
        <v>102.15804770299498</v>
      </c>
      <c r="S149" s="40">
        <f ca="1">AVERAGE(R140:R149)</f>
        <v>119.16743028064836</v>
      </c>
      <c r="T149" s="40">
        <f t="shared" ref="T149" ca="1" si="27">1/S149</f>
        <v>8.3915546189501939E-3</v>
      </c>
      <c r="W149" s="4">
        <v>13.9</v>
      </c>
      <c r="X149" s="4">
        <f t="shared" ca="1" si="25"/>
        <v>1686627313802636.8</v>
      </c>
    </row>
    <row r="150" spans="4:24" x14ac:dyDescent="0.3">
      <c r="D150" s="4">
        <v>14</v>
      </c>
      <c r="E150" s="4">
        <f t="shared" si="20"/>
        <v>1700202192169285.5</v>
      </c>
      <c r="K150" s="40">
        <v>141</v>
      </c>
      <c r="L150" s="40">
        <f t="shared" ca="1" si="21"/>
        <v>23.092201348813312</v>
      </c>
      <c r="M150" s="40"/>
      <c r="N150" s="40"/>
      <c r="Q150" s="46"/>
      <c r="R150" s="46">
        <f t="shared" ca="1" si="23"/>
        <v>7.1043305983654399</v>
      </c>
      <c r="S150" s="40"/>
      <c r="T150" s="40"/>
      <c r="W150" s="4">
        <v>14</v>
      </c>
      <c r="X150" s="4">
        <f t="shared" ca="1" si="25"/>
        <v>1684560747671155</v>
      </c>
    </row>
    <row r="151" spans="4:24" x14ac:dyDescent="0.3">
      <c r="D151" s="4">
        <v>14.1</v>
      </c>
      <c r="E151" s="4">
        <f t="shared" si="20"/>
        <v>1698231101080226</v>
      </c>
      <c r="K151" s="40">
        <v>142</v>
      </c>
      <c r="L151" s="40">
        <f t="shared" ca="1" si="21"/>
        <v>416.41428694372979</v>
      </c>
      <c r="M151" s="40"/>
      <c r="N151" s="40"/>
      <c r="Q151" s="46"/>
      <c r="R151" s="46">
        <f t="shared" ca="1" si="23"/>
        <v>41.306717244772521</v>
      </c>
      <c r="S151" s="40"/>
      <c r="T151" s="40"/>
      <c r="W151" s="4">
        <v>14.1</v>
      </c>
      <c r="X151" s="4">
        <f t="shared" ca="1" si="25"/>
        <v>1682496713631701</v>
      </c>
    </row>
    <row r="152" spans="4:24" x14ac:dyDescent="0.3">
      <c r="D152" s="4">
        <v>14.2</v>
      </c>
      <c r="E152" s="4">
        <f t="shared" si="20"/>
        <v>1696262295131192</v>
      </c>
      <c r="K152" s="40">
        <v>143</v>
      </c>
      <c r="L152" s="40">
        <f t="shared" ca="1" si="21"/>
        <v>181.11110235267898</v>
      </c>
      <c r="M152" s="40"/>
      <c r="N152" s="40"/>
      <c r="Q152" s="46"/>
      <c r="R152" s="46">
        <f t="shared" ca="1" si="23"/>
        <v>107.41885554566957</v>
      </c>
      <c r="S152" s="40"/>
      <c r="T152" s="40"/>
      <c r="W152" s="4">
        <v>14.2</v>
      </c>
      <c r="X152" s="4">
        <f t="shared" ca="1" si="25"/>
        <v>1680435208581790.8</v>
      </c>
    </row>
    <row r="153" spans="4:24" x14ac:dyDescent="0.3">
      <c r="D153" s="4">
        <v>14.3</v>
      </c>
      <c r="E153" s="4">
        <f t="shared" si="20"/>
        <v>1694295771672958.5</v>
      </c>
      <c r="K153" s="40">
        <v>144</v>
      </c>
      <c r="L153" s="40">
        <f t="shared" ca="1" si="21"/>
        <v>99.900956821532475</v>
      </c>
      <c r="M153" s="40"/>
      <c r="N153" s="40"/>
      <c r="Q153" s="46"/>
      <c r="R153" s="46">
        <f t="shared" ca="1" si="23"/>
        <v>150.45671726186185</v>
      </c>
      <c r="S153" s="40"/>
      <c r="T153" s="40"/>
      <c r="W153" s="4">
        <v>14.3</v>
      </c>
      <c r="X153" s="4">
        <f t="shared" ca="1" si="25"/>
        <v>1678376229422740.3</v>
      </c>
    </row>
    <row r="154" spans="4:24" x14ac:dyDescent="0.3">
      <c r="D154" s="4">
        <v>14.4</v>
      </c>
      <c r="E154" s="4">
        <f t="shared" si="20"/>
        <v>1692331528059371</v>
      </c>
      <c r="K154" s="40">
        <v>145</v>
      </c>
      <c r="L154" s="40">
        <f t="shared" ca="1" si="21"/>
        <v>195.53524460753323</v>
      </c>
      <c r="M154" s="40"/>
      <c r="N154" s="40"/>
      <c r="Q154" s="46"/>
      <c r="R154" s="46">
        <f t="shared" ca="1" si="23"/>
        <v>30.21498237054459</v>
      </c>
      <c r="S154" s="40"/>
      <c r="T154" s="40"/>
      <c r="W154" s="4">
        <v>14.4</v>
      </c>
      <c r="X154" s="4">
        <f t="shared" ca="1" si="25"/>
        <v>1676319773059662.8</v>
      </c>
    </row>
    <row r="155" spans="4:24" x14ac:dyDescent="0.3">
      <c r="D155" s="4">
        <v>14.5</v>
      </c>
      <c r="E155" s="4">
        <f t="shared" si="20"/>
        <v>1690369561647342.8</v>
      </c>
      <c r="K155" s="40">
        <v>146</v>
      </c>
      <c r="L155" s="40">
        <f t="shared" ca="1" si="21"/>
        <v>128.92944150602321</v>
      </c>
      <c r="M155" s="40"/>
      <c r="N155" s="40"/>
      <c r="Q155" s="46"/>
      <c r="R155" s="46">
        <f t="shared" ca="1" si="23"/>
        <v>106.9016999071841</v>
      </c>
      <c r="S155" s="40"/>
      <c r="T155" s="40"/>
      <c r="W155" s="4">
        <v>14.5</v>
      </c>
      <c r="X155" s="4">
        <f t="shared" ca="1" si="25"/>
        <v>1674265836401464.3</v>
      </c>
    </row>
    <row r="156" spans="4:24" x14ac:dyDescent="0.3">
      <c r="D156" s="4">
        <v>14.6</v>
      </c>
      <c r="E156" s="4">
        <f t="shared" si="20"/>
        <v>1688409869796852</v>
      </c>
      <c r="K156" s="40">
        <v>147</v>
      </c>
      <c r="L156" s="40">
        <f t="shared" ca="1" si="21"/>
        <v>9.7269327575640698</v>
      </c>
      <c r="M156" s="40"/>
      <c r="N156" s="40"/>
      <c r="Q156" s="46"/>
      <c r="R156" s="46">
        <f t="shared" ca="1" si="23"/>
        <v>349.81866305850104</v>
      </c>
      <c r="S156" s="40"/>
      <c r="T156" s="40"/>
      <c r="W156" s="4">
        <v>14.6</v>
      </c>
      <c r="X156" s="4">
        <f t="shared" ca="1" si="25"/>
        <v>1672214416360836.5</v>
      </c>
    </row>
    <row r="157" spans="4:24" x14ac:dyDescent="0.3">
      <c r="D157" s="4">
        <v>14.7</v>
      </c>
      <c r="E157" s="4">
        <f t="shared" si="20"/>
        <v>1686452449870936.8</v>
      </c>
      <c r="K157" s="40">
        <v>148</v>
      </c>
      <c r="L157" s="40">
        <f t="shared" ca="1" si="21"/>
        <v>48.790726031428179</v>
      </c>
      <c r="M157" s="40"/>
      <c r="N157" s="40"/>
      <c r="Q157" s="46"/>
      <c r="R157" s="46">
        <f t="shared" ca="1" si="23"/>
        <v>89.114104612104157</v>
      </c>
      <c r="S157" s="40"/>
      <c r="T157" s="40"/>
      <c r="W157" s="4">
        <v>14.7</v>
      </c>
      <c r="X157" s="4">
        <f t="shared" ca="1" si="25"/>
        <v>1670165509854255.5</v>
      </c>
    </row>
    <row r="158" spans="4:24" x14ac:dyDescent="0.3">
      <c r="D158" s="4">
        <v>14.8</v>
      </c>
      <c r="E158" s="4">
        <f t="shared" si="20"/>
        <v>1684497299235692.3</v>
      </c>
      <c r="K158" s="40">
        <v>149</v>
      </c>
      <c r="L158" s="40">
        <f t="shared" ca="1" si="21"/>
        <v>44.029768160335593</v>
      </c>
      <c r="M158" s="40"/>
      <c r="N158" s="40"/>
      <c r="Q158" s="46"/>
      <c r="R158" s="46">
        <f t="shared" ca="1" si="23"/>
        <v>376.23220300934281</v>
      </c>
      <c r="S158" s="40"/>
      <c r="T158" s="40"/>
      <c r="W158" s="4">
        <v>14.8</v>
      </c>
      <c r="X158" s="4">
        <f t="shared" ca="1" si="25"/>
        <v>1668119113801975.3</v>
      </c>
    </row>
    <row r="159" spans="4:24" x14ac:dyDescent="0.3">
      <c r="D159" s="4">
        <v>14.9</v>
      </c>
      <c r="E159" s="4">
        <f t="shared" si="20"/>
        <v>1682544415260268.3</v>
      </c>
      <c r="K159" s="40">
        <v>150</v>
      </c>
      <c r="L159" s="40">
        <f t="shared" ca="1" si="21"/>
        <v>256.38225694651419</v>
      </c>
      <c r="M159" s="40">
        <f ca="1">AVERAGE(L150:L159)</f>
        <v>140.39129174761533</v>
      </c>
      <c r="N159" s="40">
        <f t="shared" ref="N159" ca="1" si="28">1/M159</f>
        <v>7.1229489204909027E-3</v>
      </c>
      <c r="Q159" s="46"/>
      <c r="R159" s="46">
        <f t="shared" ca="1" si="23"/>
        <v>33.41863373627536</v>
      </c>
      <c r="S159" s="40">
        <f ca="1">AVERAGE(R150:R159)</f>
        <v>129.19869073446213</v>
      </c>
      <c r="T159" s="40">
        <f t="shared" ref="T159" ca="1" si="29">1/S159</f>
        <v>7.7400165149913748E-3</v>
      </c>
      <c r="W159" s="4">
        <v>14.9</v>
      </c>
      <c r="X159" s="4">
        <f t="shared" ca="1" si="25"/>
        <v>1666075225128022.3</v>
      </c>
    </row>
    <row r="160" spans="4:24" x14ac:dyDescent="0.3">
      <c r="D160" s="4">
        <v>15</v>
      </c>
      <c r="E160" s="4">
        <f t="shared" si="20"/>
        <v>1680593795316862.8</v>
      </c>
      <c r="K160" s="40">
        <v>151</v>
      </c>
      <c r="L160" s="40">
        <f t="shared" ca="1" si="21"/>
        <v>287.81769412935523</v>
      </c>
      <c r="M160" s="40"/>
      <c r="N160" s="40"/>
      <c r="Q160" s="46"/>
      <c r="R160" s="46">
        <f t="shared" ca="1" si="23"/>
        <v>17.816033246460844</v>
      </c>
      <c r="S160" s="40"/>
      <c r="T160" s="40"/>
      <c r="W160" s="4">
        <v>15</v>
      </c>
      <c r="X160" s="4">
        <f t="shared" ca="1" si="25"/>
        <v>1664033840760193</v>
      </c>
    </row>
    <row r="161" spans="4:24" x14ac:dyDescent="0.3">
      <c r="D161" s="4">
        <v>15.1</v>
      </c>
      <c r="E161" s="4">
        <f t="shared" si="20"/>
        <v>1678645436780722.3</v>
      </c>
      <c r="K161" s="40">
        <v>152</v>
      </c>
      <c r="L161" s="40">
        <f t="shared" ca="1" si="21"/>
        <v>74.185848750115383</v>
      </c>
      <c r="M161" s="40"/>
      <c r="N161" s="40"/>
      <c r="Q161" s="46"/>
      <c r="R161" s="46">
        <f t="shared" ca="1" si="23"/>
        <v>68.579069905051838</v>
      </c>
      <c r="S161" s="40"/>
      <c r="T161" s="40"/>
      <c r="W161" s="4">
        <v>15.1</v>
      </c>
      <c r="X161" s="4">
        <f t="shared" ca="1" si="25"/>
        <v>1661994957630047.5</v>
      </c>
    </row>
    <row r="162" spans="4:24" x14ac:dyDescent="0.3">
      <c r="D162" s="4">
        <v>15.2</v>
      </c>
      <c r="E162" s="4">
        <f t="shared" si="20"/>
        <v>1676699337030134.8</v>
      </c>
      <c r="K162" s="40">
        <v>153</v>
      </c>
      <c r="L162" s="40">
        <f t="shared" ca="1" si="21"/>
        <v>13.065947427060909</v>
      </c>
      <c r="M162" s="40"/>
      <c r="N162" s="40"/>
      <c r="Q162" s="46"/>
      <c r="R162" s="46">
        <f t="shared" ca="1" si="23"/>
        <v>124.78068651396809</v>
      </c>
      <c r="S162" s="40"/>
      <c r="T162" s="40"/>
      <c r="W162" s="4">
        <v>15.2</v>
      </c>
      <c r="X162" s="4">
        <f t="shared" ca="1" si="25"/>
        <v>1659958572672905.5</v>
      </c>
    </row>
    <row r="163" spans="4:24" x14ac:dyDescent="0.3">
      <c r="D163" s="4">
        <v>15.3</v>
      </c>
      <c r="E163" s="4">
        <f t="shared" si="20"/>
        <v>1674755493446427.8</v>
      </c>
      <c r="K163" s="40">
        <v>154</v>
      </c>
      <c r="L163" s="40">
        <f t="shared" ca="1" si="21"/>
        <v>150.50763335100669</v>
      </c>
      <c r="M163" s="40"/>
      <c r="N163" s="40"/>
      <c r="Q163" s="46"/>
      <c r="R163" s="46">
        <f t="shared" ca="1" si="23"/>
        <v>123.25641638770236</v>
      </c>
      <c r="S163" s="40"/>
      <c r="T163" s="40"/>
      <c r="W163" s="4">
        <v>15.3</v>
      </c>
      <c r="X163" s="4">
        <f t="shared" ca="1" si="25"/>
        <v>1657924682827842.8</v>
      </c>
    </row>
    <row r="164" spans="4:24" x14ac:dyDescent="0.3">
      <c r="D164" s="4">
        <v>15.4</v>
      </c>
      <c r="E164" s="4">
        <f t="shared" si="20"/>
        <v>1672813903413965.8</v>
      </c>
      <c r="K164" s="40">
        <v>155</v>
      </c>
      <c r="L164" s="40">
        <f t="shared" ca="1" si="21"/>
        <v>150.39115538402058</v>
      </c>
      <c r="M164" s="40"/>
      <c r="N164" s="40"/>
      <c r="Q164" s="46"/>
      <c r="R164" s="46">
        <f t="shared" ca="1" si="23"/>
        <v>202.06990789407641</v>
      </c>
      <c r="S164" s="40"/>
      <c r="T164" s="40"/>
      <c r="W164" s="4">
        <v>15.4</v>
      </c>
      <c r="X164" s="4">
        <f t="shared" ca="1" si="25"/>
        <v>1655893285037684</v>
      </c>
    </row>
    <row r="165" spans="4:24" x14ac:dyDescent="0.3">
      <c r="D165" s="4">
        <v>15.5</v>
      </c>
      <c r="E165" s="4">
        <f t="shared" si="20"/>
        <v>1670874564320144.5</v>
      </c>
      <c r="K165" s="40">
        <v>156</v>
      </c>
      <c r="L165" s="40">
        <f t="shared" ca="1" si="21"/>
        <v>86.31204730316243</v>
      </c>
      <c r="M165" s="40"/>
      <c r="N165" s="40"/>
      <c r="Q165" s="46"/>
      <c r="R165" s="46">
        <f t="shared" ca="1" si="23"/>
        <v>71.499745421806097</v>
      </c>
      <c r="S165" s="40"/>
      <c r="T165" s="40"/>
      <c r="W165" s="4">
        <v>15.5</v>
      </c>
      <c r="X165" s="4">
        <f t="shared" ca="1" si="25"/>
        <v>1653864376249000.8</v>
      </c>
    </row>
    <row r="166" spans="4:24" x14ac:dyDescent="0.3">
      <c r="D166" s="4">
        <v>15.6</v>
      </c>
      <c r="E166" s="4">
        <f t="shared" si="20"/>
        <v>1668937473555389.3</v>
      </c>
      <c r="K166" s="40">
        <v>157</v>
      </c>
      <c r="L166" s="40">
        <f t="shared" ca="1" si="21"/>
        <v>128.13992325665799</v>
      </c>
      <c r="M166" s="40"/>
      <c r="N166" s="40"/>
      <c r="Q166" s="46"/>
      <c r="R166" s="46">
        <f t="shared" ca="1" si="23"/>
        <v>196.4067939807334</v>
      </c>
      <c r="S166" s="40"/>
      <c r="T166" s="40"/>
      <c r="W166" s="4">
        <v>15.6</v>
      </c>
      <c r="X166" s="4">
        <f t="shared" ca="1" si="25"/>
        <v>1651837953412105.8</v>
      </c>
    </row>
    <row r="167" spans="4:24" x14ac:dyDescent="0.3">
      <c r="D167" s="4">
        <v>15.7</v>
      </c>
      <c r="E167" s="4">
        <f t="shared" si="20"/>
        <v>1667002628513150</v>
      </c>
      <c r="K167" s="40">
        <v>158</v>
      </c>
      <c r="L167" s="40">
        <f t="shared" ca="1" si="21"/>
        <v>58.744917648045799</v>
      </c>
      <c r="M167" s="40"/>
      <c r="N167" s="40"/>
      <c r="Q167" s="46"/>
      <c r="R167" s="46">
        <f t="shared" ca="1" si="23"/>
        <v>65.862911836457954</v>
      </c>
      <c r="S167" s="40"/>
      <c r="T167" s="40"/>
      <c r="W167" s="4">
        <v>15.7</v>
      </c>
      <c r="X167" s="4">
        <f t="shared" ca="1" si="25"/>
        <v>1649814013481047.8</v>
      </c>
    </row>
    <row r="168" spans="4:24" x14ac:dyDescent="0.3">
      <c r="D168" s="4">
        <v>15.8</v>
      </c>
      <c r="E168" s="4">
        <f t="shared" si="20"/>
        <v>1665070026589899.3</v>
      </c>
      <c r="K168" s="40">
        <v>159</v>
      </c>
      <c r="L168" s="40">
        <f t="shared" ca="1" si="21"/>
        <v>18.135469784357674</v>
      </c>
      <c r="M168" s="40"/>
      <c r="N168" s="40"/>
      <c r="Q168" s="46"/>
      <c r="R168" s="46">
        <f t="shared" ca="1" si="23"/>
        <v>107.87243385791649</v>
      </c>
      <c r="S168" s="40"/>
      <c r="T168" s="40"/>
      <c r="W168" s="4">
        <v>15.8</v>
      </c>
      <c r="X168" s="4">
        <f t="shared" ca="1" si="25"/>
        <v>1647792553413608.8</v>
      </c>
    </row>
    <row r="169" spans="4:24" x14ac:dyDescent="0.3">
      <c r="D169" s="4">
        <v>15.9</v>
      </c>
      <c r="E169" s="4">
        <f t="shared" si="20"/>
        <v>1663139665185127.5</v>
      </c>
      <c r="K169" s="40">
        <v>160</v>
      </c>
      <c r="L169" s="40">
        <f t="shared" ca="1" si="21"/>
        <v>97.39955275201342</v>
      </c>
      <c r="M169" s="40">
        <f ca="1">AVERAGE(L160:L169)</f>
        <v>106.47001897857963</v>
      </c>
      <c r="N169" s="40">
        <f t="shared" ref="N169" ca="1" si="30">1/M169</f>
        <v>9.3923154104179028E-3</v>
      </c>
      <c r="Q169" s="46"/>
      <c r="R169" s="46">
        <f t="shared" ca="1" si="23"/>
        <v>58.292807384538605</v>
      </c>
      <c r="S169" s="40">
        <f ca="1">AVERAGE(R160:R169)</f>
        <v>103.6436806428712</v>
      </c>
      <c r="T169" s="40">
        <f t="shared" ref="T169" ca="1" si="31">1/S169</f>
        <v>9.648441601044026E-3</v>
      </c>
      <c r="W169" s="4">
        <v>15.9</v>
      </c>
      <c r="X169" s="4">
        <f t="shared" ca="1" si="25"/>
        <v>1645773570171297</v>
      </c>
    </row>
    <row r="170" spans="4:24" x14ac:dyDescent="0.3">
      <c r="D170" s="4">
        <v>16</v>
      </c>
      <c r="E170" s="4">
        <f t="shared" si="20"/>
        <v>1661211541701340.5</v>
      </c>
      <c r="K170" s="40">
        <v>161</v>
      </c>
      <c r="L170" s="40">
        <f t="shared" ca="1" si="21"/>
        <v>23.191014405990703</v>
      </c>
      <c r="M170" s="40"/>
      <c r="N170" s="40"/>
      <c r="Q170" s="46"/>
      <c r="R170" s="46">
        <f t="shared" ca="1" si="23"/>
        <v>5.270261520814751</v>
      </c>
      <c r="S170" s="40"/>
      <c r="T170" s="40"/>
      <c r="W170" s="4">
        <v>16</v>
      </c>
      <c r="X170" s="4">
        <f t="shared" ca="1" si="25"/>
        <v>1643757060719344.3</v>
      </c>
    </row>
    <row r="171" spans="4:24" x14ac:dyDescent="0.3">
      <c r="D171" s="4">
        <v>16.100000000000001</v>
      </c>
      <c r="E171" s="4">
        <f t="shared" si="20"/>
        <v>1659285653544054.3</v>
      </c>
      <c r="K171" s="40">
        <v>162</v>
      </c>
      <c r="L171" s="40">
        <f t="shared" ca="1" si="21"/>
        <v>13.612717392989216</v>
      </c>
      <c r="M171" s="40"/>
      <c r="N171" s="40"/>
      <c r="Q171" s="46"/>
      <c r="R171" s="46">
        <f t="shared" ca="1" si="23"/>
        <v>37.342637313784508</v>
      </c>
      <c r="S171" s="40"/>
      <c r="T171" s="40"/>
      <c r="W171" s="4">
        <v>16.100000000000001</v>
      </c>
      <c r="X171" s="4">
        <f t="shared" ca="1" si="25"/>
        <v>1641743022026701.5</v>
      </c>
    </row>
    <row r="172" spans="4:24" x14ac:dyDescent="0.3">
      <c r="D172" s="4">
        <v>16.2</v>
      </c>
      <c r="E172" s="4">
        <f t="shared" si="20"/>
        <v>1657361998121794.3</v>
      </c>
      <c r="K172" s="40">
        <v>163</v>
      </c>
      <c r="L172" s="40">
        <f t="shared" ca="1" si="21"/>
        <v>99.553220532547513</v>
      </c>
      <c r="M172" s="40"/>
      <c r="N172" s="40"/>
      <c r="Q172" s="46"/>
      <c r="R172" s="46">
        <f t="shared" ca="1" si="23"/>
        <v>36.956139940307928</v>
      </c>
      <c r="S172" s="40"/>
      <c r="T172" s="40"/>
      <c r="W172" s="4">
        <v>16.2</v>
      </c>
      <c r="X172" s="4">
        <f t="shared" ca="1" si="25"/>
        <v>1639731451066032.3</v>
      </c>
    </row>
    <row r="173" spans="4:24" x14ac:dyDescent="0.3">
      <c r="D173" s="4">
        <v>16.3</v>
      </c>
      <c r="E173" s="4">
        <f t="shared" si="20"/>
        <v>1655440572846088.5</v>
      </c>
      <c r="K173" s="40">
        <v>164</v>
      </c>
      <c r="L173" s="40">
        <f t="shared" ca="1" si="21"/>
        <v>37.958008943203843</v>
      </c>
      <c r="M173" s="40"/>
      <c r="N173" s="40"/>
      <c r="Q173" s="46"/>
      <c r="R173" s="46">
        <f t="shared" ca="1" si="23"/>
        <v>38.456789220267169</v>
      </c>
      <c r="S173" s="40"/>
      <c r="T173" s="40"/>
      <c r="W173" s="4">
        <v>16.3</v>
      </c>
      <c r="X173" s="4">
        <f t="shared" ca="1" si="25"/>
        <v>1637722344813709.5</v>
      </c>
    </row>
    <row r="174" spans="4:24" x14ac:dyDescent="0.3">
      <c r="D174" s="4">
        <v>16.399999999999999</v>
      </c>
      <c r="E174" s="4">
        <f t="shared" si="20"/>
        <v>1653521375131467.8</v>
      </c>
      <c r="K174" s="40">
        <v>165</v>
      </c>
      <c r="L174" s="40">
        <f t="shared" ca="1" si="21"/>
        <v>42.393661677755766</v>
      </c>
      <c r="M174" s="40"/>
      <c r="N174" s="40"/>
      <c r="Q174" s="46"/>
      <c r="R174" s="46">
        <f t="shared" ca="1" si="23"/>
        <v>142.20976018947562</v>
      </c>
      <c r="S174" s="40"/>
      <c r="T174" s="40"/>
      <c r="W174" s="4">
        <v>16.399999999999999</v>
      </c>
      <c r="X174" s="4">
        <f t="shared" ca="1" si="25"/>
        <v>1635715700249812</v>
      </c>
    </row>
    <row r="175" spans="4:24" x14ac:dyDescent="0.3">
      <c r="D175" s="4">
        <v>16.5</v>
      </c>
      <c r="E175" s="4">
        <f t="shared" si="20"/>
        <v>1651604402395458.5</v>
      </c>
      <c r="K175" s="40">
        <v>166</v>
      </c>
      <c r="L175" s="40">
        <f t="shared" ca="1" si="21"/>
        <v>14.610285623103744</v>
      </c>
      <c r="M175" s="40"/>
      <c r="N175" s="40"/>
      <c r="Q175" s="46"/>
      <c r="R175" s="46">
        <f t="shared" ca="1" si="23"/>
        <v>93.058087812577071</v>
      </c>
      <c r="S175" s="40"/>
      <c r="T175" s="40"/>
      <c r="W175" s="4">
        <v>16.5</v>
      </c>
      <c r="X175" s="4">
        <f t="shared" ca="1" si="25"/>
        <v>1633711514358117.5</v>
      </c>
    </row>
    <row r="176" spans="4:24" x14ac:dyDescent="0.3">
      <c r="D176" s="4">
        <v>16.600000000000001</v>
      </c>
      <c r="E176" s="4">
        <f t="shared" si="20"/>
        <v>1649689652058582.5</v>
      </c>
      <c r="K176" s="40">
        <v>167</v>
      </c>
      <c r="L176" s="40">
        <f t="shared" ca="1" si="21"/>
        <v>165.03264470779976</v>
      </c>
      <c r="M176" s="40"/>
      <c r="N176" s="40"/>
      <c r="Q176" s="46"/>
      <c r="R176" s="46">
        <f t="shared" ca="1" si="23"/>
        <v>81.595327265032765</v>
      </c>
      <c r="S176" s="40"/>
      <c r="T176" s="40"/>
      <c r="W176" s="4">
        <v>16.600000000000001</v>
      </c>
      <c r="X176" s="4">
        <f t="shared" ca="1" si="25"/>
        <v>1631709784126100.3</v>
      </c>
    </row>
    <row r="177" spans="4:24" x14ac:dyDescent="0.3">
      <c r="D177" s="4">
        <v>16.7</v>
      </c>
      <c r="E177" s="4">
        <f t="shared" si="20"/>
        <v>1647777121544351.3</v>
      </c>
      <c r="K177" s="40">
        <v>168</v>
      </c>
      <c r="L177" s="40">
        <f t="shared" ca="1" si="21"/>
        <v>70.618808167856685</v>
      </c>
      <c r="M177" s="40"/>
      <c r="N177" s="40"/>
      <c r="Q177" s="46"/>
      <c r="R177" s="46">
        <f t="shared" ca="1" si="23"/>
        <v>75.385482693645159</v>
      </c>
      <c r="S177" s="40"/>
      <c r="T177" s="40"/>
      <c r="W177" s="4">
        <v>16.7</v>
      </c>
      <c r="X177" s="4">
        <f t="shared" ca="1" si="25"/>
        <v>1629710506544925.5</v>
      </c>
    </row>
    <row r="178" spans="4:24" x14ac:dyDescent="0.3">
      <c r="D178" s="4">
        <v>16.8</v>
      </c>
      <c r="E178" s="4">
        <f t="shared" si="20"/>
        <v>1645866808279263.3</v>
      </c>
      <c r="K178" s="40">
        <v>169</v>
      </c>
      <c r="L178" s="40">
        <f t="shared" ca="1" si="21"/>
        <v>8.973770434402919</v>
      </c>
      <c r="M178" s="40"/>
      <c r="N178" s="40"/>
      <c r="Q178" s="46"/>
      <c r="R178" s="46">
        <f t="shared" ca="1" si="23"/>
        <v>25.981742320232382</v>
      </c>
      <c r="S178" s="40"/>
      <c r="T178" s="40"/>
      <c r="W178" s="4">
        <v>16.8</v>
      </c>
      <c r="X178" s="4">
        <f t="shared" ca="1" si="25"/>
        <v>1627713678609444.8</v>
      </c>
    </row>
    <row r="179" spans="4:24" x14ac:dyDescent="0.3">
      <c r="D179" s="4">
        <v>16.899999999999999</v>
      </c>
      <c r="E179" s="4">
        <f t="shared" si="20"/>
        <v>1643958709692801</v>
      </c>
      <c r="K179" s="40">
        <v>170</v>
      </c>
      <c r="L179" s="40">
        <f t="shared" ca="1" si="21"/>
        <v>28.01049566553937</v>
      </c>
      <c r="M179" s="40">
        <f ca="1">AVERAGE(L170:L179)</f>
        <v>50.395462755118956</v>
      </c>
      <c r="N179" s="40">
        <f t="shared" ref="N179" ca="1" si="32">1/M179</f>
        <v>1.9843056206452322E-2</v>
      </c>
      <c r="Q179" s="46"/>
      <c r="R179" s="46">
        <f t="shared" ca="1" si="23"/>
        <v>85.709937727829285</v>
      </c>
      <c r="S179" s="40">
        <f ca="1">AVERAGE(R170:R179)</f>
        <v>62.196616600396659</v>
      </c>
      <c r="T179" s="40">
        <f t="shared" ref="T179" ca="1" si="33">1/S179</f>
        <v>1.6078044991174368E-2</v>
      </c>
      <c r="W179" s="4">
        <v>16.899999999999999</v>
      </c>
      <c r="X179" s="4">
        <f t="shared" ca="1" si="25"/>
        <v>1625719297318192</v>
      </c>
    </row>
    <row r="180" spans="4:24" x14ac:dyDescent="0.3">
      <c r="D180" s="4">
        <v>17</v>
      </c>
      <c r="E180" s="4">
        <f t="shared" si="20"/>
        <v>1642052823217426.3</v>
      </c>
      <c r="K180" s="40">
        <v>171</v>
      </c>
      <c r="L180" s="40">
        <f t="shared" ca="1" si="21"/>
        <v>79.647243390861888</v>
      </c>
      <c r="M180" s="40"/>
      <c r="N180" s="40"/>
      <c r="Q180" s="46"/>
      <c r="R180" s="46">
        <f t="shared" ca="1" si="23"/>
        <v>14.687339308757368</v>
      </c>
      <c r="S180" s="40"/>
      <c r="T180" s="40"/>
      <c r="W180" s="4">
        <v>17</v>
      </c>
      <c r="X180" s="4">
        <f t="shared" ca="1" si="25"/>
        <v>1623727359673378</v>
      </c>
    </row>
    <row r="181" spans="4:24" x14ac:dyDescent="0.3">
      <c r="D181" s="4">
        <v>17.100000000000001</v>
      </c>
      <c r="E181" s="4">
        <f t="shared" si="20"/>
        <v>1640149146288578.5</v>
      </c>
      <c r="K181" s="40">
        <v>172</v>
      </c>
      <c r="L181" s="40">
        <f t="shared" ca="1" si="21"/>
        <v>47.065139471268395</v>
      </c>
      <c r="M181" s="40"/>
      <c r="N181" s="40"/>
      <c r="Q181" s="46"/>
      <c r="R181" s="46">
        <f t="shared" ca="1" si="23"/>
        <v>139.98830974747759</v>
      </c>
      <c r="S181" s="40"/>
      <c r="T181" s="40"/>
      <c r="W181" s="4">
        <v>17.100000000000001</v>
      </c>
      <c r="X181" s="4">
        <f t="shared" ca="1" si="25"/>
        <v>1621737862680888.3</v>
      </c>
    </row>
    <row r="182" spans="4:24" x14ac:dyDescent="0.3">
      <c r="D182" s="4">
        <v>17.2</v>
      </c>
      <c r="E182" s="4">
        <f t="shared" si="20"/>
        <v>1638247676344669.5</v>
      </c>
      <c r="K182" s="40">
        <v>173</v>
      </c>
      <c r="L182" s="40">
        <f t="shared" ca="1" si="21"/>
        <v>110.78616286487134</v>
      </c>
      <c r="M182" s="40"/>
      <c r="N182" s="40"/>
      <c r="Q182" s="46"/>
      <c r="R182" s="46">
        <f t="shared" ca="1" si="23"/>
        <v>132.44476393991573</v>
      </c>
      <c r="S182" s="40"/>
      <c r="T182" s="40"/>
      <c r="W182" s="4">
        <v>17.2</v>
      </c>
      <c r="X182" s="4">
        <f t="shared" ca="1" si="25"/>
        <v>1619750803350275.3</v>
      </c>
    </row>
    <row r="183" spans="4:24" x14ac:dyDescent="0.3">
      <c r="D183" s="4">
        <v>17.3</v>
      </c>
      <c r="E183" s="4">
        <f t="shared" si="20"/>
        <v>1636348410827080.8</v>
      </c>
      <c r="K183" s="40">
        <v>174</v>
      </c>
      <c r="L183" s="40">
        <f t="shared" ca="1" si="21"/>
        <v>7.3497832599003505</v>
      </c>
      <c r="M183" s="40"/>
      <c r="N183" s="40"/>
      <c r="Q183" s="46"/>
      <c r="R183" s="46">
        <f t="shared" ca="1" si="23"/>
        <v>50.959417299478559</v>
      </c>
      <c r="S183" s="40"/>
      <c r="T183" s="40"/>
      <c r="W183" s="4">
        <v>17.3</v>
      </c>
      <c r="X183" s="4">
        <f t="shared" ca="1" si="25"/>
        <v>1617766178694756.3</v>
      </c>
    </row>
    <row r="184" spans="4:24" x14ac:dyDescent="0.3">
      <c r="D184" s="4">
        <v>17.399999999999999</v>
      </c>
      <c r="E184" s="4">
        <f t="shared" si="20"/>
        <v>1634451347180160.8</v>
      </c>
      <c r="K184" s="40">
        <v>175</v>
      </c>
      <c r="L184" s="40">
        <f t="shared" ca="1" si="21"/>
        <v>348.32412392230106</v>
      </c>
      <c r="M184" s="40"/>
      <c r="N184" s="40"/>
      <c r="Q184" s="46"/>
      <c r="R184" s="46">
        <f t="shared" ca="1" si="23"/>
        <v>131.00997992869117</v>
      </c>
      <c r="S184" s="40"/>
      <c r="T184" s="40"/>
      <c r="W184" s="4">
        <v>17.399999999999999</v>
      </c>
      <c r="X184" s="4">
        <f t="shared" ca="1" si="25"/>
        <v>1615783985731208.5</v>
      </c>
    </row>
    <row r="185" spans="4:24" x14ac:dyDescent="0.3">
      <c r="D185" s="4">
        <v>17.5</v>
      </c>
      <c r="E185" s="4">
        <f t="shared" si="20"/>
        <v>1632556482851219.8</v>
      </c>
      <c r="K185" s="40">
        <v>176</v>
      </c>
      <c r="L185" s="40">
        <f t="shared" ca="1" si="21"/>
        <v>364.29076528828637</v>
      </c>
      <c r="M185" s="40"/>
      <c r="N185" s="40"/>
      <c r="Q185" s="46"/>
      <c r="R185" s="46">
        <f t="shared" ca="1" si="23"/>
        <v>66.502954238414503</v>
      </c>
      <c r="S185" s="40"/>
      <c r="T185" s="40"/>
      <c r="W185" s="4">
        <v>17.5</v>
      </c>
      <c r="X185" s="4">
        <f t="shared" ca="1" si="25"/>
        <v>1613804221480163</v>
      </c>
    </row>
    <row r="186" spans="4:24" x14ac:dyDescent="0.3">
      <c r="D186" s="4">
        <v>17.600000000000001</v>
      </c>
      <c r="E186" s="4">
        <f t="shared" si="20"/>
        <v>1630663815290528.8</v>
      </c>
      <c r="K186" s="40">
        <v>177</v>
      </c>
      <c r="L186" s="40">
        <f t="shared" ca="1" si="21"/>
        <v>102.97034961771494</v>
      </c>
      <c r="M186" s="40"/>
      <c r="N186" s="40"/>
      <c r="Q186" s="46"/>
      <c r="R186" s="46">
        <f t="shared" ca="1" si="23"/>
        <v>49.59956021771815</v>
      </c>
      <c r="S186" s="40"/>
      <c r="T186" s="40"/>
      <c r="W186" s="4">
        <v>17.600000000000001</v>
      </c>
      <c r="X186" s="4">
        <f t="shared" ca="1" si="25"/>
        <v>1611826882965803</v>
      </c>
    </row>
    <row r="187" spans="4:24" x14ac:dyDescent="0.3">
      <c r="D187" s="4">
        <v>17.7</v>
      </c>
      <c r="E187" s="4">
        <f t="shared" si="20"/>
        <v>1628773341951313.5</v>
      </c>
      <c r="K187" s="40">
        <v>178</v>
      </c>
      <c r="L187" s="40">
        <f t="shared" ca="1" si="21"/>
        <v>47.271803524642465</v>
      </c>
      <c r="M187" s="40"/>
      <c r="N187" s="40"/>
      <c r="Q187" s="46"/>
      <c r="R187" s="46">
        <f t="shared" ca="1" si="23"/>
        <v>126.08750564781448</v>
      </c>
      <c r="S187" s="40"/>
      <c r="T187" s="40"/>
      <c r="W187" s="4">
        <v>17.7</v>
      </c>
      <c r="X187" s="4">
        <f t="shared" ca="1" si="25"/>
        <v>1609851967215957</v>
      </c>
    </row>
    <row r="188" spans="4:24" x14ac:dyDescent="0.3">
      <c r="D188" s="4">
        <v>17.8</v>
      </c>
      <c r="E188" s="4">
        <f t="shared" si="20"/>
        <v>1626885060289753</v>
      </c>
      <c r="K188" s="40">
        <v>179</v>
      </c>
      <c r="L188" s="40">
        <f t="shared" ca="1" si="21"/>
        <v>179.66813956147689</v>
      </c>
      <c r="M188" s="40"/>
      <c r="N188" s="40"/>
      <c r="Q188" s="46"/>
      <c r="R188" s="46">
        <f t="shared" ca="1" si="23"/>
        <v>114.38609676070267</v>
      </c>
      <c r="S188" s="40"/>
      <c r="T188" s="40"/>
      <c r="W188" s="4">
        <v>17.8</v>
      </c>
      <c r="X188" s="4">
        <f t="shared" ca="1" si="25"/>
        <v>1607879471262095.5</v>
      </c>
    </row>
    <row r="189" spans="4:24" x14ac:dyDescent="0.3">
      <c r="D189" s="4">
        <v>17.899999999999999</v>
      </c>
      <c r="E189" s="4">
        <f t="shared" si="20"/>
        <v>1624998967764975.3</v>
      </c>
      <c r="K189" s="40">
        <v>180</v>
      </c>
      <c r="L189" s="40">
        <f t="shared" ca="1" si="21"/>
        <v>51.367189723557111</v>
      </c>
      <c r="M189" s="40">
        <f ca="1">AVERAGE(L180:L189)</f>
        <v>133.8740700624881</v>
      </c>
      <c r="N189" s="40">
        <f t="shared" ref="N189" ca="1" si="34">1/M189</f>
        <v>7.4697064153889711E-3</v>
      </c>
      <c r="Q189" s="46"/>
      <c r="R189" s="46">
        <f t="shared" ca="1" si="23"/>
        <v>102.31256644612051</v>
      </c>
      <c r="S189" s="40">
        <f ca="1">AVERAGE(R180:R189)</f>
        <v>92.797849353509065</v>
      </c>
      <c r="T189" s="40">
        <f t="shared" ref="T189" ca="1" si="35">1/S189</f>
        <v>1.0776111806110364E-2</v>
      </c>
      <c r="W189" s="4">
        <v>17.899999999999999</v>
      </c>
      <c r="X189" s="4">
        <f t="shared" ca="1" si="25"/>
        <v>1605909392139326</v>
      </c>
    </row>
    <row r="190" spans="4:24" x14ac:dyDescent="0.3">
      <c r="D190" s="4">
        <v>18</v>
      </c>
      <c r="E190" s="4">
        <f t="shared" si="20"/>
        <v>1623115061839053.5</v>
      </c>
      <c r="K190" s="40">
        <v>181</v>
      </c>
      <c r="L190" s="40">
        <f t="shared" ca="1" si="21"/>
        <v>95.830011397634564</v>
      </c>
      <c r="M190" s="40"/>
      <c r="N190" s="40"/>
      <c r="Q190" s="46"/>
      <c r="R190" s="46">
        <f t="shared" ca="1" si="23"/>
        <v>40.32716575247251</v>
      </c>
      <c r="S190" s="40"/>
      <c r="T190" s="40"/>
      <c r="W190" s="4">
        <v>18</v>
      </c>
      <c r="X190" s="4">
        <f t="shared" ca="1" si="25"/>
        <v>1603941726886389</v>
      </c>
    </row>
    <row r="191" spans="4:24" x14ac:dyDescent="0.3">
      <c r="D191" s="4">
        <v>18.100000000000001</v>
      </c>
      <c r="E191" s="4">
        <f t="shared" si="20"/>
        <v>1621233339977003.8</v>
      </c>
      <c r="K191" s="40">
        <v>182</v>
      </c>
      <c r="L191" s="40">
        <f t="shared" ca="1" si="21"/>
        <v>61.083179710195857</v>
      </c>
      <c r="M191" s="40"/>
      <c r="N191" s="40"/>
      <c r="Q191" s="46"/>
      <c r="R191" s="46">
        <f t="shared" ca="1" si="23"/>
        <v>30.716909990434221</v>
      </c>
      <c r="S191" s="40"/>
      <c r="T191" s="40"/>
      <c r="W191" s="4">
        <v>18.100000000000001</v>
      </c>
      <c r="X191" s="4">
        <f t="shared" ca="1" si="25"/>
        <v>1601976472545653</v>
      </c>
    </row>
    <row r="192" spans="4:24" x14ac:dyDescent="0.3">
      <c r="D192" s="4">
        <v>18.2</v>
      </c>
      <c r="E192" s="4">
        <f t="shared" si="20"/>
        <v>1619353799646781.3</v>
      </c>
      <c r="K192" s="40">
        <v>183</v>
      </c>
      <c r="L192" s="40">
        <f t="shared" ca="1" si="21"/>
        <v>116.75333726308452</v>
      </c>
      <c r="M192" s="40"/>
      <c r="N192" s="40"/>
      <c r="Q192" s="46"/>
      <c r="R192" s="46">
        <f t="shared" ca="1" si="23"/>
        <v>3.4703932094456689</v>
      </c>
      <c r="S192" s="40"/>
      <c r="T192" s="40"/>
      <c r="W192" s="4">
        <v>18.2</v>
      </c>
      <c r="X192" s="4">
        <f t="shared" ca="1" si="25"/>
        <v>1600013626163111.3</v>
      </c>
    </row>
    <row r="193" spans="4:24" x14ac:dyDescent="0.3">
      <c r="D193" s="4">
        <v>18.3</v>
      </c>
      <c r="E193" s="4">
        <f t="shared" si="20"/>
        <v>1617476438319275.8</v>
      </c>
      <c r="K193" s="40">
        <v>184</v>
      </c>
      <c r="L193" s="40">
        <f t="shared" ca="1" si="21"/>
        <v>128.11680099910288</v>
      </c>
      <c r="M193" s="40"/>
      <c r="N193" s="40"/>
      <c r="Q193" s="46"/>
      <c r="R193" s="46">
        <f t="shared" ca="1" si="23"/>
        <v>18.782214001046672</v>
      </c>
      <c r="S193" s="40"/>
      <c r="T193" s="40"/>
      <c r="W193" s="4">
        <v>18.3</v>
      </c>
      <c r="X193" s="4">
        <f t="shared" ca="1" si="25"/>
        <v>1598053184788375.5</v>
      </c>
    </row>
    <row r="194" spans="4:24" x14ac:dyDescent="0.3">
      <c r="D194" s="4">
        <v>18.399999999999999</v>
      </c>
      <c r="E194" s="4">
        <f t="shared" si="20"/>
        <v>1615601253468309.8</v>
      </c>
      <c r="K194" s="40">
        <v>185</v>
      </c>
      <c r="L194" s="40">
        <f t="shared" ca="1" si="21"/>
        <v>55.135387083565064</v>
      </c>
      <c r="M194" s="40"/>
      <c r="N194" s="40"/>
      <c r="Q194" s="46"/>
      <c r="R194" s="46">
        <f t="shared" ca="1" si="23"/>
        <v>44.147266713526022</v>
      </c>
      <c r="S194" s="40"/>
      <c r="T194" s="40"/>
      <c r="W194" s="4">
        <v>18.399999999999999</v>
      </c>
      <c r="X194" s="4">
        <f t="shared" ca="1" si="25"/>
        <v>1596095145474672.5</v>
      </c>
    </row>
    <row r="195" spans="4:24" x14ac:dyDescent="0.3">
      <c r="D195" s="4">
        <v>18.5</v>
      </c>
      <c r="E195" s="4">
        <f t="shared" si="20"/>
        <v>1613728242570634</v>
      </c>
      <c r="K195" s="40">
        <v>186</v>
      </c>
      <c r="L195" s="40">
        <f t="shared" ca="1" si="21"/>
        <v>39.047486563322053</v>
      </c>
      <c r="M195" s="40"/>
      <c r="N195" s="40"/>
      <c r="Q195" s="46"/>
      <c r="R195" s="46">
        <f t="shared" ca="1" si="23"/>
        <v>1.8829462321688182</v>
      </c>
      <c r="S195" s="40"/>
      <c r="T195" s="40"/>
      <c r="W195" s="4">
        <v>18.5</v>
      </c>
      <c r="X195" s="4">
        <f t="shared" ca="1" si="25"/>
        <v>1594139505278840.5</v>
      </c>
    </row>
    <row r="196" spans="4:24" x14ac:dyDescent="0.3">
      <c r="D196" s="4">
        <v>18.600000000000001</v>
      </c>
      <c r="E196" s="4">
        <f t="shared" si="20"/>
        <v>1611857403105925</v>
      </c>
      <c r="K196" s="40">
        <v>187</v>
      </c>
      <c r="L196" s="40">
        <f t="shared" ca="1" si="21"/>
        <v>228.3968403968392</v>
      </c>
      <c r="M196" s="40"/>
      <c r="N196" s="40"/>
      <c r="Q196" s="46"/>
      <c r="R196" s="46">
        <f t="shared" ca="1" si="23"/>
        <v>39.591542327030659</v>
      </c>
      <c r="S196" s="40"/>
      <c r="T196" s="40"/>
      <c r="W196" s="4">
        <v>18.600000000000001</v>
      </c>
      <c r="X196" s="4">
        <f t="shared" ca="1" si="25"/>
        <v>1592186261261323</v>
      </c>
    </row>
    <row r="197" spans="4:24" x14ac:dyDescent="0.3">
      <c r="D197" s="4">
        <v>18.7</v>
      </c>
      <c r="E197" s="4">
        <f t="shared" si="20"/>
        <v>1609988732556781</v>
      </c>
      <c r="K197" s="40">
        <v>188</v>
      </c>
      <c r="L197" s="40">
        <f t="shared" ca="1" si="21"/>
        <v>4.6711837653194292</v>
      </c>
      <c r="M197" s="40"/>
      <c r="N197" s="40"/>
      <c r="Q197" s="46"/>
      <c r="R197" s="46">
        <f t="shared" ca="1" si="23"/>
        <v>153.54506157546652</v>
      </c>
      <c r="S197" s="40"/>
      <c r="T197" s="40"/>
      <c r="W197" s="4">
        <v>18.7</v>
      </c>
      <c r="X197" s="4">
        <f t="shared" ca="1" si="25"/>
        <v>1590235410486165.5</v>
      </c>
    </row>
    <row r="198" spans="4:24" x14ac:dyDescent="0.3">
      <c r="D198" s="4">
        <v>18.8</v>
      </c>
      <c r="E198" s="4">
        <f t="shared" si="20"/>
        <v>1608122228408718.3</v>
      </c>
      <c r="K198" s="40">
        <v>189</v>
      </c>
      <c r="L198" s="40">
        <f t="shared" ca="1" si="21"/>
        <v>108.76077302591423</v>
      </c>
      <c r="M198" s="40"/>
      <c r="N198" s="40"/>
      <c r="Q198" s="46"/>
      <c r="R198" s="46">
        <f t="shared" ca="1" si="23"/>
        <v>125.11159824764394</v>
      </c>
      <c r="S198" s="40"/>
      <c r="T198" s="40"/>
      <c r="W198" s="4">
        <v>18.8</v>
      </c>
      <c r="X198" s="4">
        <f t="shared" ca="1" si="25"/>
        <v>1588286950021011</v>
      </c>
    </row>
    <row r="199" spans="4:24" x14ac:dyDescent="0.3">
      <c r="D199" s="4">
        <v>18.899999999999999</v>
      </c>
      <c r="E199" s="4">
        <f t="shared" si="20"/>
        <v>1606257888150168.8</v>
      </c>
      <c r="K199" s="40">
        <v>190</v>
      </c>
      <c r="L199" s="40">
        <f t="shared" ca="1" si="21"/>
        <v>42.206094102422085</v>
      </c>
      <c r="M199" s="40">
        <f ca="1">AVERAGE(L190:L199)</f>
        <v>88.000109430739997</v>
      </c>
      <c r="N199" s="40">
        <f t="shared" ref="N199" ca="1" si="36">1/M199</f>
        <v>1.1363622232618296E-2</v>
      </c>
      <c r="Q199" s="46"/>
      <c r="R199" s="46">
        <f t="shared" ca="1" si="23"/>
        <v>11.565148857214089</v>
      </c>
      <c r="S199" s="40">
        <f ca="1">AVERAGE(R190:R199)</f>
        <v>46.914024690644908</v>
      </c>
      <c r="T199" s="40">
        <f t="shared" ref="T199" ca="1" si="37">1/S199</f>
        <v>2.1315587536863134E-2</v>
      </c>
      <c r="W199" s="4">
        <v>18.899999999999999</v>
      </c>
      <c r="X199" s="4">
        <f t="shared" ca="1" si="25"/>
        <v>1586340876937095.5</v>
      </c>
    </row>
    <row r="200" spans="4:24" x14ac:dyDescent="0.3">
      <c r="D200" s="4">
        <v>19</v>
      </c>
      <c r="E200" s="4">
        <f t="shared" si="20"/>
        <v>1604395709272476</v>
      </c>
      <c r="K200" s="40">
        <v>191</v>
      </c>
      <c r="L200" s="40">
        <f t="shared" ca="1" si="21"/>
        <v>29.144625097014959</v>
      </c>
      <c r="M200" s="40"/>
      <c r="N200" s="40"/>
      <c r="Q200" s="46"/>
      <c r="R200" s="46">
        <f t="shared" ca="1" si="23"/>
        <v>201.91830288370247</v>
      </c>
      <c r="S200" s="40"/>
      <c r="T200" s="40"/>
      <c r="W200" s="4">
        <v>19</v>
      </c>
      <c r="X200" s="4">
        <f t="shared" ca="1" si="25"/>
        <v>1584397188309243</v>
      </c>
    </row>
    <row r="201" spans="4:24" x14ac:dyDescent="0.3">
      <c r="D201" s="4">
        <v>19.100000000000001</v>
      </c>
      <c r="E201" s="4">
        <f t="shared" si="20"/>
        <v>1602535689269891.8</v>
      </c>
      <c r="K201" s="40">
        <v>192</v>
      </c>
      <c r="L201" s="40">
        <f t="shared" ca="1" si="21"/>
        <v>58.606932513778119</v>
      </c>
      <c r="M201" s="40"/>
      <c r="N201" s="40"/>
      <c r="Q201" s="46"/>
      <c r="R201" s="46">
        <f t="shared" ca="1" si="23"/>
        <v>19.038393857077992</v>
      </c>
      <c r="S201" s="40"/>
      <c r="T201" s="40"/>
      <c r="W201" s="4">
        <v>19.100000000000001</v>
      </c>
      <c r="X201" s="4">
        <f t="shared" ca="1" si="25"/>
        <v>1582455881215862</v>
      </c>
    </row>
    <row r="202" spans="4:24" x14ac:dyDescent="0.3">
      <c r="D202" s="4">
        <v>19.2</v>
      </c>
      <c r="E202" s="4">
        <f t="shared" si="20"/>
        <v>1600677825639572.5</v>
      </c>
      <c r="K202" s="40">
        <v>193</v>
      </c>
      <c r="L202" s="40">
        <f t="shared" ca="1" si="21"/>
        <v>180.32844534235855</v>
      </c>
      <c r="M202" s="40"/>
      <c r="N202" s="40"/>
      <c r="Q202" s="46"/>
      <c r="R202" s="46">
        <f t="shared" ca="1" si="23"/>
        <v>205.00143861523932</v>
      </c>
      <c r="S202" s="40"/>
      <c r="T202" s="40"/>
      <c r="W202" s="4">
        <v>19.2</v>
      </c>
      <c r="X202" s="4">
        <f t="shared" ca="1" si="25"/>
        <v>1580516952738940.8</v>
      </c>
    </row>
    <row r="203" spans="4:24" x14ac:dyDescent="0.3">
      <c r="D203" s="4">
        <v>19.3</v>
      </c>
      <c r="E203" s="4">
        <f t="shared" ref="E203:E266" si="38">$F$4*EXP(-$F$5*D203)</f>
        <v>1598822115881577.3</v>
      </c>
      <c r="K203" s="40">
        <v>194</v>
      </c>
      <c r="L203" s="40">
        <f t="shared" ref="L203:L266" ca="1" si="39">-(1/$F$5)*LN(RAND())</f>
        <v>41.428073300919607</v>
      </c>
      <c r="M203" s="40"/>
      <c r="N203" s="40"/>
      <c r="Q203" s="46"/>
      <c r="R203" s="46">
        <f t="shared" ref="R203:R266" ca="1" si="40">-(1/$Q$10)*LN(RAND())</f>
        <v>480.21677330381004</v>
      </c>
      <c r="S203" s="40"/>
      <c r="T203" s="40"/>
      <c r="W203" s="4">
        <v>19.3</v>
      </c>
      <c r="X203" s="4">
        <f t="shared" ref="X203:X266" ca="1" si="41">$F$4*EXP(-$U$10*W203)</f>
        <v>1578580399964042.8</v>
      </c>
    </row>
    <row r="204" spans="4:24" x14ac:dyDescent="0.3">
      <c r="D204" s="4">
        <v>19.399999999999999</v>
      </c>
      <c r="E204" s="4">
        <f t="shared" si="38"/>
        <v>1596968557498862.3</v>
      </c>
      <c r="K204" s="40">
        <v>195</v>
      </c>
      <c r="L204" s="40">
        <f t="shared" ca="1" si="39"/>
        <v>229.14829568436636</v>
      </c>
      <c r="M204" s="40"/>
      <c r="N204" s="40"/>
      <c r="Q204" s="46"/>
      <c r="R204" s="46">
        <f t="shared" ca="1" si="40"/>
        <v>25.467046612570549</v>
      </c>
      <c r="S204" s="40"/>
      <c r="T204" s="40"/>
      <c r="W204" s="4">
        <v>19.399999999999999</v>
      </c>
      <c r="X204" s="4">
        <f t="shared" ca="1" si="41"/>
        <v>1576646219980302.3</v>
      </c>
    </row>
    <row r="205" spans="4:24" x14ac:dyDescent="0.3">
      <c r="D205" s="4">
        <v>19.5</v>
      </c>
      <c r="E205" s="4">
        <f t="shared" si="38"/>
        <v>1595117147997279.3</v>
      </c>
      <c r="K205" s="40">
        <v>196</v>
      </c>
      <c r="L205" s="40">
        <f t="shared" ca="1" si="39"/>
        <v>29.871513728064095</v>
      </c>
      <c r="M205" s="40"/>
      <c r="N205" s="40"/>
      <c r="Q205" s="46"/>
      <c r="R205" s="46">
        <f t="shared" ca="1" si="40"/>
        <v>58.503636185566016</v>
      </c>
      <c r="S205" s="40"/>
      <c r="T205" s="40"/>
      <c r="W205" s="4">
        <v>19.5</v>
      </c>
      <c r="X205" s="4">
        <f t="shared" ca="1" si="41"/>
        <v>1574714409880420.5</v>
      </c>
    </row>
    <row r="206" spans="4:24" x14ac:dyDescent="0.3">
      <c r="D206" s="4">
        <v>19.600000000000001</v>
      </c>
      <c r="E206" s="4">
        <f t="shared" si="38"/>
        <v>1593267884885571.3</v>
      </c>
      <c r="K206" s="40">
        <v>197</v>
      </c>
      <c r="L206" s="40">
        <f t="shared" ca="1" si="39"/>
        <v>86.349916024789351</v>
      </c>
      <c r="M206" s="40"/>
      <c r="N206" s="40"/>
      <c r="Q206" s="46"/>
      <c r="R206" s="46">
        <f t="shared" ca="1" si="40"/>
        <v>100.4643515969023</v>
      </c>
      <c r="S206" s="40"/>
      <c r="T206" s="40"/>
      <c r="W206" s="4">
        <v>19.600000000000001</v>
      </c>
      <c r="X206" s="4">
        <f t="shared" ca="1" si="41"/>
        <v>1572784966760660.5</v>
      </c>
    </row>
    <row r="207" spans="4:24" x14ac:dyDescent="0.3">
      <c r="D207" s="4">
        <v>19.7</v>
      </c>
      <c r="E207" s="4">
        <f t="shared" si="38"/>
        <v>1591420765675369.5</v>
      </c>
      <c r="K207" s="40">
        <v>198</v>
      </c>
      <c r="L207" s="40">
        <f t="shared" ca="1" si="39"/>
        <v>8.4851234339318253</v>
      </c>
      <c r="M207" s="40"/>
      <c r="N207" s="40"/>
      <c r="Q207" s="46"/>
      <c r="R207" s="46">
        <f t="shared" ca="1" si="40"/>
        <v>12.412114415520104</v>
      </c>
      <c r="S207" s="40"/>
      <c r="T207" s="40"/>
      <c r="W207" s="4">
        <v>19.7</v>
      </c>
      <c r="X207" s="4">
        <f t="shared" ca="1" si="41"/>
        <v>1570857887720844</v>
      </c>
    </row>
    <row r="208" spans="4:24" x14ac:dyDescent="0.3">
      <c r="D208" s="4">
        <v>19.8</v>
      </c>
      <c r="E208" s="4">
        <f t="shared" si="38"/>
        <v>1589575787881190.3</v>
      </c>
      <c r="K208" s="40">
        <v>199</v>
      </c>
      <c r="L208" s="40">
        <f t="shared" ca="1" si="39"/>
        <v>223.4181888789746</v>
      </c>
      <c r="M208" s="40"/>
      <c r="N208" s="40"/>
      <c r="Q208" s="46"/>
      <c r="R208" s="46">
        <f t="shared" ca="1" si="40"/>
        <v>54.372041387315107</v>
      </c>
      <c r="S208" s="40"/>
      <c r="T208" s="40"/>
      <c r="W208" s="4">
        <v>19.8</v>
      </c>
      <c r="X208" s="4">
        <f t="shared" ca="1" si="41"/>
        <v>1568933169864344.8</v>
      </c>
    </row>
    <row r="209" spans="4:24" x14ac:dyDescent="0.3">
      <c r="D209" s="4">
        <v>19.899999999999999</v>
      </c>
      <c r="E209" s="4">
        <f t="shared" si="38"/>
        <v>1587732949020431</v>
      </c>
      <c r="K209" s="40">
        <v>200</v>
      </c>
      <c r="L209" s="40">
        <f t="shared" ca="1" si="39"/>
        <v>129.21573183340612</v>
      </c>
      <c r="M209" s="40">
        <f ca="1">AVERAGE(L200:L209)</f>
        <v>101.59968458376036</v>
      </c>
      <c r="N209" s="40">
        <f t="shared" ref="N209" ca="1" si="42">1/M209</f>
        <v>9.8425502411435585E-3</v>
      </c>
      <c r="Q209" s="46"/>
      <c r="R209" s="46">
        <f t="shared" ca="1" si="40"/>
        <v>73.932785802294205</v>
      </c>
      <c r="S209" s="40">
        <f ca="1">AVERAGE(R200:R209)</f>
        <v>123.13268846599979</v>
      </c>
      <c r="T209" s="40">
        <f t="shared" ref="T209" ca="1" si="43">1/S209</f>
        <v>8.1213202802448894E-3</v>
      </c>
      <c r="W209" s="4">
        <v>19.899999999999999</v>
      </c>
      <c r="X209" s="4">
        <f t="shared" ca="1" si="41"/>
        <v>1567010810298086.8</v>
      </c>
    </row>
    <row r="210" spans="4:24" x14ac:dyDescent="0.3">
      <c r="D210" s="4">
        <v>20</v>
      </c>
      <c r="E210" s="4">
        <f t="shared" si="38"/>
        <v>1585892246613367.3</v>
      </c>
      <c r="K210" s="40">
        <v>201</v>
      </c>
      <c r="L210" s="40">
        <f t="shared" ca="1" si="39"/>
        <v>180.5433262388658</v>
      </c>
      <c r="M210" s="40"/>
      <c r="N210" s="40"/>
      <c r="Q210" s="46"/>
      <c r="R210" s="46">
        <f t="shared" ca="1" si="40"/>
        <v>84.018582387088685</v>
      </c>
      <c r="S210" s="40"/>
      <c r="T210" s="40"/>
      <c r="W210" s="4">
        <v>20</v>
      </c>
      <c r="X210" s="4">
        <f t="shared" ca="1" si="41"/>
        <v>1565090806132538.8</v>
      </c>
    </row>
    <row r="211" spans="4:24" x14ac:dyDescent="0.3">
      <c r="D211" s="4">
        <v>20.100000000000001</v>
      </c>
      <c r="E211" s="4">
        <f t="shared" si="38"/>
        <v>1584053678183150.3</v>
      </c>
      <c r="K211" s="40">
        <v>202</v>
      </c>
      <c r="L211" s="40">
        <f t="shared" ca="1" si="39"/>
        <v>31.906017555478886</v>
      </c>
      <c r="M211" s="40"/>
      <c r="N211" s="40"/>
      <c r="Q211" s="46"/>
      <c r="R211" s="46">
        <f t="shared" ca="1" si="40"/>
        <v>113.09248109713933</v>
      </c>
      <c r="S211" s="40"/>
      <c r="T211" s="40"/>
      <c r="W211" s="4">
        <v>20.100000000000001</v>
      </c>
      <c r="X211" s="4">
        <f t="shared" ca="1" si="41"/>
        <v>1563173154481709.5</v>
      </c>
    </row>
    <row r="212" spans="4:24" x14ac:dyDescent="0.3">
      <c r="D212" s="4">
        <v>20.2</v>
      </c>
      <c r="E212" s="4">
        <f t="shared" si="38"/>
        <v>1582217241255801.5</v>
      </c>
      <c r="K212" s="40">
        <v>203</v>
      </c>
      <c r="L212" s="40">
        <f t="shared" ca="1" si="39"/>
        <v>6.3899655179702943</v>
      </c>
      <c r="M212" s="40"/>
      <c r="N212" s="40"/>
      <c r="Q212" s="46"/>
      <c r="R212" s="46">
        <f t="shared" ca="1" si="40"/>
        <v>92.860591498976603</v>
      </c>
      <c r="S212" s="40"/>
      <c r="T212" s="40"/>
      <c r="W212" s="4">
        <v>20.2</v>
      </c>
      <c r="X212" s="4">
        <f t="shared" ca="1" si="41"/>
        <v>1561257852463144.3</v>
      </c>
    </row>
    <row r="213" spans="4:24" x14ac:dyDescent="0.3">
      <c r="D213" s="4">
        <v>20.3</v>
      </c>
      <c r="E213" s="4">
        <f t="shared" si="38"/>
        <v>1580382933360211</v>
      </c>
      <c r="K213" s="40">
        <v>204</v>
      </c>
      <c r="L213" s="40">
        <f t="shared" ca="1" si="39"/>
        <v>34.766661421219816</v>
      </c>
      <c r="M213" s="40"/>
      <c r="N213" s="40"/>
      <c r="Q213" s="46"/>
      <c r="R213" s="46">
        <f t="shared" ca="1" si="40"/>
        <v>166.15251095413183</v>
      </c>
      <c r="S213" s="40"/>
      <c r="T213" s="40"/>
      <c r="W213" s="4">
        <v>20.3</v>
      </c>
      <c r="X213" s="4">
        <f t="shared" ca="1" si="41"/>
        <v>1559344897197919.3</v>
      </c>
    </row>
    <row r="214" spans="4:24" x14ac:dyDescent="0.3">
      <c r="D214" s="4">
        <v>20.399999999999999</v>
      </c>
      <c r="E214" s="4">
        <f t="shared" si="38"/>
        <v>1578550752028134.5</v>
      </c>
      <c r="K214" s="40">
        <v>205</v>
      </c>
      <c r="L214" s="40">
        <f t="shared" ca="1" si="39"/>
        <v>41.525831527444033</v>
      </c>
      <c r="M214" s="40"/>
      <c r="N214" s="40"/>
      <c r="Q214" s="46"/>
      <c r="R214" s="46">
        <f t="shared" ca="1" si="40"/>
        <v>73.171395864963358</v>
      </c>
      <c r="S214" s="40"/>
      <c r="T214" s="40"/>
      <c r="W214" s="4">
        <v>20.399999999999999</v>
      </c>
      <c r="X214" s="4">
        <f t="shared" ca="1" si="41"/>
        <v>1557434285810639.5</v>
      </c>
    </row>
    <row r="215" spans="4:24" x14ac:dyDescent="0.3">
      <c r="D215" s="4">
        <v>20.5</v>
      </c>
      <c r="E215" s="4">
        <f t="shared" si="38"/>
        <v>1576720694794188</v>
      </c>
      <c r="K215" s="40">
        <v>206</v>
      </c>
      <c r="L215" s="40">
        <f t="shared" ca="1" si="39"/>
        <v>80.870739014312534</v>
      </c>
      <c r="M215" s="40"/>
      <c r="N215" s="40"/>
      <c r="Q215" s="46"/>
      <c r="R215" s="46">
        <f t="shared" ca="1" si="40"/>
        <v>111.92168047740115</v>
      </c>
      <c r="S215" s="40"/>
      <c r="T215" s="40"/>
      <c r="W215" s="4">
        <v>20.5</v>
      </c>
      <c r="X215" s="4">
        <f t="shared" ca="1" si="41"/>
        <v>1555526015429432.3</v>
      </c>
    </row>
    <row r="216" spans="4:24" x14ac:dyDescent="0.3">
      <c r="D216" s="4">
        <v>20.6</v>
      </c>
      <c r="E216" s="4">
        <f t="shared" si="38"/>
        <v>1574892759195846.3</v>
      </c>
      <c r="K216" s="40">
        <v>207</v>
      </c>
      <c r="L216" s="40">
        <f t="shared" ca="1" si="39"/>
        <v>35.120596444904258</v>
      </c>
      <c r="M216" s="40"/>
      <c r="N216" s="40"/>
      <c r="Q216" s="46"/>
      <c r="R216" s="46">
        <f t="shared" ca="1" si="40"/>
        <v>308.11113192250008</v>
      </c>
      <c r="S216" s="40"/>
      <c r="T216" s="40"/>
      <c r="W216" s="4">
        <v>20.6</v>
      </c>
      <c r="X216" s="4">
        <f t="shared" ca="1" si="41"/>
        <v>1553620083185943.3</v>
      </c>
    </row>
    <row r="217" spans="4:24" x14ac:dyDescent="0.3">
      <c r="D217" s="4">
        <v>20.7</v>
      </c>
      <c r="E217" s="4">
        <f t="shared" si="38"/>
        <v>1573066942773439</v>
      </c>
      <c r="K217" s="40">
        <v>208</v>
      </c>
      <c r="L217" s="40">
        <f t="shared" ca="1" si="39"/>
        <v>19.775378506505412</v>
      </c>
      <c r="M217" s="40"/>
      <c r="N217" s="40"/>
      <c r="Q217" s="46"/>
      <c r="R217" s="46">
        <f t="shared" ca="1" si="40"/>
        <v>28.384620997739294</v>
      </c>
      <c r="S217" s="40"/>
      <c r="T217" s="40"/>
      <c r="W217" s="4">
        <v>20.7</v>
      </c>
      <c r="X217" s="4">
        <f t="shared" ca="1" si="41"/>
        <v>1551716486215333.5</v>
      </c>
    </row>
    <row r="218" spans="4:24" x14ac:dyDescent="0.3">
      <c r="D218" s="4">
        <v>20.8</v>
      </c>
      <c r="E218" s="4">
        <f t="shared" si="38"/>
        <v>1571243243070147.3</v>
      </c>
      <c r="K218" s="40">
        <v>209</v>
      </c>
      <c r="L218" s="40">
        <f t="shared" ca="1" si="39"/>
        <v>220.1434108246398</v>
      </c>
      <c r="M218" s="40"/>
      <c r="N218" s="40"/>
      <c r="Q218" s="46"/>
      <c r="R218" s="46">
        <f t="shared" ca="1" si="40"/>
        <v>76.245400022782476</v>
      </c>
      <c r="S218" s="40"/>
      <c r="T218" s="40"/>
      <c r="W218" s="4">
        <v>20.8</v>
      </c>
      <c r="X218" s="4">
        <f t="shared" ca="1" si="41"/>
        <v>1549815221656274</v>
      </c>
    </row>
    <row r="219" spans="4:24" x14ac:dyDescent="0.3">
      <c r="D219" s="4">
        <v>20.9</v>
      </c>
      <c r="E219" s="4">
        <f t="shared" si="38"/>
        <v>1569421657632000.3</v>
      </c>
      <c r="K219" s="40">
        <v>210</v>
      </c>
      <c r="L219" s="40">
        <f t="shared" ca="1" si="39"/>
        <v>198.42992616060394</v>
      </c>
      <c r="M219" s="40">
        <f t="shared" ref="M219" ca="1" si="44">AVERAGE(L210:L219)</f>
        <v>84.947185321194482</v>
      </c>
      <c r="N219" s="40">
        <f t="shared" ref="N219" ca="1" si="45">1/M219</f>
        <v>1.1772020417379245E-2</v>
      </c>
      <c r="Q219" s="46"/>
      <c r="R219" s="46">
        <f t="shared" ca="1" si="40"/>
        <v>39.473433564550021</v>
      </c>
      <c r="S219" s="40">
        <f t="shared" ref="S219" ca="1" si="46">AVERAGE(R210:R219)</f>
        <v>109.34318287872729</v>
      </c>
      <c r="T219" s="40">
        <f t="shared" ref="T219" ca="1" si="47">1/S219</f>
        <v>9.1455175683801126E-3</v>
      </c>
      <c r="W219" s="4">
        <v>20.9</v>
      </c>
      <c r="X219" s="4">
        <f t="shared" ca="1" si="41"/>
        <v>1547916286650941.3</v>
      </c>
    </row>
    <row r="220" spans="4:24" x14ac:dyDescent="0.3">
      <c r="D220" s="4">
        <v>21</v>
      </c>
      <c r="E220" s="4">
        <f t="shared" si="38"/>
        <v>1567602184007873</v>
      </c>
      <c r="K220" s="40">
        <v>211</v>
      </c>
      <c r="L220" s="40">
        <f t="shared" ca="1" si="39"/>
        <v>80.520731834097845</v>
      </c>
      <c r="M220" s="40"/>
      <c r="N220" s="40"/>
      <c r="Q220" s="46"/>
      <c r="R220" s="46">
        <f t="shared" ca="1" si="40"/>
        <v>109.13026213416349</v>
      </c>
      <c r="S220" s="40"/>
      <c r="T220" s="40"/>
      <c r="W220" s="4">
        <v>21</v>
      </c>
      <c r="X220" s="4">
        <f t="shared" ca="1" si="41"/>
        <v>1546019678345013.8</v>
      </c>
    </row>
    <row r="221" spans="4:24" x14ac:dyDescent="0.3">
      <c r="D221" s="4">
        <v>21.1</v>
      </c>
      <c r="E221" s="4">
        <f t="shared" si="38"/>
        <v>1565784819749480.8</v>
      </c>
      <c r="K221" s="40">
        <v>212</v>
      </c>
      <c r="L221" s="40">
        <f t="shared" ca="1" si="39"/>
        <v>124.05223638626705</v>
      </c>
      <c r="M221" s="40"/>
      <c r="N221" s="40"/>
      <c r="Q221" s="46"/>
      <c r="R221" s="46">
        <f t="shared" ca="1" si="40"/>
        <v>199.08540777242683</v>
      </c>
      <c r="S221" s="40"/>
      <c r="T221" s="40"/>
      <c r="W221" s="4">
        <v>21.1</v>
      </c>
      <c r="X221" s="4">
        <f t="shared" ca="1" si="41"/>
        <v>1544125393887667.3</v>
      </c>
    </row>
    <row r="222" spans="4:24" x14ac:dyDescent="0.3">
      <c r="D222" s="4">
        <v>21.2</v>
      </c>
      <c r="E222" s="4">
        <f t="shared" si="38"/>
        <v>1563969562411378.3</v>
      </c>
      <c r="K222" s="40">
        <v>213</v>
      </c>
      <c r="L222" s="40">
        <f t="shared" ca="1" si="39"/>
        <v>86.694344636415437</v>
      </c>
      <c r="M222" s="40"/>
      <c r="N222" s="40"/>
      <c r="Q222" s="46"/>
      <c r="R222" s="46">
        <f t="shared" ca="1" si="40"/>
        <v>71.7998542042981</v>
      </c>
      <c r="S222" s="40"/>
      <c r="T222" s="40"/>
      <c r="W222" s="4">
        <v>21.2</v>
      </c>
      <c r="X222" s="4">
        <f t="shared" ca="1" si="41"/>
        <v>1542233430431570.3</v>
      </c>
    </row>
    <row r="223" spans="4:24" x14ac:dyDescent="0.3">
      <c r="D223" s="4">
        <v>21.3</v>
      </c>
      <c r="E223" s="4">
        <f t="shared" si="38"/>
        <v>1562156409550955</v>
      </c>
      <c r="K223" s="40">
        <v>214</v>
      </c>
      <c r="L223" s="40">
        <f t="shared" ca="1" si="39"/>
        <v>41.203681602863711</v>
      </c>
      <c r="M223" s="40"/>
      <c r="N223" s="40"/>
      <c r="Q223" s="46"/>
      <c r="R223" s="46">
        <f t="shared" ca="1" si="40"/>
        <v>22.491320283645738</v>
      </c>
      <c r="S223" s="40"/>
      <c r="T223" s="40"/>
      <c r="W223" s="4">
        <v>21.3</v>
      </c>
      <c r="X223" s="4">
        <f t="shared" ca="1" si="41"/>
        <v>1540343785132880.5</v>
      </c>
    </row>
    <row r="224" spans="4:24" x14ac:dyDescent="0.3">
      <c r="D224" s="4">
        <v>21.4</v>
      </c>
      <c r="E224" s="4">
        <f t="shared" si="38"/>
        <v>1560345358728432.3</v>
      </c>
      <c r="K224" s="40">
        <v>215</v>
      </c>
      <c r="L224" s="40">
        <f t="shared" ca="1" si="39"/>
        <v>66.836413008689448</v>
      </c>
      <c r="M224" s="40"/>
      <c r="N224" s="40"/>
      <c r="Q224" s="46"/>
      <c r="R224" s="46">
        <f t="shared" ca="1" si="40"/>
        <v>84.442407573645255</v>
      </c>
      <c r="S224" s="40"/>
      <c r="T224" s="40"/>
      <c r="W224" s="4">
        <v>21.4</v>
      </c>
      <c r="X224" s="4">
        <f t="shared" ca="1" si="41"/>
        <v>1538456455151239.5</v>
      </c>
    </row>
    <row r="225" spans="4:24" x14ac:dyDescent="0.3">
      <c r="D225" s="4">
        <v>21.5</v>
      </c>
      <c r="E225" s="4">
        <f t="shared" si="38"/>
        <v>1558536407506859.5</v>
      </c>
      <c r="K225" s="40">
        <v>216</v>
      </c>
      <c r="L225" s="40">
        <f t="shared" ca="1" si="39"/>
        <v>352.57827890271597</v>
      </c>
      <c r="M225" s="40"/>
      <c r="N225" s="40"/>
      <c r="Q225" s="46"/>
      <c r="R225" s="46">
        <f t="shared" ca="1" si="40"/>
        <v>146.36554985937534</v>
      </c>
      <c r="S225" s="40"/>
      <c r="T225" s="40"/>
      <c r="W225" s="4">
        <v>21.5</v>
      </c>
      <c r="X225" s="4">
        <f t="shared" ca="1" si="41"/>
        <v>1536571437649769.5</v>
      </c>
    </row>
    <row r="226" spans="4:24" x14ac:dyDescent="0.3">
      <c r="D226" s="4">
        <v>21.6</v>
      </c>
      <c r="E226" s="4">
        <f t="shared" si="38"/>
        <v>1556729553452111.8</v>
      </c>
      <c r="K226" s="40">
        <v>217</v>
      </c>
      <c r="L226" s="40">
        <f t="shared" ca="1" si="39"/>
        <v>76.637313585306842</v>
      </c>
      <c r="M226" s="40"/>
      <c r="N226" s="40"/>
      <c r="Q226" s="46"/>
      <c r="R226" s="46">
        <f t="shared" ca="1" si="40"/>
        <v>46.297307884226356</v>
      </c>
      <c r="S226" s="40"/>
      <c r="T226" s="40"/>
      <c r="W226" s="4">
        <v>21.6</v>
      </c>
      <c r="X226" s="4">
        <f t="shared" ca="1" si="41"/>
        <v>1534688729795068.3</v>
      </c>
    </row>
    <row r="227" spans="4:24" x14ac:dyDescent="0.3">
      <c r="D227" s="4">
        <v>21.7</v>
      </c>
      <c r="E227" s="4">
        <f t="shared" si="38"/>
        <v>1554924794132886</v>
      </c>
      <c r="K227" s="40">
        <v>218</v>
      </c>
      <c r="L227" s="40">
        <f t="shared" ca="1" si="39"/>
        <v>153.30551748283267</v>
      </c>
      <c r="M227" s="40"/>
      <c r="N227" s="40"/>
      <c r="Q227" s="46"/>
      <c r="R227" s="46">
        <f t="shared" ca="1" si="40"/>
        <v>22.07430490786922</v>
      </c>
      <c r="S227" s="40"/>
      <c r="T227" s="40"/>
      <c r="W227" s="4">
        <v>21.7</v>
      </c>
      <c r="X227" s="4">
        <f t="shared" ca="1" si="41"/>
        <v>1532808328757205.8</v>
      </c>
    </row>
    <row r="228" spans="4:24" x14ac:dyDescent="0.3">
      <c r="D228" s="4">
        <v>21.8</v>
      </c>
      <c r="E228" s="4">
        <f t="shared" si="38"/>
        <v>1553122127120698</v>
      </c>
      <c r="K228" s="40">
        <v>219</v>
      </c>
      <c r="L228" s="40">
        <f t="shared" ca="1" si="39"/>
        <v>127.21646420433882</v>
      </c>
      <c r="M228" s="40"/>
      <c r="N228" s="40"/>
      <c r="Q228" s="46"/>
      <c r="R228" s="46">
        <f t="shared" ca="1" si="40"/>
        <v>49.346152796579176</v>
      </c>
      <c r="S228" s="40"/>
      <c r="T228" s="40"/>
      <c r="W228" s="4">
        <v>21.8</v>
      </c>
      <c r="X228" s="4">
        <f t="shared" ca="1" si="41"/>
        <v>1530930231709719.3</v>
      </c>
    </row>
    <row r="229" spans="4:24" x14ac:dyDescent="0.3">
      <c r="D229" s="4">
        <v>21.9</v>
      </c>
      <c r="E229" s="4">
        <f t="shared" si="38"/>
        <v>1551321549989878.8</v>
      </c>
      <c r="K229" s="40">
        <v>220</v>
      </c>
      <c r="L229" s="40">
        <f t="shared" ca="1" si="39"/>
        <v>280.00362543653563</v>
      </c>
      <c r="M229" s="40">
        <f t="shared" ref="M229" ca="1" si="48">AVERAGE(L220:L229)</f>
        <v>138.90486070800634</v>
      </c>
      <c r="N229" s="40">
        <f t="shared" ref="N229" ca="1" si="49">1/M229</f>
        <v>7.1991721161011966E-3</v>
      </c>
      <c r="Q229" s="46"/>
      <c r="R229" s="46">
        <f t="shared" ca="1" si="40"/>
        <v>65.269770072414929</v>
      </c>
      <c r="S229" s="40">
        <f t="shared" ref="S229" ca="1" si="50">AVERAGE(R220:R229)</f>
        <v>81.630233748864455</v>
      </c>
      <c r="T229" s="40">
        <f t="shared" ref="T229" ca="1" si="51">1/S229</f>
        <v>1.2250363058820848E-2</v>
      </c>
      <c r="W229" s="4">
        <v>21.9</v>
      </c>
      <c r="X229" s="4">
        <f t="shared" ca="1" si="41"/>
        <v>1529054435829608.5</v>
      </c>
    </row>
    <row r="230" spans="4:24" x14ac:dyDescent="0.3">
      <c r="D230" s="4">
        <v>22</v>
      </c>
      <c r="E230" s="4">
        <f t="shared" si="38"/>
        <v>1549523060317571</v>
      </c>
      <c r="K230" s="40">
        <v>221</v>
      </c>
      <c r="L230" s="40">
        <f t="shared" ca="1" si="39"/>
        <v>31.603287564912524</v>
      </c>
      <c r="M230" s="40"/>
      <c r="N230" s="40"/>
      <c r="Q230" s="46"/>
      <c r="R230" s="46">
        <f t="shared" ca="1" si="40"/>
        <v>40.735139706741506</v>
      </c>
      <c r="S230" s="40"/>
      <c r="T230" s="40"/>
      <c r="W230" s="4">
        <v>22</v>
      </c>
      <c r="X230" s="4">
        <f t="shared" ca="1" si="41"/>
        <v>1527180938297333</v>
      </c>
    </row>
    <row r="231" spans="4:24" x14ac:dyDescent="0.3">
      <c r="D231" s="4">
        <v>22.1</v>
      </c>
      <c r="E231" s="4">
        <f t="shared" si="38"/>
        <v>1547726655683727</v>
      </c>
      <c r="K231" s="40">
        <v>222</v>
      </c>
      <c r="L231" s="40">
        <f t="shared" ca="1" si="39"/>
        <v>47.140242882527168</v>
      </c>
      <c r="M231" s="40"/>
      <c r="N231" s="40"/>
      <c r="Q231" s="46"/>
      <c r="R231" s="46">
        <f t="shared" ca="1" si="40"/>
        <v>313.06904108104152</v>
      </c>
      <c r="S231" s="40"/>
      <c r="T231" s="40"/>
      <c r="W231" s="4">
        <v>22.1</v>
      </c>
      <c r="X231" s="4">
        <f t="shared" ca="1" si="41"/>
        <v>1525309736296806.5</v>
      </c>
    </row>
    <row r="232" spans="4:24" x14ac:dyDescent="0.3">
      <c r="D232" s="4">
        <v>22.2</v>
      </c>
      <c r="E232" s="4">
        <f t="shared" si="38"/>
        <v>1545932333671104.5</v>
      </c>
      <c r="K232" s="40">
        <v>223</v>
      </c>
      <c r="L232" s="40">
        <f t="shared" ca="1" si="39"/>
        <v>13.436972927969549</v>
      </c>
      <c r="M232" s="40"/>
      <c r="N232" s="40"/>
      <c r="Q232" s="46"/>
      <c r="R232" s="46">
        <f t="shared" ca="1" si="40"/>
        <v>84.495933159108446</v>
      </c>
      <c r="S232" s="40"/>
      <c r="T232" s="40"/>
      <c r="W232" s="4">
        <v>22.2</v>
      </c>
      <c r="X232" s="4">
        <f t="shared" ca="1" si="41"/>
        <v>1523440827015393.5</v>
      </c>
    </row>
    <row r="233" spans="4:24" x14ac:dyDescent="0.3">
      <c r="D233" s="4">
        <v>22.3</v>
      </c>
      <c r="E233" s="4">
        <f t="shared" si="38"/>
        <v>1544140091865263.8</v>
      </c>
      <c r="K233" s="40">
        <v>224</v>
      </c>
      <c r="L233" s="40">
        <f t="shared" ca="1" si="39"/>
        <v>34.337603486103184</v>
      </c>
      <c r="M233" s="40"/>
      <c r="N233" s="40"/>
      <c r="Q233" s="46"/>
      <c r="R233" s="46">
        <f t="shared" ca="1" si="40"/>
        <v>229.38392723744042</v>
      </c>
      <c r="S233" s="40"/>
      <c r="T233" s="40"/>
      <c r="W233" s="4">
        <v>22.3</v>
      </c>
      <c r="X233" s="4">
        <f t="shared" ca="1" si="41"/>
        <v>1521574207643904</v>
      </c>
    </row>
    <row r="234" spans="4:24" x14ac:dyDescent="0.3">
      <c r="D234" s="4">
        <v>22.4</v>
      </c>
      <c r="E234" s="4">
        <f t="shared" si="38"/>
        <v>1542349927854563.3</v>
      </c>
      <c r="K234" s="40">
        <v>225</v>
      </c>
      <c r="L234" s="40">
        <f t="shared" ca="1" si="39"/>
        <v>39.776756940392666</v>
      </c>
      <c r="M234" s="40"/>
      <c r="N234" s="40"/>
      <c r="Q234" s="46"/>
      <c r="R234" s="46">
        <f t="shared" ca="1" si="40"/>
        <v>273.03747936276972</v>
      </c>
      <c r="S234" s="40"/>
      <c r="T234" s="40"/>
      <c r="W234" s="4">
        <v>22.4</v>
      </c>
      <c r="X234" s="4">
        <f t="shared" ca="1" si="41"/>
        <v>1519709875376591.5</v>
      </c>
    </row>
    <row r="235" spans="4:24" x14ac:dyDescent="0.3">
      <c r="D235" s="4">
        <v>22.5</v>
      </c>
      <c r="E235" s="4">
        <f t="shared" si="38"/>
        <v>1540561839230158.3</v>
      </c>
      <c r="K235" s="40">
        <v>226</v>
      </c>
      <c r="L235" s="40">
        <f t="shared" ca="1" si="39"/>
        <v>73.438168856877311</v>
      </c>
      <c r="M235" s="40"/>
      <c r="N235" s="40"/>
      <c r="Q235" s="46"/>
      <c r="R235" s="46">
        <f t="shared" ca="1" si="40"/>
        <v>13.793810623258024</v>
      </c>
      <c r="S235" s="40"/>
      <c r="T235" s="40"/>
      <c r="W235" s="4">
        <v>22.5</v>
      </c>
      <c r="X235" s="4">
        <f t="shared" ca="1" si="41"/>
        <v>1517847827411145.3</v>
      </c>
    </row>
    <row r="236" spans="4:24" x14ac:dyDescent="0.3">
      <c r="D236" s="4">
        <v>22.6</v>
      </c>
      <c r="E236" s="4">
        <f t="shared" si="38"/>
        <v>1538775823585996.8</v>
      </c>
      <c r="K236" s="40">
        <v>227</v>
      </c>
      <c r="L236" s="40">
        <f t="shared" ca="1" si="39"/>
        <v>7.2623034211215138</v>
      </c>
      <c r="M236" s="40"/>
      <c r="N236" s="40"/>
      <c r="Q236" s="46"/>
      <c r="R236" s="46">
        <f t="shared" ca="1" si="40"/>
        <v>17.182132572365425</v>
      </c>
      <c r="S236" s="40"/>
      <c r="T236" s="40"/>
      <c r="W236" s="4">
        <v>22.6</v>
      </c>
      <c r="X236" s="4">
        <f t="shared" ca="1" si="41"/>
        <v>1515988060948689.8</v>
      </c>
    </row>
    <row r="237" spans="4:24" x14ac:dyDescent="0.3">
      <c r="D237" s="4">
        <v>22.7</v>
      </c>
      <c r="E237" s="4">
        <f t="shared" si="38"/>
        <v>1536991878518815.8</v>
      </c>
      <c r="K237" s="40">
        <v>228</v>
      </c>
      <c r="L237" s="40">
        <f t="shared" ca="1" si="39"/>
        <v>66.194784803324922</v>
      </c>
      <c r="M237" s="40"/>
      <c r="N237" s="40"/>
      <c r="Q237" s="46"/>
      <c r="R237" s="46">
        <f t="shared" ca="1" si="40"/>
        <v>267.50050399239126</v>
      </c>
      <c r="S237" s="40"/>
      <c r="T237" s="40"/>
      <c r="W237" s="4">
        <v>22.7</v>
      </c>
      <c r="X237" s="4">
        <f t="shared" ca="1" si="41"/>
        <v>1514130573193778.5</v>
      </c>
    </row>
    <row r="238" spans="4:24" x14ac:dyDescent="0.3">
      <c r="D238" s="4">
        <v>22.8</v>
      </c>
      <c r="E238" s="4">
        <f t="shared" si="38"/>
        <v>1535210001628138.3</v>
      </c>
      <c r="K238" s="40">
        <v>229</v>
      </c>
      <c r="L238" s="40">
        <f t="shared" ca="1" si="39"/>
        <v>22.931594715603801</v>
      </c>
      <c r="M238" s="40"/>
      <c r="N238" s="40"/>
      <c r="Q238" s="46"/>
      <c r="R238" s="46">
        <f t="shared" ca="1" si="40"/>
        <v>4.8926281801395088</v>
      </c>
      <c r="S238" s="40"/>
      <c r="T238" s="40"/>
      <c r="W238" s="4">
        <v>22.8</v>
      </c>
      <c r="X238" s="4">
        <f t="shared" ca="1" si="41"/>
        <v>1512275361354389.3</v>
      </c>
    </row>
    <row r="239" spans="4:24" x14ac:dyDescent="0.3">
      <c r="D239" s="4">
        <v>22.9</v>
      </c>
      <c r="E239" s="4">
        <f t="shared" si="38"/>
        <v>1533430190516270.5</v>
      </c>
      <c r="K239" s="40">
        <v>230</v>
      </c>
      <c r="L239" s="40">
        <f t="shared" ca="1" si="39"/>
        <v>134.36428850758742</v>
      </c>
      <c r="M239" s="40">
        <f t="shared" ref="M239" ca="1" si="52">AVERAGE(L230:L239)</f>
        <v>47.04860041064201</v>
      </c>
      <c r="N239" s="40">
        <f t="shared" ref="N239" ca="1" si="53">1/M239</f>
        <v>2.1254617380155015E-2</v>
      </c>
      <c r="Q239" s="46"/>
      <c r="R239" s="46">
        <f t="shared" ca="1" si="40"/>
        <v>200.22358487030746</v>
      </c>
      <c r="S239" s="40">
        <f t="shared" ref="S239" ca="1" si="54">AVERAGE(R230:R239)</f>
        <v>144.43141807855631</v>
      </c>
      <c r="T239" s="40">
        <f t="shared" ref="T239" ca="1" si="55">1/S239</f>
        <v>6.923701320000193E-3</v>
      </c>
      <c r="W239" s="4">
        <v>22.9</v>
      </c>
      <c r="X239" s="4">
        <f t="shared" ca="1" si="41"/>
        <v>1510422422641922</v>
      </c>
    </row>
    <row r="240" spans="4:24" x14ac:dyDescent="0.3">
      <c r="D240" s="4">
        <v>23</v>
      </c>
      <c r="E240" s="4">
        <f t="shared" si="38"/>
        <v>1531652442788298.8</v>
      </c>
      <c r="K240" s="40">
        <v>231</v>
      </c>
      <c r="L240" s="40">
        <f t="shared" ca="1" si="39"/>
        <v>30.891045421210926</v>
      </c>
      <c r="M240" s="40"/>
      <c r="N240" s="40"/>
      <c r="Q240" s="46"/>
      <c r="R240" s="46">
        <f t="shared" ca="1" si="40"/>
        <v>12.310842377677243</v>
      </c>
      <c r="S240" s="40"/>
      <c r="T240" s="40"/>
      <c r="W240" s="4">
        <v>23</v>
      </c>
      <c r="X240" s="4">
        <f t="shared" ca="1" si="41"/>
        <v>1508571754271192.8</v>
      </c>
    </row>
    <row r="241" spans="4:24" x14ac:dyDescent="0.3">
      <c r="D241" s="4">
        <v>23.1</v>
      </c>
      <c r="E241" s="4">
        <f t="shared" si="38"/>
        <v>1529876756052085.3</v>
      </c>
      <c r="K241" s="40">
        <v>232</v>
      </c>
      <c r="L241" s="40">
        <f t="shared" ca="1" si="39"/>
        <v>81.96467241164396</v>
      </c>
      <c r="M241" s="40"/>
      <c r="N241" s="40"/>
      <c r="Q241" s="46"/>
      <c r="R241" s="46">
        <f t="shared" ca="1" si="40"/>
        <v>93.136560138761368</v>
      </c>
      <c r="S241" s="40"/>
      <c r="T241" s="40"/>
      <c r="W241" s="4">
        <v>23.1</v>
      </c>
      <c r="X241" s="4">
        <f t="shared" ca="1" si="41"/>
        <v>1506723353460430</v>
      </c>
    </row>
    <row r="242" spans="4:24" x14ac:dyDescent="0.3">
      <c r="D242" s="4">
        <v>23.2</v>
      </c>
      <c r="E242" s="4">
        <f t="shared" si="38"/>
        <v>1528103127918265</v>
      </c>
      <c r="K242" s="40">
        <v>233</v>
      </c>
      <c r="L242" s="40">
        <f t="shared" ca="1" si="39"/>
        <v>31.11046235166679</v>
      </c>
      <c r="M242" s="40"/>
      <c r="N242" s="40"/>
      <c r="Q242" s="46"/>
      <c r="R242" s="46">
        <f t="shared" ca="1" si="40"/>
        <v>139.12179623157945</v>
      </c>
      <c r="S242" s="40"/>
      <c r="T242" s="40"/>
      <c r="W242" s="4">
        <v>23.2</v>
      </c>
      <c r="X242" s="4">
        <f t="shared" ca="1" si="41"/>
        <v>1504877217431271.3</v>
      </c>
    </row>
    <row r="243" spans="4:24" x14ac:dyDescent="0.3">
      <c r="D243" s="4">
        <v>23.3</v>
      </c>
      <c r="E243" s="4">
        <f t="shared" si="38"/>
        <v>1526331556000244.5</v>
      </c>
      <c r="K243" s="40">
        <v>234</v>
      </c>
      <c r="L243" s="40">
        <f t="shared" ca="1" si="39"/>
        <v>31.41109247987011</v>
      </c>
      <c r="M243" s="40"/>
      <c r="N243" s="40"/>
      <c r="Q243" s="46"/>
      <c r="R243" s="46">
        <f t="shared" ca="1" si="40"/>
        <v>264.63701499653445</v>
      </c>
      <c r="S243" s="40"/>
      <c r="T243" s="40"/>
      <c r="W243" s="4">
        <v>23.3</v>
      </c>
      <c r="X243" s="4">
        <f t="shared" ca="1" si="41"/>
        <v>1503033343408758</v>
      </c>
    </row>
    <row r="244" spans="4:24" x14ac:dyDescent="0.3">
      <c r="D244" s="4">
        <v>23.4</v>
      </c>
      <c r="E244" s="4">
        <f t="shared" si="38"/>
        <v>1524562037914196.3</v>
      </c>
      <c r="K244" s="40">
        <v>235</v>
      </c>
      <c r="L244" s="40">
        <f t="shared" ca="1" si="39"/>
        <v>5.2621216760159806</v>
      </c>
      <c r="M244" s="40"/>
      <c r="N244" s="40"/>
      <c r="Q244" s="46"/>
      <c r="R244" s="46">
        <f t="shared" ca="1" si="40"/>
        <v>72.189777605266556</v>
      </c>
      <c r="S244" s="40"/>
      <c r="T244" s="40"/>
      <c r="W244" s="4">
        <v>23.4</v>
      </c>
      <c r="X244" s="4">
        <f t="shared" ca="1" si="41"/>
        <v>1501191728621331.3</v>
      </c>
    </row>
    <row r="245" spans="4:24" x14ac:dyDescent="0.3">
      <c r="D245" s="4">
        <v>23.5</v>
      </c>
      <c r="E245" s="4">
        <f t="shared" si="38"/>
        <v>1522794571279056</v>
      </c>
      <c r="K245" s="40">
        <v>236</v>
      </c>
      <c r="L245" s="40">
        <f t="shared" ca="1" si="39"/>
        <v>32.636571847335588</v>
      </c>
      <c r="M245" s="40"/>
      <c r="N245" s="40"/>
      <c r="Q245" s="46"/>
      <c r="R245" s="46">
        <f t="shared" ca="1" si="40"/>
        <v>34.424981845546739</v>
      </c>
      <c r="S245" s="40"/>
      <c r="T245" s="40"/>
      <c r="W245" s="4">
        <v>23.5</v>
      </c>
      <c r="X245" s="4">
        <f t="shared" ca="1" si="41"/>
        <v>1499352370300828.8</v>
      </c>
    </row>
    <row r="246" spans="4:24" x14ac:dyDescent="0.3">
      <c r="D246" s="4">
        <v>23.6</v>
      </c>
      <c r="E246" s="4">
        <f t="shared" si="38"/>
        <v>1521029153716520.8</v>
      </c>
      <c r="K246" s="40">
        <v>237</v>
      </c>
      <c r="L246" s="40">
        <f t="shared" ca="1" si="39"/>
        <v>52.755147620060193</v>
      </c>
      <c r="M246" s="40"/>
      <c r="N246" s="40"/>
      <c r="Q246" s="46"/>
      <c r="R246" s="46">
        <f t="shared" ca="1" si="40"/>
        <v>38.273235279940479</v>
      </c>
      <c r="S246" s="40"/>
      <c r="T246" s="40"/>
      <c r="W246" s="4">
        <v>23.6</v>
      </c>
      <c r="X246" s="4">
        <f t="shared" ca="1" si="41"/>
        <v>1497515265682479.3</v>
      </c>
    </row>
    <row r="247" spans="4:24" x14ac:dyDescent="0.3">
      <c r="D247" s="4">
        <v>23.7</v>
      </c>
      <c r="E247" s="4">
        <f t="shared" si="38"/>
        <v>1519265782851044</v>
      </c>
      <c r="K247" s="40">
        <v>238</v>
      </c>
      <c r="L247" s="40">
        <f t="shared" ca="1" si="39"/>
        <v>32.102786978092269</v>
      </c>
      <c r="M247" s="40"/>
      <c r="N247" s="40"/>
      <c r="Q247" s="46"/>
      <c r="R247" s="46">
        <f t="shared" ca="1" si="40"/>
        <v>57.22223823089297</v>
      </c>
      <c r="S247" s="40"/>
      <c r="T247" s="40"/>
      <c r="W247" s="4">
        <v>23.7</v>
      </c>
      <c r="X247" s="4">
        <f t="shared" ca="1" si="41"/>
        <v>1495680412004900</v>
      </c>
    </row>
    <row r="248" spans="4:24" x14ac:dyDescent="0.3">
      <c r="D248" s="4">
        <v>23.8</v>
      </c>
      <c r="E248" s="4">
        <f t="shared" si="38"/>
        <v>1517504456309834.3</v>
      </c>
      <c r="K248" s="40">
        <v>239</v>
      </c>
      <c r="L248" s="40">
        <f t="shared" ca="1" si="39"/>
        <v>14.878351609072633</v>
      </c>
      <c r="M248" s="40"/>
      <c r="N248" s="40"/>
      <c r="Q248" s="46"/>
      <c r="R248" s="46">
        <f t="shared" ca="1" si="40"/>
        <v>51.578996548761552</v>
      </c>
      <c r="S248" s="40"/>
      <c r="T248" s="40"/>
      <c r="W248" s="4">
        <v>23.8</v>
      </c>
      <c r="X248" s="4">
        <f t="shared" ca="1" si="41"/>
        <v>1493847806510090.8</v>
      </c>
    </row>
    <row r="249" spans="4:24" x14ac:dyDescent="0.3">
      <c r="D249" s="4">
        <v>23.9</v>
      </c>
      <c r="E249" s="4">
        <f t="shared" si="38"/>
        <v>1515745171722849.8</v>
      </c>
      <c r="K249" s="40">
        <v>240</v>
      </c>
      <c r="L249" s="40">
        <f t="shared" ca="1" si="39"/>
        <v>92.929331727903374</v>
      </c>
      <c r="M249" s="40">
        <f t="shared" ref="M249" ca="1" si="56">AVERAGE(L240:L249)</f>
        <v>40.594158412287193</v>
      </c>
      <c r="N249" s="40">
        <f t="shared" ref="N249" ca="1" si="57">1/M249</f>
        <v>2.4634086260483138E-2</v>
      </c>
      <c r="Q249" s="46"/>
      <c r="R249" s="46">
        <f t="shared" ca="1" si="40"/>
        <v>48.411132495502848</v>
      </c>
      <c r="S249" s="40">
        <f t="shared" ref="S249" ca="1" si="58">AVERAGE(R240:R249)</f>
        <v>81.130657575046371</v>
      </c>
      <c r="T249" s="40">
        <f t="shared" ref="T249" ca="1" si="59">1/S249</f>
        <v>1.2325796805911424E-2</v>
      </c>
      <c r="W249" s="4">
        <v>23.9</v>
      </c>
      <c r="X249" s="4">
        <f t="shared" ca="1" si="41"/>
        <v>1492017446443430.5</v>
      </c>
    </row>
    <row r="250" spans="4:24" x14ac:dyDescent="0.3">
      <c r="D250" s="4">
        <v>24</v>
      </c>
      <c r="E250" s="4">
        <f t="shared" si="38"/>
        <v>1513987926722797.3</v>
      </c>
      <c r="K250" s="40">
        <v>241</v>
      </c>
      <c r="L250" s="40">
        <f t="shared" ca="1" si="39"/>
        <v>4.8173804469780208</v>
      </c>
      <c r="M250" s="40"/>
      <c r="N250" s="40"/>
      <c r="Q250" s="46"/>
      <c r="R250" s="46">
        <f t="shared" ca="1" si="40"/>
        <v>36.898718053508063</v>
      </c>
      <c r="S250" s="40"/>
      <c r="T250" s="40"/>
      <c r="W250" s="4">
        <v>24</v>
      </c>
      <c r="X250" s="4">
        <f t="shared" ca="1" si="41"/>
        <v>1490189329053674.5</v>
      </c>
    </row>
    <row r="251" spans="4:24" x14ac:dyDescent="0.3">
      <c r="D251" s="4">
        <v>24.1</v>
      </c>
      <c r="E251" s="4">
        <f t="shared" si="38"/>
        <v>1512232718945127</v>
      </c>
      <c r="K251" s="40">
        <v>242</v>
      </c>
      <c r="L251" s="40">
        <f t="shared" ca="1" si="39"/>
        <v>72.277615413604181</v>
      </c>
      <c r="M251" s="40"/>
      <c r="N251" s="40"/>
      <c r="Q251" s="46"/>
      <c r="R251" s="46">
        <f t="shared" ca="1" si="40"/>
        <v>59.372303227621828</v>
      </c>
      <c r="S251" s="40"/>
      <c r="T251" s="40"/>
      <c r="W251" s="4">
        <v>24.1</v>
      </c>
      <c r="X251" s="4">
        <f t="shared" ca="1" si="41"/>
        <v>1488363451592947.8</v>
      </c>
    </row>
    <row r="252" spans="4:24" x14ac:dyDescent="0.3">
      <c r="D252" s="4">
        <v>24.2</v>
      </c>
      <c r="E252" s="4">
        <f t="shared" si="38"/>
        <v>1510479546028031.5</v>
      </c>
      <c r="K252" s="40">
        <v>243</v>
      </c>
      <c r="L252" s="40">
        <f t="shared" ca="1" si="39"/>
        <v>156.31429595180853</v>
      </c>
      <c r="M252" s="40"/>
      <c r="N252" s="40"/>
      <c r="Q252" s="46"/>
      <c r="R252" s="46">
        <f t="shared" ca="1" si="40"/>
        <v>675.09537067374356</v>
      </c>
      <c r="S252" s="40"/>
      <c r="T252" s="40"/>
      <c r="W252" s="4">
        <v>24.2</v>
      </c>
      <c r="X252" s="4">
        <f t="shared" ca="1" si="41"/>
        <v>1486539811316743</v>
      </c>
    </row>
    <row r="253" spans="4:24" x14ac:dyDescent="0.3">
      <c r="D253" s="4">
        <v>24.3</v>
      </c>
      <c r="E253" s="4">
        <f t="shared" si="38"/>
        <v>1508728405612441.5</v>
      </c>
      <c r="K253" s="40">
        <v>244</v>
      </c>
      <c r="L253" s="40">
        <f t="shared" ca="1" si="39"/>
        <v>21.560644249783799</v>
      </c>
      <c r="M253" s="40"/>
      <c r="N253" s="40"/>
      <c r="Q253" s="46"/>
      <c r="R253" s="46">
        <f t="shared" ca="1" si="40"/>
        <v>9.7754339198612552</v>
      </c>
      <c r="S253" s="40"/>
      <c r="T253" s="40"/>
      <c r="W253" s="4">
        <v>24.3</v>
      </c>
      <c r="X253" s="4">
        <f t="shared" ca="1" si="41"/>
        <v>1484718405483915.3</v>
      </c>
    </row>
    <row r="254" spans="4:24" x14ac:dyDescent="0.3">
      <c r="D254" s="4">
        <v>24.4</v>
      </c>
      <c r="E254" s="4">
        <f t="shared" si="38"/>
        <v>1506979295342021.3</v>
      </c>
      <c r="K254" s="40">
        <v>245</v>
      </c>
      <c r="L254" s="40">
        <f t="shared" ca="1" si="39"/>
        <v>62.681889885980048</v>
      </c>
      <c r="M254" s="40"/>
      <c r="N254" s="40"/>
      <c r="Q254" s="46"/>
      <c r="R254" s="46">
        <f t="shared" ca="1" si="40"/>
        <v>71.367689732928952</v>
      </c>
      <c r="S254" s="40"/>
      <c r="T254" s="40"/>
      <c r="W254" s="4">
        <v>24.4</v>
      </c>
      <c r="X254" s="4">
        <f t="shared" ca="1" si="41"/>
        <v>1482899231356678.5</v>
      </c>
    </row>
    <row r="255" spans="4:24" x14ac:dyDescent="0.3">
      <c r="D255" s="4">
        <v>24.5</v>
      </c>
      <c r="E255" s="4">
        <f t="shared" si="38"/>
        <v>1505232212863168.5</v>
      </c>
      <c r="K255" s="40">
        <v>246</v>
      </c>
      <c r="L255" s="40">
        <f t="shared" ca="1" si="39"/>
        <v>17.388382191116744</v>
      </c>
      <c r="M255" s="40"/>
      <c r="N255" s="40"/>
      <c r="Q255" s="46"/>
      <c r="R255" s="46">
        <f t="shared" ca="1" si="40"/>
        <v>373.92802717642229</v>
      </c>
      <c r="S255" s="40"/>
      <c r="T255" s="40"/>
      <c r="W255" s="4">
        <v>24.5</v>
      </c>
      <c r="X255" s="4">
        <f t="shared" ca="1" si="41"/>
        <v>1481082286200600.3</v>
      </c>
    </row>
    <row r="256" spans="4:24" x14ac:dyDescent="0.3">
      <c r="D256" s="4">
        <v>24.6</v>
      </c>
      <c r="E256" s="4">
        <f t="shared" si="38"/>
        <v>1503487155825008.5</v>
      </c>
      <c r="K256" s="40">
        <v>247</v>
      </c>
      <c r="L256" s="40">
        <f t="shared" ca="1" si="39"/>
        <v>29.13544098214323</v>
      </c>
      <c r="M256" s="40"/>
      <c r="N256" s="40"/>
      <c r="Q256" s="46"/>
      <c r="R256" s="46">
        <f t="shared" ca="1" si="40"/>
        <v>156.00765915582687</v>
      </c>
      <c r="S256" s="40"/>
      <c r="T256" s="40"/>
      <c r="W256" s="4">
        <v>24.6</v>
      </c>
      <c r="X256" s="4">
        <f t="shared" ca="1" si="41"/>
        <v>1479267567284600.3</v>
      </c>
    </row>
    <row r="257" spans="4:24" x14ac:dyDescent="0.3">
      <c r="D257" s="4">
        <v>24.7</v>
      </c>
      <c r="E257" s="4">
        <f t="shared" si="38"/>
        <v>1501744121879392</v>
      </c>
      <c r="K257" s="40">
        <v>248</v>
      </c>
      <c r="L257" s="40">
        <f t="shared" ca="1" si="39"/>
        <v>64.569246361062199</v>
      </c>
      <c r="M257" s="40"/>
      <c r="N257" s="40"/>
      <c r="Q257" s="46"/>
      <c r="R257" s="46">
        <f t="shared" ca="1" si="40"/>
        <v>68.16231432191222</v>
      </c>
      <c r="S257" s="40"/>
      <c r="T257" s="40"/>
      <c r="W257" s="4">
        <v>24.7</v>
      </c>
      <c r="X257" s="4">
        <f t="shared" ca="1" si="41"/>
        <v>1477455071880943.3</v>
      </c>
    </row>
    <row r="258" spans="4:24" x14ac:dyDescent="0.3">
      <c r="D258" s="4">
        <v>24.8</v>
      </c>
      <c r="E258" s="4">
        <f t="shared" si="38"/>
        <v>1500003108680892.8</v>
      </c>
      <c r="K258" s="40">
        <v>249</v>
      </c>
      <c r="L258" s="40">
        <f t="shared" ca="1" si="39"/>
        <v>159.2561534331802</v>
      </c>
      <c r="M258" s="40"/>
      <c r="N258" s="40"/>
      <c r="Q258" s="46"/>
      <c r="R258" s="46">
        <f t="shared" ca="1" si="40"/>
        <v>253.41109398461765</v>
      </c>
      <c r="S258" s="40"/>
      <c r="T258" s="40"/>
      <c r="W258" s="4">
        <v>24.8</v>
      </c>
      <c r="X258" s="4">
        <f t="shared" ca="1" si="41"/>
        <v>1475644797265235.8</v>
      </c>
    </row>
    <row r="259" spans="4:24" x14ac:dyDescent="0.3">
      <c r="D259" s="4">
        <v>24.9</v>
      </c>
      <c r="E259" s="4">
        <f t="shared" si="38"/>
        <v>1498264113886802.8</v>
      </c>
      <c r="K259" s="40">
        <v>250</v>
      </c>
      <c r="L259" s="40">
        <f t="shared" ca="1" si="39"/>
        <v>140.14982522630547</v>
      </c>
      <c r="M259" s="40">
        <f t="shared" ref="M259" ca="1" si="60">AVERAGE(L250:L259)</f>
        <v>72.815087414196242</v>
      </c>
      <c r="N259" s="40">
        <f t="shared" ref="N259" ca="1" si="61">1/M259</f>
        <v>1.3733417558255065E-2</v>
      </c>
      <c r="Q259" s="46"/>
      <c r="R259" s="46">
        <f t="shared" ca="1" si="40"/>
        <v>112.06474214324254</v>
      </c>
      <c r="S259" s="40">
        <f t="shared" ref="S259" ca="1" si="62">AVERAGE(R250:R259)</f>
        <v>181.60833523896852</v>
      </c>
      <c r="T259" s="40">
        <f t="shared" ref="T259" ca="1" si="63">1/S259</f>
        <v>5.506355193907562E-3</v>
      </c>
      <c r="W259" s="4">
        <v>24.9</v>
      </c>
      <c r="X259" s="4">
        <f t="shared" ca="1" si="41"/>
        <v>1473836740716424</v>
      </c>
    </row>
    <row r="260" spans="4:24" x14ac:dyDescent="0.3">
      <c r="D260" s="4">
        <v>25</v>
      </c>
      <c r="E260" s="4">
        <f t="shared" si="38"/>
        <v>1496527135157130.5</v>
      </c>
      <c r="K260" s="40">
        <v>251</v>
      </c>
      <c r="L260" s="40">
        <f t="shared" ca="1" si="39"/>
        <v>227.08739272730443</v>
      </c>
      <c r="M260" s="40"/>
      <c r="N260" s="40"/>
      <c r="Q260" s="46"/>
      <c r="R260" s="46">
        <f t="shared" ca="1" si="40"/>
        <v>73.117639089103122</v>
      </c>
      <c r="S260" s="40"/>
      <c r="T260" s="40"/>
      <c r="W260" s="4">
        <v>25</v>
      </c>
      <c r="X260" s="4">
        <f t="shared" ca="1" si="41"/>
        <v>1472030899516786.5</v>
      </c>
    </row>
    <row r="261" spans="4:24" x14ac:dyDescent="0.3">
      <c r="D261" s="4">
        <v>25.1</v>
      </c>
      <c r="E261" s="4">
        <f t="shared" si="38"/>
        <v>1494792170154597</v>
      </c>
      <c r="K261" s="40">
        <v>252</v>
      </c>
      <c r="L261" s="40">
        <f t="shared" ca="1" si="39"/>
        <v>124.66879044344661</v>
      </c>
      <c r="M261" s="40"/>
      <c r="N261" s="40"/>
      <c r="Q261" s="46"/>
      <c r="R261" s="46">
        <f t="shared" ca="1" si="40"/>
        <v>124.71157324403987</v>
      </c>
      <c r="S261" s="40"/>
      <c r="T261" s="40"/>
      <c r="W261" s="4">
        <v>25.1</v>
      </c>
      <c r="X261" s="4">
        <f t="shared" ca="1" si="41"/>
        <v>1470227270951933.3</v>
      </c>
    </row>
    <row r="262" spans="4:24" x14ac:dyDescent="0.3">
      <c r="D262" s="4">
        <v>25.2</v>
      </c>
      <c r="E262" s="4">
        <f t="shared" si="38"/>
        <v>1493059216544633.5</v>
      </c>
      <c r="K262" s="40">
        <v>253</v>
      </c>
      <c r="L262" s="40">
        <f t="shared" ca="1" si="39"/>
        <v>7.5298909407000378</v>
      </c>
      <c r="M262" s="40"/>
      <c r="N262" s="40"/>
      <c r="Q262" s="46"/>
      <c r="R262" s="46">
        <f t="shared" ca="1" si="40"/>
        <v>228.22254426654717</v>
      </c>
      <c r="S262" s="40"/>
      <c r="T262" s="40"/>
      <c r="W262" s="4">
        <v>25.2</v>
      </c>
      <c r="X262" s="4">
        <f t="shared" ca="1" si="41"/>
        <v>1468425852310799</v>
      </c>
    </row>
    <row r="263" spans="4:24" x14ac:dyDescent="0.3">
      <c r="D263" s="4">
        <v>25.3</v>
      </c>
      <c r="E263" s="4">
        <f t="shared" si="38"/>
        <v>1491328271995377</v>
      </c>
      <c r="K263" s="40">
        <v>254</v>
      </c>
      <c r="L263" s="40">
        <f t="shared" ca="1" si="39"/>
        <v>68.833534236671099</v>
      </c>
      <c r="M263" s="40"/>
      <c r="N263" s="40"/>
      <c r="Q263" s="46"/>
      <c r="R263" s="46">
        <f t="shared" ca="1" si="40"/>
        <v>9.9350433325488741</v>
      </c>
      <c r="S263" s="40"/>
      <c r="T263" s="40"/>
      <c r="W263" s="4">
        <v>25.3</v>
      </c>
      <c r="X263" s="4">
        <f t="shared" ca="1" si="41"/>
        <v>1466626640885640.5</v>
      </c>
    </row>
    <row r="264" spans="4:24" x14ac:dyDescent="0.3">
      <c r="D264" s="4">
        <v>25.4</v>
      </c>
      <c r="E264" s="4">
        <f t="shared" si="38"/>
        <v>1489599334177668</v>
      </c>
      <c r="K264" s="40">
        <v>255</v>
      </c>
      <c r="L264" s="40">
        <f t="shared" ca="1" si="39"/>
        <v>179.87270285917452</v>
      </c>
      <c r="M264" s="40"/>
      <c r="N264" s="40"/>
      <c r="Q264" s="46"/>
      <c r="R264" s="46">
        <f t="shared" ca="1" si="40"/>
        <v>29.815752298382641</v>
      </c>
      <c r="S264" s="40"/>
      <c r="T264" s="40"/>
      <c r="W264" s="4">
        <v>25.4</v>
      </c>
      <c r="X264" s="4">
        <f t="shared" ca="1" si="41"/>
        <v>1464829633972032.5</v>
      </c>
    </row>
    <row r="265" spans="4:24" x14ac:dyDescent="0.3">
      <c r="D265" s="4">
        <v>25.5</v>
      </c>
      <c r="E265" s="4">
        <f t="shared" si="38"/>
        <v>1487872400765048</v>
      </c>
      <c r="K265" s="40">
        <v>256</v>
      </c>
      <c r="L265" s="40">
        <f t="shared" ca="1" si="39"/>
        <v>51.744451607838243</v>
      </c>
      <c r="M265" s="40"/>
      <c r="N265" s="40"/>
      <c r="Q265" s="46"/>
      <c r="R265" s="46">
        <f t="shared" ca="1" si="40"/>
        <v>3.1826860915996771</v>
      </c>
      <c r="S265" s="40"/>
      <c r="T265" s="40"/>
      <c r="W265" s="4">
        <v>25.5</v>
      </c>
      <c r="X265" s="4">
        <f t="shared" ca="1" si="41"/>
        <v>1463034828868863.3</v>
      </c>
    </row>
    <row r="266" spans="4:24" x14ac:dyDescent="0.3">
      <c r="D266" s="4">
        <v>25.6</v>
      </c>
      <c r="E266" s="4">
        <f t="shared" si="38"/>
        <v>1486147469433754.8</v>
      </c>
      <c r="K266" s="40">
        <v>257</v>
      </c>
      <c r="L266" s="40">
        <f t="shared" ca="1" si="39"/>
        <v>5.9995850940161866</v>
      </c>
      <c r="M266" s="40"/>
      <c r="N266" s="40"/>
      <c r="Q266" s="46"/>
      <c r="R266" s="46">
        <f t="shared" ca="1" si="40"/>
        <v>216.78966961501226</v>
      </c>
      <c r="S266" s="40"/>
      <c r="T266" s="40"/>
      <c r="W266" s="4">
        <v>25.6</v>
      </c>
      <c r="X266" s="4">
        <f t="shared" ca="1" si="41"/>
        <v>1461242222878330.5</v>
      </c>
    </row>
    <row r="267" spans="4:24" x14ac:dyDescent="0.3">
      <c r="D267" s="4">
        <v>25.7</v>
      </c>
      <c r="E267" s="4">
        <f t="shared" ref="E267:E330" si="64">$F$4*EXP(-$F$5*D267)</f>
        <v>1484424537862721</v>
      </c>
      <c r="K267" s="40">
        <v>258</v>
      </c>
      <c r="L267" s="40">
        <f t="shared" ref="L267:L330" ca="1" si="65">-(1/$F$5)*LN(RAND())</f>
        <v>21.078757271966122</v>
      </c>
      <c r="M267" s="40"/>
      <c r="N267" s="40"/>
      <c r="Q267" s="46"/>
      <c r="R267" s="46">
        <f t="shared" ref="R267:R330" ca="1" si="66">-(1/$Q$10)*LN(RAND())</f>
        <v>68.193573236611357</v>
      </c>
      <c r="S267" s="40"/>
      <c r="T267" s="40"/>
      <c r="W267" s="4">
        <v>25.7</v>
      </c>
      <c r="X267" s="4">
        <f t="shared" ref="X267:X330" ca="1" si="67">$F$4*EXP(-$U$10*W267)</f>
        <v>1459451813305937.3</v>
      </c>
    </row>
    <row r="268" spans="4:24" x14ac:dyDescent="0.3">
      <c r="D268" s="4">
        <v>25.8</v>
      </c>
      <c r="E268" s="4">
        <f t="shared" si="64"/>
        <v>1482703603733569.3</v>
      </c>
      <c r="K268" s="40">
        <v>259</v>
      </c>
      <c r="L268" s="40">
        <f t="shared" ca="1" si="65"/>
        <v>23.094347526540371</v>
      </c>
      <c r="M268" s="40"/>
      <c r="N268" s="40"/>
      <c r="Q268" s="46"/>
      <c r="R268" s="46">
        <f t="shared" ca="1" si="66"/>
        <v>28.258725200314792</v>
      </c>
      <c r="S268" s="40"/>
      <c r="T268" s="40"/>
      <c r="W268" s="4">
        <v>25.8</v>
      </c>
      <c r="X268" s="4">
        <f t="shared" ca="1" si="67"/>
        <v>1457663597460488.8</v>
      </c>
    </row>
    <row r="269" spans="4:24" x14ac:dyDescent="0.3">
      <c r="D269" s="4">
        <v>25.9</v>
      </c>
      <c r="E269" s="4">
        <f t="shared" si="64"/>
        <v>1480984664730610.5</v>
      </c>
      <c r="K269" s="40">
        <v>260</v>
      </c>
      <c r="L269" s="40">
        <f t="shared" ca="1" si="65"/>
        <v>195.26059559533135</v>
      </c>
      <c r="M269" s="40">
        <f t="shared" ref="M269" ca="1" si="68">AVERAGE(L260:L269)</f>
        <v>90.517004830298902</v>
      </c>
      <c r="N269" s="40">
        <f t="shared" ref="N269" ca="1" si="69">1/M269</f>
        <v>1.1047647918474523E-2</v>
      </c>
      <c r="Q269" s="46"/>
      <c r="R269" s="46">
        <f t="shared" ca="1" si="66"/>
        <v>92.636523441676189</v>
      </c>
      <c r="S269" s="40">
        <f t="shared" ref="S269" ca="1" si="70">AVERAGE(R260:R269)</f>
        <v>87.486372981583585</v>
      </c>
      <c r="T269" s="40">
        <f t="shared" ref="T269" ca="1" si="71">1/S269</f>
        <v>1.1430351561271217E-2</v>
      </c>
      <c r="W269" s="4">
        <v>25.9</v>
      </c>
      <c r="X269" s="4">
        <f t="shared" ca="1" si="67"/>
        <v>1455877572654087.3</v>
      </c>
    </row>
    <row r="270" spans="4:24" x14ac:dyDescent="0.3">
      <c r="D270" s="4">
        <v>26</v>
      </c>
      <c r="E270" s="4">
        <f t="shared" si="64"/>
        <v>1479267718540839.8</v>
      </c>
      <c r="K270" s="40">
        <v>261</v>
      </c>
      <c r="L270" s="40">
        <f t="shared" ca="1" si="65"/>
        <v>104.69828994561601</v>
      </c>
      <c r="M270" s="40"/>
      <c r="N270" s="40"/>
      <c r="Q270" s="46"/>
      <c r="R270" s="46">
        <f t="shared" ca="1" si="66"/>
        <v>185.72896038532105</v>
      </c>
      <c r="S270" s="40"/>
      <c r="T270" s="40"/>
      <c r="W270" s="4">
        <v>26</v>
      </c>
      <c r="X270" s="4">
        <f t="shared" ca="1" si="67"/>
        <v>1454093736202128</v>
      </c>
    </row>
    <row r="271" spans="4:24" x14ac:dyDescent="0.3">
      <c r="D271" s="4">
        <v>26.1</v>
      </c>
      <c r="E271" s="4">
        <f t="shared" si="64"/>
        <v>1477552762853934.8</v>
      </c>
      <c r="K271" s="40">
        <v>262</v>
      </c>
      <c r="L271" s="40">
        <f t="shared" ca="1" si="65"/>
        <v>15.702879941030464</v>
      </c>
      <c r="M271" s="40"/>
      <c r="N271" s="40"/>
      <c r="Q271" s="46"/>
      <c r="R271" s="46">
        <f t="shared" ca="1" si="66"/>
        <v>140.35015569460799</v>
      </c>
      <c r="S271" s="40"/>
      <c r="T271" s="40"/>
      <c r="W271" s="4">
        <v>26.1</v>
      </c>
      <c r="X271" s="4">
        <f t="shared" ca="1" si="67"/>
        <v>1452312085423296.3</v>
      </c>
    </row>
    <row r="272" spans="4:24" x14ac:dyDescent="0.3">
      <c r="D272" s="4">
        <v>26.2</v>
      </c>
      <c r="E272" s="4">
        <f t="shared" si="64"/>
        <v>1475839795362250</v>
      </c>
      <c r="K272" s="40">
        <v>263</v>
      </c>
      <c r="L272" s="40">
        <f t="shared" ca="1" si="65"/>
        <v>125.02352639789687</v>
      </c>
      <c r="M272" s="40"/>
      <c r="N272" s="40"/>
      <c r="Q272" s="46"/>
      <c r="R272" s="46">
        <f t="shared" ca="1" si="66"/>
        <v>19.687010819504895</v>
      </c>
      <c r="S272" s="40"/>
      <c r="T272" s="40"/>
      <c r="W272" s="4">
        <v>26.2</v>
      </c>
      <c r="X272" s="4">
        <f t="shared" ca="1" si="67"/>
        <v>1450532617639562.3</v>
      </c>
    </row>
    <row r="273" spans="4:24" x14ac:dyDescent="0.3">
      <c r="D273" s="4">
        <v>26.3</v>
      </c>
      <c r="E273" s="4">
        <f t="shared" si="64"/>
        <v>1474128813760816.5</v>
      </c>
      <c r="K273" s="40">
        <v>264</v>
      </c>
      <c r="L273" s="40">
        <f t="shared" ca="1" si="65"/>
        <v>70.094317909436725</v>
      </c>
      <c r="M273" s="40"/>
      <c r="N273" s="40"/>
      <c r="Q273" s="46"/>
      <c r="R273" s="46">
        <f t="shared" ca="1" si="66"/>
        <v>55.192186903377262</v>
      </c>
      <c r="S273" s="40"/>
      <c r="T273" s="40"/>
      <c r="W273" s="4">
        <v>26.3</v>
      </c>
      <c r="X273" s="4">
        <f t="shared" ca="1" si="67"/>
        <v>1448755330176177.5</v>
      </c>
    </row>
    <row r="274" spans="4:24" x14ac:dyDescent="0.3">
      <c r="D274" s="4">
        <v>26.4</v>
      </c>
      <c r="E274" s="4">
        <f t="shared" si="64"/>
        <v>1472419815747337.5</v>
      </c>
      <c r="K274" s="40">
        <v>265</v>
      </c>
      <c r="L274" s="40">
        <f t="shared" ca="1" si="65"/>
        <v>55.135797514128384</v>
      </c>
      <c r="M274" s="40"/>
      <c r="N274" s="40"/>
      <c r="Q274" s="46"/>
      <c r="R274" s="46">
        <f t="shared" ca="1" si="66"/>
        <v>36.283480643742379</v>
      </c>
      <c r="S274" s="40"/>
      <c r="T274" s="40"/>
      <c r="W274" s="4">
        <v>26.4</v>
      </c>
      <c r="X274" s="4">
        <f t="shared" ca="1" si="67"/>
        <v>1446980220361670.8</v>
      </c>
    </row>
    <row r="275" spans="4:24" x14ac:dyDescent="0.3">
      <c r="D275" s="4">
        <v>26.5</v>
      </c>
      <c r="E275" s="4">
        <f t="shared" si="64"/>
        <v>1470712799022184.8</v>
      </c>
      <c r="K275" s="40">
        <v>266</v>
      </c>
      <c r="L275" s="40">
        <f t="shared" ca="1" si="65"/>
        <v>136.43075283610057</v>
      </c>
      <c r="M275" s="40"/>
      <c r="N275" s="40"/>
      <c r="Q275" s="46"/>
      <c r="R275" s="46">
        <f t="shared" ca="1" si="66"/>
        <v>1.3952180009234822</v>
      </c>
      <c r="S275" s="40"/>
      <c r="T275" s="40"/>
      <c r="W275" s="4">
        <v>26.5</v>
      </c>
      <c r="X275" s="4">
        <f t="shared" ca="1" si="67"/>
        <v>1445207285527844.5</v>
      </c>
    </row>
    <row r="276" spans="4:24" x14ac:dyDescent="0.3">
      <c r="D276" s="4">
        <v>26.6</v>
      </c>
      <c r="E276" s="4">
        <f t="shared" si="64"/>
        <v>1469007761288396</v>
      </c>
      <c r="K276" s="40">
        <v>267</v>
      </c>
      <c r="L276" s="40">
        <f t="shared" ca="1" si="65"/>
        <v>21.646541800057882</v>
      </c>
      <c r="M276" s="40"/>
      <c r="N276" s="40"/>
      <c r="Q276" s="46"/>
      <c r="R276" s="46">
        <f t="shared" ca="1" si="66"/>
        <v>2.537588261076468</v>
      </c>
      <c r="S276" s="40"/>
      <c r="T276" s="40"/>
      <c r="W276" s="4">
        <v>26.6</v>
      </c>
      <c r="X276" s="4">
        <f t="shared" ca="1" si="67"/>
        <v>1443436523009769.8</v>
      </c>
    </row>
    <row r="277" spans="4:24" x14ac:dyDescent="0.3">
      <c r="D277" s="4">
        <v>26.7</v>
      </c>
      <c r="E277" s="4">
        <f t="shared" si="64"/>
        <v>1467304700251672.8</v>
      </c>
      <c r="K277" s="40">
        <v>268</v>
      </c>
      <c r="L277" s="40">
        <f t="shared" ca="1" si="65"/>
        <v>47.311200128520802</v>
      </c>
      <c r="M277" s="40"/>
      <c r="N277" s="40"/>
      <c r="Q277" s="46"/>
      <c r="R277" s="46">
        <f t="shared" ca="1" si="66"/>
        <v>130.11790670785717</v>
      </c>
      <c r="S277" s="40"/>
      <c r="T277" s="40"/>
      <c r="W277" s="4">
        <v>26.7</v>
      </c>
      <c r="X277" s="4">
        <f t="shared" ca="1" si="67"/>
        <v>1441667930145783</v>
      </c>
    </row>
    <row r="278" spans="4:24" x14ac:dyDescent="0.3">
      <c r="D278" s="4">
        <v>26.8</v>
      </c>
      <c r="E278" s="4">
        <f t="shared" si="64"/>
        <v>1465603613620375.5</v>
      </c>
      <c r="K278" s="40">
        <v>269</v>
      </c>
      <c r="L278" s="40">
        <f t="shared" ca="1" si="65"/>
        <v>44.567648897949312</v>
      </c>
      <c r="M278" s="40"/>
      <c r="N278" s="40"/>
      <c r="Q278" s="46"/>
      <c r="R278" s="46">
        <f t="shared" ca="1" si="66"/>
        <v>78.733926505464424</v>
      </c>
      <c r="S278" s="40"/>
      <c r="T278" s="40"/>
      <c r="W278" s="4">
        <v>26.8</v>
      </c>
      <c r="X278" s="4">
        <f t="shared" ca="1" si="67"/>
        <v>1439901504277482.8</v>
      </c>
    </row>
    <row r="279" spans="4:24" x14ac:dyDescent="0.3">
      <c r="D279" s="4">
        <v>26.9</v>
      </c>
      <c r="E279" s="4">
        <f t="shared" si="64"/>
        <v>1463904499105522</v>
      </c>
      <c r="K279" s="40">
        <v>270</v>
      </c>
      <c r="L279" s="40">
        <f t="shared" ca="1" si="65"/>
        <v>67.573796431286951</v>
      </c>
      <c r="M279" s="40">
        <f t="shared" ref="M279" ca="1" si="72">AVERAGE(L270:L279)</f>
        <v>68.818475180202398</v>
      </c>
      <c r="N279" s="40">
        <f t="shared" ref="N279" ca="1" si="73">1/M279</f>
        <v>1.4530981649643969E-2</v>
      </c>
      <c r="Q279" s="46"/>
      <c r="R279" s="46">
        <f t="shared" ca="1" si="66"/>
        <v>20.186476697676532</v>
      </c>
      <c r="S279" s="40">
        <f t="shared" ref="S279" ca="1" si="74">AVERAGE(R270:R279)</f>
        <v>67.021291061955168</v>
      </c>
      <c r="T279" s="40">
        <f t="shared" ref="T279" ca="1" si="75">1/S279</f>
        <v>1.4920631700090494E-2</v>
      </c>
      <c r="W279" s="4">
        <v>26.9</v>
      </c>
      <c r="X279" s="4">
        <f t="shared" ca="1" si="67"/>
        <v>1438137242749723.8</v>
      </c>
    </row>
    <row r="280" spans="4:24" x14ac:dyDescent="0.3">
      <c r="D280" s="4">
        <v>27</v>
      </c>
      <c r="E280" s="4">
        <f t="shared" si="64"/>
        <v>1462207354420783</v>
      </c>
      <c r="K280" s="40">
        <v>271</v>
      </c>
      <c r="L280" s="40">
        <f t="shared" ca="1" si="65"/>
        <v>285.71437744223243</v>
      </c>
      <c r="M280" s="40"/>
      <c r="N280" s="40"/>
      <c r="Q280" s="46"/>
      <c r="R280" s="46">
        <f t="shared" ca="1" si="66"/>
        <v>71.862983991399915</v>
      </c>
      <c r="S280" s="40"/>
      <c r="T280" s="40"/>
      <c r="W280" s="4">
        <v>27</v>
      </c>
      <c r="X280" s="4">
        <f t="shared" ca="1" si="67"/>
        <v>1436375142910614</v>
      </c>
    </row>
    <row r="281" spans="4:24" x14ac:dyDescent="0.3">
      <c r="D281" s="4">
        <v>27.1</v>
      </c>
      <c r="E281" s="4">
        <f t="shared" si="64"/>
        <v>1460512177282481</v>
      </c>
      <c r="K281" s="40">
        <v>272</v>
      </c>
      <c r="L281" s="40">
        <f t="shared" ca="1" si="65"/>
        <v>92.795104721342227</v>
      </c>
      <c r="M281" s="40"/>
      <c r="N281" s="40"/>
      <c r="Q281" s="46"/>
      <c r="R281" s="46">
        <f t="shared" ca="1" si="66"/>
        <v>295.2101635856726</v>
      </c>
      <c r="S281" s="40"/>
      <c r="T281" s="40"/>
      <c r="W281" s="4">
        <v>27.1</v>
      </c>
      <c r="X281" s="4">
        <f t="shared" ca="1" si="67"/>
        <v>1434615202111511.5</v>
      </c>
    </row>
    <row r="282" spans="4:24" x14ac:dyDescent="0.3">
      <c r="D282" s="4">
        <v>27.2</v>
      </c>
      <c r="E282" s="4">
        <f t="shared" si="64"/>
        <v>1458818965409585</v>
      </c>
      <c r="K282" s="40">
        <v>273</v>
      </c>
      <c r="L282" s="40">
        <f t="shared" ca="1" si="65"/>
        <v>58.073223978880741</v>
      </c>
      <c r="M282" s="40"/>
      <c r="N282" s="40"/>
      <c r="Q282" s="46"/>
      <c r="R282" s="46">
        <f t="shared" ca="1" si="66"/>
        <v>214.70993191163527</v>
      </c>
      <c r="S282" s="40"/>
      <c r="T282" s="40"/>
      <c r="W282" s="4">
        <v>27.2</v>
      </c>
      <c r="X282" s="4">
        <f t="shared" ca="1" si="67"/>
        <v>1432857417707019.5</v>
      </c>
    </row>
    <row r="283" spans="4:24" x14ac:dyDescent="0.3">
      <c r="D283" s="4">
        <v>27.3</v>
      </c>
      <c r="E283" s="4">
        <f t="shared" si="64"/>
        <v>1457127716523709.3</v>
      </c>
      <c r="K283" s="40">
        <v>274</v>
      </c>
      <c r="L283" s="40">
        <f t="shared" ca="1" si="65"/>
        <v>116.52342155923061</v>
      </c>
      <c r="M283" s="40"/>
      <c r="N283" s="40"/>
      <c r="Q283" s="46"/>
      <c r="R283" s="46">
        <f t="shared" ca="1" si="66"/>
        <v>58.772265872462206</v>
      </c>
      <c r="S283" s="40"/>
      <c r="T283" s="40"/>
      <c r="W283" s="4">
        <v>27.3</v>
      </c>
      <c r="X283" s="4">
        <f t="shared" ca="1" si="67"/>
        <v>1431101787054981.5</v>
      </c>
    </row>
    <row r="284" spans="4:24" x14ac:dyDescent="0.3">
      <c r="D284" s="4">
        <v>27.4</v>
      </c>
      <c r="E284" s="4">
        <f t="shared" si="64"/>
        <v>1455438428349108.5</v>
      </c>
      <c r="K284" s="40">
        <v>275</v>
      </c>
      <c r="L284" s="40">
        <f t="shared" ca="1" si="65"/>
        <v>9.1136555979987079</v>
      </c>
      <c r="M284" s="40"/>
      <c r="N284" s="40"/>
      <c r="Q284" s="46"/>
      <c r="R284" s="46">
        <f t="shared" ca="1" si="66"/>
        <v>20.788398417574687</v>
      </c>
      <c r="S284" s="40"/>
      <c r="T284" s="40"/>
      <c r="W284" s="4">
        <v>27.4</v>
      </c>
      <c r="X284" s="4">
        <f t="shared" ca="1" si="67"/>
        <v>1429348307516480</v>
      </c>
    </row>
    <row r="285" spans="4:24" x14ac:dyDescent="0.3">
      <c r="D285" s="4">
        <v>27.5</v>
      </c>
      <c r="E285" s="4">
        <f t="shared" si="64"/>
        <v>1453751098612676.5</v>
      </c>
      <c r="K285" s="40">
        <v>276</v>
      </c>
      <c r="L285" s="40">
        <f t="shared" ca="1" si="65"/>
        <v>397.58809274458764</v>
      </c>
      <c r="M285" s="40"/>
      <c r="N285" s="40"/>
      <c r="Q285" s="46"/>
      <c r="R285" s="46">
        <f t="shared" ca="1" si="66"/>
        <v>102.89242760682076</v>
      </c>
      <c r="S285" s="40"/>
      <c r="T285" s="40"/>
      <c r="W285" s="4">
        <v>27.5</v>
      </c>
      <c r="X285" s="4">
        <f t="shared" ca="1" si="67"/>
        <v>1427596976455829.3</v>
      </c>
    </row>
    <row r="286" spans="4:24" x14ac:dyDescent="0.3">
      <c r="D286" s="4">
        <v>27.6</v>
      </c>
      <c r="E286" s="4">
        <f t="shared" si="64"/>
        <v>1452065725043942.3</v>
      </c>
      <c r="K286" s="40">
        <v>277</v>
      </c>
      <c r="L286" s="40">
        <f t="shared" ca="1" si="65"/>
        <v>12.369766085444677</v>
      </c>
      <c r="M286" s="40"/>
      <c r="N286" s="40"/>
      <c r="Q286" s="46"/>
      <c r="R286" s="46">
        <f t="shared" ca="1" si="66"/>
        <v>37.953025030070073</v>
      </c>
      <c r="S286" s="40"/>
      <c r="T286" s="40"/>
      <c r="W286" s="4">
        <v>27.6</v>
      </c>
      <c r="X286" s="4">
        <f t="shared" ca="1" si="67"/>
        <v>1425847791240573.5</v>
      </c>
    </row>
    <row r="287" spans="4:24" x14ac:dyDescent="0.3">
      <c r="D287" s="4">
        <v>27.7</v>
      </c>
      <c r="E287" s="4">
        <f t="shared" si="64"/>
        <v>1450382305375066.8</v>
      </c>
      <c r="K287" s="40">
        <v>278</v>
      </c>
      <c r="L287" s="40">
        <f t="shared" ca="1" si="65"/>
        <v>50.602325269419048</v>
      </c>
      <c r="M287" s="40"/>
      <c r="N287" s="40"/>
      <c r="Q287" s="46"/>
      <c r="R287" s="46">
        <f t="shared" ca="1" si="66"/>
        <v>30.9163769212761</v>
      </c>
      <c r="S287" s="40"/>
      <c r="T287" s="40"/>
      <c r="W287" s="4">
        <v>27.7</v>
      </c>
      <c r="X287" s="4">
        <f t="shared" ca="1" si="67"/>
        <v>1424100749241483.3</v>
      </c>
    </row>
    <row r="288" spans="4:24" x14ac:dyDescent="0.3">
      <c r="D288" s="4">
        <v>27.8</v>
      </c>
      <c r="E288" s="4">
        <f t="shared" si="64"/>
        <v>1448700837340840</v>
      </c>
      <c r="K288" s="40">
        <v>279</v>
      </c>
      <c r="L288" s="40">
        <f t="shared" ca="1" si="65"/>
        <v>73.600753935831008</v>
      </c>
      <c r="M288" s="40"/>
      <c r="N288" s="40"/>
      <c r="Q288" s="46"/>
      <c r="R288" s="46">
        <f t="shared" ca="1" si="66"/>
        <v>44.110265602908164</v>
      </c>
      <c r="S288" s="40"/>
      <c r="T288" s="40"/>
      <c r="W288" s="4">
        <v>27.8</v>
      </c>
      <c r="X288" s="4">
        <f t="shared" ca="1" si="67"/>
        <v>1422355847832549.3</v>
      </c>
    </row>
    <row r="289" spans="4:24" x14ac:dyDescent="0.3">
      <c r="D289" s="4">
        <v>27.9</v>
      </c>
      <c r="E289" s="4">
        <f t="shared" si="64"/>
        <v>1447021318678678.8</v>
      </c>
      <c r="K289" s="40">
        <v>280</v>
      </c>
      <c r="L289" s="40">
        <f t="shared" ca="1" si="65"/>
        <v>142.31220220555082</v>
      </c>
      <c r="M289" s="40">
        <f t="shared" ref="M289" ca="1" si="76">AVERAGE(L280:L289)</f>
        <v>123.86929235405178</v>
      </c>
      <c r="N289" s="40">
        <f t="shared" ref="N289" ca="1" si="77">1/M289</f>
        <v>8.0730258564950131E-3</v>
      </c>
      <c r="Q289" s="46"/>
      <c r="R289" s="46">
        <f t="shared" ca="1" si="66"/>
        <v>27.802976597703061</v>
      </c>
      <c r="S289" s="40">
        <f t="shared" ref="S289" ca="1" si="78">AVERAGE(R280:R289)</f>
        <v>90.501881553752284</v>
      </c>
      <c r="T289" s="40">
        <f t="shared" ref="T289" ca="1" si="79">1/S289</f>
        <v>1.1049494030751885E-2</v>
      </c>
      <c r="W289" s="4">
        <v>27.9</v>
      </c>
      <c r="X289" s="4">
        <f t="shared" ca="1" si="67"/>
        <v>1420613084390981</v>
      </c>
    </row>
    <row r="290" spans="4:24" x14ac:dyDescent="0.3">
      <c r="D290" s="4">
        <v>28</v>
      </c>
      <c r="E290" s="4">
        <f t="shared" si="64"/>
        <v>1445343747128622</v>
      </c>
      <c r="K290" s="40">
        <v>281</v>
      </c>
      <c r="L290" s="40">
        <f t="shared" ca="1" si="65"/>
        <v>14.7007736755964</v>
      </c>
      <c r="M290" s="40"/>
      <c r="N290" s="40"/>
      <c r="Q290" s="46"/>
      <c r="R290" s="46">
        <f t="shared" ca="1" si="66"/>
        <v>26.161633770041675</v>
      </c>
      <c r="S290" s="40"/>
      <c r="T290" s="40"/>
      <c r="W290" s="4">
        <v>28</v>
      </c>
      <c r="X290" s="4">
        <f t="shared" ca="1" si="67"/>
        <v>1418872456297200.5</v>
      </c>
    </row>
    <row r="291" spans="4:24" x14ac:dyDescent="0.3">
      <c r="D291" s="4">
        <v>28.1</v>
      </c>
      <c r="E291" s="4">
        <f t="shared" si="64"/>
        <v>1443668120433330</v>
      </c>
      <c r="K291" s="40">
        <v>282</v>
      </c>
      <c r="L291" s="40">
        <f t="shared" ca="1" si="65"/>
        <v>7.1418519547304511</v>
      </c>
      <c r="M291" s="40"/>
      <c r="N291" s="40"/>
      <c r="Q291" s="46"/>
      <c r="R291" s="46">
        <f t="shared" ca="1" si="66"/>
        <v>38.611874680094814</v>
      </c>
      <c r="S291" s="40"/>
      <c r="T291" s="40"/>
      <c r="W291" s="4">
        <v>28.1</v>
      </c>
      <c r="X291" s="4">
        <f t="shared" ca="1" si="67"/>
        <v>1417133960934839.8</v>
      </c>
    </row>
    <row r="292" spans="4:24" x14ac:dyDescent="0.3">
      <c r="D292" s="4">
        <v>28.2</v>
      </c>
      <c r="E292" s="4">
        <f t="shared" si="64"/>
        <v>1441994436338078.3</v>
      </c>
      <c r="K292" s="40">
        <v>283</v>
      </c>
      <c r="L292" s="40">
        <f t="shared" ca="1" si="65"/>
        <v>119.70728445442082</v>
      </c>
      <c r="M292" s="40"/>
      <c r="N292" s="40"/>
      <c r="Q292" s="46"/>
      <c r="R292" s="46">
        <f t="shared" ca="1" si="66"/>
        <v>58.968242596956379</v>
      </c>
      <c r="S292" s="40"/>
      <c r="T292" s="40"/>
      <c r="W292" s="4">
        <v>28.2</v>
      </c>
      <c r="X292" s="4">
        <f t="shared" ca="1" si="67"/>
        <v>1415397595690737.5</v>
      </c>
    </row>
    <row r="293" spans="4:24" x14ac:dyDescent="0.3">
      <c r="D293" s="4">
        <v>28.3</v>
      </c>
      <c r="E293" s="4">
        <f t="shared" si="64"/>
        <v>1440322692590757.8</v>
      </c>
      <c r="K293" s="40">
        <v>284</v>
      </c>
      <c r="L293" s="40">
        <f t="shared" ca="1" si="65"/>
        <v>223.34937816414143</v>
      </c>
      <c r="M293" s="40"/>
      <c r="N293" s="40"/>
      <c r="Q293" s="46"/>
      <c r="R293" s="46">
        <f t="shared" ca="1" si="66"/>
        <v>142.8452131294309</v>
      </c>
      <c r="S293" s="40"/>
      <c r="T293" s="40"/>
      <c r="W293" s="4">
        <v>28.3</v>
      </c>
      <c r="X293" s="4">
        <f t="shared" ca="1" si="67"/>
        <v>1413663357954932.5</v>
      </c>
    </row>
    <row r="294" spans="4:24" x14ac:dyDescent="0.3">
      <c r="D294" s="4">
        <v>28.4</v>
      </c>
      <c r="E294" s="4">
        <f t="shared" si="64"/>
        <v>1438652886941869.8</v>
      </c>
      <c r="K294" s="40">
        <v>285</v>
      </c>
      <c r="L294" s="40">
        <f t="shared" ca="1" si="65"/>
        <v>339.54892037429346</v>
      </c>
      <c r="M294" s="40"/>
      <c r="N294" s="40"/>
      <c r="Q294" s="46"/>
      <c r="R294" s="46">
        <f t="shared" ca="1" si="66"/>
        <v>29.462086503210873</v>
      </c>
      <c r="S294" s="40"/>
      <c r="T294" s="40"/>
      <c r="W294" s="4">
        <v>28.4</v>
      </c>
      <c r="X294" s="4">
        <f t="shared" ca="1" si="67"/>
        <v>1411931245120663.3</v>
      </c>
    </row>
    <row r="295" spans="4:24" x14ac:dyDescent="0.3">
      <c r="D295" s="4">
        <v>28.5</v>
      </c>
      <c r="E295" s="4">
        <f t="shared" si="64"/>
        <v>1436985017144523.3</v>
      </c>
      <c r="K295" s="40">
        <v>286</v>
      </c>
      <c r="L295" s="40">
        <f t="shared" ca="1" si="65"/>
        <v>172.47162740625652</v>
      </c>
      <c r="M295" s="40"/>
      <c r="N295" s="40"/>
      <c r="Q295" s="46"/>
      <c r="R295" s="46">
        <f t="shared" ca="1" si="66"/>
        <v>43.53647970758697</v>
      </c>
      <c r="S295" s="40"/>
      <c r="T295" s="40"/>
      <c r="W295" s="4">
        <v>28.5</v>
      </c>
      <c r="X295" s="4">
        <f t="shared" ca="1" si="67"/>
        <v>1410201254584361</v>
      </c>
    </row>
    <row r="296" spans="4:24" x14ac:dyDescent="0.3">
      <c r="D296" s="4">
        <v>28.6</v>
      </c>
      <c r="E296" s="4">
        <f t="shared" si="64"/>
        <v>1435319080954433</v>
      </c>
      <c r="K296" s="40">
        <v>287</v>
      </c>
      <c r="L296" s="40">
        <f t="shared" ca="1" si="65"/>
        <v>201.45824999411121</v>
      </c>
      <c r="M296" s="40"/>
      <c r="N296" s="40"/>
      <c r="Q296" s="46"/>
      <c r="R296" s="46">
        <f t="shared" ca="1" si="66"/>
        <v>78.783898238120145</v>
      </c>
      <c r="S296" s="40"/>
      <c r="T296" s="40"/>
      <c r="W296" s="4">
        <v>28.6</v>
      </c>
      <c r="X296" s="4">
        <f t="shared" ca="1" si="67"/>
        <v>1408473383745647.3</v>
      </c>
    </row>
    <row r="297" spans="4:24" x14ac:dyDescent="0.3">
      <c r="D297" s="4">
        <v>28.7</v>
      </c>
      <c r="E297" s="4">
        <f t="shared" si="64"/>
        <v>1433655076129914.5</v>
      </c>
      <c r="K297" s="40">
        <v>288</v>
      </c>
      <c r="L297" s="40">
        <f t="shared" ca="1" si="65"/>
        <v>8.8520245452994235</v>
      </c>
      <c r="M297" s="40"/>
      <c r="N297" s="40"/>
      <c r="Q297" s="46"/>
      <c r="R297" s="46">
        <f t="shared" ca="1" si="66"/>
        <v>3.3465235407466709</v>
      </c>
      <c r="S297" s="40"/>
      <c r="T297" s="40"/>
      <c r="W297" s="4">
        <v>28.7</v>
      </c>
      <c r="X297" s="4">
        <f t="shared" ca="1" si="67"/>
        <v>1406747630007330.3</v>
      </c>
    </row>
    <row r="298" spans="4:24" x14ac:dyDescent="0.3">
      <c r="D298" s="4">
        <v>28.8</v>
      </c>
      <c r="E298" s="4">
        <f t="shared" si="64"/>
        <v>1431993000431882.5</v>
      </c>
      <c r="K298" s="40">
        <v>289</v>
      </c>
      <c r="L298" s="40">
        <f t="shared" ca="1" si="65"/>
        <v>44.696422534831598</v>
      </c>
      <c r="M298" s="40"/>
      <c r="N298" s="40"/>
      <c r="Q298" s="46"/>
      <c r="R298" s="46">
        <f t="shared" ca="1" si="66"/>
        <v>89.844956744508465</v>
      </c>
      <c r="S298" s="40"/>
      <c r="T298" s="40"/>
      <c r="W298" s="4">
        <v>28.8</v>
      </c>
      <c r="X298" s="4">
        <f t="shared" ca="1" si="67"/>
        <v>1405023990775399.8</v>
      </c>
    </row>
    <row r="299" spans="4:24" x14ac:dyDescent="0.3">
      <c r="D299" s="4">
        <v>28.9</v>
      </c>
      <c r="E299" s="4">
        <f t="shared" si="64"/>
        <v>1430332851623848.3</v>
      </c>
      <c r="K299" s="40">
        <v>290</v>
      </c>
      <c r="L299" s="40">
        <f t="shared" ca="1" si="65"/>
        <v>218.29396182244099</v>
      </c>
      <c r="M299" s="40">
        <f t="shared" ref="M299" ca="1" si="80">AVERAGE(L290:L299)</f>
        <v>135.02204949261221</v>
      </c>
      <c r="N299" s="40">
        <f t="shared" ref="N299" ca="1" si="81">1/M299</f>
        <v>7.4061977562762107E-3</v>
      </c>
      <c r="Q299" s="46"/>
      <c r="R299" s="46">
        <f t="shared" ca="1" si="66"/>
        <v>112.09237545406026</v>
      </c>
      <c r="S299" s="40">
        <f t="shared" ref="S299" ca="1" si="82">AVERAGE(R290:R299)</f>
        <v>62.365328436475714</v>
      </c>
      <c r="T299" s="40">
        <f t="shared" ref="T299" ca="1" si="83">1/S299</f>
        <v>1.6034550367494391E-2</v>
      </c>
      <c r="W299" s="4">
        <v>28.9</v>
      </c>
      <c r="X299" s="4">
        <f t="shared" ca="1" si="67"/>
        <v>1403302463459024.5</v>
      </c>
    </row>
    <row r="300" spans="4:24" x14ac:dyDescent="0.3">
      <c r="D300" s="4">
        <v>29</v>
      </c>
      <c r="E300" s="4">
        <f t="shared" si="64"/>
        <v>1428674627471915</v>
      </c>
      <c r="K300" s="40">
        <v>291</v>
      </c>
      <c r="L300" s="40">
        <f t="shared" ca="1" si="65"/>
        <v>15.475143241954148</v>
      </c>
      <c r="M300" s="40"/>
      <c r="N300" s="40"/>
      <c r="Q300" s="46"/>
      <c r="R300" s="46">
        <f t="shared" ca="1" si="66"/>
        <v>120.79715743012693</v>
      </c>
      <c r="S300" s="40"/>
      <c r="T300" s="40"/>
      <c r="W300" s="4">
        <v>29</v>
      </c>
      <c r="X300" s="4">
        <f t="shared" ca="1" si="67"/>
        <v>1401583045470547.3</v>
      </c>
    </row>
    <row r="301" spans="4:24" x14ac:dyDescent="0.3">
      <c r="D301" s="4">
        <v>29.1</v>
      </c>
      <c r="E301" s="4">
        <f t="shared" si="64"/>
        <v>1427018325744776</v>
      </c>
      <c r="K301" s="40">
        <v>292</v>
      </c>
      <c r="L301" s="40">
        <f t="shared" ca="1" si="65"/>
        <v>126.88645770811523</v>
      </c>
      <c r="M301" s="40"/>
      <c r="N301" s="40"/>
      <c r="Q301" s="46"/>
      <c r="R301" s="46">
        <f t="shared" ca="1" si="66"/>
        <v>31.355813505461885</v>
      </c>
      <c r="S301" s="40"/>
      <c r="T301" s="40"/>
      <c r="W301" s="4">
        <v>29.1</v>
      </c>
      <c r="X301" s="4">
        <f t="shared" ca="1" si="67"/>
        <v>1399865734225481</v>
      </c>
    </row>
    <row r="302" spans="4:24" x14ac:dyDescent="0.3">
      <c r="D302" s="4">
        <v>29.2</v>
      </c>
      <c r="E302" s="4">
        <f t="shared" si="64"/>
        <v>1425363944213711.5</v>
      </c>
      <c r="K302" s="40">
        <v>293</v>
      </c>
      <c r="L302" s="40">
        <f t="shared" ca="1" si="65"/>
        <v>31.2791659293094</v>
      </c>
      <c r="M302" s="40"/>
      <c r="N302" s="40"/>
      <c r="Q302" s="46"/>
      <c r="R302" s="46">
        <f t="shared" ca="1" si="66"/>
        <v>24.739413518994862</v>
      </c>
      <c r="S302" s="40"/>
      <c r="T302" s="40"/>
      <c r="W302" s="4">
        <v>29.2</v>
      </c>
      <c r="X302" s="4">
        <f t="shared" ca="1" si="67"/>
        <v>1398150527142506.5</v>
      </c>
    </row>
    <row r="303" spans="4:24" x14ac:dyDescent="0.3">
      <c r="D303" s="4">
        <v>29.3</v>
      </c>
      <c r="E303" s="4">
        <f t="shared" si="64"/>
        <v>1423711480652585.3</v>
      </c>
      <c r="K303" s="40">
        <v>294</v>
      </c>
      <c r="L303" s="40">
        <f t="shared" ca="1" si="65"/>
        <v>37.636609869971103</v>
      </c>
      <c r="M303" s="40"/>
      <c r="N303" s="40"/>
      <c r="Q303" s="46"/>
      <c r="R303" s="46">
        <f t="shared" ca="1" si="66"/>
        <v>22.774959817296718</v>
      </c>
      <c r="S303" s="40"/>
      <c r="T303" s="40"/>
      <c r="W303" s="4">
        <v>29.3</v>
      </c>
      <c r="X303" s="4">
        <f t="shared" ca="1" si="67"/>
        <v>1396437421643466.5</v>
      </c>
    </row>
    <row r="304" spans="4:24" x14ac:dyDescent="0.3">
      <c r="D304" s="4">
        <v>29.4</v>
      </c>
      <c r="E304" s="4">
        <f t="shared" si="64"/>
        <v>1422060932837842.3</v>
      </c>
      <c r="K304" s="40">
        <v>295</v>
      </c>
      <c r="L304" s="40">
        <f t="shared" ca="1" si="65"/>
        <v>56.827329353099081</v>
      </c>
      <c r="M304" s="40"/>
      <c r="N304" s="40"/>
      <c r="Q304" s="46"/>
      <c r="R304" s="46">
        <f t="shared" ca="1" si="66"/>
        <v>37.874331390812955</v>
      </c>
      <c r="S304" s="40"/>
      <c r="T304" s="40"/>
      <c r="W304" s="4">
        <v>29.4</v>
      </c>
      <c r="X304" s="4">
        <f t="shared" ca="1" si="67"/>
        <v>1394726415153363</v>
      </c>
    </row>
    <row r="305" spans="4:24" x14ac:dyDescent="0.3">
      <c r="D305" s="4">
        <v>29.5</v>
      </c>
      <c r="E305" s="4">
        <f t="shared" si="64"/>
        <v>1420412298548504.8</v>
      </c>
      <c r="K305" s="40">
        <v>296</v>
      </c>
      <c r="L305" s="40">
        <f t="shared" ca="1" si="65"/>
        <v>47.632065554637258</v>
      </c>
      <c r="M305" s="40"/>
      <c r="N305" s="40"/>
      <c r="Q305" s="46"/>
      <c r="R305" s="46">
        <f t="shared" ca="1" si="66"/>
        <v>237.29982230197655</v>
      </c>
      <c r="S305" s="40"/>
      <c r="T305" s="40"/>
      <c r="W305" s="4">
        <v>29.5</v>
      </c>
      <c r="X305" s="4">
        <f t="shared" ca="1" si="67"/>
        <v>1393017505100352.5</v>
      </c>
    </row>
    <row r="306" spans="4:24" x14ac:dyDescent="0.3">
      <c r="D306" s="4">
        <v>29.6</v>
      </c>
      <c r="E306" s="4">
        <f t="shared" si="64"/>
        <v>1418765575566170.8</v>
      </c>
      <c r="K306" s="40">
        <v>297</v>
      </c>
      <c r="L306" s="40">
        <f t="shared" ca="1" si="65"/>
        <v>170.03237673778435</v>
      </c>
      <c r="M306" s="40"/>
      <c r="N306" s="40"/>
      <c r="Q306" s="46"/>
      <c r="R306" s="46">
        <f t="shared" ca="1" si="66"/>
        <v>264.34933112114493</v>
      </c>
      <c r="S306" s="40"/>
      <c r="T306" s="40"/>
      <c r="W306" s="4">
        <v>29.6</v>
      </c>
      <c r="X306" s="4">
        <f t="shared" ca="1" si="67"/>
        <v>1391310688915743.5</v>
      </c>
    </row>
    <row r="307" spans="4:24" x14ac:dyDescent="0.3">
      <c r="D307" s="4">
        <v>29.7</v>
      </c>
      <c r="E307" s="4">
        <f t="shared" si="64"/>
        <v>1417120761675009.5</v>
      </c>
      <c r="K307" s="40">
        <v>298</v>
      </c>
      <c r="L307" s="40">
        <f t="shared" ca="1" si="65"/>
        <v>122.83367397108152</v>
      </c>
      <c r="M307" s="40"/>
      <c r="N307" s="40"/>
      <c r="Q307" s="46"/>
      <c r="R307" s="46">
        <f t="shared" ca="1" si="66"/>
        <v>67.608909151588364</v>
      </c>
      <c r="S307" s="40"/>
      <c r="T307" s="40"/>
      <c r="W307" s="4">
        <v>29.7</v>
      </c>
      <c r="X307" s="4">
        <f t="shared" ca="1" si="67"/>
        <v>1389605964033991.5</v>
      </c>
    </row>
    <row r="308" spans="4:24" x14ac:dyDescent="0.3">
      <c r="D308" s="4">
        <v>29.8</v>
      </c>
      <c r="E308" s="4">
        <f t="shared" si="64"/>
        <v>1415477854661758.8</v>
      </c>
      <c r="K308" s="40">
        <v>299</v>
      </c>
      <c r="L308" s="40">
        <f t="shared" ca="1" si="65"/>
        <v>55.2384900575885</v>
      </c>
      <c r="M308" s="40"/>
      <c r="N308" s="40"/>
      <c r="Q308" s="46"/>
      <c r="R308" s="46">
        <f t="shared" ca="1" si="66"/>
        <v>3.7386450532351102E-2</v>
      </c>
      <c r="S308" s="40"/>
      <c r="T308" s="40"/>
      <c r="W308" s="4">
        <v>29.8</v>
      </c>
      <c r="X308" s="4">
        <f t="shared" ca="1" si="67"/>
        <v>1387903327892695</v>
      </c>
    </row>
    <row r="309" spans="4:24" x14ac:dyDescent="0.3">
      <c r="D309" s="4">
        <v>29.9</v>
      </c>
      <c r="E309" s="4">
        <f t="shared" si="64"/>
        <v>1413836852315723</v>
      </c>
      <c r="K309" s="40">
        <v>300</v>
      </c>
      <c r="L309" s="40">
        <f t="shared" ca="1" si="65"/>
        <v>124.2231954911211</v>
      </c>
      <c r="M309" s="40">
        <f t="shared" ref="M309" ca="1" si="84">AVERAGE(L300:L309)</f>
        <v>78.806450791466176</v>
      </c>
      <c r="N309" s="40">
        <f t="shared" ref="N309" ca="1" si="85">1/M309</f>
        <v>1.268931654651155E-2</v>
      </c>
      <c r="Q309" s="46"/>
      <c r="R309" s="46">
        <f t="shared" ca="1" si="66"/>
        <v>8.9464076935153134</v>
      </c>
      <c r="S309" s="40">
        <f t="shared" ref="S309" ca="1" si="86">AVERAGE(R300:R309)</f>
        <v>81.578353238145084</v>
      </c>
      <c r="T309" s="40">
        <f t="shared" ref="T309" ca="1" si="87">1/S309</f>
        <v>1.2258153790881032E-2</v>
      </c>
      <c r="W309" s="4">
        <v>29.9</v>
      </c>
      <c r="X309" s="4">
        <f t="shared" ca="1" si="67"/>
        <v>1386202777932593</v>
      </c>
    </row>
    <row r="310" spans="4:24" x14ac:dyDescent="0.3">
      <c r="D310" s="4">
        <v>30</v>
      </c>
      <c r="E310" s="4">
        <f t="shared" si="64"/>
        <v>1412197752428768.8</v>
      </c>
      <c r="K310" s="40">
        <v>301</v>
      </c>
      <c r="L310" s="40">
        <f t="shared" ca="1" si="65"/>
        <v>97.899669287523992</v>
      </c>
      <c r="M310" s="40"/>
      <c r="N310" s="40"/>
      <c r="Q310" s="46"/>
      <c r="R310" s="46">
        <f t="shared" ca="1" si="66"/>
        <v>88.605127997483024</v>
      </c>
      <c r="S310" s="40"/>
      <c r="T310" s="40"/>
      <c r="W310" s="4">
        <v>30</v>
      </c>
      <c r="X310" s="4">
        <f t="shared" ca="1" si="67"/>
        <v>1384504311597559.5</v>
      </c>
    </row>
    <row r="311" spans="4:24" x14ac:dyDescent="0.3">
      <c r="D311" s="4">
        <v>30.1</v>
      </c>
      <c r="E311" s="4">
        <f t="shared" si="64"/>
        <v>1410560552795323.5</v>
      </c>
      <c r="K311" s="40">
        <v>302</v>
      </c>
      <c r="L311" s="40">
        <f t="shared" ca="1" si="65"/>
        <v>211.27177950660297</v>
      </c>
      <c r="M311" s="40"/>
      <c r="N311" s="40"/>
      <c r="Q311" s="46"/>
      <c r="R311" s="46">
        <f t="shared" ca="1" si="66"/>
        <v>195.58963115913826</v>
      </c>
      <c r="S311" s="40"/>
      <c r="T311" s="40"/>
      <c r="W311" s="4">
        <v>30.1</v>
      </c>
      <c r="X311" s="4">
        <f t="shared" ca="1" si="67"/>
        <v>1382807926334601</v>
      </c>
    </row>
    <row r="312" spans="4:24" x14ac:dyDescent="0.3">
      <c r="D312" s="4">
        <v>30.2</v>
      </c>
      <c r="E312" s="4">
        <f t="shared" si="64"/>
        <v>1408925251212371</v>
      </c>
      <c r="K312" s="40">
        <v>303</v>
      </c>
      <c r="L312" s="40">
        <f t="shared" ca="1" si="65"/>
        <v>105.69405644433429</v>
      </c>
      <c r="M312" s="40"/>
      <c r="N312" s="40"/>
      <c r="Q312" s="46"/>
      <c r="R312" s="46">
        <f t="shared" ca="1" si="66"/>
        <v>213.73246085695732</v>
      </c>
      <c r="S312" s="40"/>
      <c r="T312" s="40"/>
      <c r="W312" s="4">
        <v>30.2</v>
      </c>
      <c r="X312" s="4">
        <f t="shared" ca="1" si="67"/>
        <v>1381113619593851.3</v>
      </c>
    </row>
    <row r="313" spans="4:24" x14ac:dyDescent="0.3">
      <c r="D313" s="4">
        <v>30.3</v>
      </c>
      <c r="E313" s="4">
        <f t="shared" si="64"/>
        <v>1407291845479448.8</v>
      </c>
      <c r="K313" s="40">
        <v>304</v>
      </c>
      <c r="L313" s="40">
        <f t="shared" ca="1" si="65"/>
        <v>171.75524109503158</v>
      </c>
      <c r="M313" s="40"/>
      <c r="N313" s="40"/>
      <c r="Q313" s="46"/>
      <c r="R313" s="46">
        <f t="shared" ca="1" si="66"/>
        <v>42.868053533407121</v>
      </c>
      <c r="S313" s="40"/>
      <c r="T313" s="40"/>
      <c r="W313" s="4">
        <v>30.3</v>
      </c>
      <c r="X313" s="4">
        <f t="shared" ca="1" si="67"/>
        <v>1379421388828569.8</v>
      </c>
    </row>
    <row r="314" spans="4:24" x14ac:dyDescent="0.3">
      <c r="D314" s="4">
        <v>30.4</v>
      </c>
      <c r="E314" s="4">
        <f t="shared" si="64"/>
        <v>1405660333398646.5</v>
      </c>
      <c r="K314" s="40">
        <v>305</v>
      </c>
      <c r="L314" s="40">
        <f t="shared" ca="1" si="65"/>
        <v>5.1651931443117594</v>
      </c>
      <c r="M314" s="40"/>
      <c r="N314" s="40"/>
      <c r="Q314" s="46"/>
      <c r="R314" s="46">
        <f t="shared" ca="1" si="66"/>
        <v>15.275101855686946</v>
      </c>
      <c r="S314" s="40"/>
      <c r="T314" s="40"/>
      <c r="W314" s="4">
        <v>30.4</v>
      </c>
      <c r="X314" s="4">
        <f t="shared" ca="1" si="67"/>
        <v>1377731231495135</v>
      </c>
    </row>
    <row r="315" spans="4:24" x14ac:dyDescent="0.3">
      <c r="D315" s="4">
        <v>30.5</v>
      </c>
      <c r="E315" s="4">
        <f t="shared" si="64"/>
        <v>1404030712774600.8</v>
      </c>
      <c r="K315" s="40">
        <v>306</v>
      </c>
      <c r="L315" s="40">
        <f t="shared" ca="1" si="65"/>
        <v>4.8456539623885915</v>
      </c>
      <c r="M315" s="40"/>
      <c r="N315" s="40"/>
      <c r="Q315" s="46"/>
      <c r="R315" s="46">
        <f t="shared" ca="1" si="66"/>
        <v>149.96390212992915</v>
      </c>
      <c r="S315" s="40"/>
      <c r="T315" s="40"/>
      <c r="W315" s="4">
        <v>30.5</v>
      </c>
      <c r="X315" s="4">
        <f t="shared" ca="1" si="67"/>
        <v>1376043145053042.8</v>
      </c>
    </row>
    <row r="316" spans="4:24" x14ac:dyDescent="0.3">
      <c r="D316" s="4">
        <v>30.6</v>
      </c>
      <c r="E316" s="4">
        <f t="shared" si="64"/>
        <v>1402402981414494</v>
      </c>
      <c r="K316" s="40">
        <v>307</v>
      </c>
      <c r="L316" s="40">
        <f t="shared" ca="1" si="65"/>
        <v>5.8528122078542877</v>
      </c>
      <c r="M316" s="40"/>
      <c r="N316" s="40"/>
      <c r="Q316" s="46"/>
      <c r="R316" s="46">
        <f t="shared" ca="1" si="66"/>
        <v>24.643295650131371</v>
      </c>
      <c r="S316" s="40"/>
      <c r="T316" s="40"/>
      <c r="W316" s="4">
        <v>30.6</v>
      </c>
      <c r="X316" s="4">
        <f t="shared" ca="1" si="67"/>
        <v>1374357126964901.3</v>
      </c>
    </row>
    <row r="317" spans="4:24" x14ac:dyDescent="0.3">
      <c r="D317" s="4">
        <v>30.7</v>
      </c>
      <c r="E317" s="4">
        <f t="shared" si="64"/>
        <v>1400777137128050.8</v>
      </c>
      <c r="K317" s="40">
        <v>308</v>
      </c>
      <c r="L317" s="40">
        <f t="shared" ca="1" si="65"/>
        <v>180.35512948897929</v>
      </c>
      <c r="M317" s="40"/>
      <c r="N317" s="40"/>
      <c r="Q317" s="46"/>
      <c r="R317" s="46">
        <f t="shared" ca="1" si="66"/>
        <v>20.790150154202824</v>
      </c>
      <c r="S317" s="40"/>
      <c r="T317" s="40"/>
      <c r="W317" s="4">
        <v>30.7</v>
      </c>
      <c r="X317" s="4">
        <f t="shared" ca="1" si="67"/>
        <v>1372673174696428.3</v>
      </c>
    </row>
    <row r="318" spans="4:24" x14ac:dyDescent="0.3">
      <c r="D318" s="4">
        <v>30.8</v>
      </c>
      <c r="E318" s="4">
        <f t="shared" si="64"/>
        <v>1399153177727534.3</v>
      </c>
      <c r="K318" s="40">
        <v>309</v>
      </c>
      <c r="L318" s="40">
        <f t="shared" ca="1" si="65"/>
        <v>149.88865766232891</v>
      </c>
      <c r="M318" s="40"/>
      <c r="N318" s="40"/>
      <c r="Q318" s="46"/>
      <c r="R318" s="46">
        <f t="shared" ca="1" si="66"/>
        <v>109.8462356600615</v>
      </c>
      <c r="S318" s="40"/>
      <c r="T318" s="40"/>
      <c r="W318" s="4">
        <v>30.8</v>
      </c>
      <c r="X318" s="4">
        <f t="shared" ca="1" si="67"/>
        <v>1370991285716446.3</v>
      </c>
    </row>
    <row r="319" spans="4:24" x14ac:dyDescent="0.3">
      <c r="D319" s="4">
        <v>30.9</v>
      </c>
      <c r="E319" s="4">
        <f t="shared" si="64"/>
        <v>1397531101027745.3</v>
      </c>
      <c r="K319" s="40">
        <v>310</v>
      </c>
      <c r="L319" s="40">
        <f t="shared" ca="1" si="65"/>
        <v>41.901909994132104</v>
      </c>
      <c r="M319" s="40">
        <f t="shared" ref="M319" ca="1" si="88">AVERAGE(L310:L319)</f>
        <v>97.463010279348779</v>
      </c>
      <c r="N319" s="40">
        <f t="shared" ref="N319" ca="1" si="89">1/M319</f>
        <v>1.0260302828055453E-2</v>
      </c>
      <c r="Q319" s="46"/>
      <c r="R319" s="46">
        <f t="shared" ca="1" si="66"/>
        <v>263.77712434758735</v>
      </c>
      <c r="S319" s="40">
        <f t="shared" ref="S319" ca="1" si="90">AVERAGE(R310:R319)</f>
        <v>112.50910833445846</v>
      </c>
      <c r="T319" s="40">
        <f t="shared" ref="T319" ca="1" si="91">1/S319</f>
        <v>8.8881692762800731E-3</v>
      </c>
      <c r="W319" s="4">
        <v>30.9</v>
      </c>
      <c r="X319" s="4">
        <f t="shared" ca="1" si="67"/>
        <v>1369311457496879</v>
      </c>
    </row>
    <row r="320" spans="4:24" x14ac:dyDescent="0.3">
      <c r="D320" s="4">
        <v>31</v>
      </c>
      <c r="E320" s="4">
        <f t="shared" si="64"/>
        <v>1395910904846016.3</v>
      </c>
      <c r="K320" s="40">
        <v>311</v>
      </c>
      <c r="L320" s="40">
        <f t="shared" ca="1" si="65"/>
        <v>249.83943078035739</v>
      </c>
      <c r="M320" s="40"/>
      <c r="N320" s="40"/>
      <c r="Q320" s="46"/>
      <c r="R320" s="46">
        <f t="shared" ca="1" si="66"/>
        <v>52.134504610574922</v>
      </c>
      <c r="S320" s="40"/>
      <c r="T320" s="40"/>
      <c r="W320" s="4">
        <v>31</v>
      </c>
      <c r="X320" s="4">
        <f t="shared" ca="1" si="67"/>
        <v>1367633687512748.3</v>
      </c>
    </row>
    <row r="321" spans="4:24" x14ac:dyDescent="0.3">
      <c r="D321" s="4">
        <v>31.1</v>
      </c>
      <c r="E321" s="4">
        <f t="shared" si="64"/>
        <v>1394292587002211.8</v>
      </c>
      <c r="K321" s="40">
        <v>312</v>
      </c>
      <c r="L321" s="40">
        <f t="shared" ca="1" si="65"/>
        <v>14.82196461550441</v>
      </c>
      <c r="M321" s="40"/>
      <c r="N321" s="40"/>
      <c r="Q321" s="46"/>
      <c r="R321" s="46">
        <f t="shared" ca="1" si="66"/>
        <v>111.15809603073345</v>
      </c>
      <c r="S321" s="40"/>
      <c r="T321" s="40"/>
      <c r="W321" s="4">
        <v>31.1</v>
      </c>
      <c r="X321" s="4">
        <f t="shared" ca="1" si="67"/>
        <v>1365957973242169</v>
      </c>
    </row>
    <row r="322" spans="4:24" x14ac:dyDescent="0.3">
      <c r="D322" s="4">
        <v>31.2</v>
      </c>
      <c r="E322" s="4">
        <f t="shared" si="64"/>
        <v>1392676145318722.8</v>
      </c>
      <c r="K322" s="40">
        <v>313</v>
      </c>
      <c r="L322" s="40">
        <f t="shared" ca="1" si="65"/>
        <v>33.176394721554459</v>
      </c>
      <c r="M322" s="40"/>
      <c r="N322" s="40"/>
      <c r="Q322" s="46"/>
      <c r="R322" s="46">
        <f t="shared" ca="1" si="66"/>
        <v>116.47955669185536</v>
      </c>
      <c r="S322" s="40"/>
      <c r="T322" s="40"/>
      <c r="W322" s="4">
        <v>31.2</v>
      </c>
      <c r="X322" s="4">
        <f t="shared" ca="1" si="67"/>
        <v>1364284312166346.8</v>
      </c>
    </row>
    <row r="323" spans="4:24" x14ac:dyDescent="0.3">
      <c r="D323" s="4">
        <v>31.3</v>
      </c>
      <c r="E323" s="4">
        <f t="shared" si="64"/>
        <v>1391061577620465</v>
      </c>
      <c r="K323" s="40">
        <v>314</v>
      </c>
      <c r="L323" s="40">
        <f t="shared" ca="1" si="65"/>
        <v>94.585576792888205</v>
      </c>
      <c r="M323" s="40"/>
      <c r="N323" s="40"/>
      <c r="Q323" s="46"/>
      <c r="R323" s="46">
        <f t="shared" ca="1" si="66"/>
        <v>1.8022165940247852</v>
      </c>
      <c r="S323" s="40"/>
      <c r="T323" s="40"/>
      <c r="W323" s="4">
        <v>31.3</v>
      </c>
      <c r="X323" s="4">
        <f t="shared" ca="1" si="67"/>
        <v>1362612701769573</v>
      </c>
    </row>
    <row r="324" spans="4:24" x14ac:dyDescent="0.3">
      <c r="D324" s="4">
        <v>31.4</v>
      </c>
      <c r="E324" s="4">
        <f t="shared" si="64"/>
        <v>1389448881734875.5</v>
      </c>
      <c r="K324" s="40">
        <v>315</v>
      </c>
      <c r="L324" s="40">
        <f t="shared" ca="1" si="65"/>
        <v>43.426418817430893</v>
      </c>
      <c r="M324" s="40"/>
      <c r="N324" s="40"/>
      <c r="Q324" s="46"/>
      <c r="R324" s="46">
        <f t="shared" ca="1" si="66"/>
        <v>46.308520329394369</v>
      </c>
      <c r="S324" s="40"/>
      <c r="T324" s="40"/>
      <c r="W324" s="4">
        <v>31.4</v>
      </c>
      <c r="X324" s="4">
        <f t="shared" ca="1" si="67"/>
        <v>1360943139539221.5</v>
      </c>
    </row>
    <row r="325" spans="4:24" x14ac:dyDescent="0.3">
      <c r="D325" s="4">
        <v>31.5</v>
      </c>
      <c r="E325" s="4">
        <f t="shared" si="64"/>
        <v>1387838055491911.5</v>
      </c>
      <c r="K325" s="40">
        <v>316</v>
      </c>
      <c r="L325" s="40">
        <f t="shared" ca="1" si="65"/>
        <v>4.1459179726328479</v>
      </c>
      <c r="M325" s="40"/>
      <c r="N325" s="40"/>
      <c r="Q325" s="46"/>
      <c r="R325" s="46">
        <f t="shared" ca="1" si="66"/>
        <v>218.76732270475654</v>
      </c>
      <c r="S325" s="40"/>
      <c r="T325" s="40"/>
      <c r="W325" s="4">
        <v>31.5</v>
      </c>
      <c r="X325" s="4">
        <f t="shared" ca="1" si="67"/>
        <v>1359275622965744.8</v>
      </c>
    </row>
    <row r="326" spans="4:24" x14ac:dyDescent="0.3">
      <c r="D326" s="4">
        <v>31.6</v>
      </c>
      <c r="E326" s="4">
        <f t="shared" si="64"/>
        <v>1386229096724044</v>
      </c>
      <c r="K326" s="40">
        <v>317</v>
      </c>
      <c r="L326" s="40">
        <f t="shared" ca="1" si="65"/>
        <v>14.83900857332379</v>
      </c>
      <c r="M326" s="40"/>
      <c r="N326" s="40"/>
      <c r="Q326" s="46"/>
      <c r="R326" s="46">
        <f t="shared" ca="1" si="66"/>
        <v>147.15744588738087</v>
      </c>
      <c r="S326" s="40"/>
      <c r="T326" s="40"/>
      <c r="W326" s="4">
        <v>31.6</v>
      </c>
      <c r="X326" s="4">
        <f t="shared" ca="1" si="67"/>
        <v>1357610149542670</v>
      </c>
    </row>
    <row r="327" spans="4:24" x14ac:dyDescent="0.3">
      <c r="D327" s="4">
        <v>31.7</v>
      </c>
      <c r="E327" s="4">
        <f t="shared" si="64"/>
        <v>1384622003266258.5</v>
      </c>
      <c r="K327" s="40">
        <v>318</v>
      </c>
      <c r="L327" s="40">
        <f t="shared" ca="1" si="65"/>
        <v>6.622640834710702</v>
      </c>
      <c r="M327" s="40"/>
      <c r="N327" s="40"/>
      <c r="Q327" s="46"/>
      <c r="R327" s="46">
        <f t="shared" ca="1" si="66"/>
        <v>34.166878460479005</v>
      </c>
      <c r="S327" s="40"/>
      <c r="T327" s="40"/>
      <c r="W327" s="4">
        <v>31.7</v>
      </c>
      <c r="X327" s="4">
        <f t="shared" ca="1" si="67"/>
        <v>1355946716766596.3</v>
      </c>
    </row>
    <row r="328" spans="4:24" x14ac:dyDescent="0.3">
      <c r="D328" s="4">
        <v>31.8</v>
      </c>
      <c r="E328" s="4">
        <f t="shared" si="64"/>
        <v>1383016772956049.3</v>
      </c>
      <c r="K328" s="40">
        <v>319</v>
      </c>
      <c r="L328" s="40">
        <f t="shared" ca="1" si="65"/>
        <v>72.075334202593368</v>
      </c>
      <c r="M328" s="40"/>
      <c r="N328" s="40"/>
      <c r="Q328" s="46"/>
      <c r="R328" s="46">
        <f t="shared" ca="1" si="66"/>
        <v>39.904493927946817</v>
      </c>
      <c r="S328" s="40"/>
      <c r="T328" s="40"/>
      <c r="W328" s="4">
        <v>31.8</v>
      </c>
      <c r="X328" s="4">
        <f t="shared" ca="1" si="67"/>
        <v>1354285322137188.5</v>
      </c>
    </row>
    <row r="329" spans="4:24" x14ac:dyDescent="0.3">
      <c r="D329" s="4">
        <v>31.9</v>
      </c>
      <c r="E329" s="4">
        <f t="shared" si="64"/>
        <v>1381413403633418.5</v>
      </c>
      <c r="K329" s="40">
        <v>320</v>
      </c>
      <c r="L329" s="40">
        <f t="shared" ca="1" si="65"/>
        <v>0.78711097161642518</v>
      </c>
      <c r="M329" s="40">
        <f t="shared" ref="M329" ca="1" si="92">AVERAGE(L320:L329)</f>
        <v>53.431979828261248</v>
      </c>
      <c r="N329" s="40">
        <f t="shared" ref="N329" ca="1" si="93">1/M329</f>
        <v>1.871538361883944E-2</v>
      </c>
      <c r="Q329" s="46"/>
      <c r="R329" s="46">
        <f t="shared" ca="1" si="66"/>
        <v>42.974413345168209</v>
      </c>
      <c r="S329" s="40">
        <f t="shared" ref="S329" ca="1" si="94">AVERAGE(R320:R329)</f>
        <v>81.085344858231423</v>
      </c>
      <c r="T329" s="40">
        <f t="shared" ref="T329" ca="1" si="95">1/S329</f>
        <v>1.2332684799557641E-2</v>
      </c>
      <c r="W329" s="4">
        <v>31.9</v>
      </c>
      <c r="X329" s="4">
        <f t="shared" ca="1" si="67"/>
        <v>1352625963157176.5</v>
      </c>
    </row>
    <row r="330" spans="4:24" x14ac:dyDescent="0.3">
      <c r="D330" s="4">
        <v>32</v>
      </c>
      <c r="E330" s="4">
        <f t="shared" si="64"/>
        <v>1379811893140872.3</v>
      </c>
      <c r="K330" s="40">
        <v>321</v>
      </c>
      <c r="L330" s="40">
        <f t="shared" ca="1" si="65"/>
        <v>37.393741082140693</v>
      </c>
      <c r="M330" s="40"/>
      <c r="N330" s="40"/>
      <c r="Q330" s="46"/>
      <c r="R330" s="46">
        <f t="shared" ca="1" si="66"/>
        <v>155.81836421029897</v>
      </c>
      <c r="S330" s="40"/>
      <c r="T330" s="40"/>
      <c r="W330" s="4">
        <v>32</v>
      </c>
      <c r="X330" s="4">
        <f t="shared" ca="1" si="67"/>
        <v>1350968637332349.3</v>
      </c>
    </row>
    <row r="331" spans="4:24" x14ac:dyDescent="0.3">
      <c r="D331" s="4">
        <v>32.1</v>
      </c>
      <c r="E331" s="4">
        <f t="shared" ref="E331:E394" si="96">$F$4*EXP(-$F$5*D331)</f>
        <v>1378212239323417.3</v>
      </c>
      <c r="K331" s="40">
        <v>322</v>
      </c>
      <c r="L331" s="40">
        <f t="shared" ref="L331:L394" ca="1" si="97">-(1/$F$5)*LN(RAND())</f>
        <v>55.75741397254648</v>
      </c>
      <c r="M331" s="40"/>
      <c r="N331" s="40"/>
      <c r="Q331" s="46"/>
      <c r="R331" s="46">
        <f t="shared" ref="R331:R394" ca="1" si="98">-(1/$Q$10)*LN(RAND())</f>
        <v>21.39513604635879</v>
      </c>
      <c r="S331" s="40"/>
      <c r="T331" s="40"/>
      <c r="W331" s="4">
        <v>32.1</v>
      </c>
      <c r="X331" s="4">
        <f t="shared" ref="X331:X394" ca="1" si="99">$F$4*EXP(-$U$10*W331)</f>
        <v>1349313342171552.5</v>
      </c>
    </row>
    <row r="332" spans="4:24" x14ac:dyDescent="0.3">
      <c r="D332" s="4">
        <v>32.200000000000003</v>
      </c>
      <c r="E332" s="4">
        <f t="shared" si="96"/>
        <v>1376614440028559.8</v>
      </c>
      <c r="K332" s="40">
        <v>323</v>
      </c>
      <c r="L332" s="40">
        <f t="shared" ca="1" si="97"/>
        <v>23.959651121899384</v>
      </c>
      <c r="M332" s="40"/>
      <c r="N332" s="40"/>
      <c r="Q332" s="46"/>
      <c r="R332" s="46">
        <f t="shared" ca="1" si="98"/>
        <v>83.732122270630683</v>
      </c>
      <c r="S332" s="40"/>
      <c r="T332" s="40"/>
      <c r="W332" s="4">
        <v>32.200000000000003</v>
      </c>
      <c r="X332" s="4">
        <f t="shared" ca="1" si="99"/>
        <v>1347660075186683.3</v>
      </c>
    </row>
    <row r="333" spans="4:24" x14ac:dyDescent="0.3">
      <c r="D333" s="4">
        <v>32.299999999999997</v>
      </c>
      <c r="E333" s="4">
        <f t="shared" si="96"/>
        <v>1375018493106300.5</v>
      </c>
      <c r="K333" s="40">
        <v>324</v>
      </c>
      <c r="L333" s="40">
        <f t="shared" ca="1" si="97"/>
        <v>404.39948580251735</v>
      </c>
      <c r="M333" s="40"/>
      <c r="N333" s="40"/>
      <c r="Q333" s="46"/>
      <c r="R333" s="46">
        <f t="shared" ca="1" si="98"/>
        <v>92.491223074810904</v>
      </c>
      <c r="S333" s="40"/>
      <c r="T333" s="40"/>
      <c r="W333" s="4">
        <v>32.299999999999997</v>
      </c>
      <c r="X333" s="4">
        <f t="shared" ca="1" si="99"/>
        <v>1346008833892688</v>
      </c>
    </row>
    <row r="334" spans="4:24" x14ac:dyDescent="0.3">
      <c r="D334" s="4">
        <v>32.4</v>
      </c>
      <c r="E334" s="4">
        <f t="shared" si="96"/>
        <v>1373424396409132.8</v>
      </c>
      <c r="K334" s="40">
        <v>325</v>
      </c>
      <c r="L334" s="40">
        <f t="shared" ca="1" si="97"/>
        <v>152.49450583289737</v>
      </c>
      <c r="M334" s="40"/>
      <c r="N334" s="40"/>
      <c r="Q334" s="46"/>
      <c r="R334" s="46">
        <f t="shared" ca="1" si="98"/>
        <v>97.540593595615704</v>
      </c>
      <c r="S334" s="40"/>
      <c r="T334" s="40"/>
      <c r="W334" s="4">
        <v>32.4</v>
      </c>
      <c r="X334" s="4">
        <f t="shared" ca="1" si="99"/>
        <v>1344359615807557.8</v>
      </c>
    </row>
    <row r="335" spans="4:24" x14ac:dyDescent="0.3">
      <c r="D335" s="4">
        <v>32.5</v>
      </c>
      <c r="E335" s="4">
        <f t="shared" si="96"/>
        <v>1371832147792040.3</v>
      </c>
      <c r="K335" s="40">
        <v>326</v>
      </c>
      <c r="L335" s="40">
        <f t="shared" ca="1" si="97"/>
        <v>115.05491502803822</v>
      </c>
      <c r="M335" s="40"/>
      <c r="N335" s="40"/>
      <c r="Q335" s="46"/>
      <c r="R335" s="46">
        <f t="shared" ca="1" si="98"/>
        <v>18.568989491325318</v>
      </c>
      <c r="S335" s="40"/>
      <c r="T335" s="40"/>
      <c r="W335" s="4">
        <v>32.5</v>
      </c>
      <c r="X335" s="4">
        <f t="shared" ca="1" si="99"/>
        <v>1342712418452324.3</v>
      </c>
    </row>
    <row r="336" spans="4:24" x14ac:dyDescent="0.3">
      <c r="D336" s="4">
        <v>32.6</v>
      </c>
      <c r="E336" s="4">
        <f t="shared" si="96"/>
        <v>1370241745112492.8</v>
      </c>
      <c r="K336" s="40">
        <v>327</v>
      </c>
      <c r="L336" s="40">
        <f t="shared" ca="1" si="97"/>
        <v>117.96285014282917</v>
      </c>
      <c r="M336" s="40"/>
      <c r="N336" s="40"/>
      <c r="Q336" s="46"/>
      <c r="R336" s="46">
        <f t="shared" ca="1" si="98"/>
        <v>45.472715020599146</v>
      </c>
      <c r="S336" s="40"/>
      <c r="T336" s="40"/>
      <c r="W336" s="4">
        <v>32.6</v>
      </c>
      <c r="X336" s="4">
        <f t="shared" ca="1" si="99"/>
        <v>1341067239351057.5</v>
      </c>
    </row>
    <row r="337" spans="4:24" x14ac:dyDescent="0.3">
      <c r="D337" s="4">
        <v>32.700000000000003</v>
      </c>
      <c r="E337" s="4">
        <f t="shared" si="96"/>
        <v>1368653186230444.3</v>
      </c>
      <c r="K337" s="40">
        <v>328</v>
      </c>
      <c r="L337" s="40">
        <f t="shared" ca="1" si="97"/>
        <v>52.618841034399388</v>
      </c>
      <c r="M337" s="40"/>
      <c r="N337" s="40"/>
      <c r="Q337" s="46"/>
      <c r="R337" s="46">
        <f t="shared" ca="1" si="98"/>
        <v>22.436487712271141</v>
      </c>
      <c r="S337" s="40"/>
      <c r="T337" s="40"/>
      <c r="W337" s="4">
        <v>32.700000000000003</v>
      </c>
      <c r="X337" s="4">
        <f t="shared" ca="1" si="99"/>
        <v>1339424076030860.5</v>
      </c>
    </row>
    <row r="338" spans="4:24" x14ac:dyDescent="0.3">
      <c r="D338" s="4">
        <v>32.799999999999997</v>
      </c>
      <c r="E338" s="4">
        <f t="shared" si="96"/>
        <v>1367066469008329.8</v>
      </c>
      <c r="K338" s="40">
        <v>329</v>
      </c>
      <c r="L338" s="40">
        <f t="shared" ca="1" si="97"/>
        <v>148.22922128792769</v>
      </c>
      <c r="M338" s="40"/>
      <c r="N338" s="40"/>
      <c r="Q338" s="46"/>
      <c r="R338" s="46">
        <f t="shared" ca="1" si="98"/>
        <v>92.910310756677376</v>
      </c>
      <c r="S338" s="40"/>
      <c r="T338" s="40"/>
      <c r="W338" s="4">
        <v>32.799999999999997</v>
      </c>
      <c r="X338" s="4">
        <f t="shared" ca="1" si="99"/>
        <v>1337782926021866.5</v>
      </c>
    </row>
    <row r="339" spans="4:24" x14ac:dyDescent="0.3">
      <c r="D339" s="4">
        <v>32.9</v>
      </c>
      <c r="E339" s="4">
        <f t="shared" si="96"/>
        <v>1365481591311062</v>
      </c>
      <c r="K339" s="40">
        <v>330</v>
      </c>
      <c r="L339" s="40">
        <f t="shared" ca="1" si="97"/>
        <v>127.47249857206356</v>
      </c>
      <c r="M339" s="40">
        <f t="shared" ref="M339" ca="1" si="100">AVERAGE(L330:L339)</f>
        <v>123.53431238772593</v>
      </c>
      <c r="N339" s="40">
        <f t="shared" ref="N339" ca="1" si="101">1/M339</f>
        <v>8.0949169560388268E-3</v>
      </c>
      <c r="Q339" s="46"/>
      <c r="R339" s="46">
        <f t="shared" ca="1" si="98"/>
        <v>62.257358654865506</v>
      </c>
      <c r="S339" s="40">
        <f t="shared" ref="S339" ca="1" si="102">AVERAGE(R330:R339)</f>
        <v>69.262330083345347</v>
      </c>
      <c r="T339" s="40">
        <f t="shared" ref="T339" ca="1" si="103">1/S339</f>
        <v>1.4437862526378643E-2</v>
      </c>
      <c r="W339" s="4">
        <v>32.9</v>
      </c>
      <c r="X339" s="4">
        <f t="shared" ca="1" si="99"/>
        <v>1336143786857234.5</v>
      </c>
    </row>
    <row r="340" spans="4:24" x14ac:dyDescent="0.3">
      <c r="D340" s="4">
        <v>33</v>
      </c>
      <c r="E340" s="4">
        <f t="shared" si="96"/>
        <v>1363898551006029.8</v>
      </c>
      <c r="K340" s="40">
        <v>331</v>
      </c>
      <c r="L340" s="40">
        <f t="shared" ca="1" si="97"/>
        <v>324.01141851892567</v>
      </c>
      <c r="M340" s="40"/>
      <c r="N340" s="40"/>
      <c r="Q340" s="46"/>
      <c r="R340" s="46">
        <f t="shared" ca="1" si="98"/>
        <v>99.563787547088722</v>
      </c>
      <c r="S340" s="40"/>
      <c r="T340" s="40"/>
      <c r="W340" s="4">
        <v>33</v>
      </c>
      <c r="X340" s="4">
        <f t="shared" ca="1" si="99"/>
        <v>1334506656073147</v>
      </c>
    </row>
    <row r="341" spans="4:24" x14ac:dyDescent="0.3">
      <c r="D341" s="4">
        <v>33.1</v>
      </c>
      <c r="E341" s="4">
        <f t="shared" si="96"/>
        <v>1362317345963093.5</v>
      </c>
      <c r="K341" s="40">
        <v>332</v>
      </c>
      <c r="L341" s="40">
        <f t="shared" ca="1" si="97"/>
        <v>183.69667876406589</v>
      </c>
      <c r="M341" s="40"/>
      <c r="N341" s="40"/>
      <c r="Q341" s="46"/>
      <c r="R341" s="46">
        <f t="shared" ca="1" si="98"/>
        <v>55.526543138830235</v>
      </c>
      <c r="S341" s="40"/>
      <c r="T341" s="40"/>
      <c r="W341" s="4">
        <v>33.1</v>
      </c>
      <c r="X341" s="4">
        <f t="shared" ca="1" si="99"/>
        <v>1332871531208804.5</v>
      </c>
    </row>
    <row r="342" spans="4:24" x14ac:dyDescent="0.3">
      <c r="D342" s="4">
        <v>33.200000000000003</v>
      </c>
      <c r="E342" s="4">
        <f t="shared" si="96"/>
        <v>1360737974054583.3</v>
      </c>
      <c r="K342" s="40">
        <v>333</v>
      </c>
      <c r="L342" s="40">
        <f t="shared" ca="1" si="97"/>
        <v>133.00049935333442</v>
      </c>
      <c r="M342" s="40"/>
      <c r="N342" s="40"/>
      <c r="Q342" s="46"/>
      <c r="R342" s="46">
        <f t="shared" ca="1" si="98"/>
        <v>5.3037529796202447</v>
      </c>
      <c r="S342" s="40"/>
      <c r="T342" s="40"/>
      <c r="W342" s="4">
        <v>33.200000000000003</v>
      </c>
      <c r="X342" s="4">
        <f t="shared" ca="1" si="99"/>
        <v>1331238409806422.8</v>
      </c>
    </row>
    <row r="343" spans="4:24" x14ac:dyDescent="0.3">
      <c r="D343" s="4">
        <v>33.299999999999997</v>
      </c>
      <c r="E343" s="4">
        <f t="shared" si="96"/>
        <v>1359160433155296.8</v>
      </c>
      <c r="K343" s="40">
        <v>334</v>
      </c>
      <c r="L343" s="40">
        <f t="shared" ca="1" si="97"/>
        <v>23.430363454084365</v>
      </c>
      <c r="M343" s="40"/>
      <c r="N343" s="40"/>
      <c r="Q343" s="46"/>
      <c r="R343" s="46">
        <f t="shared" ca="1" si="98"/>
        <v>41.149395771333666</v>
      </c>
      <c r="S343" s="40"/>
      <c r="T343" s="40"/>
      <c r="W343" s="4">
        <v>33.299999999999997</v>
      </c>
      <c r="X343" s="4">
        <f t="shared" ca="1" si="99"/>
        <v>1329607289411229.5</v>
      </c>
    </row>
    <row r="344" spans="4:24" x14ac:dyDescent="0.3">
      <c r="D344" s="4">
        <v>33.4</v>
      </c>
      <c r="E344" s="4">
        <f t="shared" si="96"/>
        <v>1357584721142493.8</v>
      </c>
      <c r="K344" s="40">
        <v>335</v>
      </c>
      <c r="L344" s="40">
        <f t="shared" ca="1" si="97"/>
        <v>153.93533331980484</v>
      </c>
      <c r="M344" s="40"/>
      <c r="N344" s="40"/>
      <c r="Q344" s="46"/>
      <c r="R344" s="46">
        <f t="shared" ca="1" si="98"/>
        <v>33.780337959305129</v>
      </c>
      <c r="S344" s="40"/>
      <c r="T344" s="40"/>
      <c r="W344" s="4">
        <v>33.4</v>
      </c>
      <c r="X344" s="4">
        <f t="shared" ca="1" si="99"/>
        <v>1327978167571459</v>
      </c>
    </row>
    <row r="345" spans="4:24" x14ac:dyDescent="0.3">
      <c r="D345" s="4">
        <v>33.5</v>
      </c>
      <c r="E345" s="4">
        <f t="shared" si="96"/>
        <v>1356010835895896.5</v>
      </c>
      <c r="K345" s="40">
        <v>336</v>
      </c>
      <c r="L345" s="40">
        <f t="shared" ca="1" si="97"/>
        <v>89.447972891262452</v>
      </c>
      <c r="M345" s="40"/>
      <c r="N345" s="40"/>
      <c r="Q345" s="46"/>
      <c r="R345" s="46">
        <f t="shared" ca="1" si="98"/>
        <v>302.92455726404012</v>
      </c>
      <c r="S345" s="40"/>
      <c r="T345" s="40"/>
      <c r="W345" s="4">
        <v>33.5</v>
      </c>
      <c r="X345" s="4">
        <f t="shared" ca="1" si="99"/>
        <v>1326351041838351.3</v>
      </c>
    </row>
    <row r="346" spans="4:24" x14ac:dyDescent="0.3">
      <c r="D346" s="4">
        <v>33.6</v>
      </c>
      <c r="E346" s="4">
        <f t="shared" si="96"/>
        <v>1354438775297684.5</v>
      </c>
      <c r="K346" s="40">
        <v>337</v>
      </c>
      <c r="L346" s="40">
        <f t="shared" ca="1" si="97"/>
        <v>13.367042794211878</v>
      </c>
      <c r="M346" s="40"/>
      <c r="N346" s="40"/>
      <c r="Q346" s="46"/>
      <c r="R346" s="46">
        <f t="shared" ca="1" si="98"/>
        <v>18.976107410101001</v>
      </c>
      <c r="S346" s="40"/>
      <c r="T346" s="40"/>
      <c r="W346" s="4">
        <v>33.6</v>
      </c>
      <c r="X346" s="4">
        <f t="shared" ca="1" si="99"/>
        <v>1324725909766145.5</v>
      </c>
    </row>
    <row r="347" spans="4:24" x14ac:dyDescent="0.3">
      <c r="D347" s="4">
        <v>33.700000000000003</v>
      </c>
      <c r="E347" s="4">
        <f t="shared" si="96"/>
        <v>1352868537232493</v>
      </c>
      <c r="K347" s="40">
        <v>338</v>
      </c>
      <c r="L347" s="40">
        <f t="shared" ca="1" si="97"/>
        <v>46.512212940277742</v>
      </c>
      <c r="M347" s="40"/>
      <c r="N347" s="40"/>
      <c r="Q347" s="46"/>
      <c r="R347" s="46">
        <f t="shared" ca="1" si="98"/>
        <v>115.52719876214103</v>
      </c>
      <c r="S347" s="40"/>
      <c r="T347" s="40"/>
      <c r="W347" s="4">
        <v>33.700000000000003</v>
      </c>
      <c r="X347" s="4">
        <f t="shared" ca="1" si="99"/>
        <v>1323102768912078</v>
      </c>
    </row>
    <row r="348" spans="4:24" x14ac:dyDescent="0.3">
      <c r="D348" s="4">
        <v>33.799999999999997</v>
      </c>
      <c r="E348" s="4">
        <f t="shared" si="96"/>
        <v>1351300119587409.5</v>
      </c>
      <c r="K348" s="40">
        <v>339</v>
      </c>
      <c r="L348" s="40">
        <f t="shared" ca="1" si="97"/>
        <v>2.6596155068254497</v>
      </c>
      <c r="M348" s="40"/>
      <c r="N348" s="40"/>
      <c r="Q348" s="46"/>
      <c r="R348" s="46">
        <f t="shared" ca="1" si="98"/>
        <v>117.67323399979374</v>
      </c>
      <c r="S348" s="40"/>
      <c r="T348" s="40"/>
      <c r="W348" s="4">
        <v>33.799999999999997</v>
      </c>
      <c r="X348" s="4">
        <f t="shared" ca="1" si="99"/>
        <v>1321481616836378</v>
      </c>
    </row>
    <row r="349" spans="4:24" x14ac:dyDescent="0.3">
      <c r="D349" s="4">
        <v>33.9</v>
      </c>
      <c r="E349" s="4">
        <f t="shared" si="96"/>
        <v>1349733520251970.8</v>
      </c>
      <c r="K349" s="40">
        <v>340</v>
      </c>
      <c r="L349" s="40">
        <f t="shared" ca="1" si="97"/>
        <v>45.969349838591903</v>
      </c>
      <c r="M349" s="40">
        <f t="shared" ref="M349" ca="1" si="104">AVERAGE(L340:L349)</f>
        <v>101.60304873813848</v>
      </c>
      <c r="N349" s="40">
        <f t="shared" ref="N349" ca="1" si="105">1/M349</f>
        <v>9.8422243468038028E-3</v>
      </c>
      <c r="Q349" s="46"/>
      <c r="R349" s="46">
        <f t="shared" ca="1" si="98"/>
        <v>111.3743515943158</v>
      </c>
      <c r="S349" s="40">
        <f t="shared" ref="S349" ca="1" si="106">AVERAGE(R340:R349)</f>
        <v>90.179926642656966</v>
      </c>
      <c r="T349" s="40">
        <f t="shared" ref="T349" ca="1" si="107">1/S349</f>
        <v>1.1088942264973848E-2</v>
      </c>
      <c r="W349" s="4">
        <v>33.9</v>
      </c>
      <c r="X349" s="4">
        <f t="shared" ca="1" si="99"/>
        <v>1319862451102263.8</v>
      </c>
    </row>
    <row r="350" spans="4:24" x14ac:dyDescent="0.3">
      <c r="D350" s="4">
        <v>34</v>
      </c>
      <c r="E350" s="4">
        <f t="shared" si="96"/>
        <v>1348168737118160.3</v>
      </c>
      <c r="K350" s="40">
        <v>341</v>
      </c>
      <c r="L350" s="40">
        <f t="shared" ca="1" si="97"/>
        <v>16.107810601501932</v>
      </c>
      <c r="M350" s="40"/>
      <c r="N350" s="40"/>
      <c r="Q350" s="46"/>
      <c r="R350" s="46">
        <f t="shared" ca="1" si="98"/>
        <v>53.758409612410915</v>
      </c>
      <c r="S350" s="40"/>
      <c r="T350" s="40"/>
      <c r="W350" s="4">
        <v>34</v>
      </c>
      <c r="X350" s="4">
        <f t="shared" ca="1" si="99"/>
        <v>1318245269275940</v>
      </c>
    </row>
    <row r="351" spans="4:24" x14ac:dyDescent="0.3">
      <c r="D351" s="4">
        <v>34.1</v>
      </c>
      <c r="E351" s="4">
        <f t="shared" si="96"/>
        <v>1346605768080406</v>
      </c>
      <c r="K351" s="40">
        <v>342</v>
      </c>
      <c r="L351" s="40">
        <f t="shared" ca="1" si="97"/>
        <v>94.681710207991003</v>
      </c>
      <c r="M351" s="40"/>
      <c r="N351" s="40"/>
      <c r="Q351" s="46"/>
      <c r="R351" s="46">
        <f t="shared" ca="1" si="98"/>
        <v>1.5688869713583959</v>
      </c>
      <c r="S351" s="40"/>
      <c r="T351" s="40"/>
      <c r="W351" s="4">
        <v>34.1</v>
      </c>
      <c r="X351" s="4">
        <f t="shared" ca="1" si="99"/>
        <v>1316630068926593</v>
      </c>
    </row>
    <row r="352" spans="4:24" x14ac:dyDescent="0.3">
      <c r="D352" s="4">
        <v>34.200000000000003</v>
      </c>
      <c r="E352" s="4">
        <f t="shared" si="96"/>
        <v>1345044611035576.5</v>
      </c>
      <c r="K352" s="40">
        <v>343</v>
      </c>
      <c r="L352" s="40">
        <f t="shared" ca="1" si="97"/>
        <v>13.549006272204666</v>
      </c>
      <c r="M352" s="40"/>
      <c r="N352" s="40"/>
      <c r="Q352" s="46"/>
      <c r="R352" s="46">
        <f t="shared" ca="1" si="98"/>
        <v>399.0012647844332</v>
      </c>
      <c r="S352" s="40"/>
      <c r="T352" s="40"/>
      <c r="W352" s="4">
        <v>34.200000000000003</v>
      </c>
      <c r="X352" s="4">
        <f t="shared" ca="1" si="99"/>
        <v>1315016847626388</v>
      </c>
    </row>
    <row r="353" spans="4:24" x14ac:dyDescent="0.3">
      <c r="D353" s="4">
        <v>34.299999999999997</v>
      </c>
      <c r="E353" s="4">
        <f t="shared" si="96"/>
        <v>1343485263882978.5</v>
      </c>
      <c r="K353" s="40">
        <v>344</v>
      </c>
      <c r="L353" s="40">
        <f t="shared" ca="1" si="97"/>
        <v>10.251114301007451</v>
      </c>
      <c r="M353" s="40"/>
      <c r="N353" s="40"/>
      <c r="Q353" s="46"/>
      <c r="R353" s="46">
        <f t="shared" ca="1" si="98"/>
        <v>2.4688384314696368</v>
      </c>
      <c r="S353" s="40"/>
      <c r="T353" s="40"/>
      <c r="W353" s="4">
        <v>34.299999999999997</v>
      </c>
      <c r="X353" s="4">
        <f t="shared" ca="1" si="99"/>
        <v>1313405602950463.8</v>
      </c>
    </row>
    <row r="354" spans="4:24" x14ac:dyDescent="0.3">
      <c r="D354" s="4">
        <v>34.4</v>
      </c>
      <c r="E354" s="4">
        <f t="shared" si="96"/>
        <v>1341927724524354.5</v>
      </c>
      <c r="K354" s="40">
        <v>345</v>
      </c>
      <c r="L354" s="40">
        <f t="shared" ca="1" si="97"/>
        <v>21.643562210001168</v>
      </c>
      <c r="M354" s="40"/>
      <c r="N354" s="40"/>
      <c r="Q354" s="46"/>
      <c r="R354" s="46">
        <f t="shared" ca="1" si="98"/>
        <v>207.55570530222133</v>
      </c>
      <c r="S354" s="40"/>
      <c r="T354" s="40"/>
      <c r="W354" s="4">
        <v>34.4</v>
      </c>
      <c r="X354" s="4">
        <f t="shared" ca="1" si="99"/>
        <v>1311796332476931</v>
      </c>
    </row>
    <row r="355" spans="4:24" x14ac:dyDescent="0.3">
      <c r="D355" s="4">
        <v>34.5</v>
      </c>
      <c r="E355" s="4">
        <f t="shared" si="96"/>
        <v>1340371990863878.8</v>
      </c>
      <c r="K355" s="40">
        <v>346</v>
      </c>
      <c r="L355" s="40">
        <f t="shared" ca="1" si="97"/>
        <v>106.57766461051494</v>
      </c>
      <c r="M355" s="40"/>
      <c r="N355" s="40"/>
      <c r="Q355" s="46"/>
      <c r="R355" s="46">
        <f t="shared" ca="1" si="98"/>
        <v>32.520674509993945</v>
      </c>
      <c r="S355" s="40"/>
      <c r="T355" s="40"/>
      <c r="W355" s="4">
        <v>34.5</v>
      </c>
      <c r="X355" s="4">
        <f t="shared" ca="1" si="99"/>
        <v>1310189033786868.3</v>
      </c>
    </row>
    <row r="356" spans="4:24" x14ac:dyDescent="0.3">
      <c r="D356" s="4">
        <v>34.6</v>
      </c>
      <c r="E356" s="4">
        <f t="shared" si="96"/>
        <v>1338818060808156.3</v>
      </c>
      <c r="K356" s="40">
        <v>347</v>
      </c>
      <c r="L356" s="40">
        <f t="shared" ca="1" si="97"/>
        <v>54.673957549562374</v>
      </c>
      <c r="M356" s="40"/>
      <c r="N356" s="40"/>
      <c r="Q356" s="46"/>
      <c r="R356" s="46">
        <f t="shared" ca="1" si="98"/>
        <v>113.76720501604896</v>
      </c>
      <c r="S356" s="40"/>
      <c r="T356" s="40"/>
      <c r="W356" s="4">
        <v>34.6</v>
      </c>
      <c r="X356" s="4">
        <f t="shared" ca="1" si="99"/>
        <v>1308583704464317.3</v>
      </c>
    </row>
    <row r="357" spans="4:24" x14ac:dyDescent="0.3">
      <c r="D357" s="4">
        <v>34.700000000000003</v>
      </c>
      <c r="E357" s="4">
        <f t="shared" si="96"/>
        <v>1337265932266218.5</v>
      </c>
      <c r="K357" s="40">
        <v>348</v>
      </c>
      <c r="L357" s="40">
        <f t="shared" ca="1" si="97"/>
        <v>10.287322999153734</v>
      </c>
      <c r="M357" s="40"/>
      <c r="N357" s="40"/>
      <c r="Q357" s="46"/>
      <c r="R357" s="46">
        <f t="shared" ca="1" si="98"/>
        <v>12.616256338243359</v>
      </c>
      <c r="S357" s="40"/>
      <c r="T357" s="40"/>
      <c r="W357" s="4">
        <v>34.700000000000003</v>
      </c>
      <c r="X357" s="4">
        <f t="shared" ca="1" si="99"/>
        <v>1306980342096279.8</v>
      </c>
    </row>
    <row r="358" spans="4:24" x14ac:dyDescent="0.3">
      <c r="D358" s="4">
        <v>34.799999999999997</v>
      </c>
      <c r="E358" s="4">
        <f t="shared" si="96"/>
        <v>1335715603149521</v>
      </c>
      <c r="K358" s="40">
        <v>349</v>
      </c>
      <c r="L358" s="40">
        <f t="shared" ca="1" si="97"/>
        <v>153.84205839219493</v>
      </c>
      <c r="M358" s="40"/>
      <c r="N358" s="40"/>
      <c r="Q358" s="46"/>
      <c r="R358" s="46">
        <f t="shared" ca="1" si="98"/>
        <v>115.73863370234287</v>
      </c>
      <c r="S358" s="40"/>
      <c r="T358" s="40"/>
      <c r="W358" s="4">
        <v>34.799999999999997</v>
      </c>
      <c r="X358" s="4">
        <f t="shared" ca="1" si="99"/>
        <v>1305378944272714.8</v>
      </c>
    </row>
    <row r="359" spans="4:24" x14ac:dyDescent="0.3">
      <c r="D359" s="4">
        <v>34.9</v>
      </c>
      <c r="E359" s="4">
        <f t="shared" si="96"/>
        <v>1334167071371940.8</v>
      </c>
      <c r="K359" s="40">
        <v>350</v>
      </c>
      <c r="L359" s="40">
        <f t="shared" ca="1" si="97"/>
        <v>80.311969328507374</v>
      </c>
      <c r="M359" s="40">
        <f t="shared" ref="M359" ca="1" si="108">AVERAGE(L350:L359)</f>
        <v>56.192617647263958</v>
      </c>
      <c r="N359" s="40">
        <f t="shared" ref="N359" ca="1" si="109">1/M359</f>
        <v>1.7795931954572158E-2</v>
      </c>
      <c r="Q359" s="46"/>
      <c r="R359" s="46">
        <f t="shared" ca="1" si="98"/>
        <v>39.435164673347892</v>
      </c>
      <c r="S359" s="40">
        <f t="shared" ref="S359" ca="1" si="110">AVERAGE(R350:R359)</f>
        <v>97.843103934187042</v>
      </c>
      <c r="T359" s="40">
        <f t="shared" ref="T359" ca="1" si="111">1/S359</f>
        <v>1.0220444362360352E-2</v>
      </c>
      <c r="W359" s="4">
        <v>34.9</v>
      </c>
      <c r="X359" s="4">
        <f t="shared" ca="1" si="99"/>
        <v>1303779508586533.8</v>
      </c>
    </row>
    <row r="360" spans="4:24" x14ac:dyDescent="0.3">
      <c r="D360" s="4">
        <v>35</v>
      </c>
      <c r="E360" s="4">
        <f t="shared" si="96"/>
        <v>1332620334849772.8</v>
      </c>
      <c r="K360" s="40">
        <v>351</v>
      </c>
      <c r="L360" s="40">
        <f t="shared" ca="1" si="97"/>
        <v>5.8887979550587444</v>
      </c>
      <c r="M360" s="40"/>
      <c r="N360" s="40"/>
      <c r="Q360" s="46"/>
      <c r="R360" s="46">
        <f t="shared" ca="1" si="98"/>
        <v>13.924889958504789</v>
      </c>
      <c r="S360" s="40"/>
      <c r="T360" s="40"/>
      <c r="W360" s="4">
        <v>35</v>
      </c>
      <c r="X360" s="4">
        <f t="shared" ca="1" si="99"/>
        <v>1302182032633597.5</v>
      </c>
    </row>
    <row r="361" spans="4:24" x14ac:dyDescent="0.3">
      <c r="D361" s="4">
        <v>35.1</v>
      </c>
      <c r="E361" s="4">
        <f t="shared" si="96"/>
        <v>1331075391501728.5</v>
      </c>
      <c r="K361" s="40">
        <v>352</v>
      </c>
      <c r="L361" s="40">
        <f t="shared" ca="1" si="97"/>
        <v>0.98815653201341769</v>
      </c>
      <c r="M361" s="40"/>
      <c r="N361" s="40"/>
      <c r="Q361" s="46"/>
      <c r="R361" s="46">
        <f t="shared" ca="1" si="98"/>
        <v>152.84110733387362</v>
      </c>
      <c r="S361" s="40"/>
      <c r="T361" s="40"/>
      <c r="W361" s="4">
        <v>35.1</v>
      </c>
      <c r="X361" s="4">
        <f t="shared" ca="1" si="99"/>
        <v>1300586514012712.8</v>
      </c>
    </row>
    <row r="362" spans="4:24" x14ac:dyDescent="0.3">
      <c r="D362" s="4">
        <v>35.200000000000003</v>
      </c>
      <c r="E362" s="4">
        <f t="shared" si="96"/>
        <v>1329532239248932</v>
      </c>
      <c r="K362" s="40">
        <v>353</v>
      </c>
      <c r="L362" s="40">
        <f t="shared" ca="1" si="97"/>
        <v>38.313067591361019</v>
      </c>
      <c r="M362" s="40"/>
      <c r="N362" s="40"/>
      <c r="Q362" s="46"/>
      <c r="R362" s="46">
        <f t="shared" ca="1" si="98"/>
        <v>3.5714850131031812</v>
      </c>
      <c r="S362" s="40"/>
      <c r="T362" s="40"/>
      <c r="W362" s="4">
        <v>35.200000000000003</v>
      </c>
      <c r="X362" s="4">
        <f t="shared" ca="1" si="99"/>
        <v>1298992950325628</v>
      </c>
    </row>
    <row r="363" spans="4:24" x14ac:dyDescent="0.3">
      <c r="D363" s="4">
        <v>35.299999999999997</v>
      </c>
      <c r="E363" s="4">
        <f t="shared" si="96"/>
        <v>1327990876014917</v>
      </c>
      <c r="K363" s="40">
        <v>354</v>
      </c>
      <c r="L363" s="40">
        <f t="shared" ca="1" si="97"/>
        <v>42.838694169325407</v>
      </c>
      <c r="M363" s="40"/>
      <c r="N363" s="40"/>
      <c r="Q363" s="46"/>
      <c r="R363" s="46">
        <f t="shared" ca="1" si="98"/>
        <v>31.010605729575129</v>
      </c>
      <c r="S363" s="40"/>
      <c r="T363" s="40"/>
      <c r="W363" s="4">
        <v>35.299999999999997</v>
      </c>
      <c r="X363" s="4">
        <f t="shared" ca="1" si="99"/>
        <v>1297401339177031</v>
      </c>
    </row>
    <row r="364" spans="4:24" x14ac:dyDescent="0.3">
      <c r="D364" s="4">
        <v>35.4</v>
      </c>
      <c r="E364" s="4">
        <f t="shared" si="96"/>
        <v>1326451299725625.5</v>
      </c>
      <c r="K364" s="40">
        <v>355</v>
      </c>
      <c r="L364" s="40">
        <f t="shared" ca="1" si="97"/>
        <v>43.045352542853038</v>
      </c>
      <c r="M364" s="40"/>
      <c r="N364" s="40"/>
      <c r="Q364" s="46"/>
      <c r="R364" s="46">
        <f t="shared" ca="1" si="98"/>
        <v>156.00973859183753</v>
      </c>
      <c r="S364" s="40"/>
      <c r="T364" s="40"/>
      <c r="W364" s="4">
        <v>35.4</v>
      </c>
      <c r="X364" s="4">
        <f t="shared" ca="1" si="99"/>
        <v>1295811678174543.3</v>
      </c>
    </row>
    <row r="365" spans="4:24" x14ac:dyDescent="0.3">
      <c r="D365" s="4">
        <v>35.5</v>
      </c>
      <c r="E365" s="4">
        <f t="shared" si="96"/>
        <v>1324913508309402.8</v>
      </c>
      <c r="K365" s="40">
        <v>356</v>
      </c>
      <c r="L365" s="40">
        <f t="shared" ca="1" si="97"/>
        <v>81.836497401007364</v>
      </c>
      <c r="M365" s="40"/>
      <c r="N365" s="40"/>
      <c r="Q365" s="46"/>
      <c r="R365" s="46">
        <f t="shared" ca="1" si="98"/>
        <v>56.285609334551367</v>
      </c>
      <c r="S365" s="40"/>
      <c r="T365" s="40"/>
      <c r="W365" s="4">
        <v>35.5</v>
      </c>
      <c r="X365" s="4">
        <f t="shared" ca="1" si="99"/>
        <v>1294223964928718.5</v>
      </c>
    </row>
    <row r="366" spans="4:24" x14ac:dyDescent="0.3">
      <c r="D366" s="4">
        <v>35.6</v>
      </c>
      <c r="E366" s="4">
        <f t="shared" si="96"/>
        <v>1323377499696996.8</v>
      </c>
      <c r="K366" s="40">
        <v>357</v>
      </c>
      <c r="L366" s="40">
        <f t="shared" ca="1" si="97"/>
        <v>53.272383877950446</v>
      </c>
      <c r="M366" s="40"/>
      <c r="N366" s="40"/>
      <c r="Q366" s="46"/>
      <c r="R366" s="46">
        <f t="shared" ca="1" si="98"/>
        <v>147.26595452237208</v>
      </c>
      <c r="S366" s="40"/>
      <c r="T366" s="40"/>
      <c r="W366" s="4">
        <v>35.6</v>
      </c>
      <c r="X366" s="4">
        <f t="shared" ca="1" si="99"/>
        <v>1292638197053037.5</v>
      </c>
    </row>
    <row r="367" spans="4:24" x14ac:dyDescent="0.3">
      <c r="D367" s="4">
        <v>35.700000000000003</v>
      </c>
      <c r="E367" s="4">
        <f t="shared" si="96"/>
        <v>1321843271821554</v>
      </c>
      <c r="K367" s="40">
        <v>358</v>
      </c>
      <c r="L367" s="40">
        <f t="shared" ca="1" si="97"/>
        <v>43.684397704050212</v>
      </c>
      <c r="M367" s="40"/>
      <c r="N367" s="40"/>
      <c r="Q367" s="46"/>
      <c r="R367" s="46">
        <f t="shared" ca="1" si="98"/>
        <v>17.923251404809516</v>
      </c>
      <c r="S367" s="40"/>
      <c r="T367" s="40"/>
      <c r="W367" s="4">
        <v>35.700000000000003</v>
      </c>
      <c r="X367" s="4">
        <f t="shared" ca="1" si="99"/>
        <v>1291054372163906</v>
      </c>
    </row>
    <row r="368" spans="4:24" x14ac:dyDescent="0.3">
      <c r="D368" s="4">
        <v>35.799999999999997</v>
      </c>
      <c r="E368" s="4">
        <f t="shared" si="96"/>
        <v>1320310822618617.5</v>
      </c>
      <c r="K368" s="40">
        <v>359</v>
      </c>
      <c r="L368" s="40">
        <f t="shared" ca="1" si="97"/>
        <v>3.506199298998574</v>
      </c>
      <c r="M368" s="40"/>
      <c r="N368" s="40"/>
      <c r="Q368" s="46"/>
      <c r="R368" s="46">
        <f t="shared" ca="1" si="98"/>
        <v>46.830235137330931</v>
      </c>
      <c r="S368" s="40"/>
      <c r="T368" s="40"/>
      <c r="W368" s="4">
        <v>35.799999999999997</v>
      </c>
      <c r="X368" s="4">
        <f t="shared" ca="1" si="99"/>
        <v>1289472487880649.5</v>
      </c>
    </row>
    <row r="369" spans="4:24" x14ac:dyDescent="0.3">
      <c r="D369" s="4">
        <v>35.9</v>
      </c>
      <c r="E369" s="4">
        <f t="shared" si="96"/>
        <v>1318780150026123</v>
      </c>
      <c r="K369" s="40">
        <v>360</v>
      </c>
      <c r="L369" s="40">
        <f t="shared" ca="1" si="97"/>
        <v>60.389298944835588</v>
      </c>
      <c r="M369" s="40">
        <f t="shared" ref="M369" ca="1" si="112">AVERAGE(L360:L369)</f>
        <v>37.376284601745375</v>
      </c>
      <c r="N369" s="40">
        <f t="shared" ref="N369" ca="1" si="113">1/M369</f>
        <v>2.6754933259291978E-2</v>
      </c>
      <c r="Q369" s="46"/>
      <c r="R369" s="46">
        <f t="shared" ca="1" si="98"/>
        <v>17.393091808334976</v>
      </c>
      <c r="S369" s="40">
        <f t="shared" ref="S369" ca="1" si="114">AVERAGE(R360:R369)</f>
        <v>64.305596883429331</v>
      </c>
      <c r="T369" s="40">
        <f t="shared" ref="T369" ca="1" si="115">1/S369</f>
        <v>1.5550745945376433E-2</v>
      </c>
      <c r="W369" s="4">
        <v>35.9</v>
      </c>
      <c r="X369" s="4">
        <f t="shared" ca="1" si="99"/>
        <v>1287892541825510.8</v>
      </c>
    </row>
    <row r="370" spans="4:24" x14ac:dyDescent="0.3">
      <c r="D370" s="4">
        <v>36</v>
      </c>
      <c r="E370" s="4">
        <f t="shared" si="96"/>
        <v>1317251251984397.3</v>
      </c>
      <c r="K370" s="40">
        <v>361</v>
      </c>
      <c r="L370" s="40">
        <f t="shared" ca="1" si="97"/>
        <v>51.107766329395737</v>
      </c>
      <c r="M370" s="40"/>
      <c r="N370" s="40"/>
      <c r="Q370" s="46"/>
      <c r="R370" s="46">
        <f t="shared" ca="1" si="98"/>
        <v>5.6005249390674905</v>
      </c>
      <c r="S370" s="40"/>
      <c r="T370" s="40"/>
      <c r="W370" s="4">
        <v>36</v>
      </c>
      <c r="X370" s="4">
        <f t="shared" ca="1" si="99"/>
        <v>1286314531623645.8</v>
      </c>
    </row>
    <row r="371" spans="4:24" x14ac:dyDescent="0.3">
      <c r="D371" s="4">
        <v>36.1</v>
      </c>
      <c r="E371" s="4">
        <f t="shared" si="96"/>
        <v>1315724126436155</v>
      </c>
      <c r="K371" s="40">
        <v>362</v>
      </c>
      <c r="L371" s="40">
        <f t="shared" ca="1" si="97"/>
        <v>1.7463481509746195</v>
      </c>
      <c r="M371" s="40"/>
      <c r="N371" s="40"/>
      <c r="Q371" s="46"/>
      <c r="R371" s="46">
        <f t="shared" ca="1" si="98"/>
        <v>75.506727552545385</v>
      </c>
      <c r="S371" s="40"/>
      <c r="T371" s="40"/>
      <c r="W371" s="4">
        <v>36.1</v>
      </c>
      <c r="X371" s="4">
        <f t="shared" ca="1" si="99"/>
        <v>1284738454903120.3</v>
      </c>
    </row>
    <row r="372" spans="4:24" x14ac:dyDescent="0.3">
      <c r="D372" s="4">
        <v>36.200000000000003</v>
      </c>
      <c r="E372" s="4">
        <f t="shared" si="96"/>
        <v>1314198771326495.8</v>
      </c>
      <c r="K372" s="40">
        <v>363</v>
      </c>
      <c r="L372" s="40">
        <f t="shared" ca="1" si="97"/>
        <v>201.12174814623992</v>
      </c>
      <c r="M372" s="40"/>
      <c r="N372" s="40"/>
      <c r="Q372" s="46"/>
      <c r="R372" s="46">
        <f t="shared" ca="1" si="98"/>
        <v>255.93186572599333</v>
      </c>
      <c r="S372" s="40"/>
      <c r="T372" s="40"/>
      <c r="W372" s="4">
        <v>36.200000000000003</v>
      </c>
      <c r="X372" s="4">
        <f t="shared" ca="1" si="99"/>
        <v>1283164309294906.8</v>
      </c>
    </row>
    <row r="373" spans="4:24" x14ac:dyDescent="0.3">
      <c r="D373" s="4">
        <v>36.299999999999997</v>
      </c>
      <c r="E373" s="4">
        <f t="shared" si="96"/>
        <v>1312675184602901.8</v>
      </c>
      <c r="K373" s="40">
        <v>364</v>
      </c>
      <c r="L373" s="40">
        <f t="shared" ca="1" si="97"/>
        <v>120.2711033427733</v>
      </c>
      <c r="M373" s="40"/>
      <c r="N373" s="40"/>
      <c r="Q373" s="46"/>
      <c r="R373" s="46">
        <f t="shared" ca="1" si="98"/>
        <v>1.9082565383683263</v>
      </c>
      <c r="S373" s="40"/>
      <c r="T373" s="40"/>
      <c r="W373" s="4">
        <v>36.299999999999997</v>
      </c>
      <c r="X373" s="4">
        <f t="shared" ca="1" si="99"/>
        <v>1281592092432880.3</v>
      </c>
    </row>
    <row r="374" spans="4:24" x14ac:dyDescent="0.3">
      <c r="D374" s="4">
        <v>36.4</v>
      </c>
      <c r="E374" s="4">
        <f t="shared" si="96"/>
        <v>1311153364215234</v>
      </c>
      <c r="K374" s="40">
        <v>365</v>
      </c>
      <c r="L374" s="40">
        <f t="shared" ca="1" si="97"/>
        <v>68.903259230648274</v>
      </c>
      <c r="M374" s="40"/>
      <c r="N374" s="40"/>
      <c r="Q374" s="46"/>
      <c r="R374" s="46">
        <f t="shared" ca="1" si="98"/>
        <v>40.420989565846817</v>
      </c>
      <c r="S374" s="40"/>
      <c r="T374" s="40"/>
      <c r="W374" s="4">
        <v>36.4</v>
      </c>
      <c r="X374" s="4">
        <f t="shared" ca="1" si="99"/>
        <v>1280021801953814</v>
      </c>
    </row>
    <row r="375" spans="4:24" x14ac:dyDescent="0.3">
      <c r="D375" s="4">
        <v>36.5</v>
      </c>
      <c r="E375" s="4">
        <f t="shared" si="96"/>
        <v>1309633308115730.8</v>
      </c>
      <c r="K375" s="40">
        <v>366</v>
      </c>
      <c r="L375" s="40">
        <f t="shared" ca="1" si="97"/>
        <v>1.4709751296697675</v>
      </c>
      <c r="M375" s="40"/>
      <c r="N375" s="40"/>
      <c r="Q375" s="46"/>
      <c r="R375" s="46">
        <f t="shared" ca="1" si="98"/>
        <v>63.215505144044563</v>
      </c>
      <c r="S375" s="40"/>
      <c r="T375" s="40"/>
      <c r="W375" s="4">
        <v>36.5</v>
      </c>
      <c r="X375" s="4">
        <f t="shared" ca="1" si="99"/>
        <v>1278453435497378.5</v>
      </c>
    </row>
    <row r="376" spans="4:24" x14ac:dyDescent="0.3">
      <c r="D376" s="4">
        <v>36.6</v>
      </c>
      <c r="E376" s="4">
        <f t="shared" si="96"/>
        <v>1308115014259004.8</v>
      </c>
      <c r="K376" s="40">
        <v>367</v>
      </c>
      <c r="L376" s="40">
        <f t="shared" ca="1" si="97"/>
        <v>123.37231197331303</v>
      </c>
      <c r="M376" s="40"/>
      <c r="N376" s="40"/>
      <c r="Q376" s="46"/>
      <c r="R376" s="46">
        <f t="shared" ca="1" si="98"/>
        <v>87.098735039820582</v>
      </c>
      <c r="S376" s="40"/>
      <c r="T376" s="40"/>
      <c r="W376" s="4">
        <v>36.6</v>
      </c>
      <c r="X376" s="4">
        <f t="shared" ca="1" si="99"/>
        <v>1276886990706134.8</v>
      </c>
    </row>
    <row r="377" spans="4:24" x14ac:dyDescent="0.3">
      <c r="D377" s="4">
        <v>36.700000000000003</v>
      </c>
      <c r="E377" s="4">
        <f t="shared" si="96"/>
        <v>1306598480602039.5</v>
      </c>
      <c r="K377" s="40">
        <v>368</v>
      </c>
      <c r="L377" s="40">
        <f t="shared" ca="1" si="97"/>
        <v>271.69001189997562</v>
      </c>
      <c r="M377" s="40"/>
      <c r="N377" s="40"/>
      <c r="Q377" s="46"/>
      <c r="R377" s="46">
        <f t="shared" ca="1" si="98"/>
        <v>45.105645166856377</v>
      </c>
      <c r="S377" s="40"/>
      <c r="T377" s="40"/>
      <c r="W377" s="4">
        <v>36.700000000000003</v>
      </c>
      <c r="X377" s="4">
        <f t="shared" ca="1" si="99"/>
        <v>1275322465225532.8</v>
      </c>
    </row>
    <row r="378" spans="4:24" x14ac:dyDescent="0.3">
      <c r="D378" s="4">
        <v>36.799999999999997</v>
      </c>
      <c r="E378" s="4">
        <f t="shared" si="96"/>
        <v>1305083705104186.8</v>
      </c>
      <c r="K378" s="40">
        <v>369</v>
      </c>
      <c r="L378" s="40">
        <f t="shared" ca="1" si="97"/>
        <v>53.459751616487168</v>
      </c>
      <c r="M378" s="40"/>
      <c r="N378" s="40"/>
      <c r="Q378" s="46"/>
      <c r="R378" s="46">
        <f t="shared" ca="1" si="98"/>
        <v>92.843174839749452</v>
      </c>
      <c r="S378" s="40"/>
      <c r="T378" s="40"/>
      <c r="W378" s="4">
        <v>36.799999999999997</v>
      </c>
      <c r="X378" s="4">
        <f t="shared" ca="1" si="99"/>
        <v>1273759856703908</v>
      </c>
    </row>
    <row r="379" spans="4:24" x14ac:dyDescent="0.3">
      <c r="D379" s="4">
        <v>36.9</v>
      </c>
      <c r="E379" s="4">
        <f t="shared" si="96"/>
        <v>1303570685727164.3</v>
      </c>
      <c r="K379" s="40">
        <v>370</v>
      </c>
      <c r="L379" s="40">
        <f t="shared" ca="1" si="97"/>
        <v>124.70956792643833</v>
      </c>
      <c r="M379" s="40">
        <f t="shared" ref="M379" ca="1" si="116">AVERAGE(L370:L379)</f>
        <v>101.78528437459158</v>
      </c>
      <c r="N379" s="40">
        <f t="shared" ref="N379" ca="1" si="117">1/M379</f>
        <v>9.8246028995683347E-3</v>
      </c>
      <c r="Q379" s="46"/>
      <c r="R379" s="46">
        <f t="shared" ca="1" si="98"/>
        <v>15.881167799632481</v>
      </c>
      <c r="S379" s="40">
        <f t="shared" ref="S379" ca="1" si="118">AVERAGE(R370:R379)</f>
        <v>68.351259231192486</v>
      </c>
      <c r="T379" s="40">
        <f t="shared" ref="T379" ca="1" si="119">1/S379</f>
        <v>1.4630308369558821E-2</v>
      </c>
      <c r="W379" s="4">
        <v>36.9</v>
      </c>
      <c r="X379" s="4">
        <f t="shared" ca="1" si="99"/>
        <v>1272199162792476.8</v>
      </c>
    </row>
    <row r="380" spans="4:24" x14ac:dyDescent="0.3">
      <c r="D380" s="4">
        <v>37</v>
      </c>
      <c r="E380" s="4">
        <f t="shared" si="96"/>
        <v>1302059420435053.5</v>
      </c>
      <c r="K380" s="40">
        <v>371</v>
      </c>
      <c r="L380" s="40">
        <f t="shared" ca="1" si="97"/>
        <v>586.5908237981173</v>
      </c>
      <c r="M380" s="40"/>
      <c r="N380" s="40"/>
      <c r="Q380" s="46"/>
      <c r="R380" s="46">
        <f t="shared" ca="1" si="98"/>
        <v>84.809043616680512</v>
      </c>
      <c r="S380" s="40"/>
      <c r="T380" s="40"/>
      <c r="W380" s="4">
        <v>37</v>
      </c>
      <c r="X380" s="4">
        <f t="shared" ca="1" si="99"/>
        <v>1270640381145333</v>
      </c>
    </row>
    <row r="381" spans="4:24" x14ac:dyDescent="0.3">
      <c r="D381" s="4">
        <v>37.1</v>
      </c>
      <c r="E381" s="4">
        <f t="shared" si="96"/>
        <v>1300549907194295.3</v>
      </c>
      <c r="K381" s="40">
        <v>372</v>
      </c>
      <c r="L381" s="40">
        <f t="shared" ca="1" si="97"/>
        <v>25.276423483373385</v>
      </c>
      <c r="M381" s="40"/>
      <c r="N381" s="40"/>
      <c r="Q381" s="46"/>
      <c r="R381" s="46">
        <f t="shared" ca="1" si="98"/>
        <v>62.54532273356692</v>
      </c>
      <c r="S381" s="40"/>
      <c r="T381" s="40"/>
      <c r="W381" s="4">
        <v>37.1</v>
      </c>
      <c r="X381" s="4">
        <f t="shared" ca="1" si="99"/>
        <v>1269083509419446</v>
      </c>
    </row>
    <row r="382" spans="4:24" x14ac:dyDescent="0.3">
      <c r="D382" s="4">
        <v>37.200000000000003</v>
      </c>
      <c r="E382" s="4">
        <f t="shared" si="96"/>
        <v>1299042143973688.3</v>
      </c>
      <c r="K382" s="40">
        <v>373</v>
      </c>
      <c r="L382" s="40">
        <f t="shared" ca="1" si="97"/>
        <v>19.635569449384107</v>
      </c>
      <c r="M382" s="40"/>
      <c r="N382" s="40"/>
      <c r="Q382" s="46"/>
      <c r="R382" s="46">
        <f t="shared" ca="1" si="98"/>
        <v>55.23654991343939</v>
      </c>
      <c r="S382" s="40"/>
      <c r="T382" s="40"/>
      <c r="W382" s="4">
        <v>37.200000000000003</v>
      </c>
      <c r="X382" s="4">
        <f t="shared" ca="1" si="99"/>
        <v>1267528545274654.8</v>
      </c>
    </row>
    <row r="383" spans="4:24" x14ac:dyDescent="0.3">
      <c r="D383" s="4">
        <v>37.299999999999997</v>
      </c>
      <c r="E383" s="4">
        <f t="shared" si="96"/>
        <v>1297536128744386.3</v>
      </c>
      <c r="K383" s="40">
        <v>374</v>
      </c>
      <c r="L383" s="40">
        <f t="shared" ca="1" si="97"/>
        <v>80.955867004540337</v>
      </c>
      <c r="M383" s="40"/>
      <c r="N383" s="40"/>
      <c r="Q383" s="46"/>
      <c r="R383" s="46">
        <f t="shared" ca="1" si="98"/>
        <v>42.490974004227475</v>
      </c>
      <c r="S383" s="40"/>
      <c r="T383" s="40"/>
      <c r="W383" s="4">
        <v>37.299999999999997</v>
      </c>
      <c r="X383" s="4">
        <f t="shared" ca="1" si="99"/>
        <v>1265975486373666.5</v>
      </c>
    </row>
    <row r="384" spans="4:24" x14ac:dyDescent="0.3">
      <c r="D384" s="4">
        <v>37.4</v>
      </c>
      <c r="E384" s="4">
        <f t="shared" si="96"/>
        <v>1296031859479895</v>
      </c>
      <c r="K384" s="40">
        <v>375</v>
      </c>
      <c r="L384" s="40">
        <f t="shared" ca="1" si="97"/>
        <v>151.87461452806045</v>
      </c>
      <c r="M384" s="40"/>
      <c r="N384" s="40"/>
      <c r="Q384" s="46"/>
      <c r="R384" s="46">
        <f t="shared" ca="1" si="98"/>
        <v>49.549741957860924</v>
      </c>
      <c r="S384" s="40"/>
      <c r="T384" s="40"/>
      <c r="W384" s="4">
        <v>37.4</v>
      </c>
      <c r="X384" s="4">
        <f t="shared" ca="1" si="99"/>
        <v>1264424330382051.8</v>
      </c>
    </row>
    <row r="385" spans="4:24" x14ac:dyDescent="0.3">
      <c r="D385" s="4">
        <v>37.5</v>
      </c>
      <c r="E385" s="4">
        <f t="shared" si="96"/>
        <v>1294529334156069.3</v>
      </c>
      <c r="K385" s="40">
        <v>376</v>
      </c>
      <c r="L385" s="40">
        <f t="shared" ca="1" si="97"/>
        <v>143.33745583807979</v>
      </c>
      <c r="M385" s="40"/>
      <c r="N385" s="40"/>
      <c r="Q385" s="46"/>
      <c r="R385" s="46">
        <f t="shared" ca="1" si="98"/>
        <v>65.393286602455504</v>
      </c>
      <c r="S385" s="40"/>
      <c r="T385" s="40"/>
      <c r="W385" s="4">
        <v>37.5</v>
      </c>
      <c r="X385" s="4">
        <f t="shared" ca="1" si="99"/>
        <v>1262875074968241.3</v>
      </c>
    </row>
    <row r="386" spans="4:24" x14ac:dyDescent="0.3">
      <c r="D386" s="4">
        <v>37.6</v>
      </c>
      <c r="E386" s="4">
        <f t="shared" si="96"/>
        <v>1293028550751111</v>
      </c>
      <c r="K386" s="40">
        <v>377</v>
      </c>
      <c r="L386" s="40">
        <f t="shared" ca="1" si="97"/>
        <v>0.44597231268575926</v>
      </c>
      <c r="M386" s="40"/>
      <c r="N386" s="40"/>
      <c r="Q386" s="46"/>
      <c r="R386" s="46">
        <f t="shared" ca="1" si="98"/>
        <v>14.286823854510102</v>
      </c>
      <c r="S386" s="40"/>
      <c r="T386" s="40"/>
      <c r="W386" s="4">
        <v>37.6</v>
      </c>
      <c r="X386" s="4">
        <f t="shared" ca="1" si="99"/>
        <v>1261327717803523</v>
      </c>
    </row>
    <row r="387" spans="4:24" x14ac:dyDescent="0.3">
      <c r="D387" s="4">
        <v>37.700000000000003</v>
      </c>
      <c r="E387" s="4">
        <f t="shared" si="96"/>
        <v>1291529507245565.5</v>
      </c>
      <c r="K387" s="40">
        <v>378</v>
      </c>
      <c r="L387" s="40">
        <f t="shared" ca="1" si="97"/>
        <v>22.904132481855463</v>
      </c>
      <c r="M387" s="40"/>
      <c r="N387" s="40"/>
      <c r="Q387" s="46"/>
      <c r="R387" s="46">
        <f t="shared" ca="1" si="98"/>
        <v>0.84852105371168585</v>
      </c>
      <c r="S387" s="40"/>
      <c r="T387" s="40"/>
      <c r="W387" s="4">
        <v>37.700000000000003</v>
      </c>
      <c r="X387" s="4">
        <f t="shared" ca="1" si="99"/>
        <v>1259782256562037.8</v>
      </c>
    </row>
    <row r="388" spans="4:24" x14ac:dyDescent="0.3">
      <c r="D388" s="4">
        <v>37.799999999999997</v>
      </c>
      <c r="E388" s="4">
        <f t="shared" si="96"/>
        <v>1290032201622320.3</v>
      </c>
      <c r="K388" s="40">
        <v>379</v>
      </c>
      <c r="L388" s="40">
        <f t="shared" ca="1" si="97"/>
        <v>132.0259833396531</v>
      </c>
      <c r="M388" s="40"/>
      <c r="N388" s="40"/>
      <c r="Q388" s="46"/>
      <c r="R388" s="46">
        <f t="shared" ca="1" si="98"/>
        <v>143.61179569009599</v>
      </c>
      <c r="S388" s="40"/>
      <c r="T388" s="40"/>
      <c r="W388" s="4">
        <v>37.799999999999997</v>
      </c>
      <c r="X388" s="4">
        <f t="shared" ca="1" si="99"/>
        <v>1258238688920776.5</v>
      </c>
    </row>
    <row r="389" spans="4:24" x14ac:dyDescent="0.3">
      <c r="D389" s="4">
        <v>37.9</v>
      </c>
      <c r="E389" s="4">
        <f t="shared" si="96"/>
        <v>1288536631866599.8</v>
      </c>
      <c r="K389" s="40">
        <v>380</v>
      </c>
      <c r="L389" s="40">
        <f t="shared" ca="1" si="97"/>
        <v>29.997991393641644</v>
      </c>
      <c r="M389" s="40">
        <f t="shared" ref="M389" ca="1" si="120">AVERAGE(L380:L389)</f>
        <v>119.30448336293912</v>
      </c>
      <c r="N389" s="40">
        <f t="shared" ref="N389" ca="1" si="121">1/M389</f>
        <v>8.3819146758959198E-3</v>
      </c>
      <c r="Q389" s="46"/>
      <c r="R389" s="46">
        <f t="shared" ca="1" si="98"/>
        <v>79.415430984017718</v>
      </c>
      <c r="S389" s="40">
        <f t="shared" ref="S389" ca="1" si="122">AVERAGE(R380:R389)</f>
        <v>59.81874904105662</v>
      </c>
      <c r="T389" s="40">
        <f t="shared" ref="T389" ca="1" si="123">1/S389</f>
        <v>1.6717166708278195E-2</v>
      </c>
      <c r="W389" s="4">
        <v>37.9</v>
      </c>
      <c r="X389" s="4">
        <f t="shared" ca="1" si="99"/>
        <v>1256697012559576.5</v>
      </c>
    </row>
    <row r="390" spans="4:24" x14ac:dyDescent="0.3">
      <c r="D390" s="4">
        <v>38</v>
      </c>
      <c r="E390" s="4">
        <f t="shared" si="96"/>
        <v>1287042795965965.5</v>
      </c>
      <c r="K390" s="40">
        <v>381</v>
      </c>
      <c r="L390" s="40">
        <f t="shared" ca="1" si="97"/>
        <v>81.199159549734304</v>
      </c>
      <c r="M390" s="40"/>
      <c r="N390" s="40"/>
      <c r="Q390" s="46"/>
      <c r="R390" s="46">
        <f t="shared" ca="1" si="98"/>
        <v>249.16810597011235</v>
      </c>
      <c r="S390" s="40"/>
      <c r="T390" s="40"/>
      <c r="W390" s="4">
        <v>38</v>
      </c>
      <c r="X390" s="4">
        <f t="shared" ca="1" si="99"/>
        <v>1255157225161117.5</v>
      </c>
    </row>
    <row r="391" spans="4:24" x14ac:dyDescent="0.3">
      <c r="D391" s="4">
        <v>38.1</v>
      </c>
      <c r="E391" s="4">
        <f t="shared" si="96"/>
        <v>1285550691910312.3</v>
      </c>
      <c r="K391" s="40">
        <v>382</v>
      </c>
      <c r="L391" s="40">
        <f t="shared" ca="1" si="97"/>
        <v>119.7182720081682</v>
      </c>
      <c r="M391" s="40"/>
      <c r="N391" s="40"/>
      <c r="Q391" s="46"/>
      <c r="R391" s="46">
        <f t="shared" ca="1" si="98"/>
        <v>125.28885146440801</v>
      </c>
      <c r="S391" s="40"/>
      <c r="T391" s="40"/>
      <c r="W391" s="4">
        <v>38.1</v>
      </c>
      <c r="X391" s="4">
        <f t="shared" ca="1" si="99"/>
        <v>1253619324410918.5</v>
      </c>
    </row>
    <row r="392" spans="4:24" x14ac:dyDescent="0.3">
      <c r="D392" s="4">
        <v>38.200000000000003</v>
      </c>
      <c r="E392" s="4">
        <f t="shared" si="96"/>
        <v>1284060317691863.3</v>
      </c>
      <c r="K392" s="40">
        <v>383</v>
      </c>
      <c r="L392" s="40">
        <f t="shared" ca="1" si="97"/>
        <v>140.04397927044951</v>
      </c>
      <c r="M392" s="40"/>
      <c r="N392" s="40"/>
      <c r="Q392" s="46"/>
      <c r="R392" s="46">
        <f t="shared" ca="1" si="98"/>
        <v>109.59519881119003</v>
      </c>
      <c r="S392" s="40"/>
      <c r="T392" s="40"/>
      <c r="W392" s="4">
        <v>38.200000000000003</v>
      </c>
      <c r="X392" s="4">
        <f t="shared" ca="1" si="99"/>
        <v>1252083307997335</v>
      </c>
    </row>
    <row r="393" spans="4:24" x14ac:dyDescent="0.3">
      <c r="D393" s="4">
        <v>38.299999999999997</v>
      </c>
      <c r="E393" s="4">
        <f t="shared" si="96"/>
        <v>1282571671305172</v>
      </c>
      <c r="K393" s="40">
        <v>384</v>
      </c>
      <c r="L393" s="40">
        <f t="shared" ca="1" si="97"/>
        <v>42.319525804478481</v>
      </c>
      <c r="M393" s="40"/>
      <c r="N393" s="40"/>
      <c r="Q393" s="46"/>
      <c r="R393" s="46">
        <f t="shared" ca="1" si="98"/>
        <v>47.617688268356432</v>
      </c>
      <c r="S393" s="40"/>
      <c r="T393" s="40"/>
      <c r="W393" s="4">
        <v>38.299999999999997</v>
      </c>
      <c r="X393" s="4">
        <f t="shared" ca="1" si="99"/>
        <v>1250549173611554.8</v>
      </c>
    </row>
    <row r="394" spans="4:24" x14ac:dyDescent="0.3">
      <c r="D394" s="4">
        <v>38.4</v>
      </c>
      <c r="E394" s="4">
        <f t="shared" si="96"/>
        <v>1281084750747115</v>
      </c>
      <c r="K394" s="40">
        <v>385</v>
      </c>
      <c r="L394" s="40">
        <f t="shared" ca="1" si="97"/>
        <v>101.67125875209153</v>
      </c>
      <c r="M394" s="40"/>
      <c r="N394" s="40"/>
      <c r="Q394" s="46"/>
      <c r="R394" s="46">
        <f t="shared" ca="1" si="98"/>
        <v>190.03276586445008</v>
      </c>
      <c r="S394" s="40"/>
      <c r="T394" s="40"/>
      <c r="W394" s="4">
        <v>38.4</v>
      </c>
      <c r="X394" s="4">
        <f t="shared" ca="1" si="99"/>
        <v>1249016918947593.5</v>
      </c>
    </row>
    <row r="395" spans="4:24" x14ac:dyDescent="0.3">
      <c r="D395" s="4">
        <v>38.5</v>
      </c>
      <c r="E395" s="4">
        <f t="shared" ref="E395:E458" si="124">$F$4*EXP(-$F$5*D395)</f>
        <v>1279599554016891.8</v>
      </c>
      <c r="K395" s="40">
        <v>386</v>
      </c>
      <c r="L395" s="40">
        <f t="shared" ref="L395:L458" ca="1" si="125">-(1/$F$5)*LN(RAND())</f>
        <v>83.17934359982705</v>
      </c>
      <c r="M395" s="40"/>
      <c r="N395" s="40"/>
      <c r="Q395" s="46"/>
      <c r="R395" s="46">
        <f t="shared" ref="R395:R458" ca="1" si="126">-(1/$Q$10)*LN(RAND())</f>
        <v>101.26015065581468</v>
      </c>
      <c r="S395" s="40"/>
      <c r="T395" s="40"/>
      <c r="W395" s="4">
        <v>38.5</v>
      </c>
      <c r="X395" s="4">
        <f t="shared" ref="X395:X458" ca="1" si="127">$F$4*EXP(-$U$10*W395)</f>
        <v>1247486541702293.5</v>
      </c>
    </row>
    <row r="396" spans="4:24" x14ac:dyDescent="0.3">
      <c r="D396" s="4">
        <v>38.6</v>
      </c>
      <c r="E396" s="4">
        <f t="shared" si="124"/>
        <v>1278116079116021.8</v>
      </c>
      <c r="K396" s="40">
        <v>387</v>
      </c>
      <c r="L396" s="40">
        <f t="shared" ca="1" si="125"/>
        <v>34.601283457922115</v>
      </c>
      <c r="M396" s="40"/>
      <c r="N396" s="40"/>
      <c r="Q396" s="46"/>
      <c r="R396" s="46">
        <f t="shared" ca="1" si="126"/>
        <v>13.469587747105001</v>
      </c>
      <c r="S396" s="40"/>
      <c r="T396" s="40"/>
      <c r="W396" s="4">
        <v>38.6</v>
      </c>
      <c r="X396" s="4">
        <f t="shared" ca="1" si="127"/>
        <v>1245958039575318.5</v>
      </c>
    </row>
    <row r="397" spans="4:24" x14ac:dyDescent="0.3">
      <c r="D397" s="4">
        <v>38.700000000000003</v>
      </c>
      <c r="E397" s="4">
        <f t="shared" si="124"/>
        <v>1276634324048340.8</v>
      </c>
      <c r="K397" s="40">
        <v>388</v>
      </c>
      <c r="L397" s="40">
        <f t="shared" ca="1" si="125"/>
        <v>146.67032893382179</v>
      </c>
      <c r="M397" s="40"/>
      <c r="N397" s="40"/>
      <c r="Q397" s="46"/>
      <c r="R397" s="46">
        <f t="shared" ca="1" si="126"/>
        <v>22.977679621107853</v>
      </c>
      <c r="S397" s="40"/>
      <c r="T397" s="40"/>
      <c r="W397" s="4">
        <v>38.700000000000003</v>
      </c>
      <c r="X397" s="4">
        <f t="shared" ca="1" si="127"/>
        <v>1244431410269150.8</v>
      </c>
    </row>
    <row r="398" spans="4:24" x14ac:dyDescent="0.3">
      <c r="D398" s="4">
        <v>38.799999999999997</v>
      </c>
      <c r="E398" s="4">
        <f t="shared" si="124"/>
        <v>1275154286819998.5</v>
      </c>
      <c r="K398" s="40">
        <v>389</v>
      </c>
      <c r="L398" s="40">
        <f t="shared" ca="1" si="125"/>
        <v>90.074482769338076</v>
      </c>
      <c r="M398" s="40"/>
      <c r="N398" s="40"/>
      <c r="Q398" s="46"/>
      <c r="R398" s="46">
        <f t="shared" ca="1" si="126"/>
        <v>13.524114810388729</v>
      </c>
      <c r="S398" s="40"/>
      <c r="T398" s="40"/>
      <c r="W398" s="4">
        <v>38.799999999999997</v>
      </c>
      <c r="X398" s="4">
        <f t="shared" ca="1" si="127"/>
        <v>1242906651489087.8</v>
      </c>
    </row>
    <row r="399" spans="4:24" x14ac:dyDescent="0.3">
      <c r="D399" s="4">
        <v>38.9</v>
      </c>
      <c r="E399" s="4">
        <f t="shared" si="124"/>
        <v>1273675965439457.3</v>
      </c>
      <c r="K399" s="40">
        <v>390</v>
      </c>
      <c r="L399" s="40">
        <f t="shared" ca="1" si="125"/>
        <v>77.282622255405059</v>
      </c>
      <c r="M399" s="40">
        <f t="shared" ref="M399" ca="1" si="128">AVERAGE(L390:L399)</f>
        <v>91.676025640123598</v>
      </c>
      <c r="N399" s="40">
        <f t="shared" ref="N399" ca="1" si="129">1/M399</f>
        <v>1.0907977227607179E-2</v>
      </c>
      <c r="Q399" s="46"/>
      <c r="R399" s="46">
        <f t="shared" ca="1" si="126"/>
        <v>23.878147898655772</v>
      </c>
      <c r="S399" s="40">
        <f t="shared" ref="S399" ca="1" si="130">AVERAGE(R390:R399)</f>
        <v>89.681229111158899</v>
      </c>
      <c r="T399" s="40">
        <f t="shared" ref="T399" ca="1" si="131">1/S399</f>
        <v>1.115060542669984E-2</v>
      </c>
      <c r="W399" s="4">
        <v>38.9</v>
      </c>
      <c r="X399" s="4">
        <f t="shared" ca="1" si="127"/>
        <v>1241383760943238.5</v>
      </c>
    </row>
    <row r="400" spans="4:24" x14ac:dyDescent="0.3">
      <c r="D400" s="4">
        <v>39</v>
      </c>
      <c r="E400" s="4">
        <f t="shared" si="124"/>
        <v>1272199357917487</v>
      </c>
      <c r="K400" s="40">
        <v>391</v>
      </c>
      <c r="L400" s="40">
        <f t="shared" ca="1" si="125"/>
        <v>9.5250360895050523</v>
      </c>
      <c r="M400" s="40"/>
      <c r="N400" s="40"/>
      <c r="Q400" s="46"/>
      <c r="R400" s="46">
        <f t="shared" ca="1" si="126"/>
        <v>26.137158603097209</v>
      </c>
      <c r="S400" s="40"/>
      <c r="T400" s="40"/>
      <c r="W400" s="4">
        <v>39</v>
      </c>
      <c r="X400" s="4">
        <f t="shared" ca="1" si="127"/>
        <v>1239862736342520.5</v>
      </c>
    </row>
    <row r="401" spans="4:24" x14ac:dyDescent="0.3">
      <c r="D401" s="4">
        <v>39.1</v>
      </c>
      <c r="E401" s="4">
        <f t="shared" si="124"/>
        <v>1270724462267165</v>
      </c>
      <c r="K401" s="40">
        <v>392</v>
      </c>
      <c r="L401" s="40">
        <f t="shared" ca="1" si="125"/>
        <v>246.99364375720478</v>
      </c>
      <c r="M401" s="40"/>
      <c r="N401" s="40"/>
      <c r="Q401" s="46"/>
      <c r="R401" s="46">
        <f t="shared" ca="1" si="126"/>
        <v>28.489267643454717</v>
      </c>
      <c r="S401" s="40"/>
      <c r="T401" s="40"/>
      <c r="W401" s="4">
        <v>39.1</v>
      </c>
      <c r="X401" s="4">
        <f t="shared" ca="1" si="127"/>
        <v>1238343575400655.3</v>
      </c>
    </row>
    <row r="402" spans="4:24" x14ac:dyDescent="0.3">
      <c r="D402" s="4">
        <v>39.200000000000003</v>
      </c>
      <c r="E402" s="4">
        <f t="shared" si="124"/>
        <v>1269251276503870.8</v>
      </c>
      <c r="K402" s="40">
        <v>393</v>
      </c>
      <c r="L402" s="40">
        <f t="shared" ca="1" si="125"/>
        <v>187.1358995283428</v>
      </c>
      <c r="M402" s="40"/>
      <c r="N402" s="40"/>
      <c r="Q402" s="46"/>
      <c r="R402" s="46">
        <f t="shared" ca="1" si="126"/>
        <v>83.583331593434551</v>
      </c>
      <c r="S402" s="40"/>
      <c r="T402" s="40"/>
      <c r="W402" s="4">
        <v>39.200000000000003</v>
      </c>
      <c r="X402" s="4">
        <f t="shared" ca="1" si="127"/>
        <v>1236826275834166.3</v>
      </c>
    </row>
    <row r="403" spans="4:24" x14ac:dyDescent="0.3">
      <c r="D403" s="4">
        <v>39.299999999999997</v>
      </c>
      <c r="E403" s="4">
        <f t="shared" si="124"/>
        <v>1267779798645286</v>
      </c>
      <c r="K403" s="40">
        <v>394</v>
      </c>
      <c r="L403" s="40">
        <f t="shared" ca="1" si="125"/>
        <v>124.67998786945576</v>
      </c>
      <c r="M403" s="40"/>
      <c r="N403" s="40"/>
      <c r="Q403" s="46"/>
      <c r="R403" s="46">
        <f t="shared" ca="1" si="126"/>
        <v>35.968219552759365</v>
      </c>
      <c r="S403" s="40"/>
      <c r="T403" s="40"/>
      <c r="W403" s="4">
        <v>39.299999999999997</v>
      </c>
      <c r="X403" s="4">
        <f t="shared" ca="1" si="127"/>
        <v>1235310835362374.5</v>
      </c>
    </row>
    <row r="404" spans="4:24" x14ac:dyDescent="0.3">
      <c r="D404" s="4">
        <v>39.4</v>
      </c>
      <c r="E404" s="4">
        <f t="shared" si="124"/>
        <v>1266310026711389.5</v>
      </c>
      <c r="K404" s="40">
        <v>395</v>
      </c>
      <c r="L404" s="40">
        <f t="shared" ca="1" si="125"/>
        <v>122.56282166732214</v>
      </c>
      <c r="M404" s="40"/>
      <c r="N404" s="40"/>
      <c r="Q404" s="46"/>
      <c r="R404" s="46">
        <f t="shared" ca="1" si="126"/>
        <v>19.234680240307132</v>
      </c>
      <c r="S404" s="40"/>
      <c r="T404" s="40"/>
      <c r="W404" s="4">
        <v>39.4</v>
      </c>
      <c r="X404" s="4">
        <f t="shared" ca="1" si="127"/>
        <v>1233797251707395.8</v>
      </c>
    </row>
    <row r="405" spans="4:24" x14ac:dyDescent="0.3">
      <c r="D405" s="4">
        <v>39.5</v>
      </c>
      <c r="E405" s="4">
        <f t="shared" si="124"/>
        <v>1264841958724456.3</v>
      </c>
      <c r="K405" s="40">
        <v>396</v>
      </c>
      <c r="L405" s="40">
        <f t="shared" ca="1" si="125"/>
        <v>52.499245495009063</v>
      </c>
      <c r="M405" s="40"/>
      <c r="N405" s="40"/>
      <c r="Q405" s="46"/>
      <c r="R405" s="46">
        <f t="shared" ca="1" si="126"/>
        <v>111.22060206128181</v>
      </c>
      <c r="S405" s="40"/>
      <c r="T405" s="40"/>
      <c r="W405" s="4">
        <v>39.5</v>
      </c>
      <c r="X405" s="4">
        <f t="shared" ca="1" si="127"/>
        <v>1232285522594136</v>
      </c>
    </row>
    <row r="406" spans="4:24" x14ac:dyDescent="0.3">
      <c r="D406" s="4">
        <v>39.6</v>
      </c>
      <c r="E406" s="4">
        <f t="shared" si="124"/>
        <v>1263375592709053.3</v>
      </c>
      <c r="K406" s="40">
        <v>397</v>
      </c>
      <c r="L406" s="40">
        <f t="shared" ca="1" si="125"/>
        <v>6.3301861954627832</v>
      </c>
      <c r="M406" s="40"/>
      <c r="N406" s="40"/>
      <c r="Q406" s="46"/>
      <c r="R406" s="46">
        <f t="shared" ca="1" si="126"/>
        <v>44.931014882299365</v>
      </c>
      <c r="S406" s="40"/>
      <c r="T406" s="40"/>
      <c r="W406" s="4">
        <v>39.6</v>
      </c>
      <c r="X406" s="4">
        <f t="shared" ca="1" si="127"/>
        <v>1230775645750290.3</v>
      </c>
    </row>
    <row r="407" spans="4:24" x14ac:dyDescent="0.3">
      <c r="D407" s="4">
        <v>39.700000000000003</v>
      </c>
      <c r="E407" s="4">
        <f t="shared" si="124"/>
        <v>1261910926692038.5</v>
      </c>
      <c r="K407" s="40">
        <v>398</v>
      </c>
      <c r="L407" s="40">
        <f t="shared" ca="1" si="125"/>
        <v>503.93945862769561</v>
      </c>
      <c r="M407" s="40"/>
      <c r="N407" s="40"/>
      <c r="Q407" s="46"/>
      <c r="R407" s="46">
        <f t="shared" ca="1" si="126"/>
        <v>29.035783321596561</v>
      </c>
      <c r="S407" s="40"/>
      <c r="T407" s="40"/>
      <c r="W407" s="4">
        <v>39.700000000000003</v>
      </c>
      <c r="X407" s="4">
        <f t="shared" ca="1" si="127"/>
        <v>1229267618906336.3</v>
      </c>
    </row>
    <row r="408" spans="4:24" x14ac:dyDescent="0.3">
      <c r="D408" s="4">
        <v>39.799999999999997</v>
      </c>
      <c r="E408" s="4">
        <f t="shared" si="124"/>
        <v>1260447958702557.3</v>
      </c>
      <c r="K408" s="40">
        <v>399</v>
      </c>
      <c r="L408" s="40">
        <f t="shared" ca="1" si="125"/>
        <v>10.571164041748045</v>
      </c>
      <c r="M408" s="40"/>
      <c r="N408" s="40"/>
      <c r="Q408" s="46"/>
      <c r="R408" s="46">
        <f t="shared" ca="1" si="126"/>
        <v>12.24287625809931</v>
      </c>
      <c r="S408" s="40"/>
      <c r="T408" s="40"/>
      <c r="W408" s="4">
        <v>39.799999999999997</v>
      </c>
      <c r="X408" s="4">
        <f t="shared" ca="1" si="127"/>
        <v>1227761439795533.3</v>
      </c>
    </row>
    <row r="409" spans="4:24" x14ac:dyDescent="0.3">
      <c r="D409" s="4">
        <v>39.9</v>
      </c>
      <c r="E409" s="4">
        <f t="shared" si="124"/>
        <v>1258986686772039.3</v>
      </c>
      <c r="K409" s="40">
        <v>400</v>
      </c>
      <c r="L409" s="40">
        <f t="shared" ca="1" si="125"/>
        <v>138.70979782505802</v>
      </c>
      <c r="M409" s="40">
        <f t="shared" ref="M409" ca="1" si="132">AVERAGE(L400:L409)</f>
        <v>140.29472410968043</v>
      </c>
      <c r="N409" s="40">
        <f t="shared" ref="N409" ca="1" si="133">1/M409</f>
        <v>7.1278517873431518E-3</v>
      </c>
      <c r="Q409" s="46"/>
      <c r="R409" s="46">
        <f t="shared" ca="1" si="126"/>
        <v>53.766322711413117</v>
      </c>
      <c r="S409" s="40">
        <f t="shared" ref="S409" ca="1" si="134">AVERAGE(R400:R409)</f>
        <v>44.460925686774317</v>
      </c>
      <c r="T409" s="40">
        <f t="shared" ref="T409" ca="1" si="135">1/S409</f>
        <v>2.2491659463974398E-2</v>
      </c>
      <c r="W409" s="4">
        <v>39.9</v>
      </c>
      <c r="X409" s="4">
        <f t="shared" ca="1" si="127"/>
        <v>1226257106153917.8</v>
      </c>
    </row>
    <row r="410" spans="4:24" x14ac:dyDescent="0.3">
      <c r="D410" s="4">
        <v>40</v>
      </c>
      <c r="E410" s="4">
        <f t="shared" si="124"/>
        <v>1257527108934196.8</v>
      </c>
      <c r="K410" s="40">
        <v>401</v>
      </c>
      <c r="L410" s="40">
        <f t="shared" ca="1" si="125"/>
        <v>344.45225474353362</v>
      </c>
      <c r="M410" s="40"/>
      <c r="N410" s="40"/>
      <c r="Q410" s="46"/>
      <c r="R410" s="46">
        <f t="shared" ca="1" si="126"/>
        <v>17.740301234585292</v>
      </c>
      <c r="S410" s="40"/>
      <c r="T410" s="40"/>
      <c r="W410" s="4">
        <v>40</v>
      </c>
      <c r="X410" s="4">
        <f t="shared" ca="1" si="127"/>
        <v>1224754615720300</v>
      </c>
    </row>
    <row r="411" spans="4:24" x14ac:dyDescent="0.3">
      <c r="D411" s="4">
        <v>40.1</v>
      </c>
      <c r="E411" s="4">
        <f t="shared" si="124"/>
        <v>1256069223225022</v>
      </c>
      <c r="K411" s="40">
        <v>402</v>
      </c>
      <c r="L411" s="40">
        <f t="shared" ca="1" si="125"/>
        <v>264.14262974766672</v>
      </c>
      <c r="M411" s="40"/>
      <c r="N411" s="40"/>
      <c r="Q411" s="46"/>
      <c r="R411" s="46">
        <f t="shared" ca="1" si="126"/>
        <v>2.3066448411148821</v>
      </c>
      <c r="S411" s="40"/>
      <c r="T411" s="40"/>
      <c r="W411" s="4">
        <v>40.1</v>
      </c>
      <c r="X411" s="4">
        <f t="shared" ca="1" si="127"/>
        <v>1223253966236261.3</v>
      </c>
    </row>
    <row r="412" spans="4:24" x14ac:dyDescent="0.3">
      <c r="D412" s="4">
        <v>40.200000000000003</v>
      </c>
      <c r="E412" s="4">
        <f t="shared" si="124"/>
        <v>1254613027682783.5</v>
      </c>
      <c r="K412" s="40">
        <v>403</v>
      </c>
      <c r="L412" s="40">
        <f t="shared" ca="1" si="125"/>
        <v>136.34849022702323</v>
      </c>
      <c r="M412" s="40"/>
      <c r="N412" s="40"/>
      <c r="Q412" s="46"/>
      <c r="R412" s="46">
        <f t="shared" ca="1" si="126"/>
        <v>33.693716400135202</v>
      </c>
      <c r="S412" s="40"/>
      <c r="T412" s="40"/>
      <c r="W412" s="4">
        <v>40.200000000000003</v>
      </c>
      <c r="X412" s="4">
        <f t="shared" ca="1" si="127"/>
        <v>1221755155446149.3</v>
      </c>
    </row>
    <row r="413" spans="4:24" x14ac:dyDescent="0.3">
      <c r="D413" s="4">
        <v>40.299999999999997</v>
      </c>
      <c r="E413" s="4">
        <f t="shared" si="124"/>
        <v>1253158520348024.5</v>
      </c>
      <c r="K413" s="40">
        <v>404</v>
      </c>
      <c r="L413" s="40">
        <f t="shared" ca="1" si="125"/>
        <v>52.35970136778694</v>
      </c>
      <c r="M413" s="40"/>
      <c r="N413" s="40"/>
      <c r="Q413" s="46"/>
      <c r="R413" s="46">
        <f t="shared" ca="1" si="126"/>
        <v>70.058427213627127</v>
      </c>
      <c r="S413" s="40"/>
      <c r="T413" s="40"/>
      <c r="W413" s="4">
        <v>40.299999999999997</v>
      </c>
      <c r="X413" s="4">
        <f t="shared" ca="1" si="127"/>
        <v>1220258181097076.3</v>
      </c>
    </row>
    <row r="414" spans="4:24" x14ac:dyDescent="0.3">
      <c r="D414" s="4">
        <v>40.4</v>
      </c>
      <c r="E414" s="4">
        <f t="shared" si="124"/>
        <v>1251705699263559.5</v>
      </c>
      <c r="K414" s="40">
        <v>405</v>
      </c>
      <c r="L414" s="40">
        <f t="shared" ca="1" si="125"/>
        <v>7.4444418393936171</v>
      </c>
      <c r="M414" s="40"/>
      <c r="N414" s="40"/>
      <c r="Q414" s="46"/>
      <c r="R414" s="46">
        <f t="shared" ca="1" si="126"/>
        <v>98.008938267648176</v>
      </c>
      <c r="S414" s="40"/>
      <c r="T414" s="40"/>
      <c r="W414" s="4">
        <v>40.4</v>
      </c>
      <c r="X414" s="4">
        <f t="shared" ca="1" si="127"/>
        <v>1218763040938914.3</v>
      </c>
    </row>
    <row r="415" spans="4:24" x14ac:dyDescent="0.3">
      <c r="D415" s="4">
        <v>40.5</v>
      </c>
      <c r="E415" s="4">
        <f t="shared" si="124"/>
        <v>1250254562474472</v>
      </c>
      <c r="K415" s="40">
        <v>406</v>
      </c>
      <c r="L415" s="40">
        <f t="shared" ca="1" si="125"/>
        <v>19.483861939227701</v>
      </c>
      <c r="M415" s="40"/>
      <c r="N415" s="40"/>
      <c r="Q415" s="46"/>
      <c r="R415" s="46">
        <f t="shared" ca="1" si="126"/>
        <v>91.406239910196192</v>
      </c>
      <c r="S415" s="40"/>
      <c r="T415" s="40"/>
      <c r="W415" s="4">
        <v>40.5</v>
      </c>
      <c r="X415" s="4">
        <f t="shared" ca="1" si="127"/>
        <v>1217269732724293</v>
      </c>
    </row>
    <row r="416" spans="4:24" x14ac:dyDescent="0.3">
      <c r="D416" s="4">
        <v>40.6</v>
      </c>
      <c r="E416" s="4">
        <f t="shared" si="124"/>
        <v>1248805108028112.8</v>
      </c>
      <c r="K416" s="40">
        <v>407</v>
      </c>
      <c r="L416" s="40">
        <f t="shared" ca="1" si="125"/>
        <v>57.433356677616189</v>
      </c>
      <c r="M416" s="40"/>
      <c r="N416" s="40"/>
      <c r="Q416" s="46"/>
      <c r="R416" s="46">
        <f t="shared" ca="1" si="126"/>
        <v>175.81794862381764</v>
      </c>
      <c r="S416" s="40"/>
      <c r="T416" s="40"/>
      <c r="W416" s="4">
        <v>40.6</v>
      </c>
      <c r="X416" s="4">
        <f t="shared" ca="1" si="127"/>
        <v>1215778254208594.8</v>
      </c>
    </row>
    <row r="417" spans="4:24" x14ac:dyDescent="0.3">
      <c r="D417" s="4">
        <v>40.700000000000003</v>
      </c>
      <c r="E417" s="4">
        <f t="shared" si="124"/>
        <v>1247357333974095.3</v>
      </c>
      <c r="K417" s="40">
        <v>408</v>
      </c>
      <c r="L417" s="40">
        <f t="shared" ca="1" si="125"/>
        <v>284.57246696162321</v>
      </c>
      <c r="M417" s="40"/>
      <c r="N417" s="40"/>
      <c r="Q417" s="46"/>
      <c r="R417" s="46">
        <f t="shared" ca="1" si="126"/>
        <v>202.78631751247894</v>
      </c>
      <c r="S417" s="40"/>
      <c r="T417" s="40"/>
      <c r="W417" s="4">
        <v>40.700000000000003</v>
      </c>
      <c r="X417" s="4">
        <f t="shared" ca="1" si="127"/>
        <v>1214288603149953.3</v>
      </c>
    </row>
    <row r="418" spans="4:24" x14ac:dyDescent="0.3">
      <c r="D418" s="4">
        <v>40.799999999999997</v>
      </c>
      <c r="E418" s="4">
        <f t="shared" si="124"/>
        <v>1245911238364294.5</v>
      </c>
      <c r="K418" s="40">
        <v>409</v>
      </c>
      <c r="L418" s="40">
        <f t="shared" ca="1" si="125"/>
        <v>70.7697654340204</v>
      </c>
      <c r="M418" s="40"/>
      <c r="N418" s="40"/>
      <c r="Q418" s="46"/>
      <c r="R418" s="46">
        <f t="shared" ca="1" si="126"/>
        <v>19.604743885256866</v>
      </c>
      <c r="S418" s="40"/>
      <c r="T418" s="40"/>
      <c r="W418" s="4">
        <v>40.799999999999997</v>
      </c>
      <c r="X418" s="4">
        <f t="shared" ca="1" si="127"/>
        <v>1212800777309248.5</v>
      </c>
    </row>
    <row r="419" spans="4:24" x14ac:dyDescent="0.3">
      <c r="D419" s="4">
        <v>40.9</v>
      </c>
      <c r="E419" s="4">
        <f t="shared" si="124"/>
        <v>1244466819252844</v>
      </c>
      <c r="K419" s="40">
        <v>410</v>
      </c>
      <c r="L419" s="40">
        <f t="shared" ca="1" si="125"/>
        <v>103.03027024543881</v>
      </c>
      <c r="M419" s="40">
        <f t="shared" ref="M419" ca="1" si="136">AVERAGE(L410:L419)</f>
        <v>134.00372391833304</v>
      </c>
      <c r="N419" s="40">
        <f t="shared" ref="N419" ca="1" si="137">1/M419</f>
        <v>7.462479181619147E-3</v>
      </c>
      <c r="Q419" s="46"/>
      <c r="R419" s="46">
        <f t="shared" ca="1" si="126"/>
        <v>35.750162865896627</v>
      </c>
      <c r="S419" s="40">
        <f t="shared" ref="S419" ca="1" si="138">AVERAGE(R410:R419)</f>
        <v>74.717344075475694</v>
      </c>
      <c r="T419" s="40">
        <f t="shared" ref="T419" ca="1" si="139">1/S419</f>
        <v>1.3383773371144596E-2</v>
      </c>
      <c r="W419" s="4">
        <v>40.9</v>
      </c>
      <c r="X419" s="4">
        <f t="shared" ca="1" si="127"/>
        <v>1211314774450103.8</v>
      </c>
    </row>
    <row r="420" spans="4:24" x14ac:dyDescent="0.3">
      <c r="D420" s="4">
        <v>41</v>
      </c>
      <c r="E420" s="4">
        <f t="shared" si="124"/>
        <v>1243024074696133.5</v>
      </c>
      <c r="K420" s="40">
        <v>411</v>
      </c>
      <c r="L420" s="40">
        <f t="shared" ca="1" si="125"/>
        <v>27.42626960105175</v>
      </c>
      <c r="M420" s="40"/>
      <c r="N420" s="40"/>
      <c r="Q420" s="46"/>
      <c r="R420" s="46">
        <f t="shared" ca="1" si="126"/>
        <v>79.740983435209216</v>
      </c>
      <c r="S420" s="40"/>
      <c r="T420" s="40"/>
      <c r="W420" s="4">
        <v>41</v>
      </c>
      <c r="X420" s="4">
        <f t="shared" ca="1" si="127"/>
        <v>1209830592338883</v>
      </c>
    </row>
    <row r="421" spans="4:24" x14ac:dyDescent="0.3">
      <c r="D421" s="4">
        <v>41.1</v>
      </c>
      <c r="E421" s="4">
        <f t="shared" si="124"/>
        <v>1241583002752805.3</v>
      </c>
      <c r="K421" s="40">
        <v>412</v>
      </c>
      <c r="L421" s="40">
        <f t="shared" ca="1" si="125"/>
        <v>40.221035022644642</v>
      </c>
      <c r="M421" s="40"/>
      <c r="N421" s="40"/>
      <c r="Q421" s="46"/>
      <c r="R421" s="46">
        <f t="shared" ca="1" si="126"/>
        <v>41.580999596889484</v>
      </c>
      <c r="S421" s="40"/>
      <c r="T421" s="40"/>
      <c r="W421" s="4">
        <v>41.1</v>
      </c>
      <c r="X421" s="4">
        <f t="shared" ca="1" si="127"/>
        <v>1208348228744686.5</v>
      </c>
    </row>
    <row r="422" spans="4:24" x14ac:dyDescent="0.3">
      <c r="D422" s="4">
        <v>41.2</v>
      </c>
      <c r="E422" s="4">
        <f t="shared" si="124"/>
        <v>1240143601483752.8</v>
      </c>
      <c r="K422" s="40">
        <v>413</v>
      </c>
      <c r="L422" s="40">
        <f t="shared" ca="1" si="125"/>
        <v>28.2412632345827</v>
      </c>
      <c r="M422" s="40"/>
      <c r="N422" s="40"/>
      <c r="Q422" s="46"/>
      <c r="R422" s="46">
        <f t="shared" ca="1" si="126"/>
        <v>95.38262959646373</v>
      </c>
      <c r="S422" s="40"/>
      <c r="T422" s="40"/>
      <c r="W422" s="4">
        <v>41.2</v>
      </c>
      <c r="X422" s="4">
        <f t="shared" ca="1" si="127"/>
        <v>1206867681439348.5</v>
      </c>
    </row>
    <row r="423" spans="4:24" x14ac:dyDescent="0.3">
      <c r="D423" s="4">
        <v>41.3</v>
      </c>
      <c r="E423" s="4">
        <f t="shared" si="124"/>
        <v>1238705868952118</v>
      </c>
      <c r="K423" s="40">
        <v>414</v>
      </c>
      <c r="L423" s="40">
        <f t="shared" ca="1" si="125"/>
        <v>0.66116025879393658</v>
      </c>
      <c r="M423" s="40"/>
      <c r="N423" s="40"/>
      <c r="Q423" s="46"/>
      <c r="R423" s="46">
        <f t="shared" ca="1" si="126"/>
        <v>375.07759524557417</v>
      </c>
      <c r="S423" s="40"/>
      <c r="T423" s="40"/>
      <c r="W423" s="4">
        <v>41.3</v>
      </c>
      <c r="X423" s="4">
        <f t="shared" ca="1" si="127"/>
        <v>1205388948197433</v>
      </c>
    </row>
    <row r="424" spans="4:24" x14ac:dyDescent="0.3">
      <c r="D424" s="4">
        <v>41.4</v>
      </c>
      <c r="E424" s="4">
        <f t="shared" si="124"/>
        <v>1237269803223287</v>
      </c>
      <c r="K424" s="40">
        <v>415</v>
      </c>
      <c r="L424" s="40">
        <f t="shared" ca="1" si="125"/>
        <v>26.96810372394436</v>
      </c>
      <c r="M424" s="40"/>
      <c r="N424" s="40"/>
      <c r="Q424" s="46"/>
      <c r="R424" s="46">
        <f t="shared" ca="1" si="126"/>
        <v>212.59148859429311</v>
      </c>
      <c r="S424" s="40"/>
      <c r="T424" s="40"/>
      <c r="W424" s="4">
        <v>41.4</v>
      </c>
      <c r="X424" s="4">
        <f t="shared" ca="1" si="127"/>
        <v>1203912026796230.8</v>
      </c>
    </row>
    <row r="425" spans="4:24" x14ac:dyDescent="0.3">
      <c r="D425" s="4">
        <v>41.5</v>
      </c>
      <c r="E425" s="4">
        <f t="shared" si="124"/>
        <v>1235835402364890</v>
      </c>
      <c r="K425" s="40">
        <v>416</v>
      </c>
      <c r="L425" s="40">
        <f t="shared" ca="1" si="125"/>
        <v>99.111514545156382</v>
      </c>
      <c r="M425" s="40"/>
      <c r="N425" s="40"/>
      <c r="Q425" s="46"/>
      <c r="R425" s="46">
        <f t="shared" ca="1" si="126"/>
        <v>7.7849475610348415</v>
      </c>
      <c r="S425" s="40"/>
      <c r="T425" s="40"/>
      <c r="W425" s="4">
        <v>41.5</v>
      </c>
      <c r="X425" s="4">
        <f t="shared" ca="1" si="127"/>
        <v>1202436915015756</v>
      </c>
    </row>
    <row r="426" spans="4:24" x14ac:dyDescent="0.3">
      <c r="D426" s="4">
        <v>41.6</v>
      </c>
      <c r="E426" s="4">
        <f t="shared" si="124"/>
        <v>1234402664446797</v>
      </c>
      <c r="K426" s="40">
        <v>417</v>
      </c>
      <c r="L426" s="40">
        <f t="shared" ca="1" si="125"/>
        <v>7.0230056472321056</v>
      </c>
      <c r="M426" s="40"/>
      <c r="N426" s="40"/>
      <c r="Q426" s="46"/>
      <c r="R426" s="46">
        <f t="shared" ca="1" si="126"/>
        <v>15.398273115550413</v>
      </c>
      <c r="S426" s="40"/>
      <c r="T426" s="40"/>
      <c r="W426" s="4">
        <v>41.6</v>
      </c>
      <c r="X426" s="4">
        <f t="shared" ca="1" si="127"/>
        <v>1200963610638742.8</v>
      </c>
    </row>
    <row r="427" spans="4:24" x14ac:dyDescent="0.3">
      <c r="D427" s="4">
        <v>41.7</v>
      </c>
      <c r="E427" s="4">
        <f t="shared" si="124"/>
        <v>1232971587541115.3</v>
      </c>
      <c r="K427" s="40">
        <v>418</v>
      </c>
      <c r="L427" s="40">
        <f t="shared" ca="1" si="125"/>
        <v>40.216614247952919</v>
      </c>
      <c r="M427" s="40"/>
      <c r="N427" s="40"/>
      <c r="Q427" s="46"/>
      <c r="R427" s="46">
        <f t="shared" ca="1" si="126"/>
        <v>276.21195541836988</v>
      </c>
      <c r="S427" s="40"/>
      <c r="T427" s="40"/>
      <c r="W427" s="4">
        <v>41.7</v>
      </c>
      <c r="X427" s="4">
        <f t="shared" ca="1" si="127"/>
        <v>1199492111450642.3</v>
      </c>
    </row>
    <row r="428" spans="4:24" x14ac:dyDescent="0.3">
      <c r="D428" s="4">
        <v>41.8</v>
      </c>
      <c r="E428" s="4">
        <f t="shared" si="124"/>
        <v>1231542169722188</v>
      </c>
      <c r="K428" s="40">
        <v>419</v>
      </c>
      <c r="L428" s="40">
        <f t="shared" ca="1" si="125"/>
        <v>660.36926402729921</v>
      </c>
      <c r="M428" s="40"/>
      <c r="N428" s="40"/>
      <c r="Q428" s="46"/>
      <c r="R428" s="46">
        <f t="shared" ca="1" si="126"/>
        <v>163.53824211976607</v>
      </c>
      <c r="S428" s="40"/>
      <c r="T428" s="40"/>
      <c r="W428" s="4">
        <v>41.8</v>
      </c>
      <c r="X428" s="4">
        <f t="shared" ca="1" si="127"/>
        <v>1198022415239619.5</v>
      </c>
    </row>
    <row r="429" spans="4:24" x14ac:dyDescent="0.3">
      <c r="D429" s="4">
        <v>41.9</v>
      </c>
      <c r="E429" s="4">
        <f t="shared" si="124"/>
        <v>1230114409066590</v>
      </c>
      <c r="K429" s="40">
        <v>420</v>
      </c>
      <c r="L429" s="40">
        <f t="shared" ca="1" si="125"/>
        <v>18.822136107650397</v>
      </c>
      <c r="M429" s="40">
        <f t="shared" ref="M429" ca="1" si="140">AVERAGE(L420:L429)</f>
        <v>94.906036641630834</v>
      </c>
      <c r="N429" s="40">
        <f t="shared" ref="N429" ca="1" si="141">1/M429</f>
        <v>1.0536737549962621E-2</v>
      </c>
      <c r="Q429" s="46"/>
      <c r="R429" s="46">
        <f t="shared" ca="1" si="126"/>
        <v>33.95777466472466</v>
      </c>
      <c r="S429" s="40">
        <f t="shared" ref="S429" ca="1" si="142">AVERAGE(R420:R429)</f>
        <v>130.12648893478755</v>
      </c>
      <c r="T429" s="40">
        <f t="shared" ref="T429" ca="1" si="143">1/S429</f>
        <v>7.6848304152826764E-3</v>
      </c>
      <c r="W429" s="4">
        <v>41.9</v>
      </c>
      <c r="X429" s="4">
        <f t="shared" ca="1" si="127"/>
        <v>1196554519796548.3</v>
      </c>
    </row>
    <row r="430" spans="4:24" x14ac:dyDescent="0.3">
      <c r="D430" s="4">
        <v>42</v>
      </c>
      <c r="E430" s="4">
        <f t="shared" si="124"/>
        <v>1228688303653126.8</v>
      </c>
      <c r="K430" s="40">
        <v>421</v>
      </c>
      <c r="L430" s="40">
        <f t="shared" ca="1" si="125"/>
        <v>53.58915757157196</v>
      </c>
      <c r="M430" s="40"/>
      <c r="N430" s="40"/>
      <c r="Q430" s="46"/>
      <c r="R430" s="46">
        <f t="shared" ca="1" si="126"/>
        <v>56.184097490733407</v>
      </c>
      <c r="S430" s="40"/>
      <c r="T430" s="40"/>
      <c r="W430" s="4">
        <v>42</v>
      </c>
      <c r="X430" s="4">
        <f t="shared" ca="1" si="127"/>
        <v>1195088422915009.8</v>
      </c>
    </row>
    <row r="431" spans="4:24" x14ac:dyDescent="0.3">
      <c r="D431" s="4">
        <v>42.1</v>
      </c>
      <c r="E431" s="4">
        <f t="shared" si="124"/>
        <v>1227263851562829.8</v>
      </c>
      <c r="K431" s="40">
        <v>422</v>
      </c>
      <c r="L431" s="40">
        <f t="shared" ca="1" si="125"/>
        <v>79.067250034795023</v>
      </c>
      <c r="M431" s="40"/>
      <c r="N431" s="40"/>
      <c r="Q431" s="46"/>
      <c r="R431" s="46">
        <f t="shared" ca="1" si="126"/>
        <v>13.443860631004485</v>
      </c>
      <c r="S431" s="40"/>
      <c r="T431" s="40"/>
      <c r="W431" s="4">
        <v>42.1</v>
      </c>
      <c r="X431" s="4">
        <f t="shared" ca="1" si="127"/>
        <v>1193624122391289.3</v>
      </c>
    </row>
    <row r="432" spans="4:24" x14ac:dyDescent="0.3">
      <c r="D432" s="4">
        <v>42.2</v>
      </c>
      <c r="E432" s="4">
        <f t="shared" si="124"/>
        <v>1225841050878957</v>
      </c>
      <c r="K432" s="40">
        <v>423</v>
      </c>
      <c r="L432" s="40">
        <f t="shared" ca="1" si="125"/>
        <v>69.469344593604831</v>
      </c>
      <c r="M432" s="40"/>
      <c r="N432" s="40"/>
      <c r="Q432" s="46"/>
      <c r="R432" s="46">
        <f t="shared" ca="1" si="126"/>
        <v>69.787417389928777</v>
      </c>
      <c r="S432" s="40"/>
      <c r="T432" s="40"/>
      <c r="W432" s="4">
        <v>42.2</v>
      </c>
      <c r="X432" s="4">
        <f t="shared" ca="1" si="127"/>
        <v>1192161616024371.8</v>
      </c>
    </row>
    <row r="433" spans="4:24" x14ac:dyDescent="0.3">
      <c r="D433" s="4">
        <v>42.3</v>
      </c>
      <c r="E433" s="4">
        <f t="shared" si="124"/>
        <v>1224419899686987.3</v>
      </c>
      <c r="K433" s="40">
        <v>424</v>
      </c>
      <c r="L433" s="40">
        <f t="shared" ca="1" si="125"/>
        <v>328.85140745406619</v>
      </c>
      <c r="M433" s="40"/>
      <c r="N433" s="40"/>
      <c r="Q433" s="46"/>
      <c r="R433" s="46">
        <f t="shared" ca="1" si="126"/>
        <v>73.193684689532077</v>
      </c>
      <c r="S433" s="40"/>
      <c r="T433" s="40"/>
      <c r="W433" s="4">
        <v>42.3</v>
      </c>
      <c r="X433" s="4">
        <f t="shared" ca="1" si="127"/>
        <v>1190700901615938.5</v>
      </c>
    </row>
    <row r="434" spans="4:24" x14ac:dyDescent="0.3">
      <c r="D434" s="4">
        <v>42.4</v>
      </c>
      <c r="E434" s="4">
        <f t="shared" si="124"/>
        <v>1223000396074619.3</v>
      </c>
      <c r="K434" s="40">
        <v>425</v>
      </c>
      <c r="L434" s="40">
        <f t="shared" ca="1" si="125"/>
        <v>223.2727797053403</v>
      </c>
      <c r="M434" s="40"/>
      <c r="N434" s="40"/>
      <c r="Q434" s="46"/>
      <c r="R434" s="46">
        <f t="shared" ca="1" si="126"/>
        <v>45.437392050379309</v>
      </c>
      <c r="S434" s="40"/>
      <c r="T434" s="40"/>
      <c r="W434" s="4">
        <v>42.4</v>
      </c>
      <c r="X434" s="4">
        <f t="shared" ca="1" si="127"/>
        <v>1189241976970364.5</v>
      </c>
    </row>
    <row r="435" spans="4:24" x14ac:dyDescent="0.3">
      <c r="D435" s="4">
        <v>42.5</v>
      </c>
      <c r="E435" s="4">
        <f t="shared" si="124"/>
        <v>1221582538131768.5</v>
      </c>
      <c r="K435" s="40">
        <v>426</v>
      </c>
      <c r="L435" s="40">
        <f t="shared" ca="1" si="125"/>
        <v>132.57287473726956</v>
      </c>
      <c r="M435" s="40"/>
      <c r="N435" s="40"/>
      <c r="Q435" s="46"/>
      <c r="R435" s="46">
        <f t="shared" ca="1" si="126"/>
        <v>24.64459969195973</v>
      </c>
      <c r="S435" s="40"/>
      <c r="T435" s="40"/>
      <c r="W435" s="4">
        <v>42.5</v>
      </c>
      <c r="X435" s="4">
        <f t="shared" ca="1" si="127"/>
        <v>1187784839894716</v>
      </c>
    </row>
    <row r="436" spans="4:24" x14ac:dyDescent="0.3">
      <c r="D436" s="4">
        <v>42.6</v>
      </c>
      <c r="E436" s="4">
        <f t="shared" si="124"/>
        <v>1220166323950565.5</v>
      </c>
      <c r="K436" s="40">
        <v>427</v>
      </c>
      <c r="L436" s="40">
        <f t="shared" ca="1" si="125"/>
        <v>131.06737822792437</v>
      </c>
      <c r="M436" s="40"/>
      <c r="N436" s="40"/>
      <c r="Q436" s="46"/>
      <c r="R436" s="46">
        <f t="shared" ca="1" si="126"/>
        <v>14.333643935613122</v>
      </c>
      <c r="S436" s="40"/>
      <c r="T436" s="40"/>
      <c r="W436" s="4">
        <v>42.6</v>
      </c>
      <c r="X436" s="4">
        <f t="shared" ca="1" si="127"/>
        <v>1186329488198744.8</v>
      </c>
    </row>
    <row r="437" spans="4:24" x14ac:dyDescent="0.3">
      <c r="D437" s="4">
        <v>42.7</v>
      </c>
      <c r="E437" s="4">
        <f t="shared" si="124"/>
        <v>1218751751625352.3</v>
      </c>
      <c r="K437" s="40">
        <v>428</v>
      </c>
      <c r="L437" s="40">
        <f t="shared" ca="1" si="125"/>
        <v>38.742818216217458</v>
      </c>
      <c r="M437" s="40"/>
      <c r="N437" s="40"/>
      <c r="Q437" s="46"/>
      <c r="R437" s="46">
        <f t="shared" ca="1" si="126"/>
        <v>90.998686584514317</v>
      </c>
      <c r="S437" s="40"/>
      <c r="T437" s="40"/>
      <c r="W437" s="4">
        <v>42.7</v>
      </c>
      <c r="X437" s="4">
        <f t="shared" ca="1" si="127"/>
        <v>1184875919694886.8</v>
      </c>
    </row>
    <row r="438" spans="4:24" x14ac:dyDescent="0.3">
      <c r="D438" s="4">
        <v>42.8</v>
      </c>
      <c r="E438" s="4">
        <f t="shared" si="124"/>
        <v>1217338819252680</v>
      </c>
      <c r="K438" s="40">
        <v>429</v>
      </c>
      <c r="L438" s="40">
        <f t="shared" ca="1" si="125"/>
        <v>3.6619381761438939E-2</v>
      </c>
      <c r="M438" s="40"/>
      <c r="N438" s="40"/>
      <c r="Q438" s="46"/>
      <c r="R438" s="46">
        <f t="shared" ca="1" si="126"/>
        <v>45.831390916550426</v>
      </c>
      <c r="S438" s="40"/>
      <c r="T438" s="40"/>
      <c r="W438" s="4">
        <v>42.8</v>
      </c>
      <c r="X438" s="4">
        <f t="shared" ca="1" si="127"/>
        <v>1183424132198258.8</v>
      </c>
    </row>
    <row r="439" spans="4:24" x14ac:dyDescent="0.3">
      <c r="D439" s="4">
        <v>42.9</v>
      </c>
      <c r="E439" s="4">
        <f t="shared" si="124"/>
        <v>1215927524931306.3</v>
      </c>
      <c r="K439" s="40">
        <v>430</v>
      </c>
      <c r="L439" s="40">
        <f t="shared" ca="1" si="125"/>
        <v>61.479528263157974</v>
      </c>
      <c r="M439" s="40">
        <f t="shared" ref="M439" ca="1" si="144">AVERAGE(L430:L439)</f>
        <v>111.81491581857092</v>
      </c>
      <c r="N439" s="40">
        <f t="shared" ref="N439" ca="1" si="145">1/M439</f>
        <v>8.9433506494123183E-3</v>
      </c>
      <c r="Q439" s="46"/>
      <c r="R439" s="46">
        <f t="shared" ca="1" si="126"/>
        <v>184.97763604945334</v>
      </c>
      <c r="S439" s="40">
        <f t="shared" ref="S439" ca="1" si="146">AVERAGE(R430:R439)</f>
        <v>61.883240942966907</v>
      </c>
      <c r="T439" s="40">
        <f t="shared" ref="T439" ca="1" si="147">1/S439</f>
        <v>1.6159463931787674E-2</v>
      </c>
      <c r="W439" s="4">
        <v>42.9</v>
      </c>
      <c r="X439" s="4">
        <f t="shared" ca="1" si="127"/>
        <v>1181974123526654</v>
      </c>
    </row>
    <row r="440" spans="4:24" x14ac:dyDescent="0.3">
      <c r="D440" s="4">
        <v>43</v>
      </c>
      <c r="E440" s="4">
        <f t="shared" si="124"/>
        <v>1214517866762193.8</v>
      </c>
      <c r="K440" s="40">
        <v>431</v>
      </c>
      <c r="L440" s="40">
        <f t="shared" ca="1" si="125"/>
        <v>243.96543216028613</v>
      </c>
      <c r="M440" s="40"/>
      <c r="N440" s="40"/>
      <c r="Q440" s="46"/>
      <c r="R440" s="46">
        <f t="shared" ca="1" si="126"/>
        <v>34.541770627479686</v>
      </c>
      <c r="S440" s="40"/>
      <c r="T440" s="40"/>
      <c r="W440" s="4">
        <v>43</v>
      </c>
      <c r="X440" s="4">
        <f t="shared" ca="1" si="127"/>
        <v>1180525891500539.8</v>
      </c>
    </row>
    <row r="441" spans="4:24" x14ac:dyDescent="0.3">
      <c r="D441" s="4">
        <v>43.1</v>
      </c>
      <c r="E441" s="4">
        <f t="shared" si="124"/>
        <v>1213109842848505.8</v>
      </c>
      <c r="K441" s="40">
        <v>432</v>
      </c>
      <c r="L441" s="40">
        <f t="shared" ca="1" si="125"/>
        <v>99.890216036631912</v>
      </c>
      <c r="M441" s="40"/>
      <c r="N441" s="40"/>
      <c r="Q441" s="46"/>
      <c r="R441" s="46">
        <f t="shared" ca="1" si="126"/>
        <v>40.906719999327159</v>
      </c>
      <c r="S441" s="40"/>
      <c r="T441" s="40"/>
      <c r="W441" s="4">
        <v>43.1</v>
      </c>
      <c r="X441" s="4">
        <f t="shared" ca="1" si="127"/>
        <v>1179079433943053.3</v>
      </c>
    </row>
    <row r="442" spans="4:24" x14ac:dyDescent="0.3">
      <c r="D442" s="4">
        <v>43.2</v>
      </c>
      <c r="E442" s="4">
        <f t="shared" si="124"/>
        <v>1211703451295605.5</v>
      </c>
      <c r="K442" s="40">
        <v>433</v>
      </c>
      <c r="L442" s="40">
        <f t="shared" ca="1" si="125"/>
        <v>196.87566588796065</v>
      </c>
      <c r="M442" s="40"/>
      <c r="N442" s="40"/>
      <c r="Q442" s="46"/>
      <c r="R442" s="46">
        <f t="shared" ca="1" si="126"/>
        <v>195.98635051653517</v>
      </c>
      <c r="S442" s="40"/>
      <c r="T442" s="40"/>
      <c r="W442" s="4">
        <v>43.2</v>
      </c>
      <c r="X442" s="4">
        <f t="shared" ca="1" si="127"/>
        <v>1177634748680000</v>
      </c>
    </row>
    <row r="443" spans="4:24" x14ac:dyDescent="0.3">
      <c r="D443" s="4">
        <v>43.3</v>
      </c>
      <c r="E443" s="4">
        <f t="shared" si="124"/>
        <v>1210298690211052.5</v>
      </c>
      <c r="K443" s="40">
        <v>434</v>
      </c>
      <c r="L443" s="40">
        <f t="shared" ca="1" si="125"/>
        <v>9.0757076477899137</v>
      </c>
      <c r="M443" s="40"/>
      <c r="N443" s="40"/>
      <c r="Q443" s="46"/>
      <c r="R443" s="46">
        <f t="shared" ca="1" si="126"/>
        <v>11.099255194381579</v>
      </c>
      <c r="S443" s="40"/>
      <c r="T443" s="40"/>
      <c r="W443" s="4">
        <v>43.3</v>
      </c>
      <c r="X443" s="4">
        <f t="shared" ca="1" si="127"/>
        <v>1176191833539849</v>
      </c>
    </row>
    <row r="444" spans="4:24" x14ac:dyDescent="0.3">
      <c r="D444" s="4">
        <v>43.4</v>
      </c>
      <c r="E444" s="4">
        <f t="shared" si="124"/>
        <v>1208895557704599.3</v>
      </c>
      <c r="K444" s="40">
        <v>435</v>
      </c>
      <c r="L444" s="40">
        <f t="shared" ca="1" si="125"/>
        <v>47.272938602194507</v>
      </c>
      <c r="M444" s="40"/>
      <c r="N444" s="40"/>
      <c r="Q444" s="46"/>
      <c r="R444" s="46">
        <f t="shared" ca="1" si="126"/>
        <v>130.24537358090234</v>
      </c>
      <c r="S444" s="40"/>
      <c r="T444" s="40"/>
      <c r="W444" s="4">
        <v>43.4</v>
      </c>
      <c r="X444" s="4">
        <f t="shared" ca="1" si="127"/>
        <v>1174750686353729.3</v>
      </c>
    </row>
    <row r="445" spans="4:24" x14ac:dyDescent="0.3">
      <c r="D445" s="4">
        <v>43.5</v>
      </c>
      <c r="E445" s="4">
        <f t="shared" si="124"/>
        <v>1207494051888191</v>
      </c>
      <c r="K445" s="40">
        <v>436</v>
      </c>
      <c r="L445" s="40">
        <f t="shared" ca="1" si="125"/>
        <v>90.67330496814057</v>
      </c>
      <c r="M445" s="40"/>
      <c r="N445" s="40"/>
      <c r="Q445" s="46"/>
      <c r="R445" s="46">
        <f t="shared" ca="1" si="126"/>
        <v>62.942870105109826</v>
      </c>
      <c r="S445" s="40"/>
      <c r="T445" s="40"/>
      <c r="W445" s="4">
        <v>43.5</v>
      </c>
      <c r="X445" s="4">
        <f t="shared" ca="1" si="127"/>
        <v>1173311304955428.5</v>
      </c>
    </row>
    <row r="446" spans="4:24" x14ac:dyDescent="0.3">
      <c r="D446" s="4">
        <v>43.6</v>
      </c>
      <c r="E446" s="4">
        <f t="shared" si="124"/>
        <v>1206094170875961</v>
      </c>
      <c r="K446" s="40">
        <v>437</v>
      </c>
      <c r="L446" s="40">
        <f t="shared" ca="1" si="125"/>
        <v>119.39199697511886</v>
      </c>
      <c r="M446" s="40"/>
      <c r="N446" s="40"/>
      <c r="Q446" s="46"/>
      <c r="R446" s="46">
        <f t="shared" ca="1" si="126"/>
        <v>99.147272063845008</v>
      </c>
      <c r="S446" s="40"/>
      <c r="T446" s="40"/>
      <c r="W446" s="4">
        <v>43.6</v>
      </c>
      <c r="X446" s="4">
        <f t="shared" ca="1" si="127"/>
        <v>1171873687181387.3</v>
      </c>
    </row>
    <row r="447" spans="4:24" x14ac:dyDescent="0.3">
      <c r="D447" s="4">
        <v>43.7</v>
      </c>
      <c r="E447" s="4">
        <f t="shared" si="124"/>
        <v>1204695912784229.5</v>
      </c>
      <c r="K447" s="40">
        <v>438</v>
      </c>
      <c r="L447" s="40">
        <f t="shared" ca="1" si="125"/>
        <v>132.07323784275499</v>
      </c>
      <c r="M447" s="40"/>
      <c r="N447" s="40"/>
      <c r="Q447" s="46"/>
      <c r="R447" s="46">
        <f t="shared" ca="1" si="126"/>
        <v>32.439663532509549</v>
      </c>
      <c r="S447" s="40"/>
      <c r="T447" s="40"/>
      <c r="W447" s="4">
        <v>43.7</v>
      </c>
      <c r="X447" s="4">
        <f t="shared" ca="1" si="127"/>
        <v>1170437830870698.3</v>
      </c>
    </row>
    <row r="448" spans="4:24" x14ac:dyDescent="0.3">
      <c r="D448" s="4">
        <v>43.8</v>
      </c>
      <c r="E448" s="4">
        <f t="shared" si="124"/>
        <v>1203299275731500</v>
      </c>
      <c r="K448" s="40">
        <v>439</v>
      </c>
      <c r="L448" s="40">
        <f t="shared" ca="1" si="125"/>
        <v>40.893552890700931</v>
      </c>
      <c r="M448" s="40"/>
      <c r="N448" s="40"/>
      <c r="Q448" s="46"/>
      <c r="R448" s="46">
        <f t="shared" ca="1" si="126"/>
        <v>133.83878210971756</v>
      </c>
      <c r="S448" s="40"/>
      <c r="T448" s="40"/>
      <c r="W448" s="4">
        <v>43.8</v>
      </c>
      <c r="X448" s="4">
        <f t="shared" ca="1" si="127"/>
        <v>1169003733865101.3</v>
      </c>
    </row>
    <row r="449" spans="4:24" x14ac:dyDescent="0.3">
      <c r="D449" s="4">
        <v>43.9</v>
      </c>
      <c r="E449" s="4">
        <f t="shared" si="124"/>
        <v>1201904257838457.3</v>
      </c>
      <c r="K449" s="40">
        <v>440</v>
      </c>
      <c r="L449" s="40">
        <f t="shared" ca="1" si="125"/>
        <v>17.499256198793304</v>
      </c>
      <c r="M449" s="40">
        <f t="shared" ref="M449" ca="1" si="148">AVERAGE(L440:L449)</f>
        <v>99.761130921037179</v>
      </c>
      <c r="N449" s="40">
        <f t="shared" ref="N449" ca="1" si="149">1/M449</f>
        <v>1.0023944102954475E-2</v>
      </c>
      <c r="Q449" s="46"/>
      <c r="R449" s="46">
        <f t="shared" ca="1" si="126"/>
        <v>168.03456954953987</v>
      </c>
      <c r="S449" s="40">
        <f t="shared" ref="S449" ca="1" si="150">AVERAGE(R440:R449)</f>
        <v>90.91826272793476</v>
      </c>
      <c r="T449" s="40">
        <f t="shared" ref="T449" ca="1" si="151">1/S449</f>
        <v>1.0998890321875327E-2</v>
      </c>
      <c r="W449" s="4">
        <v>43.9</v>
      </c>
      <c r="X449" s="4">
        <f t="shared" ca="1" si="127"/>
        <v>1167571394008980.5</v>
      </c>
    </row>
    <row r="450" spans="4:24" x14ac:dyDescent="0.3">
      <c r="D450" s="4">
        <v>44</v>
      </c>
      <c r="E450" s="4">
        <f t="shared" si="124"/>
        <v>1200510857227965.5</v>
      </c>
      <c r="K450" s="40">
        <v>441</v>
      </c>
      <c r="L450" s="40">
        <f t="shared" ca="1" si="125"/>
        <v>36.857561538886223</v>
      </c>
      <c r="M450" s="40"/>
      <c r="N450" s="40"/>
      <c r="Q450" s="46"/>
      <c r="R450" s="46">
        <f t="shared" ca="1" si="126"/>
        <v>4.9182977794157203</v>
      </c>
      <c r="S450" s="40"/>
      <c r="T450" s="40"/>
      <c r="W450" s="4">
        <v>44</v>
      </c>
      <c r="X450" s="4">
        <f t="shared" ca="1" si="127"/>
        <v>1166140809149361.3</v>
      </c>
    </row>
    <row r="451" spans="4:24" x14ac:dyDescent="0.3">
      <c r="D451" s="4">
        <v>44.1</v>
      </c>
      <c r="E451" s="4">
        <f t="shared" si="124"/>
        <v>1199119072025064.3</v>
      </c>
      <c r="K451" s="40">
        <v>442</v>
      </c>
      <c r="L451" s="40">
        <f t="shared" ca="1" si="125"/>
        <v>34.041882692245224</v>
      </c>
      <c r="M451" s="40"/>
      <c r="N451" s="40"/>
      <c r="Q451" s="46"/>
      <c r="R451" s="46">
        <f t="shared" ca="1" si="126"/>
        <v>43.246470353791246</v>
      </c>
      <c r="S451" s="40"/>
      <c r="T451" s="40"/>
      <c r="W451" s="4">
        <v>44.1</v>
      </c>
      <c r="X451" s="4">
        <f t="shared" ca="1" si="127"/>
        <v>1164711977135907.3</v>
      </c>
    </row>
    <row r="452" spans="4:24" x14ac:dyDescent="0.3">
      <c r="D452" s="4">
        <v>44.2</v>
      </c>
      <c r="E452" s="4">
        <f t="shared" si="124"/>
        <v>1197728900356967</v>
      </c>
      <c r="K452" s="40">
        <v>443</v>
      </c>
      <c r="L452" s="40">
        <f t="shared" ca="1" si="125"/>
        <v>136.4650738778212</v>
      </c>
      <c r="M452" s="40"/>
      <c r="N452" s="40"/>
      <c r="Q452" s="46"/>
      <c r="R452" s="46">
        <f t="shared" ca="1" si="126"/>
        <v>23.155641109686414</v>
      </c>
      <c r="S452" s="40"/>
      <c r="T452" s="40"/>
      <c r="W452" s="4">
        <v>44.2</v>
      </c>
      <c r="X452" s="4">
        <f t="shared" ca="1" si="127"/>
        <v>1163284895820916.5</v>
      </c>
    </row>
    <row r="453" spans="4:24" x14ac:dyDescent="0.3">
      <c r="D453" s="4">
        <v>44.3</v>
      </c>
      <c r="E453" s="4">
        <f t="shared" si="124"/>
        <v>1196340340353059.3</v>
      </c>
      <c r="K453" s="40">
        <v>444</v>
      </c>
      <c r="L453" s="40">
        <f t="shared" ca="1" si="125"/>
        <v>3.6655264736891993</v>
      </c>
      <c r="M453" s="40"/>
      <c r="N453" s="40"/>
      <c r="Q453" s="46"/>
      <c r="R453" s="46">
        <f t="shared" ca="1" si="126"/>
        <v>41.3113488069787</v>
      </c>
      <c r="S453" s="40"/>
      <c r="T453" s="40"/>
      <c r="W453" s="4">
        <v>44.3</v>
      </c>
      <c r="X453" s="4">
        <f t="shared" ca="1" si="127"/>
        <v>1161859563059319.3</v>
      </c>
    </row>
    <row r="454" spans="4:24" x14ac:dyDescent="0.3">
      <c r="D454" s="4">
        <v>44.4</v>
      </c>
      <c r="E454" s="4">
        <f t="shared" si="124"/>
        <v>1194953390144894</v>
      </c>
      <c r="K454" s="40">
        <v>445</v>
      </c>
      <c r="L454" s="40">
        <f t="shared" ca="1" si="125"/>
        <v>41.751563588840071</v>
      </c>
      <c r="M454" s="40"/>
      <c r="N454" s="40"/>
      <c r="Q454" s="46"/>
      <c r="R454" s="46">
        <f t="shared" ca="1" si="126"/>
        <v>20.901270836916229</v>
      </c>
      <c r="S454" s="40"/>
      <c r="T454" s="40"/>
      <c r="W454" s="4">
        <v>44.4</v>
      </c>
      <c r="X454" s="4">
        <f t="shared" ca="1" si="127"/>
        <v>1160435976708673</v>
      </c>
    </row>
    <row r="455" spans="4:24" x14ac:dyDescent="0.3">
      <c r="D455" s="4">
        <v>44.5</v>
      </c>
      <c r="E455" s="4">
        <f t="shared" si="124"/>
        <v>1193568047866190.3</v>
      </c>
      <c r="K455" s="40">
        <v>446</v>
      </c>
      <c r="L455" s="40">
        <f t="shared" ca="1" si="125"/>
        <v>19.270122934585771</v>
      </c>
      <c r="M455" s="40"/>
      <c r="N455" s="40"/>
      <c r="Q455" s="46"/>
      <c r="R455" s="46">
        <f t="shared" ca="1" si="126"/>
        <v>83.813979602140094</v>
      </c>
      <c r="S455" s="40"/>
      <c r="T455" s="40"/>
      <c r="W455" s="4">
        <v>44.5</v>
      </c>
      <c r="X455" s="4">
        <f t="shared" ca="1" si="127"/>
        <v>1159014134629160.8</v>
      </c>
    </row>
    <row r="456" spans="4:24" x14ac:dyDescent="0.3">
      <c r="D456" s="4">
        <v>44.6</v>
      </c>
      <c r="E456" s="4">
        <f t="shared" si="124"/>
        <v>1192184311652832.3</v>
      </c>
      <c r="K456" s="40">
        <v>447</v>
      </c>
      <c r="L456" s="40">
        <f t="shared" ca="1" si="125"/>
        <v>70.587415101739381</v>
      </c>
      <c r="M456" s="40"/>
      <c r="N456" s="40"/>
      <c r="Q456" s="46"/>
      <c r="R456" s="46">
        <f t="shared" ca="1" si="126"/>
        <v>74.421107337523551</v>
      </c>
      <c r="S456" s="40"/>
      <c r="T456" s="40"/>
      <c r="W456" s="4">
        <v>44.6</v>
      </c>
      <c r="X456" s="4">
        <f t="shared" ca="1" si="127"/>
        <v>1157594034683587.3</v>
      </c>
    </row>
    <row r="457" spans="4:24" x14ac:dyDescent="0.3">
      <c r="D457" s="4">
        <v>44.7</v>
      </c>
      <c r="E457" s="4">
        <f t="shared" si="124"/>
        <v>1190802179642863.8</v>
      </c>
      <c r="K457" s="40">
        <v>448</v>
      </c>
      <c r="L457" s="40">
        <f t="shared" ca="1" si="125"/>
        <v>131.67268249429719</v>
      </c>
      <c r="M457" s="40"/>
      <c r="N457" s="40"/>
      <c r="Q457" s="46"/>
      <c r="R457" s="46">
        <f t="shared" ca="1" si="126"/>
        <v>266.81427703868587</v>
      </c>
      <c r="S457" s="40"/>
      <c r="T457" s="40"/>
      <c r="W457" s="4">
        <v>44.7</v>
      </c>
      <c r="X457" s="4">
        <f t="shared" ca="1" si="127"/>
        <v>1156175674737376.5</v>
      </c>
    </row>
    <row r="458" spans="4:24" x14ac:dyDescent="0.3">
      <c r="D458" s="4">
        <v>44.8</v>
      </c>
      <c r="E458" s="4">
        <f t="shared" si="124"/>
        <v>1189421649976488</v>
      </c>
      <c r="K458" s="40">
        <v>449</v>
      </c>
      <c r="L458" s="40">
        <f t="shared" ca="1" si="125"/>
        <v>75.004520017527696</v>
      </c>
      <c r="M458" s="40"/>
      <c r="N458" s="40"/>
      <c r="Q458" s="46"/>
      <c r="R458" s="46">
        <f t="shared" ca="1" si="126"/>
        <v>37.45494728143003</v>
      </c>
      <c r="S458" s="40"/>
      <c r="T458" s="40"/>
      <c r="W458" s="4">
        <v>44.8</v>
      </c>
      <c r="X458" s="4">
        <f t="shared" ca="1" si="127"/>
        <v>1154759052658567.5</v>
      </c>
    </row>
    <row r="459" spans="4:24" x14ac:dyDescent="0.3">
      <c r="D459" s="4">
        <v>44.9</v>
      </c>
      <c r="E459" s="4">
        <f t="shared" ref="E459:E522" si="152">$F$4*EXP(-$F$5*D459)</f>
        <v>1188042720796063.8</v>
      </c>
      <c r="K459" s="40">
        <v>450</v>
      </c>
      <c r="L459" s="40">
        <f t="shared" ref="L459:L522" ca="1" si="153">-(1/$F$5)*LN(RAND())</f>
        <v>40.671041131250028</v>
      </c>
      <c r="M459" s="40">
        <f t="shared" ref="M459" ca="1" si="154">AVERAGE(L450:L459)</f>
        <v>58.998738985088195</v>
      </c>
      <c r="N459" s="40">
        <f t="shared" ref="N459" ca="1" si="155">1/M459</f>
        <v>1.6949514806625744E-2</v>
      </c>
      <c r="Q459" s="46"/>
      <c r="R459" s="46">
        <f t="shared" ref="R459:R522" ca="1" si="156">-(1/$Q$10)*LN(RAND())</f>
        <v>48.832129217272467</v>
      </c>
      <c r="S459" s="40">
        <f t="shared" ref="S459" ca="1" si="157">AVERAGE(R450:R459)</f>
        <v>64.48694693638403</v>
      </c>
      <c r="T459" s="40">
        <f t="shared" ref="T459" ca="1" si="158">1/S459</f>
        <v>1.5507014171201093E-2</v>
      </c>
      <c r="W459" s="4">
        <v>44.9</v>
      </c>
      <c r="X459" s="4">
        <f t="shared" ref="X459:X522" ca="1" si="159">$F$4*EXP(-$U$10*W459)</f>
        <v>1153344166317810.8</v>
      </c>
    </row>
    <row r="460" spans="4:24" x14ac:dyDescent="0.3">
      <c r="D460" s="4">
        <v>45</v>
      </c>
      <c r="E460" s="4">
        <f t="shared" si="152"/>
        <v>1186665390246104</v>
      </c>
      <c r="K460" s="40">
        <v>451</v>
      </c>
      <c r="L460" s="40">
        <f t="shared" ca="1" si="153"/>
        <v>109.6779440775388</v>
      </c>
      <c r="M460" s="40"/>
      <c r="N460" s="40"/>
      <c r="Q460" s="46"/>
      <c r="R460" s="46">
        <f t="shared" ca="1" si="156"/>
        <v>220.51459271093535</v>
      </c>
      <c r="S460" s="40"/>
      <c r="T460" s="40"/>
      <c r="W460" s="4">
        <v>45</v>
      </c>
      <c r="X460" s="4">
        <f t="shared" ca="1" si="159"/>
        <v>1151931013588367</v>
      </c>
    </row>
    <row r="461" spans="4:24" x14ac:dyDescent="0.3">
      <c r="D461" s="4">
        <v>45.1</v>
      </c>
      <c r="E461" s="4">
        <f t="shared" si="152"/>
        <v>1185289656473272.5</v>
      </c>
      <c r="K461" s="40">
        <v>452</v>
      </c>
      <c r="L461" s="40">
        <f t="shared" ca="1" si="153"/>
        <v>135.95954056472712</v>
      </c>
      <c r="M461" s="40"/>
      <c r="N461" s="40"/>
      <c r="Q461" s="46"/>
      <c r="R461" s="46">
        <f t="shared" ca="1" si="156"/>
        <v>31.65745138049741</v>
      </c>
      <c r="S461" s="40"/>
      <c r="T461" s="40"/>
      <c r="W461" s="4">
        <v>45.1</v>
      </c>
      <c r="X461" s="4">
        <f t="shared" ca="1" si="159"/>
        <v>1150519592346101.8</v>
      </c>
    </row>
    <row r="462" spans="4:24" x14ac:dyDescent="0.3">
      <c r="D462" s="4">
        <v>45.2</v>
      </c>
      <c r="E462" s="4">
        <f t="shared" si="152"/>
        <v>1183915517626381.3</v>
      </c>
      <c r="K462" s="40">
        <v>453</v>
      </c>
      <c r="L462" s="40">
        <f t="shared" ca="1" si="153"/>
        <v>80.230848657189767</v>
      </c>
      <c r="M462" s="40"/>
      <c r="N462" s="40"/>
      <c r="Q462" s="46"/>
      <c r="R462" s="46">
        <f t="shared" ca="1" si="156"/>
        <v>21.80678609228509</v>
      </c>
      <c r="S462" s="40"/>
      <c r="T462" s="40"/>
      <c r="W462" s="4">
        <v>45.2</v>
      </c>
      <c r="X462" s="4">
        <f t="shared" ca="1" si="159"/>
        <v>1149109900469484.3</v>
      </c>
    </row>
    <row r="463" spans="4:24" x14ac:dyDescent="0.3">
      <c r="D463" s="4">
        <v>45.3</v>
      </c>
      <c r="E463" s="4">
        <f t="shared" si="152"/>
        <v>1182542971856389.5</v>
      </c>
      <c r="K463" s="40">
        <v>454</v>
      </c>
      <c r="L463" s="40">
        <f t="shared" ca="1" si="153"/>
        <v>12.62603637694612</v>
      </c>
      <c r="M463" s="40"/>
      <c r="N463" s="40"/>
      <c r="Q463" s="46"/>
      <c r="R463" s="46">
        <f t="shared" ca="1" si="156"/>
        <v>91.711262321231303</v>
      </c>
      <c r="S463" s="40"/>
      <c r="T463" s="40"/>
      <c r="W463" s="4">
        <v>45.3</v>
      </c>
      <c r="X463" s="4">
        <f t="shared" ca="1" si="159"/>
        <v>1147701935839582.3</v>
      </c>
    </row>
    <row r="464" spans="4:24" x14ac:dyDescent="0.3">
      <c r="D464" s="4">
        <v>45.4</v>
      </c>
      <c r="E464" s="4">
        <f t="shared" si="152"/>
        <v>1181172017316398.8</v>
      </c>
      <c r="K464" s="40">
        <v>455</v>
      </c>
      <c r="L464" s="40">
        <f t="shared" ca="1" si="153"/>
        <v>232.25343860394815</v>
      </c>
      <c r="M464" s="40"/>
      <c r="N464" s="40"/>
      <c r="Q464" s="46"/>
      <c r="R464" s="46">
        <f t="shared" ca="1" si="156"/>
        <v>13.88127815532833</v>
      </c>
      <c r="S464" s="40"/>
      <c r="T464" s="40"/>
      <c r="W464" s="4">
        <v>45.4</v>
      </c>
      <c r="X464" s="4">
        <f t="shared" ca="1" si="159"/>
        <v>1146295696340060</v>
      </c>
    </row>
    <row r="465" spans="4:24" x14ac:dyDescent="0.3">
      <c r="D465" s="4">
        <v>45.5</v>
      </c>
      <c r="E465" s="4">
        <f t="shared" si="152"/>
        <v>1179802652161653.3</v>
      </c>
      <c r="K465" s="40">
        <v>456</v>
      </c>
      <c r="L465" s="40">
        <f t="shared" ca="1" si="153"/>
        <v>19.406798137382697</v>
      </c>
      <c r="M465" s="40"/>
      <c r="N465" s="40"/>
      <c r="Q465" s="46"/>
      <c r="R465" s="46">
        <f t="shared" ca="1" si="156"/>
        <v>22.143567399217311</v>
      </c>
      <c r="S465" s="40"/>
      <c r="T465" s="40"/>
      <c r="W465" s="4">
        <v>45.5</v>
      </c>
      <c r="X465" s="4">
        <f t="shared" ca="1" si="159"/>
        <v>1144891179857175</v>
      </c>
    </row>
    <row r="466" spans="4:24" x14ac:dyDescent="0.3">
      <c r="D466" s="4">
        <v>45.6</v>
      </c>
      <c r="E466" s="4">
        <f t="shared" si="152"/>
        <v>1178434874549534</v>
      </c>
      <c r="K466" s="40">
        <v>457</v>
      </c>
      <c r="L466" s="40">
        <f t="shared" ca="1" si="153"/>
        <v>74.001752730875779</v>
      </c>
      <c r="M466" s="40"/>
      <c r="N466" s="40"/>
      <c r="Q466" s="46"/>
      <c r="R466" s="46">
        <f t="shared" ca="1" si="156"/>
        <v>43.404472895544593</v>
      </c>
      <c r="S466" s="40"/>
      <c r="T466" s="40"/>
      <c r="W466" s="4">
        <v>45.6</v>
      </c>
      <c r="X466" s="4">
        <f t="shared" ca="1" si="159"/>
        <v>1143488384279774.3</v>
      </c>
    </row>
    <row r="467" spans="4:24" x14ac:dyDescent="0.3">
      <c r="D467" s="4">
        <v>45.7</v>
      </c>
      <c r="E467" s="4">
        <f t="shared" si="152"/>
        <v>1177068682639560</v>
      </c>
      <c r="K467" s="40">
        <v>458</v>
      </c>
      <c r="L467" s="40">
        <f t="shared" ca="1" si="153"/>
        <v>11.965840952887573</v>
      </c>
      <c r="M467" s="40"/>
      <c r="N467" s="40"/>
      <c r="Q467" s="46"/>
      <c r="R467" s="46">
        <f t="shared" ca="1" si="156"/>
        <v>98.755443008175959</v>
      </c>
      <c r="S467" s="40"/>
      <c r="T467" s="40"/>
      <c r="W467" s="4">
        <v>45.7</v>
      </c>
      <c r="X467" s="4">
        <f t="shared" ca="1" si="159"/>
        <v>1142087307499292.3</v>
      </c>
    </row>
    <row r="468" spans="4:24" x14ac:dyDescent="0.3">
      <c r="D468" s="4">
        <v>45.8</v>
      </c>
      <c r="E468" s="4">
        <f t="shared" si="152"/>
        <v>1175704074593383</v>
      </c>
      <c r="K468" s="40">
        <v>459</v>
      </c>
      <c r="L468" s="40">
        <f t="shared" ca="1" si="153"/>
        <v>9.246632297938989</v>
      </c>
      <c r="M468" s="40"/>
      <c r="N468" s="40"/>
      <c r="Q468" s="46"/>
      <c r="R468" s="46">
        <f t="shared" ca="1" si="156"/>
        <v>10.607151160831853</v>
      </c>
      <c r="S468" s="40"/>
      <c r="T468" s="40"/>
      <c r="W468" s="4">
        <v>45.8</v>
      </c>
      <c r="X468" s="4">
        <f t="shared" ca="1" si="159"/>
        <v>1140687947409746.5</v>
      </c>
    </row>
    <row r="469" spans="4:24" x14ac:dyDescent="0.3">
      <c r="D469" s="4">
        <v>45.9</v>
      </c>
      <c r="E469" s="4">
        <f t="shared" si="152"/>
        <v>1174341048574786.3</v>
      </c>
      <c r="K469" s="40">
        <v>460</v>
      </c>
      <c r="L469" s="40">
        <f t="shared" ca="1" si="153"/>
        <v>157.0038142469671</v>
      </c>
      <c r="M469" s="40">
        <f t="shared" ref="M469" ca="1" si="160">AVERAGE(L460:L469)</f>
        <v>84.237264664640207</v>
      </c>
      <c r="N469" s="40">
        <f t="shared" ref="N469" ca="1" si="161">1/M469</f>
        <v>1.1871230671854475E-2</v>
      </c>
      <c r="Q469" s="46"/>
      <c r="R469" s="46">
        <f t="shared" ca="1" si="156"/>
        <v>5.8278653061707031</v>
      </c>
      <c r="S469" s="40">
        <f t="shared" ref="S469" ca="1" si="162">AVERAGE(R460:R469)</f>
        <v>56.030987043021788</v>
      </c>
      <c r="T469" s="40">
        <f t="shared" ref="T469" ca="1" si="163">1/S469</f>
        <v>1.7847267249320072E-2</v>
      </c>
      <c r="W469" s="4">
        <v>45.9</v>
      </c>
      <c r="X469" s="4">
        <f t="shared" ca="1" si="159"/>
        <v>1139290301907734.5</v>
      </c>
    </row>
    <row r="470" spans="4:24" x14ac:dyDescent="0.3">
      <c r="D470" s="4">
        <v>46</v>
      </c>
      <c r="E470" s="4">
        <f t="shared" si="152"/>
        <v>1172979602749681.5</v>
      </c>
      <c r="K470" s="40">
        <v>461</v>
      </c>
      <c r="L470" s="40">
        <f t="shared" ca="1" si="153"/>
        <v>35.385344630536892</v>
      </c>
      <c r="M470" s="40"/>
      <c r="N470" s="40"/>
      <c r="Q470" s="46"/>
      <c r="R470" s="46">
        <f t="shared" ca="1" si="156"/>
        <v>224.07095395159055</v>
      </c>
      <c r="S470" s="40"/>
      <c r="T470" s="40"/>
      <c r="W470" s="4">
        <v>46</v>
      </c>
      <c r="X470" s="4">
        <f t="shared" ca="1" si="159"/>
        <v>1137894368892432</v>
      </c>
    </row>
    <row r="471" spans="4:24" x14ac:dyDescent="0.3">
      <c r="D471" s="4">
        <v>46.1</v>
      </c>
      <c r="E471" s="4">
        <f t="shared" si="152"/>
        <v>1171619735286107</v>
      </c>
      <c r="K471" s="40">
        <v>462</v>
      </c>
      <c r="L471" s="40">
        <f t="shared" ca="1" si="153"/>
        <v>9.8771522956741844</v>
      </c>
      <c r="M471" s="40"/>
      <c r="N471" s="40"/>
      <c r="Q471" s="46"/>
      <c r="R471" s="46">
        <f t="shared" ca="1" si="156"/>
        <v>138.62647052349394</v>
      </c>
      <c r="S471" s="40"/>
      <c r="T471" s="40"/>
      <c r="W471" s="4">
        <v>46.1</v>
      </c>
      <c r="X471" s="4">
        <f t="shared" ca="1" si="159"/>
        <v>1136500146265587.5</v>
      </c>
    </row>
    <row r="472" spans="4:24" x14ac:dyDescent="0.3">
      <c r="D472" s="4">
        <v>46.2</v>
      </c>
      <c r="E472" s="4">
        <f t="shared" si="152"/>
        <v>1170261444354225.5</v>
      </c>
      <c r="K472" s="40">
        <v>463</v>
      </c>
      <c r="L472" s="40">
        <f t="shared" ca="1" si="153"/>
        <v>21.634963897681832</v>
      </c>
      <c r="M472" s="40"/>
      <c r="N472" s="40"/>
      <c r="Q472" s="46"/>
      <c r="R472" s="46">
        <f t="shared" ca="1" si="156"/>
        <v>212.05854186895465</v>
      </c>
      <c r="S472" s="40"/>
      <c r="T472" s="40"/>
      <c r="W472" s="4">
        <v>46.2</v>
      </c>
      <c r="X472" s="4">
        <f t="shared" ca="1" si="159"/>
        <v>1135107631931521.8</v>
      </c>
    </row>
    <row r="473" spans="4:24" x14ac:dyDescent="0.3">
      <c r="D473" s="4">
        <v>46.3</v>
      </c>
      <c r="E473" s="4">
        <f t="shared" si="152"/>
        <v>1168904728126320</v>
      </c>
      <c r="K473" s="40">
        <v>464</v>
      </c>
      <c r="L473" s="40">
        <f t="shared" ca="1" si="153"/>
        <v>113.30853290536575</v>
      </c>
      <c r="M473" s="40"/>
      <c r="N473" s="40"/>
      <c r="Q473" s="46"/>
      <c r="R473" s="46">
        <f t="shared" ca="1" si="156"/>
        <v>60.655552130596426</v>
      </c>
      <c r="S473" s="40"/>
      <c r="T473" s="40"/>
      <c r="W473" s="4">
        <v>46.3</v>
      </c>
      <c r="X473" s="4">
        <f t="shared" ca="1" si="159"/>
        <v>1133716823797123</v>
      </c>
    </row>
    <row r="474" spans="4:24" x14ac:dyDescent="0.3">
      <c r="D474" s="4">
        <v>46.4</v>
      </c>
      <c r="E474" s="4">
        <f t="shared" si="152"/>
        <v>1167549584776793</v>
      </c>
      <c r="K474" s="40">
        <v>465</v>
      </c>
      <c r="L474" s="40">
        <f t="shared" ca="1" si="153"/>
        <v>11.757807999264132</v>
      </c>
      <c r="M474" s="40"/>
      <c r="N474" s="40"/>
      <c r="Q474" s="46"/>
      <c r="R474" s="46">
        <f t="shared" ca="1" si="156"/>
        <v>50.591735446260266</v>
      </c>
      <c r="S474" s="40"/>
      <c r="T474" s="40"/>
      <c r="W474" s="4">
        <v>46.4</v>
      </c>
      <c r="X474" s="4">
        <f t="shared" ca="1" si="159"/>
        <v>1132327719771843</v>
      </c>
    </row>
    <row r="475" spans="4:24" x14ac:dyDescent="0.3">
      <c r="D475" s="4">
        <v>46.5</v>
      </c>
      <c r="E475" s="4">
        <f t="shared" si="152"/>
        <v>1166196012482163</v>
      </c>
      <c r="K475" s="40">
        <v>466</v>
      </c>
      <c r="L475" s="40">
        <f t="shared" ca="1" si="153"/>
        <v>121.50083845843427</v>
      </c>
      <c r="M475" s="40"/>
      <c r="N475" s="40"/>
      <c r="Q475" s="46"/>
      <c r="R475" s="46">
        <f t="shared" ca="1" si="156"/>
        <v>62.352063974785473</v>
      </c>
      <c r="S475" s="40"/>
      <c r="T475" s="40"/>
      <c r="W475" s="4">
        <v>46.5</v>
      </c>
      <c r="X475" s="4">
        <f t="shared" ca="1" si="159"/>
        <v>1130940317767696</v>
      </c>
    </row>
    <row r="476" spans="4:24" x14ac:dyDescent="0.3">
      <c r="D476" s="4">
        <v>46.6</v>
      </c>
      <c r="E476" s="4">
        <f t="shared" si="152"/>
        <v>1164844009421064</v>
      </c>
      <c r="K476" s="40">
        <v>467</v>
      </c>
      <c r="L476" s="40">
        <f t="shared" ca="1" si="153"/>
        <v>236.27976574359434</v>
      </c>
      <c r="M476" s="40"/>
      <c r="N476" s="40"/>
      <c r="Q476" s="46"/>
      <c r="R476" s="46">
        <f t="shared" ca="1" si="156"/>
        <v>278.97852161925539</v>
      </c>
      <c r="S476" s="40"/>
      <c r="T476" s="40"/>
      <c r="W476" s="4">
        <v>46.6</v>
      </c>
      <c r="X476" s="4">
        <f t="shared" ca="1" si="159"/>
        <v>1129554615699254.8</v>
      </c>
    </row>
    <row r="477" spans="4:24" x14ac:dyDescent="0.3">
      <c r="D477" s="4">
        <v>46.7</v>
      </c>
      <c r="E477" s="4">
        <f t="shared" si="152"/>
        <v>1163493573774239.5</v>
      </c>
      <c r="K477" s="40">
        <v>468</v>
      </c>
      <c r="L477" s="40">
        <f t="shared" ca="1" si="153"/>
        <v>249.85325749182059</v>
      </c>
      <c r="M477" s="40"/>
      <c r="N477" s="40"/>
      <c r="Q477" s="46"/>
      <c r="R477" s="46">
        <f t="shared" ca="1" si="156"/>
        <v>197.97822281556191</v>
      </c>
      <c r="S477" s="40"/>
      <c r="T477" s="40"/>
      <c r="W477" s="4">
        <v>46.7</v>
      </c>
      <c r="X477" s="4">
        <f t="shared" ca="1" si="159"/>
        <v>1128170611483646</v>
      </c>
    </row>
    <row r="478" spans="4:24" x14ac:dyDescent="0.3">
      <c r="D478" s="4">
        <v>46.8</v>
      </c>
      <c r="E478" s="4">
        <f t="shared" si="152"/>
        <v>1162144703724543.5</v>
      </c>
      <c r="K478" s="40">
        <v>469</v>
      </c>
      <c r="L478" s="40">
        <f t="shared" ca="1" si="153"/>
        <v>70.970536467496615</v>
      </c>
      <c r="M478" s="40"/>
      <c r="N478" s="40"/>
      <c r="Q478" s="46"/>
      <c r="R478" s="46">
        <f t="shared" ca="1" si="156"/>
        <v>62.490193565884084</v>
      </c>
      <c r="S478" s="40"/>
      <c r="T478" s="40"/>
      <c r="W478" s="4">
        <v>46.8</v>
      </c>
      <c r="X478" s="4">
        <f t="shared" ca="1" si="159"/>
        <v>1126788303040550.3</v>
      </c>
    </row>
    <row r="479" spans="4:24" x14ac:dyDescent="0.3">
      <c r="D479" s="4">
        <v>46.9</v>
      </c>
      <c r="E479" s="4">
        <f t="shared" si="152"/>
        <v>1160797397456936</v>
      </c>
      <c r="K479" s="40">
        <v>470</v>
      </c>
      <c r="L479" s="40">
        <f t="shared" ca="1" si="153"/>
        <v>13.882400968220475</v>
      </c>
      <c r="M479" s="40">
        <f t="shared" ref="M479" ca="1" si="164">AVERAGE(L470:L479)</f>
        <v>88.445060085808919</v>
      </c>
      <c r="N479" s="40">
        <f t="shared" ref="N479" ca="1" si="165">1/M479</f>
        <v>1.1306453961700127E-2</v>
      </c>
      <c r="Q479" s="46"/>
      <c r="R479" s="46">
        <f t="shared" ca="1" si="156"/>
        <v>329.48176984362834</v>
      </c>
      <c r="S479" s="40">
        <f t="shared" ref="S479" ca="1" si="166">AVERAGE(R470:R479)</f>
        <v>161.72840257400111</v>
      </c>
      <c r="T479" s="40">
        <f t="shared" ref="T479" ca="1" si="167">1/S479</f>
        <v>6.1832058196607479E-3</v>
      </c>
      <c r="W479" s="4">
        <v>46.9</v>
      </c>
      <c r="X479" s="4">
        <f t="shared" ca="1" si="159"/>
        <v>1125407688292195.8</v>
      </c>
    </row>
    <row r="480" spans="4:24" x14ac:dyDescent="0.3">
      <c r="D480" s="4">
        <v>47</v>
      </c>
      <c r="E480" s="4">
        <f t="shared" si="152"/>
        <v>1159451653158482</v>
      </c>
      <c r="K480" s="40">
        <v>471</v>
      </c>
      <c r="L480" s="40">
        <f t="shared" ca="1" si="153"/>
        <v>153.51380553863268</v>
      </c>
      <c r="M480" s="40"/>
      <c r="N480" s="40"/>
      <c r="Q480" s="46"/>
      <c r="R480" s="46">
        <f t="shared" ca="1" si="156"/>
        <v>5.951989072606553</v>
      </c>
      <c r="S480" s="40"/>
      <c r="T480" s="40"/>
      <c r="W480" s="4">
        <v>47</v>
      </c>
      <c r="X480" s="4">
        <f t="shared" ca="1" si="159"/>
        <v>1124028765163356.8</v>
      </c>
    </row>
    <row r="481" spans="4:24" x14ac:dyDescent="0.3">
      <c r="D481" s="4">
        <v>47.1</v>
      </c>
      <c r="E481" s="4">
        <f t="shared" si="152"/>
        <v>1158107469018347.3</v>
      </c>
      <c r="K481" s="40">
        <v>472</v>
      </c>
      <c r="L481" s="40">
        <f t="shared" ca="1" si="153"/>
        <v>153.8890821524727</v>
      </c>
      <c r="M481" s="40"/>
      <c r="N481" s="40"/>
      <c r="Q481" s="46"/>
      <c r="R481" s="46">
        <f t="shared" ca="1" si="156"/>
        <v>58.286947887818762</v>
      </c>
      <c r="S481" s="40"/>
      <c r="T481" s="40"/>
      <c r="W481" s="4">
        <v>47.1</v>
      </c>
      <c r="X481" s="4">
        <f t="shared" ca="1" si="159"/>
        <v>1122651531581350.4</v>
      </c>
    </row>
    <row r="482" spans="4:24" x14ac:dyDescent="0.3">
      <c r="D482" s="4">
        <v>47.2</v>
      </c>
      <c r="E482" s="4">
        <f t="shared" si="152"/>
        <v>1156764843227797.5</v>
      </c>
      <c r="K482" s="40">
        <v>473</v>
      </c>
      <c r="L482" s="40">
        <f t="shared" ca="1" si="153"/>
        <v>51.844565630398336</v>
      </c>
      <c r="M482" s="40"/>
      <c r="N482" s="40"/>
      <c r="Q482" s="46"/>
      <c r="R482" s="46">
        <f t="shared" ca="1" si="156"/>
        <v>176.59988906284562</v>
      </c>
      <c r="S482" s="40"/>
      <c r="T482" s="40"/>
      <c r="W482" s="4">
        <v>47.2</v>
      </c>
      <c r="X482" s="4">
        <f t="shared" ca="1" si="159"/>
        <v>1121275985476033.5</v>
      </c>
    </row>
    <row r="483" spans="4:24" x14ac:dyDescent="0.3">
      <c r="D483" s="4">
        <v>47.3</v>
      </c>
      <c r="E483" s="4">
        <f t="shared" si="152"/>
        <v>1155423773980195.5</v>
      </c>
      <c r="K483" s="40">
        <v>474</v>
      </c>
      <c r="L483" s="40">
        <f t="shared" ca="1" si="153"/>
        <v>14.70670043670335</v>
      </c>
      <c r="M483" s="40"/>
      <c r="N483" s="40"/>
      <c r="Q483" s="46"/>
      <c r="R483" s="46">
        <f t="shared" ca="1" si="156"/>
        <v>55.516557580273165</v>
      </c>
      <c r="S483" s="40"/>
      <c r="T483" s="40"/>
      <c r="W483" s="4">
        <v>47.3</v>
      </c>
      <c r="X483" s="4">
        <f t="shared" ca="1" si="159"/>
        <v>1119902124779799.1</v>
      </c>
    </row>
    <row r="484" spans="4:24" x14ac:dyDescent="0.3">
      <c r="D484" s="4">
        <v>47.4</v>
      </c>
      <c r="E484" s="4">
        <f t="shared" si="152"/>
        <v>1154084259470998.3</v>
      </c>
      <c r="K484" s="40">
        <v>475</v>
      </c>
      <c r="L484" s="40">
        <f t="shared" ca="1" si="153"/>
        <v>361.26016779669487</v>
      </c>
      <c r="M484" s="40"/>
      <c r="N484" s="40"/>
      <c r="Q484" s="46"/>
      <c r="R484" s="46">
        <f t="shared" ca="1" si="156"/>
        <v>64.813281396680779</v>
      </c>
      <c r="S484" s="40"/>
      <c r="T484" s="40"/>
      <c r="W484" s="4">
        <v>47.4</v>
      </c>
      <c r="X484" s="4">
        <f t="shared" ca="1" si="159"/>
        <v>1118529947427573.9</v>
      </c>
    </row>
    <row r="485" spans="4:24" x14ac:dyDescent="0.3">
      <c r="D485" s="4">
        <v>47.5</v>
      </c>
      <c r="E485" s="4">
        <f t="shared" si="152"/>
        <v>1152746297897754.3</v>
      </c>
      <c r="K485" s="40">
        <v>476</v>
      </c>
      <c r="L485" s="40">
        <f t="shared" ca="1" si="153"/>
        <v>36.086418292565355</v>
      </c>
      <c r="M485" s="40"/>
      <c r="N485" s="40"/>
      <c r="Q485" s="46"/>
      <c r="R485" s="46">
        <f t="shared" ca="1" si="156"/>
        <v>219.20582601452287</v>
      </c>
      <c r="S485" s="40"/>
      <c r="T485" s="40"/>
      <c r="W485" s="4">
        <v>47.5</v>
      </c>
      <c r="X485" s="4">
        <f t="shared" ca="1" si="159"/>
        <v>1117159451356814.1</v>
      </c>
    </row>
    <row r="486" spans="4:24" x14ac:dyDescent="0.3">
      <c r="D486" s="4">
        <v>47.6</v>
      </c>
      <c r="E486" s="4">
        <f t="shared" si="152"/>
        <v>1151409887460102.8</v>
      </c>
      <c r="K486" s="40">
        <v>477</v>
      </c>
      <c r="L486" s="40">
        <f t="shared" ca="1" si="153"/>
        <v>63.257466585865771</v>
      </c>
      <c r="M486" s="40"/>
      <c r="N486" s="40"/>
      <c r="Q486" s="46"/>
      <c r="R486" s="46">
        <f t="shared" ca="1" si="156"/>
        <v>110.48775880047276</v>
      </c>
      <c r="S486" s="40"/>
      <c r="T486" s="40"/>
      <c r="W486" s="4">
        <v>47.6</v>
      </c>
      <c r="X486" s="4">
        <f t="shared" ca="1" si="159"/>
        <v>1115790634507504.6</v>
      </c>
    </row>
    <row r="487" spans="4:24" x14ac:dyDescent="0.3">
      <c r="D487" s="4">
        <v>47.7</v>
      </c>
      <c r="E487" s="4">
        <f t="shared" si="152"/>
        <v>1150075026359769.8</v>
      </c>
      <c r="K487" s="40">
        <v>478</v>
      </c>
      <c r="L487" s="40">
        <f t="shared" ca="1" si="153"/>
        <v>125.42016588913</v>
      </c>
      <c r="M487" s="40"/>
      <c r="N487" s="40"/>
      <c r="Q487" s="46"/>
      <c r="R487" s="46">
        <f t="shared" ca="1" si="156"/>
        <v>23.671563895374224</v>
      </c>
      <c r="S487" s="40"/>
      <c r="T487" s="40"/>
      <c r="W487" s="4">
        <v>47.7</v>
      </c>
      <c r="X487" s="4">
        <f t="shared" ca="1" si="159"/>
        <v>1114423494822152.5</v>
      </c>
    </row>
    <row r="488" spans="4:24" x14ac:dyDescent="0.3">
      <c r="D488" s="4">
        <v>47.8</v>
      </c>
      <c r="E488" s="4">
        <f t="shared" si="152"/>
        <v>1148741712800565.8</v>
      </c>
      <c r="K488" s="40">
        <v>479</v>
      </c>
      <c r="L488" s="40">
        <f t="shared" ca="1" si="153"/>
        <v>27.859081200493591</v>
      </c>
      <c r="M488" s="40"/>
      <c r="N488" s="40"/>
      <c r="Q488" s="46"/>
      <c r="R488" s="46">
        <f t="shared" ca="1" si="156"/>
        <v>135.37094066586582</v>
      </c>
      <c r="S488" s="40"/>
      <c r="T488" s="40"/>
      <c r="W488" s="4">
        <v>47.8</v>
      </c>
      <c r="X488" s="4">
        <f t="shared" ca="1" si="159"/>
        <v>1113058030245787.8</v>
      </c>
    </row>
    <row r="489" spans="4:24" x14ac:dyDescent="0.3">
      <c r="D489" s="4">
        <v>47.9</v>
      </c>
      <c r="E489" s="4">
        <f t="shared" si="152"/>
        <v>1147409944988383.8</v>
      </c>
      <c r="K489" s="40">
        <v>480</v>
      </c>
      <c r="L489" s="40">
        <f t="shared" ca="1" si="153"/>
        <v>7.1499314179529438</v>
      </c>
      <c r="M489" s="40">
        <f t="shared" ref="M489" ca="1" si="168">AVERAGE(L480:L489)</f>
        <v>99.498738494090972</v>
      </c>
      <c r="N489" s="40">
        <f t="shared" ref="N489" ca="1" si="169">1/M489</f>
        <v>1.0050378679518515E-2</v>
      </c>
      <c r="Q489" s="46"/>
      <c r="R489" s="46">
        <f t="shared" ca="1" si="156"/>
        <v>31.246866427161724</v>
      </c>
      <c r="S489" s="40">
        <f t="shared" ref="S489" ca="1" si="170">AVERAGE(R480:R489)</f>
        <v>88.115162080362225</v>
      </c>
      <c r="T489" s="40">
        <f t="shared" ref="T489" ca="1" si="171">1/S489</f>
        <v>1.1348784663052499E-2</v>
      </c>
      <c r="W489" s="4">
        <v>47.9</v>
      </c>
      <c r="X489" s="4">
        <f t="shared" ca="1" si="159"/>
        <v>1111694238725956.3</v>
      </c>
    </row>
    <row r="490" spans="4:24" x14ac:dyDescent="0.3">
      <c r="D490" s="4">
        <v>48</v>
      </c>
      <c r="E490" s="4">
        <f t="shared" si="152"/>
        <v>1146079721131196.8</v>
      </c>
      <c r="K490" s="40">
        <v>481</v>
      </c>
      <c r="L490" s="40">
        <f t="shared" ca="1" si="153"/>
        <v>101.41907656648108</v>
      </c>
      <c r="M490" s="40"/>
      <c r="N490" s="40"/>
      <c r="Q490" s="46"/>
      <c r="R490" s="46">
        <f t="shared" ca="1" si="156"/>
        <v>82.617589766200467</v>
      </c>
      <c r="S490" s="40"/>
      <c r="T490" s="40"/>
      <c r="W490" s="4">
        <v>48</v>
      </c>
      <c r="X490" s="4">
        <f t="shared" ca="1" si="159"/>
        <v>1110332118212720.4</v>
      </c>
    </row>
    <row r="491" spans="4:24" x14ac:dyDescent="0.3">
      <c r="D491" s="4">
        <v>48.1</v>
      </c>
      <c r="E491" s="4">
        <f t="shared" si="152"/>
        <v>1144751039439055.5</v>
      </c>
      <c r="K491" s="40">
        <v>482</v>
      </c>
      <c r="L491" s="40">
        <f t="shared" ca="1" si="153"/>
        <v>62.302530343642815</v>
      </c>
      <c r="M491" s="40"/>
      <c r="N491" s="40"/>
      <c r="Q491" s="46"/>
      <c r="R491" s="46">
        <f t="shared" ca="1" si="156"/>
        <v>0.88785090849047166</v>
      </c>
      <c r="S491" s="40"/>
      <c r="T491" s="40"/>
      <c r="W491" s="4">
        <v>48.1</v>
      </c>
      <c r="X491" s="4">
        <f t="shared" ca="1" si="159"/>
        <v>1108971666658653.1</v>
      </c>
    </row>
    <row r="492" spans="4:24" x14ac:dyDescent="0.3">
      <c r="D492" s="4">
        <v>48.2</v>
      </c>
      <c r="E492" s="4">
        <f t="shared" si="152"/>
        <v>1143423898124085.5</v>
      </c>
      <c r="K492" s="40">
        <v>483</v>
      </c>
      <c r="L492" s="40">
        <f t="shared" ca="1" si="153"/>
        <v>3.2126177174047617</v>
      </c>
      <c r="M492" s="40"/>
      <c r="N492" s="40"/>
      <c r="Q492" s="46"/>
      <c r="R492" s="46">
        <f t="shared" ca="1" si="156"/>
        <v>28.788679314657816</v>
      </c>
      <c r="S492" s="40"/>
      <c r="T492" s="40"/>
      <c r="W492" s="4">
        <v>48.2</v>
      </c>
      <c r="X492" s="4">
        <f t="shared" ca="1" si="159"/>
        <v>1107612882018836.5</v>
      </c>
    </row>
    <row r="493" spans="4:24" x14ac:dyDescent="0.3">
      <c r="D493" s="4">
        <v>48.3</v>
      </c>
      <c r="E493" s="4">
        <f t="shared" si="152"/>
        <v>1142098295400485.8</v>
      </c>
      <c r="K493" s="40">
        <v>484</v>
      </c>
      <c r="L493" s="40">
        <f t="shared" ca="1" si="153"/>
        <v>24.919416558578231</v>
      </c>
      <c r="M493" s="40"/>
      <c r="N493" s="40"/>
      <c r="Q493" s="46"/>
      <c r="R493" s="46">
        <f t="shared" ca="1" si="156"/>
        <v>83.608701158177524</v>
      </c>
      <c r="S493" s="40"/>
      <c r="T493" s="40"/>
      <c r="W493" s="4">
        <v>48.3</v>
      </c>
      <c r="X493" s="4">
        <f t="shared" ca="1" si="159"/>
        <v>1106255762250858.6</v>
      </c>
    </row>
    <row r="494" spans="4:24" x14ac:dyDescent="0.3">
      <c r="D494" s="4">
        <v>48.4</v>
      </c>
      <c r="E494" s="4">
        <f t="shared" si="152"/>
        <v>1140774229484524.3</v>
      </c>
      <c r="K494" s="40">
        <v>485</v>
      </c>
      <c r="L494" s="40">
        <f t="shared" ca="1" si="153"/>
        <v>33.461351917671259</v>
      </c>
      <c r="M494" s="40"/>
      <c r="N494" s="40"/>
      <c r="Q494" s="46"/>
      <c r="R494" s="46">
        <f t="shared" ca="1" si="156"/>
        <v>89.48694246824958</v>
      </c>
      <c r="S494" s="40"/>
      <c r="T494" s="40"/>
      <c r="W494" s="4">
        <v>48.4</v>
      </c>
      <c r="X494" s="4">
        <f t="shared" ca="1" si="159"/>
        <v>1104900305314809</v>
      </c>
    </row>
    <row r="495" spans="4:24" x14ac:dyDescent="0.3">
      <c r="D495" s="4">
        <v>48.5</v>
      </c>
      <c r="E495" s="4">
        <f t="shared" si="152"/>
        <v>1139451698594538.3</v>
      </c>
      <c r="K495" s="40">
        <v>486</v>
      </c>
      <c r="L495" s="40">
        <f t="shared" ca="1" si="153"/>
        <v>0.56279189984327926</v>
      </c>
      <c r="M495" s="40"/>
      <c r="N495" s="40"/>
      <c r="Q495" s="46"/>
      <c r="R495" s="46">
        <f t="shared" ca="1" si="156"/>
        <v>27.627705069411672</v>
      </c>
      <c r="S495" s="40"/>
      <c r="T495" s="40"/>
      <c r="W495" s="4">
        <v>48.5</v>
      </c>
      <c r="X495" s="4">
        <f t="shared" ca="1" si="159"/>
        <v>1103546509173277.5</v>
      </c>
    </row>
    <row r="496" spans="4:24" x14ac:dyDescent="0.3">
      <c r="D496" s="4">
        <v>48.6</v>
      </c>
      <c r="E496" s="4">
        <f t="shared" si="152"/>
        <v>1138130700950929.8</v>
      </c>
      <c r="K496" s="40">
        <v>487</v>
      </c>
      <c r="L496" s="40">
        <f t="shared" ca="1" si="153"/>
        <v>38.958490599613476</v>
      </c>
      <c r="M496" s="40"/>
      <c r="N496" s="40"/>
      <c r="Q496" s="46"/>
      <c r="R496" s="46">
        <f t="shared" ca="1" si="156"/>
        <v>19.969340853173062</v>
      </c>
      <c r="S496" s="40"/>
      <c r="T496" s="40"/>
      <c r="W496" s="4">
        <v>48.6</v>
      </c>
      <c r="X496" s="4">
        <f t="shared" ca="1" si="159"/>
        <v>1102194371791350</v>
      </c>
    </row>
    <row r="497" spans="4:24" x14ac:dyDescent="0.3">
      <c r="D497" s="4">
        <v>48.7</v>
      </c>
      <c r="E497" s="4">
        <f t="shared" si="152"/>
        <v>1136811234776164</v>
      </c>
      <c r="K497" s="40">
        <v>488</v>
      </c>
      <c r="L497" s="40">
        <f t="shared" ca="1" si="153"/>
        <v>134.99219438849394</v>
      </c>
      <c r="M497" s="40"/>
      <c r="N497" s="40"/>
      <c r="Q497" s="46"/>
      <c r="R497" s="46">
        <f t="shared" ca="1" si="156"/>
        <v>164.30363140734826</v>
      </c>
      <c r="S497" s="40"/>
      <c r="T497" s="40"/>
      <c r="W497" s="4">
        <v>48.7</v>
      </c>
      <c r="X497" s="4">
        <f t="shared" ca="1" si="159"/>
        <v>1100843891136605.4</v>
      </c>
    </row>
    <row r="498" spans="4:24" x14ac:dyDescent="0.3">
      <c r="D498" s="4">
        <v>48.8</v>
      </c>
      <c r="E498" s="4">
        <f t="shared" si="152"/>
        <v>1135493298294767.8</v>
      </c>
      <c r="K498" s="40">
        <v>489</v>
      </c>
      <c r="L498" s="40">
        <f t="shared" ca="1" si="153"/>
        <v>273.53080869098443</v>
      </c>
      <c r="M498" s="40"/>
      <c r="N498" s="40"/>
      <c r="Q498" s="46"/>
      <c r="R498" s="46">
        <f t="shared" ca="1" si="156"/>
        <v>3.5044385782701437</v>
      </c>
      <c r="S498" s="40"/>
      <c r="T498" s="40"/>
      <c r="W498" s="4">
        <v>48.8</v>
      </c>
      <c r="X498" s="4">
        <f t="shared" ca="1" si="159"/>
        <v>1099495065179113.8</v>
      </c>
    </row>
    <row r="499" spans="4:24" x14ac:dyDescent="0.3">
      <c r="D499" s="4">
        <v>48.9</v>
      </c>
      <c r="E499" s="4">
        <f t="shared" si="152"/>
        <v>1134176889733324.8</v>
      </c>
      <c r="K499" s="40">
        <v>490</v>
      </c>
      <c r="L499" s="40">
        <f t="shared" ca="1" si="153"/>
        <v>26.079524540041046</v>
      </c>
      <c r="M499" s="40">
        <f t="shared" ref="M499" ca="1" si="172">AVERAGE(L490:L499)</f>
        <v>69.943880322275419</v>
      </c>
      <c r="N499" s="40">
        <f t="shared" ref="N499" ca="1" si="173">1/M499</f>
        <v>1.4297176470512809E-2</v>
      </c>
      <c r="Q499" s="46"/>
      <c r="R499" s="46">
        <f t="shared" ca="1" si="156"/>
        <v>87.978749235534806</v>
      </c>
      <c r="S499" s="40">
        <f t="shared" ref="S499" ca="1" si="174">AVERAGE(R490:R499)</f>
        <v>58.877362875951384</v>
      </c>
      <c r="T499" s="40">
        <f t="shared" ref="T499" ca="1" si="175">1/S499</f>
        <v>1.6984456353911406E-2</v>
      </c>
      <c r="W499" s="4">
        <v>48.9</v>
      </c>
      <c r="X499" s="4">
        <f t="shared" ca="1" si="159"/>
        <v>1098147891891431.1</v>
      </c>
    </row>
    <row r="500" spans="4:24" x14ac:dyDescent="0.3">
      <c r="D500" s="4">
        <v>49</v>
      </c>
      <c r="E500" s="4">
        <f t="shared" si="152"/>
        <v>1132862007320475.3</v>
      </c>
      <c r="K500" s="40">
        <v>491</v>
      </c>
      <c r="L500" s="40">
        <f t="shared" ca="1" si="153"/>
        <v>73.887050567007392</v>
      </c>
      <c r="M500" s="40"/>
      <c r="N500" s="40"/>
      <c r="Q500" s="46"/>
      <c r="R500" s="46">
        <f t="shared" ca="1" si="156"/>
        <v>36.720922847214474</v>
      </c>
      <c r="S500" s="40"/>
      <c r="T500" s="40"/>
      <c r="W500" s="4">
        <v>49</v>
      </c>
      <c r="X500" s="4">
        <f t="shared" ca="1" si="159"/>
        <v>1096802369248598.6</v>
      </c>
    </row>
    <row r="501" spans="4:24" x14ac:dyDescent="0.3">
      <c r="D501" s="4">
        <v>49.1</v>
      </c>
      <c r="E501" s="4">
        <f t="shared" si="152"/>
        <v>1131548649286914.5</v>
      </c>
      <c r="K501" s="40">
        <v>492</v>
      </c>
      <c r="L501" s="40">
        <f t="shared" ca="1" si="153"/>
        <v>116.91010874546292</v>
      </c>
      <c r="M501" s="40"/>
      <c r="N501" s="40"/>
      <c r="Q501" s="46"/>
      <c r="R501" s="46">
        <f t="shared" ca="1" si="156"/>
        <v>2.0312213555505676</v>
      </c>
      <c r="S501" s="40"/>
      <c r="T501" s="40"/>
      <c r="W501" s="4">
        <v>49.1</v>
      </c>
      <c r="X501" s="4">
        <f t="shared" ca="1" si="159"/>
        <v>1095458495228138.1</v>
      </c>
    </row>
    <row r="502" spans="4:24" x14ac:dyDescent="0.3">
      <c r="D502" s="4">
        <v>49.2</v>
      </c>
      <c r="E502" s="4">
        <f t="shared" si="152"/>
        <v>1130236813865386.5</v>
      </c>
      <c r="K502" s="40">
        <v>493</v>
      </c>
      <c r="L502" s="40">
        <f t="shared" ca="1" si="153"/>
        <v>0.9317156910129325</v>
      </c>
      <c r="M502" s="40"/>
      <c r="N502" s="40"/>
      <c r="Q502" s="46"/>
      <c r="R502" s="46">
        <f t="shared" ca="1" si="156"/>
        <v>5.3213142578891288</v>
      </c>
      <c r="S502" s="40"/>
      <c r="T502" s="40"/>
      <c r="W502" s="4">
        <v>49.2</v>
      </c>
      <c r="X502" s="4">
        <f t="shared" ca="1" si="159"/>
        <v>1094116267810049.8</v>
      </c>
    </row>
    <row r="503" spans="4:24" x14ac:dyDescent="0.3">
      <c r="D503" s="4">
        <v>49.3</v>
      </c>
      <c r="E503" s="4">
        <f t="shared" si="152"/>
        <v>1128926499290686</v>
      </c>
      <c r="K503" s="40">
        <v>494</v>
      </c>
      <c r="L503" s="40">
        <f t="shared" ca="1" si="153"/>
        <v>12.531320836216262</v>
      </c>
      <c r="M503" s="40"/>
      <c r="N503" s="40"/>
      <c r="Q503" s="46"/>
      <c r="R503" s="46">
        <f t="shared" ca="1" si="156"/>
        <v>149.58205813279784</v>
      </c>
      <c r="S503" s="40"/>
      <c r="T503" s="40"/>
      <c r="W503" s="4">
        <v>49.3</v>
      </c>
      <c r="X503" s="4">
        <f t="shared" ca="1" si="159"/>
        <v>1092775684976808.6</v>
      </c>
    </row>
    <row r="504" spans="4:24" x14ac:dyDescent="0.3">
      <c r="D504" s="4">
        <v>49.4</v>
      </c>
      <c r="E504" s="4">
        <f t="shared" si="152"/>
        <v>1127617703799653</v>
      </c>
      <c r="K504" s="40">
        <v>495</v>
      </c>
      <c r="L504" s="40">
        <f t="shared" ca="1" si="153"/>
        <v>269.93518770837073</v>
      </c>
      <c r="M504" s="40"/>
      <c r="N504" s="40"/>
      <c r="Q504" s="46"/>
      <c r="R504" s="46">
        <f t="shared" ca="1" si="156"/>
        <v>179.90288162247813</v>
      </c>
      <c r="S504" s="40"/>
      <c r="T504" s="40"/>
      <c r="W504" s="4">
        <v>49.4</v>
      </c>
      <c r="X504" s="4">
        <f t="shared" ca="1" si="159"/>
        <v>1091436744713361.3</v>
      </c>
    </row>
    <row r="505" spans="4:24" x14ac:dyDescent="0.3">
      <c r="D505" s="4">
        <v>49.5</v>
      </c>
      <c r="E505" s="4">
        <f t="shared" si="152"/>
        <v>1126310425631173</v>
      </c>
      <c r="K505" s="40">
        <v>496</v>
      </c>
      <c r="L505" s="40">
        <f t="shared" ca="1" si="153"/>
        <v>102.91708854757876</v>
      </c>
      <c r="M505" s="40"/>
      <c r="N505" s="40"/>
      <c r="Q505" s="46"/>
      <c r="R505" s="46">
        <f t="shared" ca="1" si="156"/>
        <v>270.51607270413194</v>
      </c>
      <c r="S505" s="40"/>
      <c r="T505" s="40"/>
      <c r="W505" s="4">
        <v>49.5</v>
      </c>
      <c r="X505" s="4">
        <f t="shared" ca="1" si="159"/>
        <v>1090099445007124.4</v>
      </c>
    </row>
    <row r="506" spans="4:24" x14ac:dyDescent="0.3">
      <c r="D506" s="4">
        <v>49.6</v>
      </c>
      <c r="E506" s="4">
        <f t="shared" si="152"/>
        <v>1125004663026171</v>
      </c>
      <c r="K506" s="40">
        <v>497</v>
      </c>
      <c r="L506" s="40">
        <f t="shared" ca="1" si="153"/>
        <v>46.233564556249746</v>
      </c>
      <c r="M506" s="40"/>
      <c r="N506" s="40"/>
      <c r="Q506" s="46"/>
      <c r="R506" s="46">
        <f t="shared" ca="1" si="156"/>
        <v>697.78809991352591</v>
      </c>
      <c r="S506" s="40"/>
      <c r="T506" s="40"/>
      <c r="W506" s="4">
        <v>49.6</v>
      </c>
      <c r="X506" s="4">
        <f t="shared" ca="1" si="159"/>
        <v>1088763783847979.4</v>
      </c>
    </row>
    <row r="507" spans="4:24" x14ac:dyDescent="0.3">
      <c r="D507" s="4">
        <v>49.7</v>
      </c>
      <c r="E507" s="4">
        <f t="shared" si="152"/>
        <v>1123700414227613.5</v>
      </c>
      <c r="K507" s="40">
        <v>498</v>
      </c>
      <c r="L507" s="40">
        <f t="shared" ca="1" si="153"/>
        <v>9.2322140673776385</v>
      </c>
      <c r="M507" s="40"/>
      <c r="N507" s="40"/>
      <c r="Q507" s="46"/>
      <c r="R507" s="46">
        <f t="shared" ca="1" si="156"/>
        <v>23.939576337108726</v>
      </c>
      <c r="S507" s="40"/>
      <c r="T507" s="40"/>
      <c r="W507" s="4">
        <v>49.7</v>
      </c>
      <c r="X507" s="4">
        <f t="shared" ca="1" si="159"/>
        <v>1087429759228271.6</v>
      </c>
    </row>
    <row r="508" spans="4:24" x14ac:dyDescent="0.3">
      <c r="D508" s="4">
        <v>49.8</v>
      </c>
      <c r="E508" s="4">
        <f t="shared" si="152"/>
        <v>1122397677480503.1</v>
      </c>
      <c r="K508" s="40">
        <v>499</v>
      </c>
      <c r="L508" s="40">
        <f t="shared" ca="1" si="153"/>
        <v>188.4608692099516</v>
      </c>
      <c r="M508" s="40"/>
      <c r="N508" s="40"/>
      <c r="Q508" s="46"/>
      <c r="R508" s="46">
        <f t="shared" ca="1" si="156"/>
        <v>49.461617904665474</v>
      </c>
      <c r="S508" s="40"/>
      <c r="T508" s="40"/>
      <c r="W508" s="4">
        <v>49.8</v>
      </c>
      <c r="X508" s="4">
        <f t="shared" ca="1" si="159"/>
        <v>1086097369142805.8</v>
      </c>
    </row>
    <row r="509" spans="4:24" x14ac:dyDescent="0.3">
      <c r="D509" s="4">
        <v>49.9</v>
      </c>
      <c r="E509" s="4">
        <f t="shared" si="152"/>
        <v>1121096451031876.9</v>
      </c>
      <c r="K509" s="40">
        <v>500</v>
      </c>
      <c r="L509" s="40">
        <f t="shared" ca="1" si="153"/>
        <v>9.5895753051918664</v>
      </c>
      <c r="M509" s="40">
        <f t="shared" ref="M509" ca="1" si="176">AVERAGE(L500:L509)</f>
        <v>83.062869523441975</v>
      </c>
      <c r="N509" s="40">
        <f t="shared" ref="N509" ca="1" si="177">1/M509</f>
        <v>1.2039073604575873E-2</v>
      </c>
      <c r="Q509" s="46"/>
      <c r="R509" s="46">
        <f t="shared" ca="1" si="156"/>
        <v>140.36028018275869</v>
      </c>
      <c r="S509" s="40">
        <f t="shared" ref="S509" ca="1" si="178">AVERAGE(R500:R509)</f>
        <v>155.5624045258121</v>
      </c>
      <c r="T509" s="40">
        <f t="shared" ref="T509" ca="1" si="179">1/S509</f>
        <v>6.4282883968540894E-3</v>
      </c>
      <c r="W509" s="4">
        <v>49.9</v>
      </c>
      <c r="X509" s="4">
        <f t="shared" ca="1" si="159"/>
        <v>1084766611588843.3</v>
      </c>
    </row>
    <row r="510" spans="4:24" x14ac:dyDescent="0.3">
      <c r="D510" s="4">
        <v>50</v>
      </c>
      <c r="E510" s="4">
        <f t="shared" si="152"/>
        <v>1119796733130804.1</v>
      </c>
      <c r="K510" s="40">
        <v>501</v>
      </c>
      <c r="L510" s="40">
        <f t="shared" ca="1" si="153"/>
        <v>6.4065534309267598</v>
      </c>
      <c r="M510" s="40"/>
      <c r="N510" s="40"/>
      <c r="Q510" s="46"/>
      <c r="R510" s="46">
        <f t="shared" ca="1" si="156"/>
        <v>29.492870980710233</v>
      </c>
      <c r="S510" s="40"/>
      <c r="T510" s="40"/>
      <c r="W510" s="4">
        <v>50</v>
      </c>
      <c r="X510" s="4">
        <f t="shared" ca="1" si="159"/>
        <v>1083437484566099.9</v>
      </c>
    </row>
    <row r="511" spans="4:24" x14ac:dyDescent="0.3">
      <c r="D511" s="4">
        <v>50.1</v>
      </c>
      <c r="E511" s="4">
        <f t="shared" si="152"/>
        <v>1118498522028384.5</v>
      </c>
      <c r="K511" s="40">
        <v>502</v>
      </c>
      <c r="L511" s="40">
        <f t="shared" ca="1" si="153"/>
        <v>23.539390901288403</v>
      </c>
      <c r="M511" s="40"/>
      <c r="N511" s="40"/>
      <c r="Q511" s="46"/>
      <c r="R511" s="46">
        <f t="shared" ca="1" si="156"/>
        <v>54.297346359158666</v>
      </c>
      <c r="S511" s="40"/>
      <c r="T511" s="40"/>
      <c r="W511" s="4">
        <v>50.1</v>
      </c>
      <c r="X511" s="4">
        <f t="shared" ca="1" si="159"/>
        <v>1082109986076742.3</v>
      </c>
    </row>
    <row r="512" spans="4:24" x14ac:dyDescent="0.3">
      <c r="D512" s="4">
        <v>50.2</v>
      </c>
      <c r="E512" s="4">
        <f t="shared" si="152"/>
        <v>1117201815977745</v>
      </c>
      <c r="K512" s="40">
        <v>503</v>
      </c>
      <c r="L512" s="40">
        <f t="shared" ca="1" si="153"/>
        <v>79.849236960779294</v>
      </c>
      <c r="M512" s="40"/>
      <c r="N512" s="40"/>
      <c r="Q512" s="46"/>
      <c r="R512" s="46">
        <f t="shared" ca="1" si="156"/>
        <v>134.5788995983593</v>
      </c>
      <c r="S512" s="40"/>
      <c r="T512" s="40"/>
      <c r="W512" s="4">
        <v>50.2</v>
      </c>
      <c r="X512" s="4">
        <f t="shared" ca="1" si="159"/>
        <v>1080784114125384.6</v>
      </c>
    </row>
    <row r="513" spans="4:24" x14ac:dyDescent="0.3">
      <c r="D513" s="4">
        <v>50.3</v>
      </c>
      <c r="E513" s="4">
        <f t="shared" si="152"/>
        <v>1115906613234037.6</v>
      </c>
      <c r="K513" s="40">
        <v>504</v>
      </c>
      <c r="L513" s="40">
        <f t="shared" ca="1" si="153"/>
        <v>6.8433882349820836</v>
      </c>
      <c r="M513" s="40"/>
      <c r="N513" s="40"/>
      <c r="Q513" s="46"/>
      <c r="R513" s="46">
        <f t="shared" ca="1" si="156"/>
        <v>16.525210231564721</v>
      </c>
      <c r="S513" s="40"/>
      <c r="T513" s="40"/>
      <c r="W513" s="4">
        <v>50.3</v>
      </c>
      <c r="X513" s="4">
        <f t="shared" ca="1" si="159"/>
        <v>1079459866719086.3</v>
      </c>
    </row>
    <row r="514" spans="4:24" x14ac:dyDescent="0.3">
      <c r="D514" s="4">
        <v>50.4</v>
      </c>
      <c r="E514" s="4">
        <f t="shared" si="152"/>
        <v>1114612912054437.3</v>
      </c>
      <c r="K514" s="40">
        <v>505</v>
      </c>
      <c r="L514" s="40">
        <f t="shared" ca="1" si="153"/>
        <v>107.27504845296242</v>
      </c>
      <c r="M514" s="40"/>
      <c r="N514" s="40"/>
      <c r="Q514" s="46"/>
      <c r="R514" s="46">
        <f t="shared" ca="1" si="156"/>
        <v>221.35404790688986</v>
      </c>
      <c r="S514" s="40"/>
      <c r="T514" s="40"/>
      <c r="W514" s="4">
        <v>50.4</v>
      </c>
      <c r="X514" s="4">
        <f t="shared" ca="1" si="159"/>
        <v>1078137241867348</v>
      </c>
    </row>
    <row r="515" spans="4:24" x14ac:dyDescent="0.3">
      <c r="D515" s="4">
        <v>50.5</v>
      </c>
      <c r="E515" s="4">
        <f t="shared" si="152"/>
        <v>1113320710698139.5</v>
      </c>
      <c r="K515" s="40">
        <v>506</v>
      </c>
      <c r="L515" s="40">
        <f t="shared" ca="1" si="153"/>
        <v>4.9638686445430231</v>
      </c>
      <c r="M515" s="40"/>
      <c r="N515" s="40"/>
      <c r="Q515" s="46"/>
      <c r="R515" s="46">
        <f t="shared" ca="1" si="156"/>
        <v>25.465926289556723</v>
      </c>
      <c r="S515" s="40"/>
      <c r="T515" s="40"/>
      <c r="W515" s="4">
        <v>50.5</v>
      </c>
      <c r="X515" s="4">
        <f t="shared" ca="1" si="159"/>
        <v>1076816237582110.3</v>
      </c>
    </row>
    <row r="516" spans="4:24" x14ac:dyDescent="0.3">
      <c r="D516" s="4">
        <v>50.6</v>
      </c>
      <c r="E516" s="4">
        <f t="shared" si="152"/>
        <v>1112030007426358.3</v>
      </c>
      <c r="K516" s="40">
        <v>507</v>
      </c>
      <c r="L516" s="40">
        <f t="shared" ca="1" si="153"/>
        <v>5.7073127807075741</v>
      </c>
      <c r="M516" s="40"/>
      <c r="N516" s="40"/>
      <c r="Q516" s="46"/>
      <c r="R516" s="46">
        <f t="shared" ca="1" si="156"/>
        <v>20.715833560336904</v>
      </c>
      <c r="S516" s="40"/>
      <c r="T516" s="40"/>
      <c r="W516" s="4">
        <v>50.6</v>
      </c>
      <c r="X516" s="4">
        <f t="shared" ca="1" si="159"/>
        <v>1075496851877748.8</v>
      </c>
    </row>
    <row r="517" spans="4:24" x14ac:dyDescent="0.3">
      <c r="D517" s="4">
        <v>50.7</v>
      </c>
      <c r="E517" s="4">
        <f t="shared" si="152"/>
        <v>1110740800502322.8</v>
      </c>
      <c r="K517" s="40">
        <v>508</v>
      </c>
      <c r="L517" s="40">
        <f t="shared" ca="1" si="153"/>
        <v>0.64465332771072759</v>
      </c>
      <c r="M517" s="40"/>
      <c r="N517" s="40"/>
      <c r="Q517" s="46"/>
      <c r="R517" s="46">
        <f t="shared" ca="1" si="156"/>
        <v>2.1041442945035391</v>
      </c>
      <c r="S517" s="40"/>
      <c r="T517" s="40"/>
      <c r="W517" s="4">
        <v>50.7</v>
      </c>
      <c r="X517" s="4">
        <f t="shared" ca="1" si="159"/>
        <v>1074179082771072.3</v>
      </c>
    </row>
    <row r="518" spans="4:24" x14ac:dyDescent="0.3">
      <c r="D518" s="4">
        <v>50.8</v>
      </c>
      <c r="E518" s="4">
        <f t="shared" si="152"/>
        <v>1109453088191275.9</v>
      </c>
      <c r="K518" s="40">
        <v>509</v>
      </c>
      <c r="L518" s="40">
        <f t="shared" ca="1" si="153"/>
        <v>131.87309956860381</v>
      </c>
      <c r="M518" s="40"/>
      <c r="N518" s="40"/>
      <c r="Q518" s="46"/>
      <c r="R518" s="46">
        <f t="shared" ca="1" si="156"/>
        <v>16.224320416551201</v>
      </c>
      <c r="S518" s="40"/>
      <c r="T518" s="40"/>
      <c r="W518" s="4">
        <v>50.8</v>
      </c>
      <c r="X518" s="4">
        <f t="shared" ca="1" si="159"/>
        <v>1072862928281319.4</v>
      </c>
    </row>
    <row r="519" spans="4:24" x14ac:dyDescent="0.3">
      <c r="D519" s="4">
        <v>50.9</v>
      </c>
      <c r="E519" s="4">
        <f t="shared" si="152"/>
        <v>1108166868760471.8</v>
      </c>
      <c r="K519" s="40">
        <v>510</v>
      </c>
      <c r="L519" s="40">
        <f t="shared" ca="1" si="153"/>
        <v>27.108049665574939</v>
      </c>
      <c r="M519" s="40">
        <f t="shared" ref="M519" ca="1" si="180">AVERAGE(L510:L519)</f>
        <v>39.421060196807908</v>
      </c>
      <c r="N519" s="40">
        <f t="shared" ref="N519" ca="1" si="181">1/M519</f>
        <v>2.5367151340109678E-2</v>
      </c>
      <c r="Q519" s="46"/>
      <c r="R519" s="46">
        <f t="shared" ca="1" si="156"/>
        <v>184.65190536530071</v>
      </c>
      <c r="S519" s="40">
        <f t="shared" ref="S519" ca="1" si="182">AVERAGE(R510:R519)</f>
        <v>70.541050500293181</v>
      </c>
      <c r="T519" s="40">
        <f t="shared" ref="T519" ca="1" si="183">1/S519</f>
        <v>1.4176142726933785E-2</v>
      </c>
      <c r="W519" s="4">
        <v>50.9</v>
      </c>
      <c r="X519" s="4">
        <f t="shared" ca="1" si="159"/>
        <v>1071548386430156</v>
      </c>
    </row>
    <row r="520" spans="4:24" x14ac:dyDescent="0.3">
      <c r="D520" s="4">
        <v>51</v>
      </c>
      <c r="E520" s="4">
        <f t="shared" si="152"/>
        <v>1106882140479173.8</v>
      </c>
      <c r="K520" s="40">
        <v>511</v>
      </c>
      <c r="L520" s="40">
        <f t="shared" ca="1" si="153"/>
        <v>31.710208816426817</v>
      </c>
      <c r="M520" s="40"/>
      <c r="N520" s="40"/>
      <c r="Q520" s="46"/>
      <c r="R520" s="46">
        <f t="shared" ca="1" si="156"/>
        <v>14.722264001169032</v>
      </c>
      <c r="S520" s="40"/>
      <c r="T520" s="40"/>
      <c r="W520" s="4">
        <v>51</v>
      </c>
      <c r="X520" s="4">
        <f t="shared" ca="1" si="159"/>
        <v>1070235455241672</v>
      </c>
    </row>
    <row r="521" spans="4:24" x14ac:dyDescent="0.3">
      <c r="D521" s="4">
        <v>51.1</v>
      </c>
      <c r="E521" s="4">
        <f t="shared" si="152"/>
        <v>1105598901618650.9</v>
      </c>
      <c r="K521" s="40">
        <v>512</v>
      </c>
      <c r="L521" s="40">
        <f t="shared" ca="1" si="153"/>
        <v>105.33908820701951</v>
      </c>
      <c r="M521" s="40"/>
      <c r="N521" s="40"/>
      <c r="Q521" s="46"/>
      <c r="R521" s="46">
        <f t="shared" ca="1" si="156"/>
        <v>214.8323271329993</v>
      </c>
      <c r="S521" s="40"/>
      <c r="T521" s="40"/>
      <c r="W521" s="4">
        <v>51.1</v>
      </c>
      <c r="X521" s="4">
        <f t="shared" ca="1" si="159"/>
        <v>1068924132742377.5</v>
      </c>
    </row>
    <row r="522" spans="4:24" x14ac:dyDescent="0.3">
      <c r="D522" s="4">
        <v>51.2</v>
      </c>
      <c r="E522" s="4">
        <f t="shared" si="152"/>
        <v>1104317150452176.8</v>
      </c>
      <c r="K522" s="40">
        <v>513</v>
      </c>
      <c r="L522" s="40">
        <f t="shared" ca="1" si="153"/>
        <v>422.54669800105205</v>
      </c>
      <c r="M522" s="40"/>
      <c r="N522" s="40"/>
      <c r="Q522" s="46"/>
      <c r="R522" s="46">
        <f t="shared" ca="1" si="156"/>
        <v>256.59537270019018</v>
      </c>
      <c r="S522" s="40"/>
      <c r="T522" s="40"/>
      <c r="W522" s="4">
        <v>51.2</v>
      </c>
      <c r="X522" s="4">
        <f t="shared" ca="1" si="159"/>
        <v>1067614416961201.9</v>
      </c>
    </row>
    <row r="523" spans="4:24" x14ac:dyDescent="0.3">
      <c r="D523" s="4">
        <v>51.3</v>
      </c>
      <c r="E523" s="4">
        <f t="shared" ref="E523:E586" si="184">$F$4*EXP(-$F$5*D523)</f>
        <v>1103036885255027</v>
      </c>
      <c r="K523" s="40">
        <v>514</v>
      </c>
      <c r="L523" s="40">
        <f t="shared" ref="L523:L586" ca="1" si="185">-(1/$F$5)*LN(RAND())</f>
        <v>47.828256709715724</v>
      </c>
      <c r="M523" s="40"/>
      <c r="N523" s="40"/>
      <c r="Q523" s="46"/>
      <c r="R523" s="46">
        <f t="shared" ref="R523:R586" ca="1" si="186">-(1/$Q$10)*LN(RAND())</f>
        <v>47.79864164645678</v>
      </c>
      <c r="S523" s="40"/>
      <c r="T523" s="40"/>
      <c r="W523" s="4">
        <v>51.3</v>
      </c>
      <c r="X523" s="4">
        <f t="shared" ref="X523:X586" ca="1" si="187">$F$4*EXP(-$U$10*W523)</f>
        <v>1066306305929488.9</v>
      </c>
    </row>
    <row r="524" spans="4:24" x14ac:dyDescent="0.3">
      <c r="D524" s="4">
        <v>51.4</v>
      </c>
      <c r="E524" s="4">
        <f t="shared" si="184"/>
        <v>1101758104304476.4</v>
      </c>
      <c r="K524" s="40">
        <v>515</v>
      </c>
      <c r="L524" s="40">
        <f t="shared" ca="1" si="185"/>
        <v>75.348236383800852</v>
      </c>
      <c r="M524" s="40"/>
      <c r="N524" s="40"/>
      <c r="Q524" s="46"/>
      <c r="R524" s="46">
        <f t="shared" ca="1" si="186"/>
        <v>23.881586381406247</v>
      </c>
      <c r="S524" s="40"/>
      <c r="T524" s="40"/>
      <c r="W524" s="4">
        <v>51.4</v>
      </c>
      <c r="X524" s="4">
        <f t="shared" ca="1" si="187"/>
        <v>1064999797680994.1</v>
      </c>
    </row>
    <row r="525" spans="4:24" x14ac:dyDescent="0.3">
      <c r="D525" s="4">
        <v>51.5</v>
      </c>
      <c r="E525" s="4">
        <f t="shared" si="184"/>
        <v>1100480805879797.3</v>
      </c>
      <c r="K525" s="40">
        <v>516</v>
      </c>
      <c r="L525" s="40">
        <f t="shared" ca="1" si="185"/>
        <v>9.981252818213477</v>
      </c>
      <c r="M525" s="40"/>
      <c r="N525" s="40"/>
      <c r="Q525" s="46"/>
      <c r="R525" s="46">
        <f t="shared" ca="1" si="186"/>
        <v>110.62290444695114</v>
      </c>
      <c r="S525" s="40"/>
      <c r="T525" s="40"/>
      <c r="W525" s="4">
        <v>51.5</v>
      </c>
      <c r="X525" s="4">
        <f t="shared" ca="1" si="187"/>
        <v>1063694890251883.3</v>
      </c>
    </row>
    <row r="526" spans="4:24" x14ac:dyDescent="0.3">
      <c r="D526" s="4">
        <v>51.6</v>
      </c>
      <c r="E526" s="4">
        <f t="shared" si="184"/>
        <v>1099204988262256.5</v>
      </c>
      <c r="K526" s="40">
        <v>517</v>
      </c>
      <c r="L526" s="40">
        <f t="shared" ca="1" si="185"/>
        <v>176.05115618089513</v>
      </c>
      <c r="M526" s="40"/>
      <c r="N526" s="40"/>
      <c r="Q526" s="46"/>
      <c r="R526" s="46">
        <f t="shared" ca="1" si="186"/>
        <v>208.66039421221305</v>
      </c>
      <c r="S526" s="40"/>
      <c r="T526" s="40"/>
      <c r="W526" s="4">
        <v>51.6</v>
      </c>
      <c r="X526" s="4">
        <f t="shared" ca="1" si="187"/>
        <v>1062391581680727</v>
      </c>
    </row>
    <row r="527" spans="4:24" x14ac:dyDescent="0.3">
      <c r="D527" s="4">
        <v>51.7</v>
      </c>
      <c r="E527" s="4">
        <f t="shared" si="184"/>
        <v>1097930649735113.8</v>
      </c>
      <c r="K527" s="40">
        <v>518</v>
      </c>
      <c r="L527" s="40">
        <f t="shared" ca="1" si="185"/>
        <v>5.362459091677513</v>
      </c>
      <c r="M527" s="40"/>
      <c r="N527" s="40"/>
      <c r="Q527" s="46"/>
      <c r="R527" s="46">
        <f t="shared" ca="1" si="186"/>
        <v>118.51390968454132</v>
      </c>
      <c r="S527" s="40"/>
      <c r="T527" s="40"/>
      <c r="W527" s="4">
        <v>51.7</v>
      </c>
      <c r="X527" s="4">
        <f t="shared" ca="1" si="187"/>
        <v>1061089870008500.5</v>
      </c>
    </row>
    <row r="528" spans="4:24" x14ac:dyDescent="0.3">
      <c r="D528" s="4">
        <v>51.8</v>
      </c>
      <c r="E528" s="4">
        <f t="shared" si="184"/>
        <v>1096657788583619.3</v>
      </c>
      <c r="K528" s="40">
        <v>519</v>
      </c>
      <c r="L528" s="40">
        <f t="shared" ca="1" si="185"/>
        <v>55.057054093786149</v>
      </c>
      <c r="M528" s="40"/>
      <c r="N528" s="40"/>
      <c r="Q528" s="46"/>
      <c r="R528" s="46">
        <f t="shared" ca="1" si="186"/>
        <v>27.089567289640989</v>
      </c>
      <c r="S528" s="40"/>
      <c r="T528" s="40"/>
      <c r="W528" s="4">
        <v>51.8</v>
      </c>
      <c r="X528" s="4">
        <f t="shared" ca="1" si="187"/>
        <v>1059789753278578.5</v>
      </c>
    </row>
    <row r="529" spans="4:24" x14ac:dyDescent="0.3">
      <c r="D529" s="4">
        <v>51.9</v>
      </c>
      <c r="E529" s="4">
        <f t="shared" si="184"/>
        <v>1095386403095010.5</v>
      </c>
      <c r="K529" s="40">
        <v>520</v>
      </c>
      <c r="L529" s="40">
        <f t="shared" ca="1" si="185"/>
        <v>325.82120178810385</v>
      </c>
      <c r="M529" s="40">
        <f t="shared" ref="M529" ca="1" si="188">AVERAGE(L520:L529)</f>
        <v>125.50456120906911</v>
      </c>
      <c r="N529" s="40">
        <f t="shared" ref="N529" ca="1" si="189">1/M529</f>
        <v>7.9678379045855646E-3</v>
      </c>
      <c r="Q529" s="46"/>
      <c r="R529" s="46">
        <f t="shared" ca="1" si="186"/>
        <v>211.65087424972748</v>
      </c>
      <c r="S529" s="40">
        <f t="shared" ref="S529" ca="1" si="190">AVERAGE(R520:R529)</f>
        <v>123.43678417452955</v>
      </c>
      <c r="T529" s="40">
        <f t="shared" ref="T529" ca="1" si="191">1/S529</f>
        <v>8.101312803046469E-3</v>
      </c>
      <c r="W529" s="4">
        <v>51.9</v>
      </c>
      <c r="X529" s="4">
        <f t="shared" ca="1" si="187"/>
        <v>1058491229536733.5</v>
      </c>
    </row>
    <row r="530" spans="4:24" x14ac:dyDescent="0.3">
      <c r="D530" s="4">
        <v>52</v>
      </c>
      <c r="E530" s="4">
        <f t="shared" si="184"/>
        <v>1094116491558510.6</v>
      </c>
      <c r="K530" s="40">
        <v>521</v>
      </c>
      <c r="L530" s="40">
        <f t="shared" ca="1" si="185"/>
        <v>70.776795923410916</v>
      </c>
      <c r="M530" s="40"/>
      <c r="N530" s="40"/>
      <c r="Q530" s="46"/>
      <c r="R530" s="46">
        <f t="shared" ca="1" si="186"/>
        <v>57.90056128622367</v>
      </c>
      <c r="S530" s="40"/>
      <c r="T530" s="40"/>
      <c r="W530" s="4">
        <v>52</v>
      </c>
      <c r="X530" s="4">
        <f t="shared" ca="1" si="187"/>
        <v>1057194296831132.1</v>
      </c>
    </row>
    <row r="531" spans="4:24" x14ac:dyDescent="0.3">
      <c r="D531" s="4">
        <v>52.1</v>
      </c>
      <c r="E531" s="4">
        <f t="shared" si="184"/>
        <v>1092848052265327.3</v>
      </c>
      <c r="K531" s="40">
        <v>522</v>
      </c>
      <c r="L531" s="40">
        <f t="shared" ca="1" si="185"/>
        <v>36.991587061698368</v>
      </c>
      <c r="M531" s="40"/>
      <c r="N531" s="40"/>
      <c r="Q531" s="46"/>
      <c r="R531" s="46">
        <f t="shared" ca="1" si="186"/>
        <v>67.765968323432304</v>
      </c>
      <c r="S531" s="40"/>
      <c r="T531" s="40"/>
      <c r="W531" s="4">
        <v>52.1</v>
      </c>
      <c r="X531" s="4">
        <f t="shared" ca="1" si="187"/>
        <v>1055898953212332.4</v>
      </c>
    </row>
    <row r="532" spans="4:24" x14ac:dyDescent="0.3">
      <c r="D532" s="4">
        <v>52.2</v>
      </c>
      <c r="E532" s="4">
        <f t="shared" si="184"/>
        <v>1091581083508647.6</v>
      </c>
      <c r="K532" s="40">
        <v>523</v>
      </c>
      <c r="L532" s="40">
        <f t="shared" ca="1" si="185"/>
        <v>127.64620968167819</v>
      </c>
      <c r="M532" s="40"/>
      <c r="N532" s="40"/>
      <c r="Q532" s="46"/>
      <c r="R532" s="46">
        <f t="shared" ca="1" si="186"/>
        <v>58.834520834136789</v>
      </c>
      <c r="S532" s="40"/>
      <c r="T532" s="40"/>
      <c r="W532" s="4">
        <v>52.2</v>
      </c>
      <c r="X532" s="4">
        <f t="shared" ca="1" si="187"/>
        <v>1054605196733281.9</v>
      </c>
    </row>
    <row r="533" spans="4:24" x14ac:dyDescent="0.3">
      <c r="D533" s="4">
        <v>52.3</v>
      </c>
      <c r="E533" s="4">
        <f t="shared" si="184"/>
        <v>1090315583583638.9</v>
      </c>
      <c r="K533" s="40">
        <v>524</v>
      </c>
      <c r="L533" s="40">
        <f t="shared" ca="1" si="185"/>
        <v>117.38306133315307</v>
      </c>
      <c r="M533" s="40"/>
      <c r="N533" s="40"/>
      <c r="Q533" s="46"/>
      <c r="R533" s="46">
        <f t="shared" ca="1" si="186"/>
        <v>86.037754636834492</v>
      </c>
      <c r="S533" s="40"/>
      <c r="T533" s="40"/>
      <c r="W533" s="4">
        <v>52.3</v>
      </c>
      <c r="X533" s="4">
        <f t="shared" ca="1" si="187"/>
        <v>1053313025449312.9</v>
      </c>
    </row>
    <row r="534" spans="4:24" x14ac:dyDescent="0.3">
      <c r="D534" s="4">
        <v>52.4</v>
      </c>
      <c r="E534" s="4">
        <f t="shared" si="184"/>
        <v>1089051550787443.9</v>
      </c>
      <c r="K534" s="40">
        <v>525</v>
      </c>
      <c r="L534" s="40">
        <f t="shared" ca="1" si="185"/>
        <v>67.532329010068906</v>
      </c>
      <c r="M534" s="40"/>
      <c r="N534" s="40"/>
      <c r="Q534" s="46"/>
      <c r="R534" s="46">
        <f t="shared" ca="1" si="186"/>
        <v>43.091386608192565</v>
      </c>
      <c r="S534" s="40"/>
      <c r="T534" s="40"/>
      <c r="W534" s="4">
        <v>52.4</v>
      </c>
      <c r="X534" s="4">
        <f t="shared" ca="1" si="187"/>
        <v>1052022437418140.1</v>
      </c>
    </row>
    <row r="535" spans="4:24" x14ac:dyDescent="0.3">
      <c r="D535" s="4">
        <v>52.5</v>
      </c>
      <c r="E535" s="4">
        <f t="shared" si="184"/>
        <v>1087788983419179.9</v>
      </c>
      <c r="K535" s="40">
        <v>526</v>
      </c>
      <c r="L535" s="40">
        <f t="shared" ca="1" si="185"/>
        <v>87.383502178191094</v>
      </c>
      <c r="M535" s="40"/>
      <c r="N535" s="40"/>
      <c r="Q535" s="46"/>
      <c r="R535" s="46">
        <f t="shared" ca="1" si="186"/>
        <v>25.06297119271645</v>
      </c>
      <c r="S535" s="40"/>
      <c r="T535" s="40"/>
      <c r="W535" s="4">
        <v>52.5</v>
      </c>
      <c r="X535" s="4">
        <f t="shared" ca="1" si="187"/>
        <v>1050733430699859.5</v>
      </c>
    </row>
    <row r="536" spans="4:24" x14ac:dyDescent="0.3">
      <c r="D536" s="4">
        <v>52.6</v>
      </c>
      <c r="E536" s="4">
        <f t="shared" si="184"/>
        <v>1086527879779936.3</v>
      </c>
      <c r="K536" s="40">
        <v>527</v>
      </c>
      <c r="L536" s="40">
        <f t="shared" ca="1" si="185"/>
        <v>141.35705974516594</v>
      </c>
      <c r="M536" s="40"/>
      <c r="N536" s="40"/>
      <c r="Q536" s="46"/>
      <c r="R536" s="46">
        <f t="shared" ca="1" si="186"/>
        <v>208.14285815426794</v>
      </c>
      <c r="S536" s="40"/>
      <c r="T536" s="40"/>
      <c r="W536" s="4">
        <v>52.6</v>
      </c>
      <c r="X536" s="4">
        <f t="shared" ca="1" si="187"/>
        <v>1049446003356942.4</v>
      </c>
    </row>
    <row r="537" spans="4:24" x14ac:dyDescent="0.3">
      <c r="D537" s="4">
        <v>52.7</v>
      </c>
      <c r="E537" s="4">
        <f t="shared" si="184"/>
        <v>1085268238172771.4</v>
      </c>
      <c r="K537" s="40">
        <v>528</v>
      </c>
      <c r="L537" s="40">
        <f t="shared" ca="1" si="185"/>
        <v>42.123557076574535</v>
      </c>
      <c r="M537" s="40"/>
      <c r="N537" s="40"/>
      <c r="Q537" s="46"/>
      <c r="R537" s="46">
        <f t="shared" ca="1" si="186"/>
        <v>159.63491392940375</v>
      </c>
      <c r="S537" s="40"/>
      <c r="T537" s="40"/>
      <c r="W537" s="4">
        <v>52.7</v>
      </c>
      <c r="X537" s="4">
        <f t="shared" ca="1" si="187"/>
        <v>1048160153454235.1</v>
      </c>
    </row>
    <row r="538" spans="4:24" x14ac:dyDescent="0.3">
      <c r="D538" s="4">
        <v>52.8</v>
      </c>
      <c r="E538" s="4">
        <f t="shared" si="184"/>
        <v>1084010056902711.8</v>
      </c>
      <c r="K538" s="40">
        <v>529</v>
      </c>
      <c r="L538" s="40">
        <f t="shared" ca="1" si="185"/>
        <v>27.891978482420807</v>
      </c>
      <c r="M538" s="40"/>
      <c r="N538" s="40"/>
      <c r="Q538" s="46"/>
      <c r="R538" s="46">
        <f t="shared" ca="1" si="186"/>
        <v>174.29511329344035</v>
      </c>
      <c r="S538" s="40"/>
      <c r="T538" s="40"/>
      <c r="W538" s="4">
        <v>52.8</v>
      </c>
      <c r="X538" s="4">
        <f t="shared" ca="1" si="187"/>
        <v>1046875879058954.8</v>
      </c>
    </row>
    <row r="539" spans="4:24" x14ac:dyDescent="0.3">
      <c r="D539" s="4">
        <v>52.9</v>
      </c>
      <c r="E539" s="4">
        <f t="shared" si="184"/>
        <v>1082753334276748.1</v>
      </c>
      <c r="K539" s="40">
        <v>530</v>
      </c>
      <c r="L539" s="40">
        <f t="shared" ca="1" si="185"/>
        <v>3.2388674512125464</v>
      </c>
      <c r="M539" s="40">
        <f t="shared" ref="M539" ca="1" si="192">AVERAGE(L530:L539)</f>
        <v>72.23249479435745</v>
      </c>
      <c r="N539" s="40">
        <f t="shared" ref="N539" ca="1" si="193">1/M539</f>
        <v>1.3844184710038791E-2</v>
      </c>
      <c r="Q539" s="46"/>
      <c r="R539" s="46">
        <f t="shared" ca="1" si="186"/>
        <v>228.5760051643164</v>
      </c>
      <c r="S539" s="40">
        <f t="shared" ref="S539" ca="1" si="194">AVERAGE(R530:R539)</f>
        <v>110.93420534229649</v>
      </c>
      <c r="T539" s="40">
        <f t="shared" ref="T539" ca="1" si="195">1/S539</f>
        <v>9.0143522181857158E-3</v>
      </c>
      <c r="W539" s="4">
        <v>52.9</v>
      </c>
      <c r="X539" s="4">
        <f t="shared" ca="1" si="187"/>
        <v>1045593178240686.3</v>
      </c>
    </row>
    <row r="540" spans="4:24" x14ac:dyDescent="0.3">
      <c r="D540" s="4">
        <v>53</v>
      </c>
      <c r="E540" s="4">
        <f t="shared" si="184"/>
        <v>1081498068603834.5</v>
      </c>
      <c r="K540" s="40">
        <v>531</v>
      </c>
      <c r="L540" s="40">
        <f t="shared" ca="1" si="185"/>
        <v>1.4584034379808557</v>
      </c>
      <c r="M540" s="40"/>
      <c r="N540" s="40"/>
      <c r="Q540" s="46"/>
      <c r="R540" s="46">
        <f t="shared" ca="1" si="186"/>
        <v>244.19319412083797</v>
      </c>
      <c r="S540" s="40"/>
      <c r="T540" s="40"/>
      <c r="W540" s="4">
        <v>53</v>
      </c>
      <c r="X540" s="4">
        <f t="shared" ca="1" si="187"/>
        <v>1044312049071380.3</v>
      </c>
    </row>
    <row r="541" spans="4:24" x14ac:dyDescent="0.3">
      <c r="D541" s="4">
        <v>53.1</v>
      </c>
      <c r="E541" s="4">
        <f t="shared" si="184"/>
        <v>1080244258194885.3</v>
      </c>
      <c r="K541" s="40">
        <v>532</v>
      </c>
      <c r="L541" s="40">
        <f t="shared" ca="1" si="185"/>
        <v>267.33046766883143</v>
      </c>
      <c r="M541" s="40"/>
      <c r="N541" s="40"/>
      <c r="Q541" s="46"/>
      <c r="R541" s="46">
        <f t="shared" ca="1" si="186"/>
        <v>58.6182628406536</v>
      </c>
      <c r="S541" s="40"/>
      <c r="T541" s="40"/>
      <c r="W541" s="4">
        <v>53.1</v>
      </c>
      <c r="X541" s="4">
        <f t="shared" ca="1" si="187"/>
        <v>1043032489625349.5</v>
      </c>
    </row>
    <row r="542" spans="4:24" x14ac:dyDescent="0.3">
      <c r="D542" s="4">
        <v>53.2</v>
      </c>
      <c r="E542" s="4">
        <f t="shared" si="184"/>
        <v>1078991901362772.6</v>
      </c>
      <c r="K542" s="40">
        <v>533</v>
      </c>
      <c r="L542" s="40">
        <f t="shared" ca="1" si="185"/>
        <v>239.86729319351494</v>
      </c>
      <c r="M542" s="40"/>
      <c r="N542" s="40"/>
      <c r="Q542" s="46"/>
      <c r="R542" s="46">
        <f t="shared" ca="1" si="186"/>
        <v>114.86174214599447</v>
      </c>
      <c r="S542" s="40"/>
      <c r="T542" s="40"/>
      <c r="W542" s="4">
        <v>53.2</v>
      </c>
      <c r="X542" s="4">
        <f t="shared" ca="1" si="187"/>
        <v>1041754497979266.5</v>
      </c>
    </row>
    <row r="543" spans="4:24" x14ac:dyDescent="0.3">
      <c r="D543" s="4">
        <v>53.3</v>
      </c>
      <c r="E543" s="4">
        <f t="shared" si="184"/>
        <v>1077740996422325.5</v>
      </c>
      <c r="K543" s="40">
        <v>534</v>
      </c>
      <c r="L543" s="40">
        <f t="shared" ca="1" si="185"/>
        <v>79.114210996933906</v>
      </c>
      <c r="M543" s="40"/>
      <c r="N543" s="40"/>
      <c r="Q543" s="46"/>
      <c r="R543" s="46">
        <f t="shared" ca="1" si="186"/>
        <v>31.043247355310562</v>
      </c>
      <c r="S543" s="40"/>
      <c r="T543" s="40"/>
      <c r="W543" s="4">
        <v>53.3</v>
      </c>
      <c r="X543" s="4">
        <f t="shared" ca="1" si="187"/>
        <v>1040478072212160.3</v>
      </c>
    </row>
    <row r="544" spans="4:24" x14ac:dyDescent="0.3">
      <c r="D544" s="4">
        <v>53.4</v>
      </c>
      <c r="E544" s="4">
        <f t="shared" si="184"/>
        <v>1076491541690325.6</v>
      </c>
      <c r="K544" s="40">
        <v>535</v>
      </c>
      <c r="L544" s="40">
        <f t="shared" ca="1" si="185"/>
        <v>4.9995688881853351</v>
      </c>
      <c r="M544" s="40"/>
      <c r="N544" s="40"/>
      <c r="Q544" s="46"/>
      <c r="R544" s="46">
        <f t="shared" ca="1" si="186"/>
        <v>39.752516793277628</v>
      </c>
      <c r="S544" s="40"/>
      <c r="T544" s="40"/>
      <c r="W544" s="4">
        <v>53.4</v>
      </c>
      <c r="X544" s="4">
        <f t="shared" ca="1" si="187"/>
        <v>1039203210405413.4</v>
      </c>
    </row>
    <row r="545" spans="4:24" x14ac:dyDescent="0.3">
      <c r="D545" s="4">
        <v>53.5</v>
      </c>
      <c r="E545" s="4">
        <f t="shared" si="184"/>
        <v>1075243535485506.8</v>
      </c>
      <c r="K545" s="40">
        <v>536</v>
      </c>
      <c r="L545" s="40">
        <f t="shared" ca="1" si="185"/>
        <v>181.17556938279671</v>
      </c>
      <c r="M545" s="40"/>
      <c r="N545" s="40"/>
      <c r="Q545" s="46"/>
      <c r="R545" s="46">
        <f t="shared" ca="1" si="186"/>
        <v>117.78037300176045</v>
      </c>
      <c r="S545" s="40"/>
      <c r="T545" s="40"/>
      <c r="W545" s="4">
        <v>53.5</v>
      </c>
      <c r="X545" s="4">
        <f t="shared" ca="1" si="187"/>
        <v>1037929910642759.1</v>
      </c>
    </row>
    <row r="546" spans="4:24" x14ac:dyDescent="0.3">
      <c r="D546" s="4">
        <v>53.6</v>
      </c>
      <c r="E546" s="4">
        <f t="shared" si="184"/>
        <v>1073996976128551.5</v>
      </c>
      <c r="K546" s="40">
        <v>537</v>
      </c>
      <c r="L546" s="40">
        <f t="shared" ca="1" si="185"/>
        <v>123.3825681976528</v>
      </c>
      <c r="M546" s="40"/>
      <c r="N546" s="40"/>
      <c r="Q546" s="46"/>
      <c r="R546" s="46">
        <f t="shared" ca="1" si="186"/>
        <v>114.68500310543419</v>
      </c>
      <c r="S546" s="40"/>
      <c r="T546" s="40"/>
      <c r="W546" s="4">
        <v>53.6</v>
      </c>
      <c r="X546" s="4">
        <f t="shared" ca="1" si="187"/>
        <v>1036658171010278.6</v>
      </c>
    </row>
    <row r="547" spans="4:24" x14ac:dyDescent="0.3">
      <c r="D547" s="4">
        <v>53.7</v>
      </c>
      <c r="E547" s="4">
        <f t="shared" si="184"/>
        <v>1072751861942089.3</v>
      </c>
      <c r="K547" s="40">
        <v>538</v>
      </c>
      <c r="L547" s="40">
        <f t="shared" ca="1" si="185"/>
        <v>55.256422889567716</v>
      </c>
      <c r="M547" s="40"/>
      <c r="N547" s="40"/>
      <c r="Q547" s="46"/>
      <c r="R547" s="46">
        <f t="shared" ca="1" si="186"/>
        <v>98.598264006127039</v>
      </c>
      <c r="S547" s="40"/>
      <c r="T547" s="40"/>
      <c r="W547" s="4">
        <v>53.7</v>
      </c>
      <c r="X547" s="4">
        <f t="shared" ca="1" si="187"/>
        <v>1035387989596399.1</v>
      </c>
    </row>
    <row r="548" spans="4:24" x14ac:dyDescent="0.3">
      <c r="D548" s="4">
        <v>53.8</v>
      </c>
      <c r="E548" s="4">
        <f t="shared" si="184"/>
        <v>1071508191250694.3</v>
      </c>
      <c r="K548" s="40">
        <v>539</v>
      </c>
      <c r="L548" s="40">
        <f t="shared" ca="1" si="185"/>
        <v>19.881771030477985</v>
      </c>
      <c r="M548" s="40"/>
      <c r="N548" s="40"/>
      <c r="Q548" s="46"/>
      <c r="R548" s="46">
        <f t="shared" ca="1" si="186"/>
        <v>41.098633033567097</v>
      </c>
      <c r="S548" s="40"/>
      <c r="T548" s="40"/>
      <c r="W548" s="4">
        <v>53.8</v>
      </c>
      <c r="X548" s="4">
        <f t="shared" ca="1" si="187"/>
        <v>1034119364491888.6</v>
      </c>
    </row>
    <row r="549" spans="4:24" x14ac:dyDescent="0.3">
      <c r="D549" s="4">
        <v>53.9</v>
      </c>
      <c r="E549" s="4">
        <f t="shared" si="184"/>
        <v>1070265962380883.5</v>
      </c>
      <c r="K549" s="40">
        <v>540</v>
      </c>
      <c r="L549" s="40">
        <f t="shared" ca="1" si="185"/>
        <v>31.167397675695565</v>
      </c>
      <c r="M549" s="40">
        <f t="shared" ref="M549" ca="1" si="196">AVERAGE(L540:L549)</f>
        <v>100.36336733616372</v>
      </c>
      <c r="N549" s="40">
        <f t="shared" ref="N549" ca="1" si="197">1/M549</f>
        <v>9.963794824166608E-3</v>
      </c>
      <c r="Q549" s="46"/>
      <c r="R549" s="46">
        <f t="shared" ca="1" si="186"/>
        <v>79.937204094197398</v>
      </c>
      <c r="S549" s="40">
        <f t="shared" ref="S549" ca="1" si="198">AVERAGE(R540:R549)</f>
        <v>94.056844049716048</v>
      </c>
      <c r="T549" s="40">
        <f t="shared" ref="T549" ca="1" si="199">1/S549</f>
        <v>1.0631868526988058E-2</v>
      </c>
      <c r="W549" s="4">
        <v>53.9</v>
      </c>
      <c r="X549" s="4">
        <f t="shared" ca="1" si="187"/>
        <v>1032852293789855.3</v>
      </c>
    </row>
    <row r="550" spans="4:24" x14ac:dyDescent="0.3">
      <c r="D550" s="4">
        <v>54</v>
      </c>
      <c r="E550" s="4">
        <f t="shared" si="184"/>
        <v>1069025173661112.8</v>
      </c>
      <c r="K550" s="40">
        <v>541</v>
      </c>
      <c r="L550" s="40">
        <f t="shared" ca="1" si="185"/>
        <v>73.087682671276866</v>
      </c>
      <c r="M550" s="40"/>
      <c r="N550" s="40"/>
      <c r="Q550" s="46"/>
      <c r="R550" s="46">
        <f t="shared" ca="1" si="186"/>
        <v>2.2086907276777774</v>
      </c>
      <c r="S550" s="40"/>
      <c r="T550" s="40"/>
      <c r="W550" s="4">
        <v>54</v>
      </c>
      <c r="X550" s="4">
        <f t="shared" ca="1" si="187"/>
        <v>1031586775585743.3</v>
      </c>
    </row>
    <row r="551" spans="4:24" x14ac:dyDescent="0.3">
      <c r="D551" s="4">
        <v>54.1</v>
      </c>
      <c r="E551" s="4">
        <f t="shared" si="184"/>
        <v>1067785823421777.3</v>
      </c>
      <c r="K551" s="40">
        <v>542</v>
      </c>
      <c r="L551" s="40">
        <f t="shared" ca="1" si="185"/>
        <v>115.45032394004836</v>
      </c>
      <c r="M551" s="40"/>
      <c r="N551" s="40"/>
      <c r="Q551" s="46"/>
      <c r="R551" s="46">
        <f t="shared" ca="1" si="186"/>
        <v>9.5868615626482043</v>
      </c>
      <c r="S551" s="40"/>
      <c r="T551" s="40"/>
      <c r="W551" s="4">
        <v>54.1</v>
      </c>
      <c r="X551" s="4">
        <f t="shared" ca="1" si="187"/>
        <v>1030322807977330.8</v>
      </c>
    </row>
    <row r="552" spans="4:24" x14ac:dyDescent="0.3">
      <c r="D552" s="4">
        <v>54.2</v>
      </c>
      <c r="E552" s="4">
        <f t="shared" si="184"/>
        <v>1066547909995206.6</v>
      </c>
      <c r="K552" s="40">
        <v>543</v>
      </c>
      <c r="L552" s="40">
        <f t="shared" ca="1" si="185"/>
        <v>31.879613163056959</v>
      </c>
      <c r="M552" s="40"/>
      <c r="N552" s="40"/>
      <c r="Q552" s="46"/>
      <c r="R552" s="46">
        <f t="shared" ca="1" si="186"/>
        <v>80.507466443436812</v>
      </c>
      <c r="S552" s="40"/>
      <c r="T552" s="40"/>
      <c r="W552" s="4">
        <v>54.2</v>
      </c>
      <c r="X552" s="4">
        <f t="shared" ca="1" si="187"/>
        <v>1029060389064726.5</v>
      </c>
    </row>
    <row r="553" spans="4:24" x14ac:dyDescent="0.3">
      <c r="D553" s="4">
        <v>54.3</v>
      </c>
      <c r="E553" s="4">
        <f t="shared" si="184"/>
        <v>1065311431715664.9</v>
      </c>
      <c r="K553" s="40">
        <v>544</v>
      </c>
      <c r="L553" s="40">
        <f t="shared" ca="1" si="185"/>
        <v>209.31509876907106</v>
      </c>
      <c r="M553" s="40"/>
      <c r="N553" s="40"/>
      <c r="Q553" s="46"/>
      <c r="R553" s="46">
        <f t="shared" ca="1" si="186"/>
        <v>112.64469290281167</v>
      </c>
      <c r="S553" s="40"/>
      <c r="T553" s="40"/>
      <c r="W553" s="4">
        <v>54.3</v>
      </c>
      <c r="X553" s="4">
        <f t="shared" ca="1" si="187"/>
        <v>1027799516950367.1</v>
      </c>
    </row>
    <row r="554" spans="4:24" x14ac:dyDescent="0.3">
      <c r="D554" s="4">
        <v>54.4</v>
      </c>
      <c r="E554" s="4">
        <f t="shared" si="184"/>
        <v>1064076386919346.1</v>
      </c>
      <c r="K554" s="40">
        <v>545</v>
      </c>
      <c r="L554" s="40">
        <f t="shared" ca="1" si="185"/>
        <v>4.0772237857318085</v>
      </c>
      <c r="M554" s="40"/>
      <c r="N554" s="40"/>
      <c r="Q554" s="46"/>
      <c r="R554" s="46">
        <f t="shared" ca="1" si="186"/>
        <v>102.47913183598236</v>
      </c>
      <c r="S554" s="40"/>
      <c r="T554" s="40"/>
      <c r="W554" s="4">
        <v>54.4</v>
      </c>
      <c r="X554" s="4">
        <f t="shared" ca="1" si="187"/>
        <v>1026540189739014.1</v>
      </c>
    </row>
    <row r="555" spans="4:24" x14ac:dyDescent="0.3">
      <c r="D555" s="4">
        <v>54.5</v>
      </c>
      <c r="E555" s="4">
        <f t="shared" si="184"/>
        <v>1062842773944374.4</v>
      </c>
      <c r="K555" s="40">
        <v>546</v>
      </c>
      <c r="L555" s="40">
        <f t="shared" ca="1" si="185"/>
        <v>23.780888917525598</v>
      </c>
      <c r="M555" s="40"/>
      <c r="N555" s="40"/>
      <c r="Q555" s="46"/>
      <c r="R555" s="46">
        <f t="shared" ca="1" si="186"/>
        <v>197.34692461287835</v>
      </c>
      <c r="S555" s="40"/>
      <c r="T555" s="40"/>
      <c r="W555" s="4">
        <v>54.5</v>
      </c>
      <c r="X555" s="4">
        <f t="shared" ca="1" si="187"/>
        <v>1025282405537751</v>
      </c>
    </row>
    <row r="556" spans="4:24" x14ac:dyDescent="0.3">
      <c r="D556" s="4">
        <v>54.6</v>
      </c>
      <c r="E556" s="4">
        <f t="shared" si="184"/>
        <v>1061610591130799.6</v>
      </c>
      <c r="K556" s="40">
        <v>547</v>
      </c>
      <c r="L556" s="40">
        <f t="shared" ca="1" si="185"/>
        <v>257.36376750904691</v>
      </c>
      <c r="M556" s="40"/>
      <c r="N556" s="40"/>
      <c r="Q556" s="46"/>
      <c r="R556" s="46">
        <f t="shared" ca="1" si="186"/>
        <v>310.23407804296369</v>
      </c>
      <c r="S556" s="40"/>
      <c r="T556" s="40"/>
      <c r="W556" s="4">
        <v>54.6</v>
      </c>
      <c r="X556" s="4">
        <f t="shared" ca="1" si="187"/>
        <v>1024026162455981</v>
      </c>
    </row>
    <row r="557" spans="4:24" x14ac:dyDescent="0.3">
      <c r="D557" s="4">
        <v>54.7</v>
      </c>
      <c r="E557" s="4">
        <f t="shared" si="184"/>
        <v>1060379836820596.4</v>
      </c>
      <c r="K557" s="40">
        <v>548</v>
      </c>
      <c r="L557" s="40">
        <f t="shared" ca="1" si="185"/>
        <v>25.157453373510783</v>
      </c>
      <c r="M557" s="40"/>
      <c r="N557" s="40"/>
      <c r="Q557" s="46"/>
      <c r="R557" s="46">
        <f t="shared" ca="1" si="186"/>
        <v>90.023933175631569</v>
      </c>
      <c r="S557" s="40"/>
      <c r="T557" s="40"/>
      <c r="W557" s="4">
        <v>54.7</v>
      </c>
      <c r="X557" s="4">
        <f t="shared" ca="1" si="187"/>
        <v>1022771458605424</v>
      </c>
    </row>
    <row r="558" spans="4:24" x14ac:dyDescent="0.3">
      <c r="D558" s="4">
        <v>54.8</v>
      </c>
      <c r="E558" s="4">
        <f t="shared" si="184"/>
        <v>1059150509357661.4</v>
      </c>
      <c r="K558" s="40">
        <v>549</v>
      </c>
      <c r="L558" s="40">
        <f t="shared" ca="1" si="185"/>
        <v>170.15888450927923</v>
      </c>
      <c r="M558" s="40"/>
      <c r="N558" s="40"/>
      <c r="Q558" s="46"/>
      <c r="R558" s="46">
        <f t="shared" ca="1" si="186"/>
        <v>126.27271533852125</v>
      </c>
      <c r="S558" s="40"/>
      <c r="T558" s="40"/>
      <c r="W558" s="4">
        <v>54.8</v>
      </c>
      <c r="X558" s="4">
        <f t="shared" ca="1" si="187"/>
        <v>1021518292100112.8</v>
      </c>
    </row>
    <row r="559" spans="4:24" x14ac:dyDescent="0.3">
      <c r="D559" s="4">
        <v>54.9</v>
      </c>
      <c r="E559" s="4">
        <f t="shared" si="184"/>
        <v>1057922607087811.9</v>
      </c>
      <c r="K559" s="40">
        <v>550</v>
      </c>
      <c r="L559" s="40">
        <f t="shared" ca="1" si="185"/>
        <v>34.017801098756699</v>
      </c>
      <c r="M559" s="40">
        <f t="shared" ref="M559" ca="1" si="200">AVERAGE(L550:L559)</f>
        <v>94.428873773730416</v>
      </c>
      <c r="N559" s="40">
        <f t="shared" ref="N559" ca="1" si="201">1/M559</f>
        <v>1.0589981221169604E-2</v>
      </c>
      <c r="Q559" s="46"/>
      <c r="R559" s="46">
        <f t="shared" ca="1" si="186"/>
        <v>129.83555055388135</v>
      </c>
      <c r="S559" s="40">
        <f t="shared" ref="S559" ca="1" si="202">AVERAGE(R550:R559)</f>
        <v>116.1140045196433</v>
      </c>
      <c r="T559" s="40">
        <f t="shared" ref="T559" ca="1" si="203">1/S559</f>
        <v>8.6122255806863283E-3</v>
      </c>
      <c r="W559" s="4">
        <v>54.9</v>
      </c>
      <c r="X559" s="4">
        <f t="shared" ca="1" si="187"/>
        <v>1020266661056391.8</v>
      </c>
    </row>
    <row r="560" spans="4:24" x14ac:dyDescent="0.3">
      <c r="D560" s="4">
        <v>55</v>
      </c>
      <c r="E560" s="4">
        <f t="shared" si="184"/>
        <v>1056696128358782.1</v>
      </c>
      <c r="K560" s="40">
        <v>551</v>
      </c>
      <c r="L560" s="40">
        <f t="shared" ca="1" si="185"/>
        <v>12.750939668780576</v>
      </c>
      <c r="M560" s="40"/>
      <c r="N560" s="40"/>
      <c r="Q560" s="46"/>
      <c r="R560" s="46">
        <f t="shared" ca="1" si="186"/>
        <v>71.262794891250991</v>
      </c>
      <c r="S560" s="40"/>
      <c r="T560" s="40"/>
      <c r="W560" s="4">
        <v>55</v>
      </c>
      <c r="X560" s="4">
        <f t="shared" ca="1" si="187"/>
        <v>1019016563592912.5</v>
      </c>
    </row>
    <row r="561" spans="4:24" x14ac:dyDescent="0.3">
      <c r="D561" s="4">
        <v>55.1</v>
      </c>
      <c r="E561" s="4">
        <f t="shared" si="184"/>
        <v>1055471071520221.8</v>
      </c>
      <c r="K561" s="40">
        <v>552</v>
      </c>
      <c r="L561" s="40">
        <f t="shared" ca="1" si="185"/>
        <v>0.32079364891400253</v>
      </c>
      <c r="M561" s="40"/>
      <c r="N561" s="40"/>
      <c r="Q561" s="46"/>
      <c r="R561" s="46">
        <f t="shared" ca="1" si="186"/>
        <v>57.427319078151427</v>
      </c>
      <c r="S561" s="40"/>
      <c r="T561" s="40"/>
      <c r="W561" s="4">
        <v>55.1</v>
      </c>
      <c r="X561" s="4">
        <f t="shared" ca="1" si="187"/>
        <v>1017767997830632.4</v>
      </c>
    </row>
    <row r="562" spans="4:24" x14ac:dyDescent="0.3">
      <c r="D562" s="4">
        <v>55.2</v>
      </c>
      <c r="E562" s="4">
        <f t="shared" si="184"/>
        <v>1054247434923694.8</v>
      </c>
      <c r="K562" s="40">
        <v>553</v>
      </c>
      <c r="L562" s="40">
        <f t="shared" ca="1" si="185"/>
        <v>2.2737982153815759</v>
      </c>
      <c r="M562" s="40"/>
      <c r="N562" s="40"/>
      <c r="Q562" s="46"/>
      <c r="R562" s="46">
        <f t="shared" ca="1" si="186"/>
        <v>2.2784246751635524</v>
      </c>
      <c r="S562" s="40"/>
      <c r="T562" s="40"/>
      <c r="W562" s="4">
        <v>55.2</v>
      </c>
      <c r="X562" s="4">
        <f t="shared" ca="1" si="187"/>
        <v>1016520961892811</v>
      </c>
    </row>
    <row r="563" spans="4:24" x14ac:dyDescent="0.3">
      <c r="D563" s="4">
        <v>55.3</v>
      </c>
      <c r="E563" s="4">
        <f t="shared" si="184"/>
        <v>1053025216922675.3</v>
      </c>
      <c r="K563" s="40">
        <v>554</v>
      </c>
      <c r="L563" s="40">
        <f t="shared" ca="1" si="185"/>
        <v>271.53644066768811</v>
      </c>
      <c r="M563" s="40"/>
      <c r="N563" s="40"/>
      <c r="Q563" s="46"/>
      <c r="R563" s="46">
        <f t="shared" ca="1" si="186"/>
        <v>22.257587506989431</v>
      </c>
      <c r="S563" s="40"/>
      <c r="T563" s="40"/>
      <c r="W563" s="4">
        <v>55.3</v>
      </c>
      <c r="X563" s="4">
        <f t="shared" ca="1" si="187"/>
        <v>1015275453905007.5</v>
      </c>
    </row>
    <row r="564" spans="4:24" x14ac:dyDescent="0.3">
      <c r="D564" s="4">
        <v>55.4</v>
      </c>
      <c r="E564" s="4">
        <f t="shared" si="184"/>
        <v>1051804415872546.6</v>
      </c>
      <c r="K564" s="40">
        <v>555</v>
      </c>
      <c r="L564" s="40">
        <f t="shared" ca="1" si="185"/>
        <v>63.972844792838337</v>
      </c>
      <c r="M564" s="40"/>
      <c r="N564" s="40"/>
      <c r="Q564" s="46"/>
      <c r="R564" s="46">
        <f t="shared" ca="1" si="186"/>
        <v>75.633002609341034</v>
      </c>
      <c r="S564" s="40"/>
      <c r="T564" s="40"/>
      <c r="W564" s="4">
        <v>55.4</v>
      </c>
      <c r="X564" s="4">
        <f t="shared" ca="1" si="187"/>
        <v>1014031471995076.9</v>
      </c>
    </row>
    <row r="565" spans="4:24" x14ac:dyDescent="0.3">
      <c r="D565" s="4">
        <v>55.5</v>
      </c>
      <c r="E565" s="4">
        <f t="shared" si="184"/>
        <v>1050585030130598.6</v>
      </c>
      <c r="K565" s="40">
        <v>556</v>
      </c>
      <c r="L565" s="40">
        <f t="shared" ca="1" si="185"/>
        <v>216.34824785222415</v>
      </c>
      <c r="M565" s="40"/>
      <c r="N565" s="40"/>
      <c r="Q565" s="46"/>
      <c r="R565" s="46">
        <f t="shared" ca="1" si="186"/>
        <v>65.700328657349218</v>
      </c>
      <c r="S565" s="40"/>
      <c r="T565" s="40"/>
      <c r="W565" s="4">
        <v>55.5</v>
      </c>
      <c r="X565" s="4">
        <f t="shared" ca="1" si="187"/>
        <v>1012789014293169.3</v>
      </c>
    </row>
    <row r="566" spans="4:24" x14ac:dyDescent="0.3">
      <c r="D566" s="4">
        <v>55.6</v>
      </c>
      <c r="E566" s="4">
        <f t="shared" si="184"/>
        <v>1049367058056025.5</v>
      </c>
      <c r="K566" s="40">
        <v>557</v>
      </c>
      <c r="L566" s="40">
        <f t="shared" ca="1" si="185"/>
        <v>430.69938906958635</v>
      </c>
      <c r="M566" s="40"/>
      <c r="N566" s="40"/>
      <c r="Q566" s="46"/>
      <c r="R566" s="46">
        <f t="shared" ca="1" si="186"/>
        <v>171.32755695843076</v>
      </c>
      <c r="S566" s="40"/>
      <c r="T566" s="40"/>
      <c r="W566" s="4">
        <v>55.6</v>
      </c>
      <c r="X566" s="4">
        <f t="shared" ca="1" si="187"/>
        <v>1011548078931725</v>
      </c>
    </row>
    <row r="567" spans="4:24" x14ac:dyDescent="0.3">
      <c r="D567" s="4">
        <v>55.7</v>
      </c>
      <c r="E567" s="4">
        <f t="shared" si="184"/>
        <v>1048150498009924.1</v>
      </c>
      <c r="K567" s="40">
        <v>558</v>
      </c>
      <c r="L567" s="40">
        <f t="shared" ca="1" si="185"/>
        <v>98.746596834965203</v>
      </c>
      <c r="M567" s="40"/>
      <c r="N567" s="40"/>
      <c r="Q567" s="46"/>
      <c r="R567" s="46">
        <f t="shared" ca="1" si="186"/>
        <v>130.50392278701082</v>
      </c>
      <c r="S567" s="40"/>
      <c r="T567" s="40"/>
      <c r="W567" s="4">
        <v>55.7</v>
      </c>
      <c r="X567" s="4">
        <f t="shared" ca="1" si="187"/>
        <v>1010308664045473.3</v>
      </c>
    </row>
    <row r="568" spans="4:24" x14ac:dyDescent="0.3">
      <c r="D568" s="4">
        <v>55.8</v>
      </c>
      <c r="E568" s="4">
        <f t="shared" si="184"/>
        <v>1046935348355291.3</v>
      </c>
      <c r="K568" s="40">
        <v>559</v>
      </c>
      <c r="L568" s="40">
        <f t="shared" ca="1" si="185"/>
        <v>251.25749409763554</v>
      </c>
      <c r="M568" s="40"/>
      <c r="N568" s="40"/>
      <c r="Q568" s="46"/>
      <c r="R568" s="46">
        <f t="shared" ca="1" si="186"/>
        <v>107.59758403982089</v>
      </c>
      <c r="S568" s="40"/>
      <c r="T568" s="40"/>
      <c r="W568" s="4">
        <v>55.8</v>
      </c>
      <c r="X568" s="4">
        <f t="shared" ca="1" si="187"/>
        <v>1009070767771428.1</v>
      </c>
    </row>
    <row r="569" spans="4:24" x14ac:dyDescent="0.3">
      <c r="D569" s="4">
        <v>55.9</v>
      </c>
      <c r="E569" s="4">
        <f t="shared" si="184"/>
        <v>1045721607457021</v>
      </c>
      <c r="K569" s="40">
        <v>560</v>
      </c>
      <c r="L569" s="40">
        <f t="shared" ca="1" si="185"/>
        <v>215.67844018872015</v>
      </c>
      <c r="M569" s="40">
        <f t="shared" ref="M569" ca="1" si="204">AVERAGE(L560:L569)</f>
        <v>156.35849850367339</v>
      </c>
      <c r="N569" s="40">
        <f t="shared" ref="N569" ca="1" si="205">1/M569</f>
        <v>6.3955589850877639E-3</v>
      </c>
      <c r="Q569" s="46"/>
      <c r="R569" s="46">
        <f t="shared" ca="1" si="186"/>
        <v>70.136652797111452</v>
      </c>
      <c r="S569" s="40">
        <f t="shared" ref="S569" ca="1" si="206">AVERAGE(R560:R569)</f>
        <v>77.412517400061944</v>
      </c>
      <c r="T569" s="40">
        <f t="shared" ref="T569" ca="1" si="207">1/S569</f>
        <v>1.291780752758726E-2</v>
      </c>
      <c r="W569" s="4">
        <v>55.9</v>
      </c>
      <c r="X569" s="4">
        <f t="shared" ca="1" si="187"/>
        <v>1007834388248886.5</v>
      </c>
    </row>
    <row r="570" spans="4:24" x14ac:dyDescent="0.3">
      <c r="D570" s="4">
        <v>56</v>
      </c>
      <c r="E570" s="4">
        <f t="shared" si="184"/>
        <v>1044509273681903.3</v>
      </c>
      <c r="K570" s="40">
        <v>561</v>
      </c>
      <c r="L570" s="40">
        <f t="shared" ca="1" si="185"/>
        <v>22.606576271066963</v>
      </c>
      <c r="M570" s="40"/>
      <c r="N570" s="40"/>
      <c r="Q570" s="46"/>
      <c r="R570" s="46">
        <f t="shared" ca="1" si="186"/>
        <v>16.647545608107215</v>
      </c>
      <c r="S570" s="40"/>
      <c r="T570" s="40"/>
      <c r="W570" s="4">
        <v>56</v>
      </c>
      <c r="X570" s="4">
        <f t="shared" ca="1" si="187"/>
        <v>1006599523619425.1</v>
      </c>
    </row>
    <row r="571" spans="4:24" x14ac:dyDescent="0.3">
      <c r="D571" s="4">
        <v>56.1</v>
      </c>
      <c r="E571" s="4">
        <f t="shared" si="184"/>
        <v>1043298345398622</v>
      </c>
      <c r="K571" s="40">
        <v>562</v>
      </c>
      <c r="L571" s="40">
        <f t="shared" ca="1" si="185"/>
        <v>55.518683866714127</v>
      </c>
      <c r="M571" s="40"/>
      <c r="N571" s="40"/>
      <c r="Q571" s="46"/>
      <c r="R571" s="46">
        <f t="shared" ca="1" si="186"/>
        <v>73.110125065452252</v>
      </c>
      <c r="S571" s="40"/>
      <c r="T571" s="40"/>
      <c r="W571" s="4">
        <v>56.1</v>
      </c>
      <c r="X571" s="4">
        <f t="shared" ca="1" si="187"/>
        <v>1005366172026898.5</v>
      </c>
    </row>
    <row r="572" spans="4:24" x14ac:dyDescent="0.3">
      <c r="D572" s="4">
        <v>56.2</v>
      </c>
      <c r="E572" s="4">
        <f t="shared" si="184"/>
        <v>1042088820977751.6</v>
      </c>
      <c r="K572" s="40">
        <v>563</v>
      </c>
      <c r="L572" s="40">
        <f t="shared" ca="1" si="185"/>
        <v>31.630949633758625</v>
      </c>
      <c r="M572" s="40"/>
      <c r="N572" s="40"/>
      <c r="Q572" s="46"/>
      <c r="R572" s="46">
        <f t="shared" ca="1" si="186"/>
        <v>131.07390354384526</v>
      </c>
      <c r="S572" s="40"/>
      <c r="T572" s="40"/>
      <c r="W572" s="4">
        <v>56.2</v>
      </c>
      <c r="X572" s="4">
        <f t="shared" ca="1" si="187"/>
        <v>1004134331617434</v>
      </c>
    </row>
    <row r="573" spans="4:24" x14ac:dyDescent="0.3">
      <c r="D573" s="4">
        <v>56.3</v>
      </c>
      <c r="E573" s="4">
        <f t="shared" si="184"/>
        <v>1040880698791756.3</v>
      </c>
      <c r="K573" s="40">
        <v>564</v>
      </c>
      <c r="L573" s="40">
        <f t="shared" ca="1" si="185"/>
        <v>100.75399622562995</v>
      </c>
      <c r="M573" s="40"/>
      <c r="N573" s="40"/>
      <c r="Q573" s="46"/>
      <c r="R573" s="46">
        <f t="shared" ca="1" si="186"/>
        <v>13.39204487791768</v>
      </c>
      <c r="S573" s="40"/>
      <c r="T573" s="40"/>
      <c r="W573" s="4">
        <v>56.3</v>
      </c>
      <c r="X573" s="4">
        <f t="shared" ca="1" si="187"/>
        <v>1002904000539431.9</v>
      </c>
    </row>
    <row r="574" spans="4:24" x14ac:dyDescent="0.3">
      <c r="D574" s="4">
        <v>56.4</v>
      </c>
      <c r="E574" s="4">
        <f t="shared" si="184"/>
        <v>1039673977214986.1</v>
      </c>
      <c r="K574" s="40">
        <v>565</v>
      </c>
      <c r="L574" s="40">
        <f t="shared" ca="1" si="185"/>
        <v>4.6836871363774071</v>
      </c>
      <c r="M574" s="40"/>
      <c r="N574" s="40"/>
      <c r="Q574" s="46"/>
      <c r="R574" s="46">
        <f t="shared" ca="1" si="186"/>
        <v>69.19326029055442</v>
      </c>
      <c r="S574" s="40"/>
      <c r="T574" s="40"/>
      <c r="W574" s="4">
        <v>56.4</v>
      </c>
      <c r="X574" s="4">
        <f t="shared" ca="1" si="187"/>
        <v>1001675176943559.9</v>
      </c>
    </row>
    <row r="575" spans="4:24" x14ac:dyDescent="0.3">
      <c r="D575" s="4">
        <v>56.5</v>
      </c>
      <c r="E575" s="4">
        <f t="shared" si="184"/>
        <v>1038468654623676.4</v>
      </c>
      <c r="K575" s="40">
        <v>566</v>
      </c>
      <c r="L575" s="40">
        <f t="shared" ca="1" si="185"/>
        <v>216.44110975221594</v>
      </c>
      <c r="M575" s="40"/>
      <c r="N575" s="40"/>
      <c r="Q575" s="46"/>
      <c r="R575" s="46">
        <f t="shared" ca="1" si="186"/>
        <v>20.2147240223638</v>
      </c>
      <c r="S575" s="40"/>
      <c r="T575" s="40"/>
      <c r="W575" s="4">
        <v>56.5</v>
      </c>
      <c r="X575" s="4">
        <f t="shared" ca="1" si="187"/>
        <v>1000447858982752.8</v>
      </c>
    </row>
    <row r="576" spans="4:24" x14ac:dyDescent="0.3">
      <c r="D576" s="4">
        <v>56.6</v>
      </c>
      <c r="E576" s="4">
        <f t="shared" si="184"/>
        <v>1037264729395945.1</v>
      </c>
      <c r="K576" s="40">
        <v>567</v>
      </c>
      <c r="L576" s="40">
        <f t="shared" ca="1" si="185"/>
        <v>30.639563097146748</v>
      </c>
      <c r="M576" s="40"/>
      <c r="N576" s="40"/>
      <c r="Q576" s="46"/>
      <c r="R576" s="46">
        <f t="shared" ca="1" si="186"/>
        <v>44.011478789635113</v>
      </c>
      <c r="S576" s="40"/>
      <c r="T576" s="40"/>
      <c r="W576" s="4">
        <v>56.6</v>
      </c>
      <c r="X576" s="4">
        <f t="shared" ca="1" si="187"/>
        <v>999222044812207.88</v>
      </c>
    </row>
    <row r="577" spans="4:24" x14ac:dyDescent="0.3">
      <c r="D577" s="4">
        <v>56.7</v>
      </c>
      <c r="E577" s="4">
        <f t="shared" si="184"/>
        <v>1036062199911790.3</v>
      </c>
      <c r="K577" s="40">
        <v>568</v>
      </c>
      <c r="L577" s="40">
        <f t="shared" ca="1" si="185"/>
        <v>5.1001411672719454</v>
      </c>
      <c r="M577" s="40"/>
      <c r="N577" s="40"/>
      <c r="Q577" s="46"/>
      <c r="R577" s="46">
        <f t="shared" ca="1" si="186"/>
        <v>232.35009713693242</v>
      </c>
      <c r="S577" s="40"/>
      <c r="T577" s="40"/>
      <c r="W577" s="4">
        <v>56.7</v>
      </c>
      <c r="X577" s="4">
        <f t="shared" ca="1" si="187"/>
        <v>997997732589383</v>
      </c>
    </row>
    <row r="578" spans="4:24" x14ac:dyDescent="0.3">
      <c r="D578" s="4">
        <v>56.8</v>
      </c>
      <c r="E578" s="4">
        <f t="shared" si="184"/>
        <v>1034861064553088</v>
      </c>
      <c r="K578" s="40">
        <v>569</v>
      </c>
      <c r="L578" s="40">
        <f t="shared" ca="1" si="185"/>
        <v>90.836660409524271</v>
      </c>
      <c r="M578" s="40"/>
      <c r="N578" s="40"/>
      <c r="Q578" s="46"/>
      <c r="R578" s="46">
        <f t="shared" ca="1" si="186"/>
        <v>43.746604036329757</v>
      </c>
      <c r="S578" s="40"/>
      <c r="T578" s="40"/>
      <c r="W578" s="4">
        <v>56.8</v>
      </c>
      <c r="X578" s="4">
        <f t="shared" ca="1" si="187"/>
        <v>996774920473993.25</v>
      </c>
    </row>
    <row r="579" spans="4:24" x14ac:dyDescent="0.3">
      <c r="D579" s="4">
        <v>56.9</v>
      </c>
      <c r="E579" s="4">
        <f t="shared" si="184"/>
        <v>1033661321703590.4</v>
      </c>
      <c r="K579" s="40">
        <v>570</v>
      </c>
      <c r="L579" s="40">
        <f t="shared" ca="1" si="185"/>
        <v>223.93413492065244</v>
      </c>
      <c r="M579" s="40">
        <f t="shared" ref="M579" ca="1" si="208">AVERAGE(L570:L579)</f>
        <v>78.214550248035849</v>
      </c>
      <c r="N579" s="40">
        <f t="shared" ref="N579" ca="1" si="209">1/M579</f>
        <v>1.2785344885686565E-2</v>
      </c>
      <c r="Q579" s="46"/>
      <c r="R579" s="46">
        <f t="shared" ca="1" si="186"/>
        <v>57.257123538377002</v>
      </c>
      <c r="S579" s="40">
        <f t="shared" ref="S579" ca="1" si="210">AVERAGE(R570:R579)</f>
        <v>70.099690690951491</v>
      </c>
      <c r="T579" s="40">
        <f t="shared" ref="T579" ca="1" si="211">1/S579</f>
        <v>1.4265398179981991E-2</v>
      </c>
      <c r="W579" s="4">
        <v>56.9</v>
      </c>
      <c r="X579" s="4">
        <f t="shared" ca="1" si="187"/>
        <v>995553606628009.13</v>
      </c>
    </row>
    <row r="580" spans="4:24" x14ac:dyDescent="0.3">
      <c r="D580" s="4">
        <v>57</v>
      </c>
      <c r="E580" s="4">
        <f t="shared" si="184"/>
        <v>1032462969748922.9</v>
      </c>
      <c r="K580" s="40">
        <v>571</v>
      </c>
      <c r="L580" s="40">
        <f t="shared" ca="1" si="185"/>
        <v>39.693699491405894</v>
      </c>
      <c r="M580" s="40"/>
      <c r="N580" s="40"/>
      <c r="Q580" s="46"/>
      <c r="R580" s="46">
        <f t="shared" ca="1" si="186"/>
        <v>109.98412907304403</v>
      </c>
      <c r="S580" s="40"/>
      <c r="T580" s="40"/>
      <c r="W580" s="4">
        <v>57</v>
      </c>
      <c r="X580" s="4">
        <f t="shared" ca="1" si="187"/>
        <v>994333789215652.88</v>
      </c>
    </row>
    <row r="581" spans="4:24" x14ac:dyDescent="0.3">
      <c r="D581" s="4">
        <v>57.1</v>
      </c>
      <c r="E581" s="4">
        <f t="shared" si="184"/>
        <v>1031266007076583.5</v>
      </c>
      <c r="K581" s="40">
        <v>572</v>
      </c>
      <c r="L581" s="40">
        <f t="shared" ca="1" si="185"/>
        <v>437.85912931118281</v>
      </c>
      <c r="M581" s="40"/>
      <c r="N581" s="40"/>
      <c r="Q581" s="46"/>
      <c r="R581" s="46">
        <f t="shared" ca="1" si="186"/>
        <v>213.73276247503978</v>
      </c>
      <c r="S581" s="40"/>
      <c r="T581" s="40"/>
      <c r="W581" s="4">
        <v>57.1</v>
      </c>
      <c r="X581" s="4">
        <f t="shared" ca="1" si="187"/>
        <v>993115466403396.13</v>
      </c>
    </row>
    <row r="582" spans="4:24" x14ac:dyDescent="0.3">
      <c r="D582" s="4">
        <v>57.2</v>
      </c>
      <c r="E582" s="4">
        <f t="shared" si="184"/>
        <v>1030070432075938.9</v>
      </c>
      <c r="K582" s="40">
        <v>573</v>
      </c>
      <c r="L582" s="40">
        <f t="shared" ca="1" si="185"/>
        <v>107.44279689172659</v>
      </c>
      <c r="M582" s="40"/>
      <c r="N582" s="40"/>
      <c r="Q582" s="46"/>
      <c r="R582" s="46">
        <f t="shared" ca="1" si="186"/>
        <v>75.570046591805479</v>
      </c>
      <c r="S582" s="40"/>
      <c r="T582" s="40"/>
      <c r="W582" s="4">
        <v>57.2</v>
      </c>
      <c r="X582" s="4">
        <f t="shared" ca="1" si="187"/>
        <v>991898636359956.75</v>
      </c>
    </row>
    <row r="583" spans="4:24" x14ac:dyDescent="0.3">
      <c r="D583" s="4">
        <v>57.3</v>
      </c>
      <c r="E583" s="4">
        <f t="shared" si="184"/>
        <v>1028876243138223.3</v>
      </c>
      <c r="K583" s="40">
        <v>574</v>
      </c>
      <c r="L583" s="40">
        <f t="shared" ca="1" si="185"/>
        <v>2.1664549546509013</v>
      </c>
      <c r="M583" s="40"/>
      <c r="N583" s="40"/>
      <c r="Q583" s="46"/>
      <c r="R583" s="46">
        <f t="shared" ca="1" si="186"/>
        <v>124.58185093874299</v>
      </c>
      <c r="S583" s="40"/>
      <c r="T583" s="40"/>
      <c r="W583" s="4">
        <v>57.3</v>
      </c>
      <c r="X583" s="4">
        <f t="shared" ca="1" si="187"/>
        <v>990683297256297.38</v>
      </c>
    </row>
    <row r="584" spans="4:24" x14ac:dyDescent="0.3">
      <c r="D584" s="4">
        <v>57.4</v>
      </c>
      <c r="E584" s="4">
        <f t="shared" si="184"/>
        <v>1027683438656535.3</v>
      </c>
      <c r="K584" s="40">
        <v>575</v>
      </c>
      <c r="L584" s="40">
        <f t="shared" ca="1" si="185"/>
        <v>27.906129328548076</v>
      </c>
      <c r="M584" s="40"/>
      <c r="N584" s="40"/>
      <c r="Q584" s="46"/>
      <c r="R584" s="46">
        <f t="shared" ca="1" si="186"/>
        <v>35.554281978767612</v>
      </c>
      <c r="S584" s="40"/>
      <c r="T584" s="40"/>
      <c r="W584" s="4">
        <v>57.4</v>
      </c>
      <c r="X584" s="4">
        <f t="shared" ca="1" si="187"/>
        <v>989469447265620.38</v>
      </c>
    </row>
    <row r="585" spans="4:24" x14ac:dyDescent="0.3">
      <c r="D585" s="4">
        <v>57.5</v>
      </c>
      <c r="E585" s="4">
        <f t="shared" si="184"/>
        <v>1026492017025837.6</v>
      </c>
      <c r="K585" s="40">
        <v>576</v>
      </c>
      <c r="L585" s="40">
        <f t="shared" ca="1" si="185"/>
        <v>249.91659944853245</v>
      </c>
      <c r="M585" s="40"/>
      <c r="N585" s="40"/>
      <c r="Q585" s="46"/>
      <c r="R585" s="46">
        <f t="shared" ca="1" si="186"/>
        <v>20.672202663588191</v>
      </c>
      <c r="S585" s="40"/>
      <c r="T585" s="40"/>
      <c r="W585" s="4">
        <v>57.5</v>
      </c>
      <c r="X585" s="4">
        <f t="shared" ca="1" si="187"/>
        <v>988257084563367.5</v>
      </c>
    </row>
    <row r="586" spans="4:24" x14ac:dyDescent="0.3">
      <c r="D586" s="4">
        <v>57.6</v>
      </c>
      <c r="E586" s="4">
        <f t="shared" si="184"/>
        <v>1025301976642953</v>
      </c>
      <c r="K586" s="40">
        <v>577</v>
      </c>
      <c r="L586" s="40">
        <f t="shared" ca="1" si="185"/>
        <v>6.4568613475911265</v>
      </c>
      <c r="M586" s="40"/>
      <c r="N586" s="40"/>
      <c r="Q586" s="46"/>
      <c r="R586" s="46">
        <f t="shared" ca="1" si="186"/>
        <v>245.8340851559168</v>
      </c>
      <c r="S586" s="40"/>
      <c r="T586" s="40"/>
      <c r="W586" s="4">
        <v>57.6</v>
      </c>
      <c r="X586" s="4">
        <f t="shared" ca="1" si="187"/>
        <v>987046207327215.5</v>
      </c>
    </row>
    <row r="587" spans="4:24" x14ac:dyDescent="0.3">
      <c r="D587" s="4">
        <v>57.7</v>
      </c>
      <c r="E587" s="4">
        <f t="shared" ref="E587:E608" si="212">$F$4*EXP(-$F$5*D587)</f>
        <v>1024113315906562.8</v>
      </c>
      <c r="K587" s="40">
        <v>578</v>
      </c>
      <c r="L587" s="40">
        <f t="shared" ref="L587:L608" ca="1" si="213">-(1/$F$5)*LN(RAND())</f>
        <v>338.07834503048201</v>
      </c>
      <c r="M587" s="40"/>
      <c r="N587" s="40"/>
      <c r="Q587" s="46"/>
      <c r="R587" s="46">
        <f t="shared" ref="R587:R608" ca="1" si="214">-(1/$Q$10)*LN(RAND())</f>
        <v>176.94305901162133</v>
      </c>
      <c r="S587" s="40"/>
      <c r="T587" s="40"/>
      <c r="W587" s="4">
        <v>57.7</v>
      </c>
      <c r="X587" s="4">
        <f t="shared" ref="X587:X608" ca="1" si="215">$F$4*EXP(-$U$10*W587)</f>
        <v>985836813737074.13</v>
      </c>
    </row>
    <row r="588" spans="4:24" x14ac:dyDescent="0.3">
      <c r="D588" s="4">
        <v>57.8</v>
      </c>
      <c r="E588" s="4">
        <f t="shared" si="212"/>
        <v>1022926033217204.8</v>
      </c>
      <c r="K588" s="40">
        <v>579</v>
      </c>
      <c r="L588" s="40">
        <f t="shared" ca="1" si="213"/>
        <v>120.42868621874615</v>
      </c>
      <c r="M588" s="40"/>
      <c r="N588" s="40"/>
      <c r="Q588" s="46"/>
      <c r="R588" s="46">
        <f t="shared" ca="1" si="214"/>
        <v>14.028828831152033</v>
      </c>
      <c r="S588" s="40"/>
      <c r="T588" s="40"/>
      <c r="W588" s="4">
        <v>57.8</v>
      </c>
      <c r="X588" s="4">
        <f t="shared" ca="1" si="215"/>
        <v>984628901975083.5</v>
      </c>
    </row>
    <row r="589" spans="4:24" x14ac:dyDescent="0.3">
      <c r="D589" s="4">
        <v>57.9</v>
      </c>
      <c r="E589" s="4">
        <f t="shared" si="212"/>
        <v>1021740126977271.6</v>
      </c>
      <c r="K589" s="40">
        <v>580</v>
      </c>
      <c r="L589" s="40">
        <f t="shared" ca="1" si="213"/>
        <v>63.14953392065599</v>
      </c>
      <c r="M589" s="40">
        <f t="shared" ref="M589" ca="1" si="216">AVERAGE(L580:L589)</f>
        <v>139.30982359435222</v>
      </c>
      <c r="N589" s="40">
        <f t="shared" ref="N589" ca="1" si="217">1/M589</f>
        <v>7.1782446793690518E-3</v>
      </c>
      <c r="Q589" s="46"/>
      <c r="R589" s="46">
        <f t="shared" ca="1" si="214"/>
        <v>16.441281005675705</v>
      </c>
      <c r="S589" s="40">
        <f t="shared" ref="S589" ca="1" si="218">AVERAGE(R580:R589)</f>
        <v>103.33425277253541</v>
      </c>
      <c r="T589" s="40">
        <f t="shared" ref="T589" ca="1" si="219">1/S589</f>
        <v>9.6773332478752288E-3</v>
      </c>
      <c r="W589" s="4">
        <v>57.9</v>
      </c>
      <c r="X589" s="4">
        <f t="shared" ca="1" si="215"/>
        <v>983422470225610.38</v>
      </c>
    </row>
    <row r="590" spans="4:24" x14ac:dyDescent="0.3">
      <c r="D590" s="4">
        <v>58</v>
      </c>
      <c r="E590" s="4">
        <f t="shared" si="212"/>
        <v>1020555595591007.5</v>
      </c>
      <c r="K590" s="40">
        <v>581</v>
      </c>
      <c r="L590" s="40">
        <f t="shared" ca="1" si="213"/>
        <v>8.3675439251493984</v>
      </c>
      <c r="M590" s="40"/>
      <c r="N590" s="40"/>
      <c r="Q590" s="46"/>
      <c r="R590" s="46">
        <f t="shared" ca="1" si="214"/>
        <v>207.46848745637305</v>
      </c>
      <c r="S590" s="40"/>
      <c r="T590" s="40"/>
      <c r="W590" s="4">
        <v>58</v>
      </c>
      <c r="X590" s="4">
        <f t="shared" ca="1" si="215"/>
        <v>982217516675246.88</v>
      </c>
    </row>
    <row r="591" spans="4:24" x14ac:dyDescent="0.3">
      <c r="D591" s="4">
        <v>58.1</v>
      </c>
      <c r="E591" s="4">
        <f t="shared" si="212"/>
        <v>1019372437464506.8</v>
      </c>
      <c r="K591" s="40">
        <v>582</v>
      </c>
      <c r="L591" s="40">
        <f t="shared" ca="1" si="213"/>
        <v>28.491459719754982</v>
      </c>
      <c r="M591" s="40"/>
      <c r="N591" s="40"/>
      <c r="Q591" s="46"/>
      <c r="R591" s="46">
        <f t="shared" ca="1" si="214"/>
        <v>67.111983806005284</v>
      </c>
      <c r="S591" s="40"/>
      <c r="T591" s="40"/>
      <c r="W591" s="4">
        <v>58.1</v>
      </c>
      <c r="X591" s="4">
        <f t="shared" ca="1" si="215"/>
        <v>981014039512806.5</v>
      </c>
    </row>
    <row r="592" spans="4:24" x14ac:dyDescent="0.3">
      <c r="D592" s="4">
        <v>58.2</v>
      </c>
      <c r="E592" s="4">
        <f t="shared" si="212"/>
        <v>1018190651005711.8</v>
      </c>
      <c r="K592" s="40">
        <v>583</v>
      </c>
      <c r="L592" s="40">
        <f t="shared" ca="1" si="213"/>
        <v>148.34049147376268</v>
      </c>
      <c r="M592" s="40"/>
      <c r="N592" s="40"/>
      <c r="Q592" s="46"/>
      <c r="R592" s="46">
        <f t="shared" ca="1" si="214"/>
        <v>58.763674952259869</v>
      </c>
      <c r="S592" s="40"/>
      <c r="T592" s="40"/>
      <c r="W592" s="4">
        <v>58.2</v>
      </c>
      <c r="X592" s="4">
        <f t="shared" ca="1" si="215"/>
        <v>979812036929322.5</v>
      </c>
    </row>
    <row r="593" spans="4:24" x14ac:dyDescent="0.3">
      <c r="D593" s="4">
        <v>58.3</v>
      </c>
      <c r="E593" s="4">
        <f t="shared" si="212"/>
        <v>1017010234624410.4</v>
      </c>
      <c r="K593" s="40">
        <v>584</v>
      </c>
      <c r="L593" s="40">
        <f t="shared" ca="1" si="213"/>
        <v>51.288676438652601</v>
      </c>
      <c r="M593" s="40"/>
      <c r="N593" s="40"/>
      <c r="Q593" s="46"/>
      <c r="R593" s="46">
        <f t="shared" ca="1" si="214"/>
        <v>39.135014364675364</v>
      </c>
      <c r="S593" s="40"/>
      <c r="T593" s="40"/>
      <c r="W593" s="4">
        <v>58.3</v>
      </c>
      <c r="X593" s="4">
        <f t="shared" ca="1" si="215"/>
        <v>978611507118044.13</v>
      </c>
    </row>
    <row r="594" spans="4:24" x14ac:dyDescent="0.3">
      <c r="D594" s="4">
        <v>58.4</v>
      </c>
      <c r="E594" s="4">
        <f t="shared" si="212"/>
        <v>1015831186732234</v>
      </c>
      <c r="K594" s="40">
        <v>585</v>
      </c>
      <c r="L594" s="40">
        <f t="shared" ca="1" si="213"/>
        <v>26.073745252103112</v>
      </c>
      <c r="M594" s="40"/>
      <c r="N594" s="40"/>
      <c r="Q594" s="46"/>
      <c r="R594" s="46">
        <f t="shared" ca="1" si="214"/>
        <v>4.2677818196661912</v>
      </c>
      <c r="S594" s="40"/>
      <c r="T594" s="40"/>
      <c r="W594" s="4">
        <v>58.4</v>
      </c>
      <c r="X594" s="4">
        <f t="shared" ca="1" si="215"/>
        <v>977412448274434.38</v>
      </c>
    </row>
    <row r="595" spans="4:24" x14ac:dyDescent="0.3">
      <c r="D595" s="4">
        <v>58.5</v>
      </c>
      <c r="E595" s="4">
        <f t="shared" si="212"/>
        <v>1014653505742655.8</v>
      </c>
      <c r="K595" s="40">
        <v>586</v>
      </c>
      <c r="L595" s="40">
        <f t="shared" ca="1" si="213"/>
        <v>40.71378308138172</v>
      </c>
      <c r="M595" s="40"/>
      <c r="N595" s="40"/>
      <c r="Q595" s="46"/>
      <c r="R595" s="46">
        <f t="shared" ca="1" si="214"/>
        <v>54.415437679538776</v>
      </c>
      <c r="S595" s="40"/>
      <c r="T595" s="40"/>
      <c r="W595" s="4">
        <v>58.5</v>
      </c>
      <c r="X595" s="4">
        <f t="shared" ca="1" si="215"/>
        <v>976214858596167.63</v>
      </c>
    </row>
    <row r="596" spans="4:24" x14ac:dyDescent="0.3">
      <c r="D596" s="4">
        <v>58.6</v>
      </c>
      <c r="E596" s="4">
        <f t="shared" si="212"/>
        <v>1013477190070988.3</v>
      </c>
      <c r="K596" s="40">
        <v>587</v>
      </c>
      <c r="L596" s="40">
        <f t="shared" ca="1" si="213"/>
        <v>8.9761589011206517</v>
      </c>
      <c r="M596" s="40"/>
      <c r="N596" s="40"/>
      <c r="Q596" s="46"/>
      <c r="R596" s="46">
        <f t="shared" ca="1" si="214"/>
        <v>14.632098492432036</v>
      </c>
      <c r="S596" s="40"/>
      <c r="T596" s="40"/>
      <c r="W596" s="4">
        <v>58.6</v>
      </c>
      <c r="X596" s="4">
        <f t="shared" ca="1" si="215"/>
        <v>975018736283126.25</v>
      </c>
    </row>
    <row r="597" spans="4:24" x14ac:dyDescent="0.3">
      <c r="D597" s="4">
        <v>58.7</v>
      </c>
      <c r="E597" s="4">
        <f t="shared" si="212"/>
        <v>1012302238134380.3</v>
      </c>
      <c r="K597" s="40">
        <v>588</v>
      </c>
      <c r="L597" s="40">
        <f t="shared" ca="1" si="213"/>
        <v>35.33070077874514</v>
      </c>
      <c r="M597" s="40"/>
      <c r="N597" s="40"/>
      <c r="Q597" s="46"/>
      <c r="R597" s="46">
        <f t="shared" ca="1" si="214"/>
        <v>87.565300804215411</v>
      </c>
      <c r="S597" s="40"/>
      <c r="T597" s="40"/>
      <c r="W597" s="4">
        <v>58.7</v>
      </c>
      <c r="X597" s="4">
        <f t="shared" ca="1" si="215"/>
        <v>973824079537398.63</v>
      </c>
    </row>
    <row r="598" spans="4:24" x14ac:dyDescent="0.3">
      <c r="D598" s="4">
        <v>58.8</v>
      </c>
      <c r="E598" s="4">
        <f t="shared" si="212"/>
        <v>1011128648351816.9</v>
      </c>
      <c r="K598" s="40">
        <v>589</v>
      </c>
      <c r="L598" s="40">
        <f t="shared" ca="1" si="213"/>
        <v>10.945458151040318</v>
      </c>
      <c r="M598" s="40"/>
      <c r="N598" s="40"/>
      <c r="Q598" s="46"/>
      <c r="R598" s="46">
        <f t="shared" ca="1" si="214"/>
        <v>9.8450218527098805</v>
      </c>
      <c r="S598" s="40"/>
      <c r="T598" s="40"/>
      <c r="W598" s="4">
        <v>58.8</v>
      </c>
      <c r="X598" s="4">
        <f t="shared" ca="1" si="215"/>
        <v>972630886563275.38</v>
      </c>
    </row>
    <row r="599" spans="4:24" x14ac:dyDescent="0.3">
      <c r="D599" s="4">
        <v>58.9</v>
      </c>
      <c r="E599" s="4">
        <f t="shared" si="212"/>
        <v>1009956419144115</v>
      </c>
      <c r="K599" s="40">
        <v>590</v>
      </c>
      <c r="L599" s="40">
        <f t="shared" ca="1" si="213"/>
        <v>36.876543120947041</v>
      </c>
      <c r="M599" s="40">
        <f t="shared" ref="M599" ca="1" si="220">AVERAGE(L590:L599)</f>
        <v>39.540456084265763</v>
      </c>
      <c r="N599" s="40">
        <f t="shared" ref="N599" ca="1" si="221">1/M599</f>
        <v>2.5290552993846915E-2</v>
      </c>
      <c r="Q599" s="46"/>
      <c r="R599" s="46">
        <f t="shared" ca="1" si="214"/>
        <v>57.875336492681768</v>
      </c>
      <c r="S599" s="40">
        <f t="shared" ref="S599" ca="1" si="222">AVERAGE(R590:R599)</f>
        <v>60.10801377205577</v>
      </c>
      <c r="T599" s="40">
        <f t="shared" ref="T599" ca="1" si="223">1/S599</f>
        <v>1.6636716757806098E-2</v>
      </c>
      <c r="W599" s="4">
        <v>58.9</v>
      </c>
      <c r="X599" s="4">
        <f t="shared" ca="1" si="215"/>
        <v>971439155567248</v>
      </c>
    </row>
    <row r="600" spans="4:24" x14ac:dyDescent="0.3">
      <c r="D600" s="4">
        <v>59</v>
      </c>
      <c r="E600" s="4">
        <f t="shared" si="212"/>
        <v>1008785548933923.5</v>
      </c>
      <c r="K600" s="40">
        <v>591</v>
      </c>
      <c r="L600" s="40">
        <f t="shared" ca="1" si="213"/>
        <v>43.96488511841418</v>
      </c>
      <c r="M600" s="40"/>
      <c r="N600" s="40"/>
      <c r="Q600" s="46"/>
      <c r="R600" s="46">
        <f t="shared" ca="1" si="214"/>
        <v>114.18245427973979</v>
      </c>
      <c r="S600" s="40"/>
      <c r="T600" s="40"/>
      <c r="W600" s="4">
        <v>59</v>
      </c>
      <c r="X600" s="4">
        <f t="shared" ca="1" si="215"/>
        <v>970248884758005.38</v>
      </c>
    </row>
    <row r="601" spans="4:24" x14ac:dyDescent="0.3">
      <c r="D601" s="4">
        <v>59.1</v>
      </c>
      <c r="E601" s="4">
        <f t="shared" si="212"/>
        <v>1007616036145718.8</v>
      </c>
      <c r="K601" s="40">
        <v>592</v>
      </c>
      <c r="L601" s="40">
        <f t="shared" ca="1" si="213"/>
        <v>76.375885915896291</v>
      </c>
      <c r="M601" s="40"/>
      <c r="N601" s="40"/>
      <c r="Q601" s="46"/>
      <c r="R601" s="46">
        <f t="shared" ca="1" si="214"/>
        <v>32.270722182480732</v>
      </c>
      <c r="S601" s="40"/>
      <c r="T601" s="40"/>
      <c r="W601" s="4">
        <v>59.1</v>
      </c>
      <c r="X601" s="4">
        <f t="shared" ca="1" si="215"/>
        <v>969060072346430.88</v>
      </c>
    </row>
    <row r="602" spans="4:24" x14ac:dyDescent="0.3">
      <c r="D602" s="4">
        <v>59.2</v>
      </c>
      <c r="E602" s="4">
        <f t="shared" si="212"/>
        <v>1006447879205804</v>
      </c>
      <c r="K602" s="40">
        <v>593</v>
      </c>
      <c r="L602" s="40">
        <f t="shared" ca="1" si="213"/>
        <v>112.47769533640717</v>
      </c>
      <c r="M602" s="40"/>
      <c r="N602" s="40"/>
      <c r="Q602" s="46"/>
      <c r="R602" s="46">
        <f t="shared" ca="1" si="214"/>
        <v>74.379254575686048</v>
      </c>
      <c r="S602" s="40"/>
      <c r="T602" s="40"/>
      <c r="W602" s="4">
        <v>59.2</v>
      </c>
      <c r="X602" s="4">
        <f t="shared" ca="1" si="215"/>
        <v>967872716545600.5</v>
      </c>
    </row>
    <row r="603" spans="4:24" x14ac:dyDescent="0.3">
      <c r="D603" s="4">
        <v>59.3</v>
      </c>
      <c r="E603" s="4">
        <f t="shared" si="212"/>
        <v>1005281076542307.8</v>
      </c>
      <c r="K603" s="40">
        <v>594</v>
      </c>
      <c r="L603" s="40">
        <f t="shared" ca="1" si="213"/>
        <v>31.061091901785577</v>
      </c>
      <c r="M603" s="40"/>
      <c r="N603" s="40"/>
      <c r="Q603" s="46"/>
      <c r="R603" s="46">
        <f t="shared" ca="1" si="214"/>
        <v>1.2685359098510982</v>
      </c>
      <c r="S603" s="40"/>
      <c r="T603" s="40"/>
      <c r="W603" s="4">
        <v>59.3</v>
      </c>
      <c r="X603" s="4">
        <f t="shared" ca="1" si="215"/>
        <v>966686815570779.38</v>
      </c>
    </row>
    <row r="604" spans="4:24" x14ac:dyDescent="0.3">
      <c r="D604" s="4">
        <v>59.4</v>
      </c>
      <c r="E604" s="4">
        <f t="shared" si="212"/>
        <v>1004115626585179.4</v>
      </c>
      <c r="K604" s="40">
        <v>595</v>
      </c>
      <c r="L604" s="40">
        <f t="shared" ca="1" si="213"/>
        <v>3.6442374106230382</v>
      </c>
      <c r="M604" s="40"/>
      <c r="N604" s="40"/>
      <c r="Q604" s="46"/>
      <c r="R604" s="46">
        <f t="shared" ca="1" si="214"/>
        <v>176.42426046495342</v>
      </c>
      <c r="S604" s="40"/>
      <c r="T604" s="40"/>
      <c r="W604" s="4">
        <v>59.4</v>
      </c>
      <c r="X604" s="4">
        <f t="shared" ca="1" si="215"/>
        <v>965502367639419.38</v>
      </c>
    </row>
    <row r="605" spans="4:24" x14ac:dyDescent="0.3">
      <c r="D605" s="4">
        <v>59.5</v>
      </c>
      <c r="E605" s="4">
        <f t="shared" si="212"/>
        <v>1002951527766190</v>
      </c>
      <c r="K605" s="40">
        <v>596</v>
      </c>
      <c r="L605" s="40">
        <f t="shared" ca="1" si="213"/>
        <v>69.817391172548469</v>
      </c>
      <c r="M605" s="40"/>
      <c r="N605" s="40"/>
      <c r="Q605" s="46"/>
      <c r="R605" s="46">
        <f t="shared" ca="1" si="214"/>
        <v>11.471987598372445</v>
      </c>
      <c r="S605" s="40"/>
      <c r="T605" s="40"/>
      <c r="W605" s="4">
        <v>59.5</v>
      </c>
      <c r="X605" s="4">
        <f t="shared" ca="1" si="215"/>
        <v>964319370971156.75</v>
      </c>
    </row>
    <row r="606" spans="4:24" x14ac:dyDescent="0.3">
      <c r="D606" s="4">
        <v>59.6</v>
      </c>
      <c r="E606" s="4">
        <f t="shared" si="212"/>
        <v>1001788778518927.5</v>
      </c>
      <c r="K606" s="40">
        <v>597</v>
      </c>
      <c r="L606" s="40">
        <f t="shared" ca="1" si="213"/>
        <v>55.136336426720142</v>
      </c>
      <c r="M606" s="40"/>
      <c r="N606" s="40"/>
      <c r="Q606" s="46"/>
      <c r="R606" s="46">
        <f t="shared" ca="1" si="214"/>
        <v>287.8527168713772</v>
      </c>
      <c r="S606" s="40"/>
      <c r="T606" s="40"/>
      <c r="W606" s="4">
        <v>59.6</v>
      </c>
      <c r="X606" s="4">
        <f t="shared" ca="1" si="215"/>
        <v>963137823787808.88</v>
      </c>
    </row>
    <row r="607" spans="4:24" x14ac:dyDescent="0.3">
      <c r="D607" s="4">
        <v>59.699999999999903</v>
      </c>
      <c r="E607" s="4">
        <f t="shared" si="212"/>
        <v>1000627377278797.9</v>
      </c>
      <c r="K607" s="40">
        <v>598</v>
      </c>
      <c r="L607" s="40">
        <f t="shared" ca="1" si="213"/>
        <v>150.54809550881782</v>
      </c>
      <c r="M607" s="40"/>
      <c r="N607" s="40"/>
      <c r="Q607" s="46"/>
      <c r="R607" s="46">
        <f t="shared" ca="1" si="214"/>
        <v>36.320020286392342</v>
      </c>
      <c r="S607" s="40"/>
      <c r="T607" s="40"/>
      <c r="W607" s="4">
        <v>59.699999999999903</v>
      </c>
      <c r="X607" s="4">
        <f t="shared" ca="1" si="215"/>
        <v>961957724313373.38</v>
      </c>
    </row>
    <row r="608" spans="4:24" x14ac:dyDescent="0.3">
      <c r="D608">
        <v>59.799999999999898</v>
      </c>
      <c r="E608">
        <f t="shared" si="212"/>
        <v>999467322483016.88</v>
      </c>
      <c r="K608" s="40">
        <v>599</v>
      </c>
      <c r="L608" s="40">
        <f t="shared" ca="1" si="213"/>
        <v>10.014480000897775</v>
      </c>
      <c r="M608" s="40">
        <f ca="1">AVERAGE(L601:L608)</f>
        <v>63.634401709212035</v>
      </c>
      <c r="N608" s="40">
        <f ca="1">1/M608</f>
        <v>1.571477020511116E-2</v>
      </c>
      <c r="Q608" s="46"/>
      <c r="R608" s="46">
        <f t="shared" ca="1" si="214"/>
        <v>0.41115413741181767</v>
      </c>
      <c r="S608" s="40">
        <f ca="1">AVERAGE(R601:R608)</f>
        <v>77.549831503315644</v>
      </c>
      <c r="T608" s="40">
        <f ca="1">1/S608</f>
        <v>1.2894934529383794E-2</v>
      </c>
      <c r="W608" s="40">
        <v>59.799999999999898</v>
      </c>
      <c r="X608" s="4">
        <f t="shared" ca="1" si="215"/>
        <v>960779070774020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Population-Uranium Conc-Part 1</vt:lpstr>
      <vt:lpstr>Radiactiv Dcay-Population-Part2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MAHI</cp:lastModifiedBy>
  <dcterms:created xsi:type="dcterms:W3CDTF">2025-11-21T06:29:35Z</dcterms:created>
  <dcterms:modified xsi:type="dcterms:W3CDTF">2026-01-21T19:08:05Z</dcterms:modified>
</cp:coreProperties>
</file>